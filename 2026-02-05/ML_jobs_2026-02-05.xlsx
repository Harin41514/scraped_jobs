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in-dd6ff76ac9f49660</t>
        </is>
      </c>
      <c r="B2" t="inlineStr">
        <is>
          <t>Senior GenAI Engineer/Data Scientist / Remote</t>
        </is>
      </c>
      <c r="C2" t="inlineStr">
        <is>
          <t>Molina Healthcare</t>
        </is>
      </c>
      <c r="D2" t="inlineStr">
        <is>
          <t>indeed</t>
        </is>
      </c>
      <c r="E2" t="inlineStr"/>
      <c r="F2" t="inlineStr"/>
      <c r="G2" t="inlineStr">
        <is>
          <t>AZ, US</t>
        </is>
      </c>
      <c r="H2" s="2" t="n">
        <v>46057</v>
      </c>
      <c r="I2" t="inlineStr">
        <is>
          <t>Job Description
Job Summary
We are seeking a highly skilled GenAI / Agentic AI Engineer to design, build, and deploy autonomous, LLM\-powered systems that solve complex business problems at scale. This role focuses on agentic workflows, retrieval\-augmented generation (RAG), tool orchestration, evaluation, and production deployment of GenAI systems.
You will work at the intersection of LLMs, systems engineering, and applied ML, building intelligent agents that reason, plan, interact with tools, and operate reliably in real\-world environments—particularly across regulated domains such as healthcare.
Job Duties
Agentic AI \&amp; GenAI System Development
Design, build, and deploy agentic AI systems using LLMs, tools, memory, and planning frameworks.
Implement multi\-agent and single\-agent workflows for autonomous task execution, decision support, and orchestration.
Develop tool\-using agents (function calling, structured outputs, APIs, databases, workflows).
Retrieval\-Augmented Generation (RAG)
Design and optimize RAG pipelines, including document ingestion, chunking strategies, embeddings, vector stores, and retrieval ranking.
Implement advanced retrieval techniques (hybrid search, metadata filtering, re\-ranking, query rewriting).
Evaluate and tune RAG systems for accuracy, latency, grounding, and hallucination reduction.
Model Adaptation \&amp; Optimization
Fine\-tune and adapt foundation models (instruction tuning, LoRA, adapters) for domain\-specific use cases.
Optimize prompts, schemas, and system instructions for reliability and determinism.
Apply reinforcement or feedback\-driven optimization where applicable (human or automated eval loops).
Evaluation, Monitoring \&amp; Governance
Define evaluation frameworks for GenAI systems, including task success, factuality, grounding, latency, and cost.
Build monitoring and observability for agent behavior, tool calls, and failure modes.
Partner with governance and risk teams to ensure responsible AI practices, traceability, and compliance.
Production Deployment \&amp; MLOps for GenAI
Deploy GenAI and agentic systems into production using cloud\-native architectures.
Implement CI/CD, versioning, rollback, and runtime safeguards for LLM applications.
Optimize systems for performance, cost efficiency, and scalability.
Collaboration \&amp; Leadership
Collaborate closely with software engineers, product managers, data scientists, and business stakeholders.
Translate ambiguous business problems into well\-structured agentic solutions.
Mentor junior engineers and contribute to GenAI best practices and internal standards.
**Job Qualifications:**  
Technical Skills
Strong Python proficiency and experience building production\-grade services.
Deep understanding of LLMs and foundation models (GPT, Claude, Llama, etc.).
Hands\-on experience with agent frameworks (e.g., LangGraph, Semantic Kernel, DSPy, AutoGen, CrewAI, custom frameworks).
Strong knowledge of RAG architectures, vector databases, and embedding models.
Experience with structured outputs, function calling, JSON schemas, and tool orchestration.
Familiarity with LLM evaluation techniques and failure mode analysis.
Experience with APIs, microservices, and distributed systems.
Problem Solving \&amp; Communication
Strong analytical thinking and ability to structure ambiguous problems.
Ability to explain complex GenAI concepts to both technical and non\-technical audiences.
Proven ability to work cross\-functionally in fast\-moving environments.
**REQUIRED EDUCATION:**  
Master’s Degree in Computer Science, Data Science, Statistics, or a related field
**REQUIRED EXPERIENCE/KNOWLEDGE, SKILLS \&amp; ABILITIES:**  
* 6 plus years work experience as a data scientist preferably in healthcare environment but candidates with suitable experience in other industries will be considered
* Knowledge of big data technologies (e.g., Hadoop, Spark)
* Familiar with relational database concepts, and SDLC concepts
* Demonstrate critical thinking and the ability to bring order to unstructured problems
* Technical Proficiency: Strong programming skills in languages such as Python and R, and experience with machine learning frameworks like TensorFlow, Keras, or PyTorch.
* Statistical Analysis: Excellent understanding of statistical methods and machine learning algorithms, including k\-NN, Naive Bayes, SVM, and neural networks.
* Experience with Agentic Workflows: Familiarity with designing and implementing agentic workflows that leverage AI agents for autonomous operations.
* RAG Techniques: Knowledge of retrieval\-augmented generation techniques and their application in enhancing AI model outputs.
* Model Fine\-Tuning Expertise: Proven experience in fine\-tuning models for specific tasks, ensuring they meet the required performance metrics.
* Data Visualization: Proficiency in data visualization tools (e.g., Tableau, Power BI) to present complex data insights effectively.
* Database Management: Experience with SQL and NoSQL databases, data warehousing, and ETL processes.
* Problem\-Solving Skills: Strong analytical and problem\-solving abilities, with a focus on developing innovative solutions to complex challenges.
**PREFERRED EXPERIENCE:**  
Hands\-on experience building and deploying GenAI / LLM\-based systems.
Experience working in regulated industries (healthcare, finance, insurance).
Hands\-on experience with cloud GenAI platforms (Azure AI Studio / Foundry, Databricks, Snowflake Cortex).
Experience with observability and governance tools for GenAI systems.
Familiarity with NLP, document intelligence, or multimodal AI.
PhD or equivalent advanced research experience is a plus.
Proven experience designing agentic workflows, not just prompt\-based applications.
**To all current Molina employees:** If you are interested in applying for this position, please apply through the intranet job listing.
Molina Healthcare offers a competitive benefits and compensation package. Molina Healthcare is an Equal Opportunity Employer (EOE) M/F/D/V.
**Pay Range:** $107,028 \- $250,446 / ANNUAL
* Actual compensation may vary from posting based on geographic location, work experience, education and/or skill level.</t>
        </is>
      </c>
    </row>
    <row r="3">
      <c r="A3" t="inlineStr">
        <is>
          <t>in-9896bd5edee12e0a</t>
        </is>
      </c>
      <c r="B3" t="inlineStr">
        <is>
          <t>Senior Lead AI Engineer (Gen AI Platform Services, Agentic AI)</t>
        </is>
      </c>
      <c r="C3" t="inlineStr">
        <is>
          <t>Capital One</t>
        </is>
      </c>
      <c r="D3" t="inlineStr">
        <is>
          <t>indeed</t>
        </is>
      </c>
      <c r="E3" t="inlineStr"/>
      <c r="F3" t="inlineStr"/>
      <c r="G3" t="inlineStr">
        <is>
          <t>San Jose, CA, US</t>
        </is>
      </c>
      <c r="H3" s="2" t="n">
        <v>46056</v>
      </c>
      <c r="I3" t="inlineStr">
        <is>
          <t>Senior Lead AI Engineer (Gen AI Platform Services,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in-fa4d95dc9edb11d3</t>
        </is>
      </c>
      <c r="B4" t="inlineStr">
        <is>
          <t>Senior Lead AI Engineer</t>
        </is>
      </c>
      <c r="C4" t="inlineStr">
        <is>
          <t>Capital One</t>
        </is>
      </c>
      <c r="D4" t="inlineStr">
        <is>
          <t>indeed</t>
        </is>
      </c>
      <c r="E4" t="inlineStr"/>
      <c r="F4" t="inlineStr"/>
      <c r="G4" t="inlineStr">
        <is>
          <t>San Jose, CA, US</t>
        </is>
      </c>
      <c r="H4" s="2" t="n">
        <v>46056</v>
      </c>
      <c r="I4" t="inlineStr">
        <is>
          <t>Senior Lead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in-cbc94f8c29b49762</t>
        </is>
      </c>
      <c r="B5" t="inlineStr">
        <is>
          <t>Lead AI Engineer (FM Hosting, LLM Inference)</t>
        </is>
      </c>
      <c r="C5" t="inlineStr">
        <is>
          <t>Capital One</t>
        </is>
      </c>
      <c r="D5" t="inlineStr">
        <is>
          <t>indeed</t>
        </is>
      </c>
      <c r="E5" t="inlineStr"/>
      <c r="F5" t="inlineStr"/>
      <c r="G5" t="inlineStr">
        <is>
          <t>New York, NY, US</t>
        </is>
      </c>
      <c r="H5" s="2" t="n">
        <v>46056</v>
      </c>
      <c r="I5" t="inlineStr">
        <is>
          <t>Lead AI Engineer (FM Hosting, LLM Inference)**Overview**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in-bdfb5b5ffcaa8455</t>
        </is>
      </c>
      <c r="B6" t="inlineStr">
        <is>
          <t>AI Engineer</t>
        </is>
      </c>
      <c r="C6" t="inlineStr">
        <is>
          <t>Barclays</t>
        </is>
      </c>
      <c r="D6" t="inlineStr">
        <is>
          <t>indeed</t>
        </is>
      </c>
      <c r="E6" t="inlineStr"/>
      <c r="F6" t="inlineStr"/>
      <c r="G6" t="inlineStr">
        <is>
          <t>Whippany, NJ, US</t>
        </is>
      </c>
      <c r="H6" s="2" t="n">
        <v>46056</v>
      </c>
      <c r="I6" t="inlineStr">
        <is>
          <t>Embark on a transformative journey as an AI Engineer. At Barclays, our vision is clear – to redefine the future of banking and help craft innovative solutions. This role anchors the firm’s transition from AI experimentation to AI excellence, connecting advanced AI research with real\-world, enterprise\-scale impact across digital, compliance, and financial transformation initiatives.
To be successful as an AI Engineer, you should have experience with:
* Designing and deploying applied AI and machine learning solutions that move from research into production
* Building and operationalizing LLM\-based systems using frameworks such as LangChain, LlamaIndex, CrewAI, or AutoGen
* Developing AI solutions in Python using modern ML frameworks such as PyTorch or TensorFlow
* Implementing AI systems within enterprise or regulated environments while addressing risk, governance, and controls
* Translating AI capabilities into measurable business outcomes such as revenue growth, risk reduction, or automation
Some other highly valued skills may include:
* Driving adoption of AI platforms, tools, or standards across large organizations
* Partnering across technology, compliance, and business teams to deliver scalable AI solutions
* Measuring and communicating the business impact of deployed AI models
* Contributing to AI strategy, roadmap definition, and best\-practice frameworks
* Mentoring and uplifting AI engineers or researchers within cross\-functional teams
You may be assessed on the key critical skills relevant for success in this role, such as risk and controls, change and transformation, business acumen, strategic thinking, digital and technology, as well as job\-specific technical skills.
This role is located in Whippany, New Jersey.
Minimum Salary: $170,000
Maximum Salary: $230,000
The minimum and maximum salary/rate information above includes only base salary or base hourly rate. It does not include any other type of compensation or benefits that may be available.
Barclays employees are eligible for a suite of competitive and generous employee benefits, including medical, dental and vision coverage, 401(k), life insurance, and other paid leave for qualifying circumstances.
This position is eligible for an incentive award.
**Purpose of the role**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7">
      <c r="A7" t="inlineStr">
        <is>
          <t>in-8e99418da339ad95</t>
        </is>
      </c>
      <c r="B7" t="inlineStr">
        <is>
          <t>Senior Applied AI Engineer</t>
        </is>
      </c>
      <c r="C7" t="inlineStr">
        <is>
          <t>Microsoft</t>
        </is>
      </c>
      <c r="D7" t="inlineStr">
        <is>
          <t>indeed</t>
        </is>
      </c>
      <c r="E7" t="inlineStr"/>
      <c r="F7" t="inlineStr"/>
      <c r="G7" t="inlineStr">
        <is>
          <t>Redmond, WA, US</t>
        </is>
      </c>
      <c r="H7" s="2" t="n">
        <v>46042</v>
      </c>
      <c r="I7" t="inlineStr">
        <is>
          <t>**Overview**  
Microsoft is seeking a **Senior Applied AI Engineer** to join a pioneering team focused on building the future of automated business workflows through Agentic AI systems and Digital Collaborators. This role is part of the Software Engineering discipline and combines strong engineering fundamentals with deep applied AI expertise.
You will work at the intersection of generative AI, large language models (LLMs), and Conversational and autonomous agent architectures, building intelligent systems capable of reasoning, planning, and executing complex, multi\-step tasks across enterprise environments.
As part of the Microsoft Dynamics organization, you will help shape the next generation of intelligent assistants and digital collaborators that deliver real business outcomes at scale. You will take applied AI solutions from experimentation through production deployment, influencing system architecture, product direction, and customer experience.
 **Culture \&amp; Values**
You’ll be part of an inclusive, customer\-driven team that values growth mindset, collaboration, and continuous learning. Our team is passionate about building AI solutions that empower users and transform industries. We operate at the forefront of AI innovation, with a strong sense of ownership, creativity, and purpose.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ship AI\-powered software systems leveraging generative AI, LLMs, and agentic reasoning frameworks.
* Develop and integrate autonomous AI agents capable of task decomposition, multi\-step planning, memory, tool usage, and dynamic decision\-making across enterprise workflows.
* Apply state\-of\-the\-art techniques including foundation models, prompt engineering, retrieval\-augmented generation (RAG), multi\-agent architectures, and classical machine learning where appropriate.
* Fine\-tune and adapt foundation models using domain\-specific data, and evaluate model behavior across relevance, quality, hallucination, bias, latency, and cost.
* Build rapid prototypes and translate them into production\-grade systems, contributing to deployment, debugging, monitoring, and operational excellence.
* Design and implement evaluation frameworks and automated evaluators, using offline experiments, shadow testing, online experimentation, and telemetry to measure impact and guide iteration.
* Partner closely with product managers, researchers, and engineers to bring agentic capabilities into Microsoft’s business and productivity platforms.
* Write high\-quality, well\-documented, and maintainable code, along with clear technical design specifications.
* Mentor engineers and contribute to raising the overall engineering and applied AI bar across the team.
* Apply Responsible AI principles throughout the development lifecycle, proactively identifying and mitigating risks related to fairness, bias, privacy, security, and misuse.
**Qualifications** **Required Qualifications:**
* Bachelor's Degree in Computer Science, Engineering, Data Science, Math, Business, or related field AND 4\+ years experience in engineering, product/technical program management, data analysis, or product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professional software development experience with at least one of the following: C\#, C\+\+, or Java.
* 8\+ years of professional experience building cloud applications, preferably full stack.
* 3\+ years of experience with GenAI, LLMs, or agentic systems.
* Experience designing and implementing enterprise\-scale services.
* Experience delivering Dynamics 365 and/or Power Platform solutions is desirable.
* Experience in agentic AI development and leveraging AI tools for development.
* Verbal, written, and cross\-team collaboration skills.
* Team player and collaborator across time zones and diverse stakeholder groups.
* Passion for improving software quality and engineering excellence.
* Experience developing, debugging, and supporting code in object\-oriented languages, as well as writing database queries.
* Experience building infrastructure using Microsoft Azure technologies such as Service Fabric, App Service, and Docker.
\#BICjosbs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in-97a435a696e08e1d</t>
        </is>
      </c>
      <c r="B8" t="inlineStr">
        <is>
          <t>Principal Applied Scientist</t>
        </is>
      </c>
      <c r="C8" t="inlineStr">
        <is>
          <t>Microsoft</t>
        </is>
      </c>
      <c r="D8" t="inlineStr">
        <is>
          <t>indeed</t>
        </is>
      </c>
      <c r="E8" t="inlineStr"/>
      <c r="F8" t="inlineStr"/>
      <c r="G8" t="inlineStr">
        <is>
          <t>Washington, DC, US</t>
        </is>
      </c>
      <c r="H8" s="2" t="n">
        <v>46055</v>
      </c>
      <c r="I8" t="inlineStr">
        <is>
          <t>**Overview**  
Be at the forefront of AI by joining M365 Copilot team and take part in shaping the future of AI\-powered user experiences across multiple Microsoft platforms. As a Principal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participate in onboarding of junior team members and assist in developing academics to be members of multidiscipline teams.
* You’ll identify new research talent to join Microsoft and collaborate with the academic community to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Bachelor's Degree in Statistics, Econometrics, Computer Science, Electrical or Computer Engineering, or related field AND 8\+ years related experience (e.g., statistics, predictive analytics, research)
	+ OR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5\+ years related experience (e.g., statistics, predictive analytics, research)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Statistics, Econometrics, Computer Science, Electrical or Computer Engineering, or related field AND 12\+ years related experience (e.g., statistics, predictive analytics, research)
	+ OR Doctorate in Statistics, Econometrics, Computer Science, Electrical or Computer Engineering, or related field AND 8\+ years related experience (e.g., statistics, predictive analytics, research)
	+ OR equivalent experience.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5\+ years experience creating publications (e.g., patents, libraries, peer\-reviewed academic papers).
* 3\+ year(s) experience developing and deploying live production systems, as part of a product team.
* 1\+ years experience in Large Language Modeling (LLM) or Machine Learning (ML)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in-bb22d971fb86c994</t>
        </is>
      </c>
      <c r="B9" t="inlineStr">
        <is>
          <t>Machine Learning Engineer - Platforms</t>
        </is>
      </c>
      <c r="C9" t="inlineStr">
        <is>
          <t>MD Anderson Cancer Center</t>
        </is>
      </c>
      <c r="D9" t="inlineStr">
        <is>
          <t>indeed</t>
        </is>
      </c>
      <c r="E9" t="inlineStr"/>
      <c r="F9" t="inlineStr"/>
      <c r="G9" t="inlineStr">
        <is>
          <t>Houston, TX, US</t>
        </is>
      </c>
      <c r="H9" s="2" t="n">
        <v>46055</v>
      </c>
      <c r="I9" t="inlineStr">
        <is>
          <t>a { text\-decoration: none; color: \#464feb; } tr th, tr td { border: 1px solid \#e6e6e6; } tr th { background\-color: \#f5f5f5; }  
As a **Machine Learning Engineer \- Platforms** within the **Data Impact \&amp; Governance** organization, you will shape and scale the enterprise AI/ML platform that powers clinical, research, and operational machine learning across the institution. This is a hands\-on engineering role with direct influence on how data science workflows operate institution\-wide\-enabling safe, efficient, and high\-impact AI delivery.  
You'll work with modern cloud and container technologies, MLOps frameworks, and enterprise\-grade tools while building solutions that improve patient care, strengthen operations, and accelerate scientific discovery.  
**What's in it for you?**  
* **Exceptional Benefits:** Enjoy **paid medical benefits**, generous **paid time off (PTO)**, strong **retirement plans**, and a comprehensive benefits package designed to support your total well\-being.
* **High\-Impact Work:** Develop and maintain the platforms that allow clinicians, researchers, and data scientists to bring AI solutions into real\-world healthcare environments.
* **Cutting\-Edge Technology:** Work with **Dataiku, Kubernetes, Azure, container technologies, and MLOps frameworks** that support large\-scale enterprise ML operations.
* **Career Growth:** Collaborate with ML engineers, data scientists, architects, and IT teams, gaining exposure to complex, enterprise\-wide AI initiatives and governance.
* **Mission\-Driven Culture:** Your work will contribute directly to improving patient outcomes and advancing research at a nationally recognized cancer center.
**Summary**  
The Machine Learning Engineer \- Platforms supports the development, reliability, and scalability of the enterprise AI/ML platform used across clinical and business operations. The role focuses on MLOps engineering, platform integration, automation, container management, model monitoring, and lifecycle governance. The engineer partners closely with data scientists, ML engineers, and enterprise IT teams to support AI development and deployment, while ensuring compliance, performance, and responsible AI practices.  
**Major Work Activities**  
**Technical Expertise**  
* Support development, administration, and maintenance of the enterprise AI/ML platform (Dataiku, Kubernetes, Azure), ensuring scalability, reliability, and smooth integration with institutional systems.
* Orchestrate training, deployment, and inference pipelines within Dataiku targeting Azure and on\-premises Kubernetes clusters.
* Develop and maintain MLOps workflows for reproducibility, version control, governance, and model lifecycle management.
* Manage and optimize containerized environments using Docker and Kubernetes to support data science workloads.
* Provide platform support for data scientists and ML engineers, troubleshooting environment, pipeline, and dependency issues.
* Monitor platform performance, cost, security, and compliance, ensuring alignment with enterprise and regulatory standards.
**Analytical Skills**  
* Build and support scalable pipelines in Dataiku, Kubernetes, and Azure, including feature engineering, model tracking, and validation workflows.
* Debug, test, and resolve complex platform or pipeline issues using strong analytical and problem\-solving skills.
* Assist with healthcare data integration using standards such as HL7, FHIR, or DICOM when required for model development.
**Professionalism: Oral \&amp; Written Communication**  
* Share platform knowledge, best practices, and methodologies through training, documentation, and cross\-team collaboration.
* Support analytics and automation workflows by enabling access to data, reviewing project requests, and assisting with interpretation.
* Communicate platform updates, risks, performance, and issue resolutions clearly during meetings and collaborative sessions.
* Work effectively with leaders, technical peers, and end users, ensuring strong communication across both technical and non\-technical stakeholders.
**Other Duties**  
* Perform additional tasks as assigned to support the AI/ML platform, MLOps practices, and enterprise data science initiatives.
**EDUCATION**  
* Required: Bachelor's Degree Computer Science, Software Engineering, Data Science, Physics, Math \&amp; Statistics, or another related engineering discipline.
* Preferred: Master's Degree Computer Science, Software Engineering, Data Science, Physics, Math \&amp; Statistics, or another related engineering discipline.
**WORK EXPERIENCE**  
* Required: 3 years in machine learning engineering, data science, data engineering, and/or software engineering experience.
* Required: 1 year experience with Master's degree.
* No experience required with PhD.
**Preferred Experience/Skills**: Healthcare experience needed, experience with MLOps platforms and/or cloud AI certifications, strong proficiency in CI/CD and automation of the AI lifecycle, experience working on healthcare focused machine learning projects. Experience with Azure and/or Kubernetes. Proficiency in services such as Azure Kubernetes Services and Azure ML (or similar).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178799
* Employment Status: Full\-Time
* Employee Status: Regular
* Work Week: Days
* Minimum Salary: US Dollar (USD) 123,000
* Midpoint Salary: US Dollar (USD) 154,000
* Maximum Salary : US Dollar (USD) 185,000
* FLSA: exempt and not eligible for overtime pay
* Fund Type: Hard
* Work Location: Remote (within Texas only)
* Pivotal Position: Yes
* Referral Bonus Available?: Yes
* Relocation Assistance Available?: No
\#LI\-Remote</t>
        </is>
      </c>
    </row>
    <row r="10">
      <c r="A10" t="inlineStr">
        <is>
          <t>in-911ac996e70f98f6</t>
        </is>
      </c>
      <c r="B10" t="inlineStr">
        <is>
          <t>Full Stack AI Engineer – Healthcare</t>
        </is>
      </c>
      <c r="C10" t="inlineStr">
        <is>
          <t>ARTIFICIAL GENERALIZED INTELLIGENCE SOLUTIONS</t>
        </is>
      </c>
      <c r="D10" t="inlineStr">
        <is>
          <t>indeed</t>
        </is>
      </c>
      <c r="E10" t="inlineStr"/>
      <c r="F10" t="inlineStr"/>
      <c r="G10" t="inlineStr">
        <is>
          <t>US</t>
        </is>
      </c>
      <c r="H10" s="2" t="n">
        <v>46058</v>
      </c>
      <c r="I10" t="inlineStr">
        <is>
          <t>**Full Stack AI Engineer – Healthcare** 
**Location:** Remote with limited travel  
**Job Type:** Full\-time  
**Experience Level:** Mid\+
**Overview** 
We’re looking for a talented and detail\-oriented full stack engineer with strong experience in AI and web development. You'll work closely with and be the bridge between the product management team and clients to build AI assisted healthcare solutions.
**Responsibilities**
· Integrate AI services (LLMs, OCR, document processing, STT \&amp; TTS, or classification systems) into new and existing application architectures
· Adjust, refine, and version AI prompts and workflows to improve accuracy, reliability, and real\-world performance in production systems
· Develop high\-quality, reusable UI components using modern JavaScript frameworks
· Collaborate with designers, peers, and product management to deliver consistent, elegant experiences
· Thoroughly test and debug code, participate in code reviews, provide documentation, and ensure systems meet healthcare\-grade requirements
**Requirements**
· At least 3–6\+ years of experience as a full\-stack engineer
· Hands\-on experience integrating AI or ML services into applications, including prompt design and iteration for LLM\-based systems
· Strong proficiency with Node.js, Express, etc and building RESTful and event\-driven backend services
· Experience with modern web development (HTML, CSS, JavaScript, and at least one modern frontend framework or jQuery\-based production stacks)
· Comfort working across multiple codebases and projects simultaneously
· Familiarity with databases (SQL and/or NoSQL) and data modeling for real\-world applications
· Attention to detail and strong testing experience
**Nice to Have**
· Familiarity with automated, testing frameworks (e.g., Jest, Cypress)
· Knowledge of authentication/authorization patterns (JWT, role\-based access control)
· Experience with monitoring, logging, and production debugging
**What We Offer**
**About Us**
AGIS is a cutting\-edge, rapidly growing artificial intelligence company delivering proven, real\-world AI solutions across healthcare, gaming, retail, government, and education. We partner with forward\-thinking organizations to deploy intelligent systems that drive efficiency, insight, and measurable impact. At AGIS, you will work alongside a highly technical, execution\-focused team in a fast\-paced environment where ownership, initiative, and results matter. If you want to help shape the future of applied AI, this role offers a unique opportunity to grow with a company at the forefront of the industry.
**You’ll Experience:**
· Competitive salary \+ compensation structure
· Flexible working hours and with remote work options
· Opportunity to grow within a fast\-growing scale\-up
**How to Apply**
To ensure all applications are reviewed consistently, **applications must be submitted through our website**. Visit: https://www.agis.ai/jobs
Pay: $101,767\.41 \- $125,000\.00 per year
Benefits:
* 401(k) matching
* Health insurance
* Paid time off
Work Location: Remote</t>
        </is>
      </c>
    </row>
    <row r="11">
      <c r="A11" t="inlineStr">
        <is>
          <t>in-c8ec7b493e0fcc84</t>
        </is>
      </c>
      <c r="B11" t="inlineStr">
        <is>
          <t>AI/ML Engineer</t>
        </is>
      </c>
      <c r="C11" t="inlineStr">
        <is>
          <t>Contrast Security</t>
        </is>
      </c>
      <c r="D11" t="inlineStr">
        <is>
          <t>indeed</t>
        </is>
      </c>
      <c r="E11" t="inlineStr"/>
      <c r="F11" t="inlineStr"/>
      <c r="G11" t="inlineStr">
        <is>
          <t>Baltimore, MD, US</t>
        </is>
      </c>
      <c r="H11" s="2" t="n">
        <v>46057</v>
      </c>
      <c r="I11" t="inlineStr">
        <is>
          <t>At Contrast Security, we’re redefining how organizations protect their software at the speed of modern development. With industry\-leading Application Detection and Response (ADR), we give teams the power to detect, stop and fix real threats in real time. If you're passionate about building smarter, faster, more effective security, you’ll fit right in.
We’re looking for sharp minds, fearless builders, and problem\-solvers who thrive on turning complex challenges into innovative solutions.
Are you passionate about using AI and machine learning to revolutionize cybersecurity? Do you want to be part of a team that's building the next generation of intelligent application security solutions using both traditional ML models and modern AI systems? If so, we invite you to join Contrast Security as an AI/ML Engineer.
At Contrast Security, we are at the forefront of application security innovation. Our AI/ML team is developing cutting\-edge solutions like SmartFix (automated vulnerability remediation), intelligent vulnerability analysis, and next\-generation security tools that leverage the power of large language models and advanced machine learning. As an AI/ML Engineer, you'll play a crucial role in building and scaling these intelligent systems that protect software worldwide.
This is a **mid\-level** position perfect for a highly skilled and creative engineer who wants to make a significant impact in the intersection of AI and cybersecurity. We value both traditional ML expertise and modern AI application development skills \- ideally both, but strong experience in either domain is valuable.
What You'll Do (Responsibilities)
* **Core Model \&amp; System Development:** Design, build, and deploy production\-grade AI/ML systems to solve complex security problems, from traditional vulnerability detection models to LLM\-powered code analysis and remediation agents.
* **Generative AI Innovation:** Design and implement advanced prompt engineering strategies and build complex, multi\-step agentic workflows to power our intelligent features.
* **MLOps \&amp; Infrastructure:** Build and optimize the data pipelines, training workflows, and serving infrastructure that form the backbone of our AI platform.
* **Collaboration \&amp; Impact:** Partner closely with engineering teams and security researchers to integrate AI/ML models into the Contrast platform and solve real\-world customer problems.
* **Mentorship \&amp; Growth:** Contribute to our engineering culture by participating in code reviews, mentoring team members, and staying current with the latest research in AI and cybersecurity.
What You'll Bring (Qualifications)
**Required Qualifications:**
* 4\+ years of professional software engineering experience building and deploying production systems.
* Expertise in **Python** and common AI/ML frameworks.
* Proficiency in **Java** for building and maintaining production\-grade backend services.
* Demonstrable experience in **one or both** of the following areas:
	+ **A) Machine Learning:** Hands\-on experience building, training, and deploying ML models in production using frameworks like TensorFlow, PyTorch, or scikit\-learn.
	+ **B) Generative AI:** Experience developing applications using Large Language Models (LLMs), including prompt engineering, RAG systems, or agentic frameworks.
* Experience deploying applications in a cloud environment (e.g., AWS, GCP, Azure).
* A bachelor's degree in Computer Science, a related technical field, or equivalent practical experience.
**Preferred Qualifications:**
* A strong understanding of application security concepts and vulnerability types.
* Experience with MLOps tools and practices (e.g., Docker, Kubernetes, CI/CD).
* Experience using AI coding assistants (e.g., GitHub Copilot, Claude Code) as part of your professional workflow.
We're transforming the way the world secures software. If you're ready to make a real impact, thrive in a fast\-paced environment, and grow alongside a team of passionate professionals, we’d love to hear from you.
Apply today and help us shape the future of application security.</t>
        </is>
      </c>
    </row>
    <row r="12">
      <c r="A12" t="inlineStr">
        <is>
          <t>in-552aa3ad6447cfdd</t>
        </is>
      </c>
      <c r="B12" t="inlineStr">
        <is>
          <t>Applied AI Engineer-Associate</t>
        </is>
      </c>
      <c r="C12" t="inlineStr">
        <is>
          <t>JPMorganChase</t>
        </is>
      </c>
      <c r="D12" t="inlineStr">
        <is>
          <t>indeed</t>
        </is>
      </c>
      <c r="E12" t="inlineStr"/>
      <c r="F12" t="inlineStr"/>
      <c r="G12" t="inlineStr">
        <is>
          <t>Wilmington, DE, US</t>
        </is>
      </c>
      <c r="H12" s="2" t="n">
        <v>46057</v>
      </c>
      <c r="I12" t="inlineStr">
        <is>
          <t>**JOB DESCRIPTION**  
As Applied AI Engineer\-Associate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1\+ years applied AI experience
* Proven track record of building and scaling software and or machine learning platforms in high\-growth or enterprise environments
* 3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3">
      <c r="A13" t="inlineStr">
        <is>
          <t>in-5748c0aa272b72e5</t>
        </is>
      </c>
      <c r="B13" t="inlineStr">
        <is>
          <t>AI/ML Engineer</t>
        </is>
      </c>
      <c r="C13" t="inlineStr">
        <is>
          <t>Dhara Consulting Group</t>
        </is>
      </c>
      <c r="D13" t="inlineStr">
        <is>
          <t>indeed</t>
        </is>
      </c>
      <c r="E13" t="inlineStr"/>
      <c r="F13" t="inlineStr"/>
      <c r="G13" t="inlineStr">
        <is>
          <t>Fairborn, OH, US</t>
        </is>
      </c>
      <c r="H13" s="2" t="n">
        <v>46057</v>
      </c>
      <c r="I13" t="inlineStr">
        <is>
          <t>Posted today
Top Secret/SCI
$118,000 \- $125,000
Unspecified
Fairborn, OH (On\-Site/Office)**Riverside Overview**  
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to support existing contracts to prototype and develop automation solutions to NASIC's most difficult Scientific \&amp; Technical Intelligence problems. As a highly valued and sought\-after Riverside Research employee, you will be part of a highly skilled and integrated team that analyzes intelligence data to discover opportunities for automated solutions.  
**Responsibilities**  
AI/ML Algorithm R\&amp;D  
* Develop innovative machine learning and computer vision solutions to analyze and exploit large, complex datasets from remote sensing phenomenology
* Develop algorithms and associated software tools using Python and associated machine learning libraries (PyTorch, TensorFlow)
* Train AI/ML models and tune their hyperparameters for a given dataset and algorithm objectives
* Provide solutions for data collection and data linting that enable rapid, automated curation of training data
* Keep up with the SoTA practices for AI/ML
Software development, documentation, and coding best practices:  
* Adhere to teams' standards for reviewing source code, unit\-testing, source code control, and documentation practices
* Utilize Python PEP8 standards
Beneficial FPGA experience  
* Design, implement, and optimize FPGA logic using AMD/Xilinx toolchains (Vivado, Vitis, HLS) development in VHDL/Verilog
* Integrate FPGA designs into larger systems, ensuring robust verification, documentation, and deployment across multiple platforms (Zynq/Zynq UltraScale\+, Versal, or custom boards)
**Qualifications**  
Required Qualifications:  
* Ability to obtain TS/SCI clearance
* Bachelor's Degree in either Electrical Engineering, Mathematics, Statistics, Physics, Computer Science, or related field of study
* Experience with AI/ML, software R\&amp;D, or related experience
* Proficiency in Python\-based AI/ML model development
* Awareness of version control, branches, merge conflict resolution, and git in general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 Pursuing advanced degree (MS/PhD) in Data Science, Mathematics, Statistics, Computer Science, a Physical Science or Engineering is strongly desired
* 1\+ years' experience with AI/ML, software R\&amp;D, or related experience
* Experience with DoD intelligence production processes and workflows
* Experience in radar signal processing analysis, overhead imagery analysis, orbital mechanics, and/or electronic warfare data analysis
* Experience using data visualization tools and libraries in Python
* Visualizations/Web Development Skills (e.g., Tableau, MEAN stack \- MongoDB, ExpressJS, AngularJS, NodeJS)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 Familiarity in differences of supervised learning vs. unsupervised learning techniques
**Global Comp**  
$118,000 \- $125,000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law.**GROUP ID:** 10184231**R****Recruiter**
**APPLY NOW**</t>
        </is>
      </c>
    </row>
    <row r="14">
      <c r="A14" t="inlineStr">
        <is>
          <t>in-ae64c0cc86727cd3</t>
        </is>
      </c>
      <c r="B14" t="inlineStr">
        <is>
          <t>Sr Machine Learning Engineer</t>
        </is>
      </c>
      <c r="C14" t="inlineStr">
        <is>
          <t>Capital One</t>
        </is>
      </c>
      <c r="D14" t="inlineStr">
        <is>
          <t>indeed</t>
        </is>
      </c>
      <c r="E14" t="inlineStr"/>
      <c r="F14" t="inlineStr"/>
      <c r="G14" t="inlineStr">
        <is>
          <t>San Francisco, CA, US</t>
        </is>
      </c>
      <c r="H14" s="2" t="n">
        <v>46056</v>
      </c>
      <c r="I14" t="inlineStr">
        <is>
          <t>Sr Machine Learning Engineer**As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 $176,500 \- $201,400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
      <c r="A15" t="inlineStr">
        <is>
          <t>in-33466b805d9e09d6</t>
        </is>
      </c>
      <c r="B15" t="inlineStr">
        <is>
          <t>Machine Learning Engineer II</t>
        </is>
      </c>
      <c r="C15" t="inlineStr">
        <is>
          <t>Microsoft</t>
        </is>
      </c>
      <c r="D15" t="inlineStr">
        <is>
          <t>indeed</t>
        </is>
      </c>
      <c r="E15" t="inlineStr"/>
      <c r="F15" t="inlineStr"/>
      <c r="G15" t="inlineStr">
        <is>
          <t>Redmond, WA, US</t>
        </is>
      </c>
      <c r="H15" s="2" t="n">
        <v>46054</v>
      </c>
      <c r="I15" t="inlineStr">
        <is>
          <t>**Overview**  
Microsoft is pioneering the future of collaborative intelligence through AI\-native agents that transform how people work together (e.g., through Microsoft Teams). As part of our applied research initiative, we are reimagining the foundations of teamwork—making collaboration more intuitive, productive, and adaptive across diverse modalities and contexts. We are seeking a **Machine Learning Engineer II** with deep expertise in large\-scale model deployment, production\-grade systems, and engineering excellence.
As a **Machine Learning Engineer II**, you will work alongside leading scientists to build and optimize infrastructure for frontier models—including large language models (LLM), small language models (SLM), and multimodal systems—leveraging both proprietary and open\-source frameworks. Your responsibilities will span the full engineering lifecycle: from model training and serving to monitoring and continuous deployment, with a focus on reliability, performance, and scalability in real\-world environments.
We value startup\-style efficiency and practical problem\-solving. We are seeking a curious, adaptable problem\-solver who thrives on continuous learning, embraces changing priorities, and is motivated by creating meaningful impact. Candidates must be self\-driven, able to write production\-grade code and debug complex distributed systems, understand how to best leverage extensive graphics processing unit (GPU) resources, document engineering decisions, and demonstrate a track record in shipping ML systems at scale. The ability to quickly translate ideas into working code for rapid experimentation is a plus. You may include information about any individual who can serve as your referral in your application.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Research and develop an understanding of the state\-of\-the\-art tools, technologies, and methods being used in the research community and product groups.
* Advance research agenda through one or more projects, yielding new algorithms, prototypes, theories, tools, methods, or collections of data.
* Drive the team's strategic vision and align it with the overall company objectives.
* Collaborate with stakeholders to define project goals, success criteria, and deliverables.
**Qualifications** **Required Qualifications:**
* Bachelor's Degree in Computer Science or related technical field AND 2\+ years technical engineering experience with building ML infra and deploying ML models for scaled production services (including in research settings) and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3\+ years experience with Python and relevant ML libraries (e.g., PyTorch).
* 3\+ years experience with building ML infrastructure and developing and deploying ML models.
* 3\+ years experience in coding and design, specifically in the development of AI models for scaled production services.
* 3\+ years experience in shipping applied research to production, highlighting a track record of combining coding skills with advanced expertise in AI model development.
* Publication record in the areas of Large Language Models, Machine Learning, or Natural Language Processing.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
      <c r="A16" t="inlineStr">
        <is>
          <t>in-f90aefc196075192</t>
        </is>
      </c>
      <c r="B16" t="inlineStr">
        <is>
          <t>AI/ML Engineer &amp; Data Scientist</t>
        </is>
      </c>
      <c r="C16" t="inlineStr">
        <is>
          <t>Azulo</t>
        </is>
      </c>
      <c r="D16" t="inlineStr">
        <is>
          <t>indeed</t>
        </is>
      </c>
      <c r="E16" t="inlineStr"/>
      <c r="F16" t="inlineStr"/>
      <c r="G16" t="inlineStr">
        <is>
          <t>Washington, DC, US</t>
        </is>
      </c>
      <c r="H16" s="2" t="n">
        <v>46058</v>
      </c>
      <c r="I16" t="inlineStr">
        <is>
          <t>We’re seeking an **AI/ML Engineer \&amp; Data Scientist** to build ML solutions, develop scalable data pipelines, and improve information discovery and decision‑making. You’ll work with structured and unstructured data, support digitization/cataloging workflows, and contribute to intelligent search and automation capabilities.
This position is contingent upon contract award and requires U.S. citizenship to be eligible for a Public Trust. Direct hire only.
**What You’ll Do**
* Develop data models and analytics that generate actionable insights.
* Build and refine ML/NLP models (document understanding, classification, ranking, embeddings, search relevance).
* Create data ingestion/transformation pipelines for structured and unstructured content.
* Use cloud services for storage, indexing, model deployment, and scalable processing.
* Apply workflow‑simulation and modeling techniques to optimize operations.
* Develop AI‑enabled tools (chatbots, wizards) including prompt orchestration and human‑in‑the‑loop support.
**What You Need**
* Bachelor’s degree in Data Science, Computer Science, or related field (Master’s preferred).
* 3\+ years with Python, ML frameworks (TensorFlow, PyTorch, scikit‑learn), and cloud platforms (Azure or AWS).
* Experience with Azure AI Services and LLMs.
* Background in NLP and search/retrieval strategies.
* Familiarity with MLOps (deployment, monitoring, CI/CD).
* Knowledge of ML/data security and federal data privacy requirements.
* **U.S. citizenship required.**
**About Azulo**
Azulo accelerates mission success for government agencies through innovative, data\-driven technology solutions. As a trusted partner to federal, state, and local governments, we deliver customized strategies that transform operations and maximize results. Our core expertise includes advanced data analytics, AI/ML, enterprise IT modernization, and strategic management consulting.
Pay: $90,000\.00 \- $120,000\.00 per year
Benefits:
* 401(k)
* Dental insurance
* Health insurance
* Paid time off
* Vision insurance
Application Question(s):
* This job requires US citizenship. Do you meet this requirement?
* How many years of experience do you have in developing cognitive search solutions?
Education:
* Bachelor's (Required)
Experience:
* AI/ML development: 3 years (Required)
* natural language processing (NLP): 2 years (Required)
Work Location: In person</t>
        </is>
      </c>
    </row>
    <row r="17">
      <c r="A17" t="inlineStr">
        <is>
          <t>in-d9a778a3f56295cf</t>
        </is>
      </c>
      <c r="B17" t="inlineStr">
        <is>
          <t>GCP AI Engineer</t>
        </is>
      </c>
      <c r="C17" t="inlineStr">
        <is>
          <t>CG-VAK Softwares USA Inc</t>
        </is>
      </c>
      <c r="D17" t="inlineStr">
        <is>
          <t>indeed</t>
        </is>
      </c>
      <c r="E17" t="inlineStr"/>
      <c r="F17" t="inlineStr"/>
      <c r="G17" t="inlineStr">
        <is>
          <t>Concord, NH, US</t>
        </is>
      </c>
      <c r="H17" s="2" t="n">
        <v>46058</v>
      </c>
      <c r="I17" t="inlineStr">
        <is>
          <t>**Job Summary**  
We are seeking a highly skilled GCP AI Engineer to join our innovative team. The ideal candidate will be responsible for designing, developing, and deploying advanced machine learning models and AI solutions leveraging Google Cloud Platform (GCP). This role involves working with big data technologies, natural language processing, and data mining techniques to drive insights and support strategic decision\-making. The GCP AI Engineer will collaborate with cross\-functional teams to implement scalable AI frameworks, optimize data workflows, and ensure robust model deployment in cloud environments. Candidates should possess a strong background in machine learning frameworks, data engineering, and cloud\-based solutions to excel in this dynamic role.
**Responsibilities**
* Design, develop, and implement AI models utilizing frameworks such as TensorFlow and other machine learning tools.
* Manage end\-to\-end model training, validation, and deployment processes on GCP infrastructure.
* Develop scalable ETL pipelines using Talend, Bash (Unix shell), and other data integration tools to process large datasets.
* Optimize database design and manage data storage solutions using SQL, Hadoop, Spark, and Big Data technologies.
* Perform data mining and natural language processing tasks to extract meaningful insights from unstructured data sources like linked data and social media feeds.
* Collaborate with data scientists and software engineers to integrate AI models into production environments.
* Utilize analytics platforms such as Looker for visualization and reporting of model performance metrics.
* Implement best practices for model deployment, monitoring, and maintenance ensuring high availability and scalability.
* Stay updated on emerging trends in quantum engineering, machine learning frameworks, and AI research to continuously improve solutions.
**Skills**
* Proficiency in cloud platforms such as AWS and Google Cloud Platform (GCP).
* Extensive experience with machine learning frameworks including TensorFlow, Spark MLlib, and other relevant tools.
* Strong programming skills in Python, Java, C, VBA, Bash (Unix shell), with additional knowledge of R.
* Expertise in natural language processing (NLP), unsupervised learning techniques, data mining, and analytics.
* Solid understanding of database design principles along with SQL proficiency; experience with SAS is a plus.
* Hands\-on experience with big data tools such as Hadoop, Spark, Talend, and Looker for analytics and visualization purposes.
* Knowledge of model training workflows, deployment strategies, and model management best practices.
* Familiarity with linked data concepts and data integration techniques like ETL processes using Talend or similar tools.
* Ability to work effectively in a collaborative environment while managing multiple projects simultaneously. This position offers an exciting opportunity for professionals passionate about leveraging cutting\-edge AI technologies to solve complex problems across diverse industries.
Job Types: Full\-time, Contract
Pay: $80,000\.00 \- $100,000\.00 per year
Work Location: In person</t>
        </is>
      </c>
    </row>
    <row r="18">
      <c r="A18" t="inlineStr">
        <is>
          <t>in-9e4016501a9e2def</t>
        </is>
      </c>
      <c r="B18" t="inlineStr">
        <is>
          <t>Director, Machine Learning Engineering</t>
        </is>
      </c>
      <c r="C18" t="inlineStr">
        <is>
          <t>PayPal</t>
        </is>
      </c>
      <c r="D18" t="inlineStr">
        <is>
          <t>indeed</t>
        </is>
      </c>
      <c r="E18" t="inlineStr"/>
      <c r="F18" t="inlineStr"/>
      <c r="G18" t="inlineStr">
        <is>
          <t>New York, NY, US</t>
        </is>
      </c>
      <c r="H18" s="2" t="n">
        <v>46057</v>
      </c>
      <c r="I1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will drive the strategic vision and development of cutting\-edge machine learning models and algorithms to solve complex problems. You will work closely with data scientists, software engineers, and product teams to enhance services through innovative AI/ML solutions. Your role will involve building scalable ML pipelines, ensuring data quality, and deploying models into production environments to drive business insights and improve customer experiences.**Job Description:**
**Essential Responsibilities:**
* Define and drive the strategic vision for machine learning initiatives across multiple teams or projects.
* Lead the development and optimization of state\-of\-the\-art machine learning models.
* Oversee the preprocessing and analysis of large datasets.
* Deploy and maintain ML solutions in production environments.
* Collaborate with cross\-functional teams to integrate ML models into products and services.
* Monitor and evaluate the performance of deployed models, making necessary adjustments.
* Mentor and guide junior engineers and data scientists.
* Publish research findings and contribute to industry discussions.
* Lead the development of new methodologies and frameworks for ML applications.
**Expected Qualifications:**
* 10\+ years relevant experience and a Bachelor’s degree OR Any equivalent combination of education and experience.
* 2 years of experience leading others
**Additional Responsibilities \&amp; Preferred Qualifications****:**
**Subsidiary:**
PayPal**Travel Percent:**
0* 
The base pay for this role will depend on where you work and the relevant experience and expertise you bring. The expected range of pay for this role by location is:**Primary Location \| Pay Range:**
New York City, New York \| ($242,000\.00 \- $359,150\.00 Annually)**Additional Location(s) \| Pay Range:**
San Jose, California \| ($242,000\.00 \- $359,150\.00 Annually)  
Chicago, Illinois \| ($220,000\.00 \- $326,700\.00 Annually)  
Scottsdale, Arizona \| ($209,000\.00 \- $310,200\.00 Annually)  
Additional compensation for this role may include an annual performance bonus, equity, or other incentive compensation, as applicable. This role is also eligible for a range of benefits which may include, medical, dental, vision, life and disability insurance, parental and family leave, 401(k) savings plan, paid time off, and other benefits. For more information visit https://www.paypalbenefits.com.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t>
        </is>
      </c>
    </row>
    <row r="19">
      <c r="A19" t="inlineStr">
        <is>
          <t>in-99a4c22994ffff42</t>
        </is>
      </c>
      <c r="B19" t="inlineStr">
        <is>
          <t>AIML - Staff Machine Learning Engineer Answers, Knowledge &amp; Information (AKI)</t>
        </is>
      </c>
      <c r="C19" t="inlineStr">
        <is>
          <t>Apple</t>
        </is>
      </c>
      <c r="D19" t="inlineStr">
        <is>
          <t>indeed</t>
        </is>
      </c>
      <c r="E19" t="inlineStr"/>
      <c r="F19" t="inlineStr"/>
      <c r="G19" t="inlineStr">
        <is>
          <t>Santa Clara, CA, US</t>
        </is>
      </c>
      <c r="H19" s="2" t="n">
        <v>46057</v>
      </c>
      <c r="I19" t="inlineStr">
        <is>
          <t>Siri helps hundreds of millions of people find the information they are looking for. A critical part of that mission is helping them quickly find and discover local businesses, places of interest, and addresses. Users rely on us for relevant and easy access to local information like finding a favorite or romantic restaurant, business hours, nearby coffee shop addresses, and directions to prominent locations.  
The Geo domain team is redefining how hundreds of millions of people use their devices to navigate and explore the physical world around them. We are part of a wider effort to power search across a variety of Apple products \- including Siri, Spotlight, Safari, Messages, and more. As part of our team, you will be using innovative machine learning techniques and LLMs in order to understand queries, rank documents, and find useful answers to users’ questions.  
We are looking for an experienced ML engineer with hands\-on experience in search and recommendation and deploying powerful machine learning models at scale. You will join a team that combines strong technical skills, product vision, and a love of all things local to bring together the pieces needed to deliver an extraordinary Maps experience in Siri and Spotlight.  
**Description**  
As a member of our fast\-paced group, you’ll have the unique and rewarding opportunity to shape upcoming products from Apple. Our team includes a diversity of backgrounds from applied scientists with a focus in NLP to experienced distributed systems. We are looking for candidates with both applied machine learning experience and strong engineering skills.  
The role will have the following responsibilities:  
* Own the entire ML development cycle from opportunity analysis, exploration, and prototyping to data collection, feature engineering, training, evaluation, and deployment in production.
* Lead the development of machine learning models to improve search quality across retrieval, ranking, reranking, and query understanding.
* Improve search quality and experience by leveraging techniques such as learning\-to\-rank, embedding models, contrastive learning, multi\-task learning, and reinforcement learning where appropriate.
* Mentor junior engineers and provide technical leadership in architecting ML systems and designing ML models.
* Understand product requirements, then translate them into modeling tasks and engineering tasks.
**Preferred Qualifications**  
Advanced diploma in AI, Machine Learning, Computer Science, or Mathematics  
**Minimum Qualifications**  
You have 8\+ years of experience in information retrieval, natural language processing, machine learning, or deep learning.  
You have a deep understanding of machine learning theory, including supervised learning, ranking models, embeddings, representation learning, and evaluation metrics.  
You have proven ability to apply advanced ML techniques to improve search relevance and retrieval quality at scale.  
You are comfortable leading experimentation, offline evaluation, and online A/B testing for iterative improvements in search quality.  
You have excellent interpersonal skills, the ability to work independently as well as as part of a team.  
You have a Master’s Degree in Computer Science or equivalent experience in machine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0">
      <c r="A20" t="inlineStr">
        <is>
          <t>in-2d498ac9f7c12491</t>
        </is>
      </c>
      <c r="B20" t="inlineStr">
        <is>
          <t>AIML - Machine Learning Engineer, Data and ML Innovation</t>
        </is>
      </c>
      <c r="C20" t="inlineStr">
        <is>
          <t>Apple</t>
        </is>
      </c>
      <c r="D20" t="inlineStr">
        <is>
          <t>indeed</t>
        </is>
      </c>
      <c r="E20" t="inlineStr"/>
      <c r="F20" t="inlineStr"/>
      <c r="G20" t="inlineStr">
        <is>
          <t>Cupertino, CA, US</t>
        </is>
      </c>
      <c r="H20" s="2" t="n">
        <v>46057</v>
      </c>
      <c r="I20" t="inlineStr">
        <is>
          <t>Would you like to be a part of Apple’s AI and Machine Learning org, where we encourage and create groundbreaking technology for multi\-modal models with strong agent and reasoning capabilities?  
The Data and Machine Learning Innovation (DMLI) team is seeking a passionate Machine Learning Engineer to explore new methods, challenge existing metrics and protocols, and develop new insightful practices for real\-world ML challenges.  
As a team member, you will work on some of the most ambitious technical challenges in the field. Your role will involve collaborating closely with our team of machine learning researchers, engineers, and data scientists. Together, you will spearhead groundbreaking research initiatives and develop transformative products designed to build for billions of users worldwide.  
**Description**  
As a Machine Learning (ML) Engineer, you will be entrusted with the critical role of innovating and applying innovative research in foundation models to with a particular focus on audio data. This includes working across the full ML pipeline\-from pre\-training on large\-scale unlabeled audio corpora to post\-training evaluation and fine\-tuning with task\-specific datasets.  
The solutions you develop will have a significant impact on future Apple software and hardware products, as well as the broader ML ecosystem. ","responsibilities":"Your responsibilities will extend to designing and developing a comprehensive multi\-modal data generation and curation framework for foundation models at Apple.  
You will also contribute to building robust model evaluation pipelines that support continuous improvement and performance assessment.  
In addition, the role involves analyzing multi\-modal data to better understand its influence on model behavior and outcomes. Furthermore, you will have the opportunity to showcase your groundbreaking research work by publishing and presenting at premier academic venues.  
YOUR WORK MAY SPAN VARIOUS APPLICATIONS, INCLUDING:  
Designing self\-supervised and semi\-supervised representation learning pipelines, and fine\-tuning strategies for tasks like speech recognition and speaker identification.  
Applying data selection techniques such as novelty detection and active learning across multi modalities to improve data efficiency and reduce distributional gaps.  
Modeling data distributions using ML/statistical methods to uncover patterns, reduce redundancy, and handle out\-of\-distribution challenges.  
Rapidly learning new methods and domains as needed, and guiding product teams in selecting effective ML solutions.  
**Preferred Qualifications**  
Deep understanding of multi\-modal foundation models.  
Staying up\-to\-date with emerging trends in generative AI and multi\-modal LLMs.  
The ability to formulate machine learning problems, design, experiment, implement, and communicate solutions effectively with multi\-functional teams.  
Demonstrated publication records in relevant conferences (e.g., CVPR, ICCV, ECCV, NeurIPS, ICML, ICLR, etc.).  
Track records of adopting ML to solve cross\-disciplinary problems.  
**Minimum Qualifications**  
Deep technical skills in one or more machine learning areas, such as computer vision, audio, combinatorial optimization, causality analysis, natural language processing, and deep learning.  
Strong software development skills with proficiency in Python; hands\-on experience working with deep learning toolkits like PyTorch, TensorFlow, or JAX (one of).  
5\+ years of experience developing and evaluating ML applications, demonstrating a passion for understanding and improving model/data quality.‘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1">
      <c r="A21" t="inlineStr">
        <is>
          <t>in-34e0e62abce8f833</t>
        </is>
      </c>
      <c r="B21" t="inlineStr">
        <is>
          <t>AIML - Machine Learning Engineer, Data and ML Innovation</t>
        </is>
      </c>
      <c r="C21" t="inlineStr">
        <is>
          <t>Apple</t>
        </is>
      </c>
      <c r="D21" t="inlineStr">
        <is>
          <t>indeed</t>
        </is>
      </c>
      <c r="E21" t="inlineStr"/>
      <c r="F21" t="inlineStr"/>
      <c r="G21" t="inlineStr">
        <is>
          <t>Cupertino, CA, US</t>
        </is>
      </c>
      <c r="H21" s="2" t="n">
        <v>46057</v>
      </c>
      <c r="I21" t="inlineStr">
        <is>
          <t>Would you like to be a part of Apple’s AI and Machine Learning org, where we encourage and create groundbreaking technology for multi\-modal models with strong agent and reasoning capabilities?  
The Data and Machine Learning Innovation (DMLI) team is seeking a passionate Machine Learning Engineer to explore new methods, challenge existing metrics and protocols, and develop new insightful practices for real\-world ML challenges.  
As a team member, you will work on some of the most ambitious technical challenges in the field. Your role will involve collaborating closely with our team of machine learning researchers, engineers, and data scientists. Together, you will spearhead groundbreaking research initiatives and develop transformative products designed to build for billions of users worldwide.  
**Description**  
As a Machine Learning (ML) Engineer, you will be entrusted with the critical role of innovating and applying innovative research in foundation models to with a particular focus on audio data. This includes working across the full ML pipeline\-from pre\-training on large\-scale unlabeled audio corpora to post\-training evaluation and fine\-tuning with task\-specific datasets.  
The solutions you develop will have a significant impact on future Apple software and hardware products, as well as the broader ML ecosystem. ","responsibilities":"Your responsibilities will extend to designing and developing a comprehensive multi\-modal data generation and curation framework for foundation models at Apple.  
You will also contribute to building robust model evaluation pipelines that support continuous improvement and performance assessment.  
In addition, the role involves analyzing multi\-modal data to better understand its influence on model behavior and outcomes. Furthermore, you will have the opportunity to showcase your groundbreaking research work by publishing and presenting at premier academic venues.  
YOUR WORK MAY SPAN VARIOUS APPLICATIONS, INCLUDING:  
Designing self\-supervised and semi\-supervised representation learning pipelines, and fine\-tuning strategies for tasks like speech recognition and speaker identification.  
Applying data selection techniques such as novelty detection and active learning across multi modalities to improve data efficiency and reduce distributional gaps.  
Modeling data distributions using ML/statistical methods to uncover patterns, reduce redundancy, and handle out\-of\-distribution challenges.  
Rapidly learning new methods and domains as needed, and guiding product teams in selecting effective ML solutions.  
**Preferred Qualifications**  
Deep understanding of multi\-modal foundation models.  
Staying up\-to\-date with emerging trends in generative AI and multi\-modal LLMs.  
The ability to formulate machine learning problems, design, experiment, implement, and communicate solutions effectively with multi\-functional teams.  
Demonstrated publication records in relevant conferences (e.g., CVPR, ICCV, ECCV, NeurIPS, ICML, ICLR, etc.).  
Track records of adopting ML to solve cross\-disciplinary problems.  
**Minimum Qualifications**  
Deep technical skills in one or more machine learning areas, such as computer vision, audio, combinatorial optimization, causality analysis, natural language processing, and deep learning.  
Strong software development skills with proficiency in Python; hands\-on experience working with deep learning toolkits like PyTorch, TensorFlow, or JAX (one of).  
5\+ years of experience developing and evaluating ML applications, demonstrating a passion for understanding and improving model/data quality.‘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
      <c r="A22" t="inlineStr">
        <is>
          <t>in-59aa4822356c81b3</t>
        </is>
      </c>
      <c r="B22" t="inlineStr">
        <is>
          <t>Senior AI ML Engineer Remote Nationwide or Hybrid in NJ or MN or DC</t>
        </is>
      </c>
      <c r="C22" t="inlineStr">
        <is>
          <t>Optum</t>
        </is>
      </c>
      <c r="D22" t="inlineStr">
        <is>
          <t>indeed</t>
        </is>
      </c>
      <c r="E22" t="inlineStr"/>
      <c r="F22" t="inlineStr"/>
      <c r="G22" t="inlineStr">
        <is>
          <t>Basking Ridge, NJ, US</t>
        </is>
      </c>
      <c r="H22" s="2" t="n">
        <v>46057</v>
      </c>
      <c r="I2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Technology is UnitedHealth Group's enterprise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If you are located in NJ/MN/DC, you will have the flexibility to work remotely\* as you take on some tough challenges. This position follows a hybrid schedule with four in\-office days per week.
 **Primary Responsibilities:**
* Lead AI/ML adoption across the team, driving innovative use of both Generative AI and traditional ML techniques
* Design, develop, test, deploy, maintain, and continuously improve AI\-powered software solutions to meet customer and business needs
* Build responsible AI solutions and service components to support the Provider community, ensuring compliance with ethical and regulatory standards
* Develop new features leveraging AI/ML, including Generative AI models, predictive analytics, and automation capabilities
* Provide technical leadership for AI initiatives, including Chatbots and conversational AI solutions
* Partner with product management, architects, and engineering leadership to deliver creative, scalable AI solutions for healthcare challenges
* Drive alignment with enterprise AI strategies and ensure solutions meet business objectives and engineering best practices
* Accountable for high\-quality software deliverables and operational excellence
* Mentor and train team members on AI/ML technologies, frameworks, and responsible AI practices
* Collaborate with broader engineering teams to integrate AI into cloud modernization efforts and digital\-first initiatives
* Exercise independent judgment to prioritize, plan, and manage AI\-related activities and projects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8\+ years of software engineering experience
* 5\+ years of hands\-on experience building AI/ML solutions, including LLMs, Generative AI, and traditional ML models
* 5\+ years of experience hosting applications in cloud environments
* Solid experience with Chatbots, conversational AI, and NLP\-based solutions
* Solid knowledge of security, access controls, logging, monitoring, performance tuning, disaster recovery, and production operations
 **Preferred Qualifications:**
* 5\+ years of experience with Web and API development
* Healthcare experience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3">
      <c r="A23" t="inlineStr">
        <is>
          <t>in-572549b4311deaea</t>
        </is>
      </c>
      <c r="B23" t="inlineStr">
        <is>
          <t>Senior AI / ML Engineer (Automation &amp; Agentic AI)</t>
        </is>
      </c>
      <c r="C23" t="inlineStr">
        <is>
          <t>Spanidea Systems</t>
        </is>
      </c>
      <c r="D23" t="inlineStr">
        <is>
          <t>indeed</t>
        </is>
      </c>
      <c r="E23" t="inlineStr"/>
      <c r="F23" t="inlineStr"/>
      <c r="G23" t="inlineStr">
        <is>
          <t>Remote, US</t>
        </is>
      </c>
      <c r="H23" s="2" t="n">
        <v>46058</v>
      </c>
      <c r="I23" t="inlineStr">
        <is>
          <t>**Role: Senior AI / ML Engineer (Automation \&amp; Agentic AI)**
**Experience:** 12\+ years  
**Location:** USA (Remote / Anywhere in the US)
**Role Overview**
We are looking for a highly experienced **AI / ML Engineer** with a strong **data engineering and applied AI background** to lead automation initiatives across **code generation and test automation**. This role will work closely with core engineering teams to design, build, and scale **AI\-driven and agentic automation solutions** that improve developer productivity and software quality.
**Key Responsibilities**
* Lead and drive **AI\-powered automation** initiatives for **code generation, refactoring, and test automation**
* Design and implement **Agentic AI systems** using modern LLM frameworks and orchestration tools
* Collaborate with engineering teams to embed AI/ML solutions into existing development and CI/CD workflows
* Build, train, fine\-tune, and evaluate ML and LLM models using structured and unstructured data
* Apply advanced **data engineering and MLOps practices** to ensure scalable and reliable AI solutions
* Stay current with the **latest AI/ML, LLM, and Agentic AI advancements** and translate them into practical implementations
* Define best practices, architectures, and governance for AI\-driven automation
**Required Qualifications**
* 12\+ years of experience in **AI/ML engineering**, with a strong **data\-centric background**
* Deep expertise in **machine learning, deep learning, and LLM\-based systems**
* Hands\-on experience with **code generation, test automation, or developer productivity tools**
* Strong understanding of **Agentic AI concepts**, multi\-agent systems, and AI orchestration
* Proficiency in **Python** and modern ML frameworks (TensorFlow, PyTorch, etc.)
* Experience working with large datasets, data pipelines, and feature engineering
* Solid knowledge of **MLOps**, model deployment, and monitoring in production environments
* Ability to work cross\-functionally with senior engineering stakeholders
* Background in software engineering, DevOps, or CI/CD automation
* Experience implementing AI governance, security, and compliance best practices \#IT
Job Types: Full\-time, Contract
Pay: $60\.00 \- $80\.00 per hour
Benefits:
* Employee assistance program
* Health insurance
* Professional development assistance
* Referral program
Experience:
* AI/ML Engineering: 10 years (Required)
* Agentic AI: 3 years (Required)
* Networking Domain: 1 year (Preferred)
Work Location: Remote</t>
        </is>
      </c>
    </row>
    <row r="24">
      <c r="A24" t="inlineStr">
        <is>
          <t>in-4b0159c802b263ff</t>
        </is>
      </c>
      <c r="B24" t="inlineStr">
        <is>
          <t>AI Engineer (Full-time) — O₂ AI</t>
        </is>
      </c>
      <c r="C24" t="inlineStr">
        <is>
          <t>O2Tech, Inc</t>
        </is>
      </c>
      <c r="D24" t="inlineStr">
        <is>
          <t>indeed</t>
        </is>
      </c>
      <c r="E24" t="inlineStr"/>
      <c r="F24" t="inlineStr"/>
      <c r="G24" t="inlineStr">
        <is>
          <t>Remote, US</t>
        </is>
      </c>
      <c r="H24" s="2" t="n">
        <v>46058</v>
      </c>
      <c r="I24" t="inlineStr">
        <is>
          <t>**AI Engineer (Full\-time) — O₂ AI**
Just as Harvey is transforming the legal industry, **O₂ AI is building a Vertical AI Agent for the global semiconductor and electronics supply chain.**
**Company Website:**
We build deeply vertical AI Agents capable of handling high\-stakes, high\-complexity challenges in global manufacturing systems, transforming chaos into efficient, intelligent automated execution.
We are looking for a hands\-on **Full\-time Builder** to own product engineering end\-to\-end: delivering core features, improving system reliability, and continuously expanding applications and the AI workflows behind them.
**Why Join Us?Elite Founding Team**
Work alongside founders from Yale, UC Berkeley, Stanford, and MIT, who bring both world\-class academic foundations from top research labs and real\-world "battle scars" from industry frontlines. Gain continuous access to firsthand insights and perspectives from Silicon Valley's startup and technology frontier.
**Real Customers, Real Impact**
At O₂ AI, we provide you with direct opportunities to communicate with customers. You will interface directly with US clients and collaborate with Fortune 500 electronics and semiconductor companies, building production\-grade AI Agents that are truly deployed and operational.
**True 0 → 1 Ownership**
At O₂ AI, we create opportunities for you to deeply engage in product and engineering. You will participate in the complete process from problem definition and solution design to product launch and continuous iteration, gaining highly hands\-on practical experience and witnessing the real\-world impact of your work in customer business scenarios.
**Co\-creating Cutting\-edge AI with MIT**
O₂ AI collaborates deeply with MIT Media Lab to advance frontier AI research in real industrial scenarios, with opportunities to conduct joint research with the MIT team, publish papers, and translate research outcomes into production\-grade vertical AI Agents.
**What You'll Work On (Core Responsibilities)**
**End\-to\-end product and engineering development:** From requirement understanding → architecture design → implementation → deployment → iteration, lead the complete product lifecycle
**Build and optimize AI Agent / LLM workflows, including:**
* Context Engineering, RAG (Retrieval\-Augmented Generation)
* Tool / Function calling, security and risk controls
* Agent behavior evaluation, failure mode analysis and optimization
**Design and implement enterprise\-grade SaaS capabilities:**
* Authentication, role/permission systems
* Data model design and optimization
* Multi\-tenant architecture
* System scalability and performance optimization
**Backend systems and data layer construction:**
* REST API design and implementation
* SQL Schema design, index optimization
* Database performance tuning
* Caching strategies and implementation
**Frontend development and user experience:**
* Build modern UI with React \+ TypeScript
* Implement complex interactions and state management
* Optimize frontend performance and user experience
**Production environment operations and optimization:**
* Docker containerization deployment
* Cloud service configuration and management (AWS/GCP/Azure)
* CI/CD pipeline construction
* System monitoring, log analysis, and troubleshooting
**Technical decisions and architecture design:**
* Participate in technology selection and architectural decisions
* Code Review and technical standards development
* Technical debt management and refactoring
**Customer engagement and requirement understanding:**
* Directly communicate requirements with US customers
* Technical solution demos and explanations
* Collect feedback and iterate rapidly
**What We're Looking ForRequired Skills**
**Solid computer science foundation**
* Data structures and algorithms
* System design and architecture
* Networking and distributed systems basics
**Strong full\-stack engineering capabilities:**
* **Frontend:** React \+ TypeScript, modern frontend engineering practices
* **Backend:** Python / Node.js, able to build scalable services
* At least 2\-3 years of practical development experience (or equivalent capability)
**AI / LLM / Agent system understanding:**
* Deep understanding of LLM working principles and limitations
* Prompt Engineering and Context design
* RAG architecture design and implementation
* Multi\-step reasoning and Agent behavior design
**Database and data modeling:**
* SQL (PostgreSQL / MySQL)
* NoSQL (MongoDB / Redis)
* Schema design, query optimization
**DevOps and cloud services:**
* Docker / Kubernetes basics
* AWS / GCP / Azure cloud services
* CI/CD pipelines (GitHub Actions / GitLab CI)
**Excellent engineering discipline:**
* Code quality awareness, writing maintainable and testable code
* Git workflow, Code Review capabilities
* Documentation and technical communication skills
**Independent problem\-solving ability:**
* Able to independently analyze problems, design solutions, implement features
* Proactively seek best practices and optimization approaches
* Quickly learn new technologies and tools
**Good English communication skills:**
* Able to conduct technical communication with US customers
* Read English technical documentation fluently
**Strong Bonus Points**
**Production\-grade SaaS product experience**
* Fully participated in or led a SaaS product from 0 to 1
* Understand enterprise product complexities: security, permissions, multi\-tenancy, billing, etc.
**Real AI Agent building and deployment experience**
* Built and deployed complex AI Agents or LLM workflows
* Deep understanding of Agent behavior evaluation, failure modes, reliability assurance
**Rapid prototyping and product iteration capability**
* Able to build runnable prototypes in short timeframes (days) to validate ideas
* Quickly respond to customer feedback and iterate
**System architecture and performance optimization experience**
* Designed high\-concurrency, high\-availability systems
* Practical experience in performance analysis and optimization
**Open source contributions or technical influence**
* High\-quality projects or contributions on GitHub
* Technical blogs, talks, active in open source communities
**Deep understanding of Context Engineering**
* Prompt patterns, retrieval, Memory management
* Evaluation methods, failure and degradation scenarios
* MCP (Model Context Protocol) experience
**Familiar with mainstream AI development frameworks**
* OpenAI SDK / Anthropic SDK
* LangChain / LlamaIndex
* Or self\-built Agent framework experience
**Proficient in AI\-assisted development tools**
* Claude Code, Cursor, GitHub Copilot, etc.
* Know how to use them efficiently and responsibly
**What You'll Get**
**Competitive compensation and equity**
* Market\-rate salary
* Early employee equity incentives
**Rapid growth opportunities**
* Work directly with founding team
* Participate in core technical decisions
* Access cutting\-edge AI technology and real industrial scenarios
**Flexible work environment**
* Remote or Silicon Valley office
* Flexible working hours
* Support for technical conferences and learning
**Career development paths**
* Technical expert path: Deep dive into technical domains, become an AI Agent domain expert
* Management path: Opportunity to lead engineering teams as the team grows
* Product path: Deep involvement in product decisions, become technical product lead
**Work Location**
**Remote / Silicon Valley, California**
* Fully remote or Silicon Valley office both available
* Remote work requires significant overlap with US time zones
If you truly want to build products, write systems, and growIf you're curious and passionate about startups **Welcome!**
We're willing to work with you to turn ideas into impact and grow together!
**Resume submission:** estelle.zhang@o2tech.ai OR leo.chng@o2tech.ai
**(Please include: GitHub / portfolio / links to deployed systems)**
Job Type: Full\-time
Pay: From $70,000\.00 per year
Benefits:
* 401(k)
* Flexible schedule
* Health insurance
Work Location: Remote</t>
        </is>
      </c>
    </row>
    <row r="25">
      <c r="A25" t="inlineStr">
        <is>
          <t>in-4fcf5f9473a46c8b</t>
        </is>
      </c>
      <c r="B25" t="inlineStr">
        <is>
          <t>Senior Machine Learning Engineer - Matching, Apple Ads</t>
        </is>
      </c>
      <c r="C25" t="inlineStr">
        <is>
          <t>Apple</t>
        </is>
      </c>
      <c r="D25" t="inlineStr">
        <is>
          <t>indeed</t>
        </is>
      </c>
      <c r="E25" t="inlineStr"/>
      <c r="F25" t="inlineStr"/>
      <c r="G25" t="inlineStr">
        <is>
          <t>Cupertino, CA, US</t>
        </is>
      </c>
      <c r="H25" s="2" t="n">
        <v>46057</v>
      </c>
      <c r="I25"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You'll have the opportunity to develop models that improve our platform across the board, write production code to generate recommendations, work closely with business partners to help drive the development of new products as well as perform large scale and complex experiments to understand their effects. You'll drive strategic outcomes through substantial innovation in multiple fields by leading the development and application of advanced techniques and algorithms to improve our ad network.  
You've, or will develop a deep understanding of the ad network behavior, and will work with product management and business leadership to prioritize an innovation roadmap across multiple technical domains. You'll lead the conception, development, and delivery of state of the art capabilities that differentiate our products and are core to our business. You should have experience developing and implementing machine learning algorithms, ideally within the ads space. You'll have an excellent understanding of scalable architectures and thrive working in Agile environments. The ability to be a good team player under tight deadline constraints is key to success.  
**Description**  
Matching at Ads is a critical component of our Ads funnel and responsible for ensuring that we are retrieving relevant and engaging Ads for our users. We are building the next generation of our retrieval systems to sustain the growth of the business for the future. We are looking for a Machine Learning Engineer that will develop the algorithms for our retrieval system.  
In this role you will drive step\-change improvements in our outcomes, impact our platform revenue and quality of our ads, and formulate approaches to greenfield product opportunities. You will own end\-to\-end the ideation, development, testing and productization of these algorithms. You will work with complex problems in the ads retrieval space, provide solution that adhere to Apple’s privacy principles, review and contribute to state of the art in research, work with a variety of cross functional teams to ensure the feasibility and robustness of delivering new capabilities. This role will work closely with organizational partners and be expected to present findings across the organization.  
**Preferred Qualifications**  
7\+ years of experience building machine learning capabilities across many different product areas at scale.  
PhD, or equivalent experience, in NLP, Machine Learning, Deep Learning, Large Language Model, Reinforcement Learning or related field with experience building production systems or have equivalent experience working with large data science / machine learning projects in industry.  
**Minimum Qualifications**  
4\+ years of experience building machine learning capabilities across many different product areas at scale.  
Proven experience in NLP, information retrieval and search.  
Ability to apply and implement research concepts, ultimately in production quality code.  
Experience defining clear, testable research hypotheses, including intended impact on the business.  
Deep understanding of design of experiments, online experimentation approaches, preferably at scale.  
Experience contributing and/or reviewing research for top conferences and publications.  
Master's, or equivalent experience, in NLP, Machine Learning, Statistics, Forecasting, Optimization, Reinforcement Learning or related field with experience building production systems or have equivalent experience working with large data science / machine learning projects in industry.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6">
      <c r="A26" t="inlineStr">
        <is>
          <t>in-38380b8929e8ddba</t>
        </is>
      </c>
      <c r="B26" t="inlineStr">
        <is>
          <t>Gen AI Engineer-4</t>
        </is>
      </c>
      <c r="C26" t="inlineStr">
        <is>
          <t>Realign</t>
        </is>
      </c>
      <c r="D26" t="inlineStr">
        <is>
          <t>indeed</t>
        </is>
      </c>
      <c r="E26" t="inlineStr"/>
      <c r="F26" t="inlineStr"/>
      <c r="G26" t="inlineStr">
        <is>
          <t>Tampa, FL, US</t>
        </is>
      </c>
      <c r="H26" s="2" t="n">
        <v>46057</v>
      </c>
      <c r="I26" t="inlineStr">
        <is>
          <t>Tampa, Florida 33592 Posted February 5th,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27">
      <c r="A27" t="inlineStr">
        <is>
          <t>in-1394c8b6415ea35e</t>
        </is>
      </c>
      <c r="B27" t="inlineStr">
        <is>
          <t>Gen AI Engineer-4</t>
        </is>
      </c>
      <c r="C27" t="inlineStr">
        <is>
          <t>Realign</t>
        </is>
      </c>
      <c r="D27" t="inlineStr">
        <is>
          <t>indeed</t>
        </is>
      </c>
      <c r="E27" t="inlineStr"/>
      <c r="F27" t="inlineStr"/>
      <c r="G27" t="inlineStr">
        <is>
          <t>Irving, TX, US</t>
        </is>
      </c>
      <c r="H27" s="2" t="n">
        <v>46057</v>
      </c>
      <c r="I27" t="inlineStr">
        <is>
          <t>Irving, Texas 75014 Posted February 5th,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28">
      <c r="A28" t="inlineStr">
        <is>
          <t>in-8255a793f6fe0cee</t>
        </is>
      </c>
      <c r="B28" t="inlineStr">
        <is>
          <t>Sr AI/ML Engineer - Remote Nationwide or Hybrid in NJ, MN, DC</t>
        </is>
      </c>
      <c r="C28" t="inlineStr">
        <is>
          <t>Optum</t>
        </is>
      </c>
      <c r="D28" t="inlineStr">
        <is>
          <t>indeed</t>
        </is>
      </c>
      <c r="E28" t="inlineStr"/>
      <c r="F28" t="inlineStr"/>
      <c r="G28" t="inlineStr">
        <is>
          <t>Minnetonka, MN, US</t>
        </is>
      </c>
      <c r="H28" s="2" t="n">
        <v>46057</v>
      </c>
      <c r="I28"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Provider Digital Team is focused on delivering a unified, intuitive digital entry point for UnitedHealthcare providers and partners to access tools, services, and information. The team is responsible for enabling consistent, secure, and scalable capabilities that simplify how providers discover, navigate, and engage with UHC's digital ecosystem. By working across UnitedHealthcare and the broader UHG organization, the team reduces friction, enhances provider experience, and ensures a cohesive digital presence aligned with UHC's mission to help people live healthier lives.
In this role, the team collaborates closely with engineering, platform, and business partners across UnitedHealthcare to integrate diverse applications and data sources into a seamless provider\-facing experience. Reporting into technology leadership, the team partners with key stakeholders to define standards, drive reuse, and accelerate delivery of provider\-centric workflows. Their work plays a critical role in scaling digital access while supporting the evolving needs of providers and internal lines of business.
You'll enjoy the flexibility to work remotely \* from anywhere within the U.S. as you take on some tough challenges. For all hires in the Minneapolis, Washington, D.C. and New Jersey area, you will be required to work in the office a minimum of four days per week.
 **Primary Responsibilities:**
* Drive responsible use of AI/ML adoption across the team, driving innovative use of both Generative AI and traditional ML techniques
* Design, develop, test, deploy, maintain, and continuously improve AI\-powered software solutions to meet customer and business needs
* Build responsible AI solutions and service components to support the Provider community, ensuring compliance with ethical and regulatory standards
* Develop new features leveraging AI/ML, including Generative AI models, predictive analytics, and automation capabilities
* Provide technical leadership for AI initiatives, including Chatbots and conversational AI solutions
* Partner with product management, architects, and engineering leadership to deliver creative, scalable AI solutions for healthcare challenges
* Drive alignment with enterprise AI strategies and ensure solutions meet business objectives and engineering best practices
* Accountable for high\-quality software deliverables and operational excellence
* Mentor and train team members on AI/ML technologies, frameworks, and responsible AI practices
* Collaborate with broader engineering teams to integrate AI into cloud modernization efforts and digital\-first initiatives
* Exercise independent judgment to prioritize, plan, and manage AI\-related activities and projects
You'll be rewarded and recognized for your performance in an environment that will challenge you and give you clear direction on what it takes to succeed in your role as well as provide development for other roles you may be interested in.
**Required Qualifications:**
* BS in Computer Science, Engineering, or related technical field or equivalent experience
* 6\+ years of software engineering experience
* 4\+ years of hands\-on experience building AI/ML solutions, including LLMs, Generative AI, and traditional ML models
* 4\+ years of experience with Web and API development
* 4\+ years of experience hosting applications in cloud environments preferably AWS
* Solid experience with Chatbots, conversational AI, and NLP\-based solutions
 **Preferred Qualifications:**
* Experience in the healthcare industry
* Full\-stack engineering experience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9">
      <c r="A29" t="inlineStr">
        <is>
          <t>in-d539a36a499444d1</t>
        </is>
      </c>
      <c r="B29" t="inlineStr">
        <is>
          <t>Gen AI Engineer-4</t>
        </is>
      </c>
      <c r="C29" t="inlineStr">
        <is>
          <t>Realign</t>
        </is>
      </c>
      <c r="D29" t="inlineStr">
        <is>
          <t>indeed</t>
        </is>
      </c>
      <c r="E29" t="inlineStr"/>
      <c r="F29" t="inlineStr"/>
      <c r="G29" t="inlineStr">
        <is>
          <t>Edison, NJ, US</t>
        </is>
      </c>
      <c r="H29" s="2" t="n">
        <v>46056</v>
      </c>
      <c r="I29" t="inlineStr">
        <is>
          <t>Edison, New Jersey 08837 Posted February 4th,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30">
      <c r="A30" t="inlineStr">
        <is>
          <t>in-75a550596c29113d</t>
        </is>
      </c>
      <c r="B30" t="inlineStr">
        <is>
          <t>AI Engineer-2</t>
        </is>
      </c>
      <c r="C30" t="inlineStr">
        <is>
          <t>Realign</t>
        </is>
      </c>
      <c r="D30" t="inlineStr">
        <is>
          <t>indeed</t>
        </is>
      </c>
      <c r="E30" t="inlineStr"/>
      <c r="F30" t="inlineStr"/>
      <c r="G30" t="inlineStr">
        <is>
          <t>Richardson, TX, US</t>
        </is>
      </c>
      <c r="H30" s="2" t="n">
        <v>46056</v>
      </c>
      <c r="I30" t="inlineStr">
        <is>
          <t>Richardson, Texas 75080 Posted February 4th, 2026
 Looking for more job opportunities? Click here!
Job Type: Full Time
Job Category: IT
Job Description
**Role :** AI Engineer  
**Location**: Richardson, TX  
**FTE ONLY**  
Job Description
Expertise in LLMs, RAG, vector DBs, cloud architecture, NLP, data engineering, LangGraph, VectorDB, GCP.
Solution Architecture \&amp; Technical Leadership
Architect end to end GenAI\-driven platforms.
Establish reference architectures using LLMs, RAG, embeddings, knowledge graphs.
Design scalable LLM Ops workflows.
Domain Modeling \&amp; Knowledge Engineering
Model PBM benefit structures and ontologies.
Governance, Compliance, Data Security \&amp; Risk Management
Implement Responsible AI controls, PHI/PII masking and HIPAA\-aligned synthetic data generation.
Cross Functional Collaboration
Partner with PBM Business SMEs, QA teams, AI engineers, and IT teams.
**Generic Managerial Skills**
Solution Architecture \&amp; Technical Leadership
Architect end to end GenAI\-driven platforms.
Establish reference architectures using LLMs, RAG, embeddings, knowledge graphs.
Design scalable LLMOps workflows.
Required Skills
DEVOPS ENGINEER
 SENIOR EMAIL SECURITY ENGINEER</t>
        </is>
      </c>
    </row>
    <row r="31">
      <c r="A31" t="inlineStr">
        <is>
          <t>in-5d4d3b379e28ea08</t>
        </is>
      </c>
      <c r="B31" t="inlineStr">
        <is>
          <t>Marketing Applied Scientist II</t>
        </is>
      </c>
      <c r="C31" t="inlineStr">
        <is>
          <t>Uber</t>
        </is>
      </c>
      <c r="D31" t="inlineStr">
        <is>
          <t>indeed</t>
        </is>
      </c>
      <c r="E31">
        <f>HYPERLINK("https://www.indeed.com/viewjob?jk=5d4d3b379e28ea08", "https://www.indeed.com/viewjob?jk=5d4d3b379e28ea08")</f>
        <v/>
      </c>
      <c r="F31">
        <f>HYPERLINK("https://tnl2.jometer.com/v2/job?jz=5wqzs2dbd1653a0212f6aeaac28768b13de7cKIAAKAAAAABQ&amp;iis=Job%20Board%20-%20Recruitment%20Marketing&amp;iisn=Indeed%20Organic", "https://tnl2.jometer.com/v2/job?jz=5wqzs2dbd1653a0212f6aeaac28768b13de7cKIAAKAAAAABQ&amp;iis=Job%20Board%20-%20Recruitment%20Marketing&amp;iisn=Indeed%20Organic")</f>
        <v/>
      </c>
      <c r="G31" t="inlineStr">
        <is>
          <t>Seattle, WA, US</t>
        </is>
      </c>
      <c r="H31" s="3" t="n">
        <v>46058</v>
      </c>
      <c r="I31" t="inlineStr">
        <is>
          <t>**About the role**  
We are looking for an economic\-minded applied scientist for the Marketing Science team to develop strategic insights and drive product strategy including running experimentation and conducting product deep dives. The scope of this role is global and spans Uber's Rides and Eats business!
**Responsibilities***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Ph.D., M.S., or Bachelor's degree in Statistics, Economics, Machine Learning, Operations Research, or other quantitative fields. (If M.S. degree, a minimum of 1\+ years of industry experience required and if Bachelor's degree, a minimum of 3\+ years of industry experience as a Data Scientist or equivalent).
* Strong SQL, Python and/or R foundation and expertise.
* Knowledge of experimental design and analysis (e.g., advanced analytics, econometrics, causal inference).
**Preferred Qualifications***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Passion for Uber!  
*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2">
      <c r="A32" t="inlineStr">
        <is>
          <t>in-7843d6f32ba2472b</t>
        </is>
      </c>
      <c r="B32" t="inlineStr">
        <is>
          <t>Sr. Marketing Applied Scientist</t>
        </is>
      </c>
      <c r="C32" t="inlineStr">
        <is>
          <t>Uber</t>
        </is>
      </c>
      <c r="D32" t="inlineStr">
        <is>
          <t>indeed</t>
        </is>
      </c>
      <c r="E32">
        <f>HYPERLINK("https://www.indeed.com/viewjob?jk=7843d6f32ba2472b", "https://www.indeed.com/viewjob?jk=7843d6f32ba2472b")</f>
        <v/>
      </c>
      <c r="F32">
        <f>HYPERLINK("https://tnl2.jometer.com/v2/job?jz=5wqzsa50b213df46f07a65f1a8090685bc82cKIAAKAAAAABQ&amp;iis=Job%20Board%20-%20Recruitment%20Marketing&amp;iisn=Indeed%20Organic", "https://tnl2.jometer.com/v2/job?jz=5wqzsa50b213df46f07a65f1a8090685bc82cKIAAKAAAAABQ&amp;iis=Job%20Board%20-%20Recruitment%20Marketing&amp;iisn=Indeed%20Organic")</f>
        <v/>
      </c>
      <c r="G32" t="inlineStr">
        <is>
          <t>Seattle, WA, US</t>
        </is>
      </c>
      <c r="H32" s="3" t="n">
        <v>46058</v>
      </c>
      <c r="I32" t="inlineStr">
        <is>
          <t>**About The Role**
We are looking for an economic\-minded senior applied scientist to develop strategic insights and drive product strategy including running experimentation and conducting product deep dives. In this role, you would be part of the Marketing Science team which is led by the Chief Economist. The scope of this role is global and spans Uber's Rides and Eats business.
**What You'll Do**
*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 Ph.D., M.S., or Bachelor's degree in Statistics, Economics, Machine Learning, Operations Research, or other quantitative fields. (If Ph.D a minimum of 1\+ years of industry experience required, M.S. degree, a minimum of 2\+ years of industry experience required and if Bachelor's degree, a minimum of 4\+ years of industry experience as a Data Scientist or equivalent).
* Strong SQL, Python and/or R foundation and expertise.
* Knowledge of experimental design and analysis (e.g., advanced analytics, econometrics, causal inference).
**Preferred Qualifications**
*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Passion for Uber!  
*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3">
      <c r="A33" t="inlineStr">
        <is>
          <t>in-6b214ca68c3adce2</t>
        </is>
      </c>
      <c r="B33" t="inlineStr">
        <is>
          <t>Machine Learning Engineer</t>
        </is>
      </c>
      <c r="C33" t="inlineStr">
        <is>
          <t>Rocket Companies</t>
        </is>
      </c>
      <c r="D33" t="inlineStr">
        <is>
          <t>indeed</t>
        </is>
      </c>
      <c r="E33">
        <f>HYPERLINK("https://www.indeed.com/viewjob?jk=6b214ca68c3adce2", "https://www.indeed.com/viewjob?jk=6b214ca68c3adce2")</f>
        <v/>
      </c>
      <c r="F33">
        <f>HYPERLINK("https://careers.rocket.com/careers/r-081566/machine-learning-engineer/", "https://careers.rocket.com/careers/r-081566/machine-learning-engineer/")</f>
        <v/>
      </c>
      <c r="G33" t="inlineStr">
        <is>
          <t>Detroit, MI, US</t>
        </is>
      </c>
      <c r="H33" s="3" t="n">
        <v>46057</v>
      </c>
      <c r="I33" t="inlineStr">
        <is>
          <t>As a Machine Learning Engineer, you will design and develop the platforms and frameworks that facilitate automated data\-driven decision\-making, gather data, and determine statistical algorithms and models that a system can use to learn from experience, predict outcomes, and make decisions.
**About the role**
* Collaborate with data scientists to develop algorithms and tools for training and running simulations
* Build services to interact with machine learning models through simulations
* Participate in code reviews to ensure code quality and share best practices
* Develop services that host the trained models and work with other application teams to integrate them into business processes
* Gather and analyze large datasets and develop data model pipelines
* Develop algorithms that drive automated data\-driven decision\-making
* Build the tools for monitoring the performance of machine learning applications
**About you**
Minimum Qualifications
* Master’s degree in software development, computer science, algorithm design, artificial intelligence, or machine learning or equivalent experience
Preferred Qualifications
* 1 year of experience in machine learning and using libraries such as Scikit\-learn, TensorFlow, Caffe, Keras, etc.
* 1 year of experience working with large datasets, structured and unstructured
* 1 year of programming experience, including Java, or Python
* 1 year of experience with the Hadoop ecosystem (Apache Hive, Pig, HBase and Kafka)
* 1 year of experience with distributed computing platforms, such as Spark, and user interface frameworks, such as Angular or React
* 1 year of experience with cloud computing providers such as AWS or Azure
* Ph.D. in software development, computer science, algorithm design, artificial intelligence, or machine learning or equivalent experience
* Proficiency in the Microsoft Office suite
* Strong object\-oriented programming skills, including proficiency in Java, Scala, C/C\+\+ or Python
* Knowledge of big data
**What you’ll get**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**About us**
**Rocket Mortgage®** was founded in 1985\. Today, we’re a Detroit\-based, publicly traded company with a mission to Help Everyone Home. At Rocket Mortgage, we believe that home is more than the house you live in. Our wide variety of home loan options, tools and resources empower our clients to achieve their homeownership dreams. We’re known as experts in the mortgage industry, but we’re also innovators – we strive to create the best experiences for our clients from beginning to end. And we’re not your typical employer. We’re insistently different in how we look at the world and are committed to an inclusive workplace where every voice is heard. *Apply today to join a team that offers career growth, amazing benefits and the chance to work with leading industry professionals.*
*This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at* Careers@Rocket.com*.*</t>
        </is>
      </c>
    </row>
    <row r="34">
      <c r="A34" t="inlineStr">
        <is>
          <t>in-41b26512dad5a4a1</t>
        </is>
      </c>
      <c r="B34" t="inlineStr">
        <is>
          <t>Senior Data/AI Engineering</t>
        </is>
      </c>
      <c r="C34" t="inlineStr">
        <is>
          <t>AT&amp;T</t>
        </is>
      </c>
      <c r="D34" t="inlineStr">
        <is>
          <t>indeed</t>
        </is>
      </c>
      <c r="E34">
        <f>HYPERLINK("https://www.indeed.com/viewjob?jk=41b26512dad5a4a1", "https://www.indeed.com/viewjob?jk=41b26512dad5a4a1")</f>
        <v/>
      </c>
      <c r="F34">
        <f>HYPERLINK("https://www.att.jobs/job/-/senior-data-ai-engineering/117/91410967792?source=jb_indeed_org&amp;utm_source=indeed.com&amp;utm_medium=organic&amp;utm_campaign=organic&amp;utm_content=job_aggregator&amp;utm_term=418039196", "https://www.att.jobs/job/-/senior-data-ai-engineering/117/91410967792?source=jb_indeed_org&amp;utm_source=indeed.com&amp;utm_medium=organic&amp;utm_campaign=organic&amp;utm_content=job_aggregator&amp;utm_term=418039196")</f>
        <v/>
      </c>
      <c r="G34" t="inlineStr">
        <is>
          <t>Atlanta, GA, US</t>
        </is>
      </c>
      <c r="H34" s="3" t="n">
        <v>46057</v>
      </c>
      <c r="I34" t="inlineStr">
        <is>
          <t>**Job Description:**
**This position requires office presence of a minimum of 5 days per week and is only located in the location(s) posted. No relocation is offered.**
 **What you'll do:**
GrowthHub is a new platform designed to help ATS employees unlock their full potential. GrowthHub provides personalized insights into skills and recommended growth opportunities tailored to each individuals unique journey in ATS. ATS is building this platform to invest in individual development and ensure employees have the resources and support to achieve their career aspirations. In GrowthHub, employees will be able to validate their skills, add new skills, choose where they want to grow, build their own growth plan, and equip themselves to proactively evolve their skills for future ATS initiatives.
The Senior Data/AI Engineer will architect and implement advanced data infrastructure and AI models to enable scalable and intelligent solutions across the organization. This role requires a deep understanding of machine learning, data engineering, and cloud technologies.
* Design, build, and maintain robust data pipelines and AI/ML models.
* Collaborate with data scientists and analysts to operationalize machine learning solutions.
* Optimize data storage, processing, and retrieval systems for performance and scalability.
* Implement best practices for data governance, security, and compliance.
* Evaluate and integrate emerging AI technologies and tools.
* Troubleshoot and resolve complex data and AI system issues.
**What you'll need:**
* Bachelor’s or Master’s degree in Computer Science, Engineering, or related technical field.
* Significant experience in data engineering and machine learning model development.
* Proficiency with Python, Spark, TensorFlow/PyTorch, and cloud platforms (AWS, Azure, GCP).
* Experience with modern analytics and workflow tools such as Power BI, MixPanel, Snowflake, Databricks, Jira Cloud, Jira Align, and ServiceNow.
* Strong experience with big data technologies like Hadoop, Kafka, and SQL/NoSQL databases.
* Ability to design scalable and maintainable AI systems.
* Excellent communication and collaboration skills.
Our Senior Data \&amp; AI Engineer, earns between $128,400\.00 \- $215,800\.00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\#LI\-Onsite – Full\-time office role\-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40**Time Type:**
Regular**Location:**
USA:GA:Atlanta / 1057 Lenox Park Blvd Ne \- Adm:1057 Lenox Park Blvd Ne**Salary Range:**
$128,400\.00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35">
      <c r="A35" t="inlineStr">
        <is>
          <t>in-6168ba2f769e3fc0</t>
        </is>
      </c>
      <c r="B35" t="inlineStr">
        <is>
          <t>Senior Data/AI Engineering</t>
        </is>
      </c>
      <c r="C35" t="inlineStr">
        <is>
          <t>AT&amp;T</t>
        </is>
      </c>
      <c r="D35" t="inlineStr">
        <is>
          <t>indeed</t>
        </is>
      </c>
      <c r="E35">
        <f>HYPERLINK("https://www.indeed.com/viewjob?jk=6168ba2f769e3fc0", "https://www.indeed.com/viewjob?jk=6168ba2f769e3fc0")</f>
        <v/>
      </c>
      <c r="F35">
        <f>HYPERLINK("https://www.att.jobs/job/-/senior-data-ai-engineering/117/91410967872?source=jb_indeed_org&amp;utm_source=indeed.com&amp;utm_medium=organic&amp;utm_campaign=organic&amp;utm_content=job_aggregator&amp;utm_term=418039196", "https://www.att.jobs/job/-/senior-data-ai-engineering/117/91410967872?source=jb_indeed_org&amp;utm_source=indeed.com&amp;utm_medium=organic&amp;utm_campaign=organic&amp;utm_content=job_aggregator&amp;utm_term=418039196")</f>
        <v/>
      </c>
      <c r="G35" t="inlineStr">
        <is>
          <t>Dallas, TX, US</t>
        </is>
      </c>
      <c r="H35" s="3" t="n">
        <v>46057</v>
      </c>
      <c r="I35" t="inlineStr">
        <is>
          <t>**Job Description:**
**This position requires office presence of a minimum of 5 days per week and is only located in the location(s) posted. No relocation is offered.**
 **What you'll do:**
GrowthHub is a new platform designed to help ATS employees unlock their full potential. GrowthHub provides personalized insights into skills and recommended growth opportunities tailored to each individuals unique journey in ATS. ATS is building this platform to invest in individual development and ensure employees have the resources and support to achieve their career aspirations. In GrowthHub, employees will be able to validate their skills, add new skills, choose where they want to grow, build their own growth plan, and equip themselves to proactively evolve their skills for future ATS initiatives.
The Senior Data/AI Engineer will architect and implement advanced data infrastructure and AI models to enable scalable and intelligent solutions across the organization. This role requires a deep understanding of machine learning, data engineering, and cloud technologies.
* Design, build, and maintain robust data pipelines and AI/ML models.
* Collaborate with data scientists and analysts to operationalize machine learning solutions.
* Optimize data storage, processing, and retrieval systems for performance and scalability.
* Implement best practices for data governance, security, and compliance.
* Evaluate and integrate emerging AI technologies and tools.
* Troubleshoot and resolve complex data and AI system issues.
**What you'll need:**
* Bachelor’s or Master’s degree in Computer Science, Engineering, or related technical field.
* Significant experience in data engineering and machine learning model development.
* Proficiency with Python, Spark, TensorFlow/PyTorch, and cloud platforms (AWS, Azure, GCP).
* Experience with modern analytics and workflow tools such as Power BI, MixPanel, Snowflake, Databricks, Jira Cloud, Jira Align, and ServiceNow.
* Strong experience with big data technologies like Hadoop, Kafka, and SQL/NoSQL databases.
* Ability to design scalable and maintainable AI systems.
* Excellent communication and collaboration skills.
Our Senior Data \&amp; AI Engineer, earns between $128,400\.00 \- $215,800\.00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\#LI\-Onsite – Full\-time office role\-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40**Time Type:**
Regular**Location:**
USA:GA:Atlanta / 1057 Lenox Park Blvd Ne \- Adm:1057 Lenox Park Blvd Ne**Salary Range:**
$128,400\.00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36">
      <c r="A36" t="inlineStr">
        <is>
          <t>in-956d971375e8355b</t>
        </is>
      </c>
      <c r="B36" t="inlineStr">
        <is>
          <t>Identity AI / ML Engineer</t>
        </is>
      </c>
      <c r="C36" t="inlineStr">
        <is>
          <t>Openkyber</t>
        </is>
      </c>
      <c r="D36" t="inlineStr">
        <is>
          <t>indeed</t>
        </is>
      </c>
      <c r="E36">
        <f>HYPERLINK("https://www.indeed.com/viewjob?jk=956d971375e8355b", "https://www.indeed.com/viewjob?jk=956d971375e8355b")</f>
        <v/>
      </c>
      <c r="F36">
        <f>HYPERLINK("https://candidateportalnew.ceipal.com/job-details/63d9nDcnYoVoXLGUrjGXZoFQ57ZGjjFn6ICs4T1Hof0#.job_boards.Indeed", "https://candidateportalnew.ceipal.com/job-details/63d9nDcnYoVoXLGUrjGXZoFQ57ZGjjFn6ICs4T1Hof0#.job_boards.Indeed")</f>
        <v/>
      </c>
      <c r="G36" t="inlineStr">
        <is>
          <t>GA, US</t>
        </is>
      </c>
      <c r="H36" s="3" t="n">
        <v>46057</v>
      </c>
      <c r="I36" t="inlineStr">
        <is>
          <t>Hiring on W2 Only Machine Learning Gen AI Engineer \- Remote We are seeking a highly skilled and communicative Machine Learning Engineer (12\+ years of experience) to join our AI team. In this role, you will bridge the gap between cutting\-edge AI research and practical, user\-facing applications. You will be responsible for designing, building, and deploying Generative AI models (LLMs, Diffusion Models) to solve complex business problems, while effectively communicating technical advancements to non\-technical stakeholders. The ideal candidate is both a hands\-on coder passionate about ML, Gen AI and a proactive collaborator who excels at explaining complex AI concepts to diverse teams.
**Roles \&amp; Responsibilities Key Responsibilities**
GenAI Development: Architect, fine\-tune, and deploy Large Language Models (LLMs) and Generative AI techniques (e.g., RAG, PEFT/SFT) to improve business applications.  
Production Deployment: Build and maintain high\-performance, scalable ML pipelines and GPU\-based inference systems in cloud environments (AWS/Google Cloud Platform/Azure).  
Collaboration \&amp; Communication: Work closely with product managers, data scientists, and engineers to translate business requirements into technical specifications.  
Stakeholder Engagement: Clearly present AI methodologies, performance results, and technical trade\-offs to non\-technical stakeholders and leadership.  
Model Optimization: Implement prompt engineering, adversarial testing, and model optimization strategies to ensure high\-quality, efficient, and safe outputs.  
Stay Updated: Actively keep up with the latest advancements in GenAI research and incorporate them into our production systems.  
Team and project Coordination: Define project scope, timelines, deliverables, success metrics, co\-ordinate with and guide offshore technical team on project deliverables.
**Required Skills \&amp; Qualifications**
Experience: 10\+ years of experience as an ML Engineer, with at least 1\-2 years dedicated to Generative AI or NLP projects, and good experience on AWS cloud platform.  
Technical Expertise: Strong proficiency in Python, and IDEs such as Cursor/AWS Kiro, deep learning frameworks (PyTorch or TensorFlow or), utilizing GitHub co\-pilot etc.  
GenAI Proficiency: Hands\-on experience with LLMs (e.g., GPT\-4, Llama), RAG architectures, LangChain, Vector Databases, Knowledge graphs, and Agentic AI  
MLOps and LLM Ops: Familiarity with Docker, Kubernetes, and CI/CD tools for ML.  
AWS Skills: S3, Lambda, Glue, AWS Sage maker, and AWS Bedrock platform  
Communication Skills: Excellent verbal and written communication skills; ability to articulate complex technical concepts simply.  
Stakeholder Management: Able to collaborate with key business/client stakeholders and manage their expectations  
Problem\-Solving: Proven ability to work independently in a fast\-paced environment and troubleshoot issues.
Preferred Qualifications Engineering degree in computer science or equivalent, and relevant certification in Machine learning Experience in banking or financial services domain Payments industry.
**For applications and inquiries, contact:** hirings@openkyber.com</t>
        </is>
      </c>
    </row>
    <row r="37">
      <c r="A37" t="inlineStr">
        <is>
          <t>in-706ab134f84ee961</t>
        </is>
      </c>
      <c r="B37" t="inlineStr">
        <is>
          <t>Identity AI / ML Engineer</t>
        </is>
      </c>
      <c r="C37" t="inlineStr">
        <is>
          <t>Openkyber</t>
        </is>
      </c>
      <c r="D37" t="inlineStr">
        <is>
          <t>indeed</t>
        </is>
      </c>
      <c r="E37">
        <f>HYPERLINK("https://www.indeed.com/viewjob?jk=706ab134f84ee961", "https://www.indeed.com/viewjob?jk=706ab134f84ee961")</f>
        <v/>
      </c>
      <c r="F37">
        <f>HYPERLINK("https://candidateportalnew.ceipal.com/job-details/NsZecazkUw9gdH9YNzNA_8_3RsO1tTcPSckEsVxSNqc#.job_boards.Indeed", "https://candidateportalnew.ceipal.com/job-details/NsZecazkUw9gdH9YNzNA_8_3RsO1tTcPSckEsVxSNqc#.job_boards.Indeed")</f>
        <v/>
      </c>
      <c r="G37" t="inlineStr">
        <is>
          <t>TX, US</t>
        </is>
      </c>
      <c r="H37" s="3" t="n">
        <v>46057</v>
      </c>
      <c r="I37" t="inlineStr">
        <is>
          <t>Job Title: AI/ML Engineer Location: Texas, USA Employment Type: W2 Experience: 12\+ Years Job Description We are seeking a skilled AI/ML Engineer to design, build, and deploy machine learning models and AI\-driven solutions. The ideal candidate will have strong experience in data modeling, algorithm development, and productionizing machine learning systems.
**Key Responsibilities:**
* Design, develop, and deploy machine learning models for real\-world applications.
* Build and maintain data pipelines for model training and inference.
* Collaborate with data scientists, engineers, and business stakeholders.
* Evaluate and optimize model performance and accuracy.
* Implement model monitoring, retraining, and versioning.
* Work with unstructured and structured data.
* Ensure scalability, reliability, and security of AI solutions.
**Required Skills \&amp; Qualifications:**
* Strong experience in Python and ML libraries (TensorFlow, PyTorch, scikit\-learn).
* Solid understanding of machine learning, deep learning, and statistical methods.
* Experience with SQL and data processing frameworks.
* Hands\-on experience with cloud platforms (AWS, Azure, or Google Cloud Platform).
* Experience deploying models using APIs, Docker, or Kubernetes.
* Knowledge of data preprocessing, feature engineering, and model evaluation.
**Preferred Qualifications:**
* Experience with NLP, computer vision, or generative AI.
* Familiarity with MLOps tools (MLflow, Kubeflow).
* Experience working in Agile/Scrum environments.
* Background in finance, telecom, or enterprise systems.
* Education Bachelor's or Master's degree in Computer Science, AI, Machine Learning, or related field.
**For applications and inquiries, contact:** hirings@openkyber.com</t>
        </is>
      </c>
    </row>
    <row r="38">
      <c r="A38" t="inlineStr">
        <is>
          <t>in-cdd22f742263a282</t>
        </is>
      </c>
      <c r="B38" t="inlineStr">
        <is>
          <t>Identity AI / ML Engineer</t>
        </is>
      </c>
      <c r="C38" t="inlineStr">
        <is>
          <t>Openkyber</t>
        </is>
      </c>
      <c r="D38" t="inlineStr">
        <is>
          <t>indeed</t>
        </is>
      </c>
      <c r="E38">
        <f>HYPERLINK("https://www.indeed.com/viewjob?jk=cdd22f742263a282", "https://www.indeed.com/viewjob?jk=cdd22f742263a282")</f>
        <v/>
      </c>
      <c r="F38">
        <f>HYPERLINK("https://candidateportalnew.ceipal.com/job-details/DVkAKF3mL2oGiIR9pCzlvwts6-ibtVhx0OowtbyGX58#.job_boards.Indeed", "https://candidateportalnew.ceipal.com/job-details/DVkAKF3mL2oGiIR9pCzlvwts6-ibtVhx0OowtbyGX58#.job_boards.Indeed")</f>
        <v/>
      </c>
      <c r="G38" t="inlineStr">
        <is>
          <t>GA, US</t>
        </is>
      </c>
      <c r="H38" s="3" t="n">
        <v>46057</v>
      </c>
      <c r="I38" t="inlineStr">
        <is>
          <t>**Key Responsibilities:**
Design and develop AI/ML models for banking automation and operational insights. Build and maintain chatbots using modern LLMs such as Gemini. Implement robust Python applications for data processing, prediction pipelines, and automation tasks. Collaborate with banking operations teams to understand processes and convert them into ML/AI\-driven solutions. Provide production support, monitor model performance, and execute root\-cause analysis for AI systems. Work with structured/unstructured datasets and perform data processing using tools like Apache Spark. Integrate models into enterprise applications using REST APIs, version control (Git), and CI/CD pipelines. Develop backend components in Java and C programming when required for system integration. Work with cloud environments including Amazon DynamoDB for scalable data storage. Collaborate with cross\-functional teams including Agents, developers, data scientists, and support engineers.
**Required Technical Skills:**
* Strong experience with AI, Machine Learning, and LLMs.
* Hands\-on Python programming for AI, ML, automation \&amp; backend.
* Chatbot development (LLM\-based, rule\-based).
* Banking operations domain knowledge (customer onboarding, KYC, AML, workflows).
* Experience working with API design and integration.
* Strong Linux \&amp; Production Support troubleshooting skills.
* Experience with Git and other version control systems.
* Programming exposure to: C Programming, Java, Python.
* Data Engineering/Processing with: Spark, File\-based workflows, Real\-time or batch pipelines.
* Experience working with Agents, AI orchestration tools, and multi\-model pipelines.
* Cloud experience including Amazon DynamoDB.
**For applications and inquiries, contact:** hirings@openkyber.com</t>
        </is>
      </c>
    </row>
    <row r="39">
      <c r="A39" t="inlineStr">
        <is>
          <t>in-8a5c095eb8056373</t>
        </is>
      </c>
      <c r="B39" t="inlineStr">
        <is>
          <t>Identity AI / ML Engineer</t>
        </is>
      </c>
      <c r="C39" t="inlineStr">
        <is>
          <t>Openkyber</t>
        </is>
      </c>
      <c r="D39" t="inlineStr">
        <is>
          <t>indeed</t>
        </is>
      </c>
      <c r="E39">
        <f>HYPERLINK("https://www.indeed.com/viewjob?jk=8a5c095eb8056373", "https://www.indeed.com/viewjob?jk=8a5c095eb8056373")</f>
        <v/>
      </c>
      <c r="F39">
        <f>HYPERLINK("https://candidateportalnew.ceipal.com/job-details/zCE967nkXT04Mwa-xSIU8d1XIdD5mMAfgrjYwnZ_rn4#.job_boards.Indeed", "https://candidateportalnew.ceipal.com/job-details/zCE967nkXT04Mwa-xSIU8d1XIdD5mMAfgrjYwnZ_rn4#.job_boards.Indeed")</f>
        <v/>
      </c>
      <c r="G39" t="inlineStr">
        <is>
          <t>NJ, US</t>
        </is>
      </c>
      <c r="H39" s="3" t="n">
        <v>46057</v>
      </c>
      <c r="I39" t="inlineStr">
        <is>
          <t>**Title: AI/ML Engineer Number of Openings: 2 Location: Malvern, PA (1st Choice); Charlotte, NC (2nd Choice); Dallas, TX 75248 (3rd Choice) Need locals at this locations Contract on W2 3 days on\-site required in one of these 3 locations Core Responsibilities**
* Agentic AI \&amp; MCP Integration: Implement agentic frameworks (e.g., LangGraph, AutoGen) and Model Context Protocol (MCP) for secure tool orchestration.
* Generative AI Development: Build LLM\-based applications with RAG, structured output, and evaluation frameworks.
* AWS ML Engineering: Deploy models using SageMaker pipelines, ECS/ECR, Lambda; manage CI/CD and monitoring.
* Security \&amp; Identity: Integrate Okta/JWT token for API and service authentication; enforce token validation and claims.
* Governance : Deliver artifacts required by MDLC/MPLC (Model Documents, Data Dictionary, Monitoring Plan).
* Collaboration: Partner with PO, and business stakeholders to align solutions with objectives.
**Responsibilities**
* Design, develop, and optimize complex data pipelines using machine learning engineering best practices to ensure scalability, efficiency, and reliability.
* Develop and implement robust MLOps pipeline to support the deployment, monitoring, and lifecycle management of AI/ML models in production environments.
* Integrate and maintain data and model pipelines, proactively diagnosing data quality issues and documenting assumptions.
* Collaborate closely with data scientists to validate model\-ready datasets and ensure thorough, accurate feature documentation.
* Conduct exploratory data analysis and discovery on raw data sources, incorporating business context to support model development.
* Track data lineage and perform root cause analysis during early\-stage exploration or issue resolution.
* Partner with internal stakeholders to understand business processes and translate them into scalable analytical solutions.
* Develop and maintain model monitoring scripts, investigate alerts, and coordinate timely resolutions.
* Act as a subject matter expert in machine learning engineering on cross\-functional teams, contributing to high\-impact initiatives.
* Stay current with advancements in AI/ML and evaluate their applicability to business challenges.
**Qualifications**
* Bachelor s degree in Computer Science, Engineering, or related field (Master s preferred).
* 6\+ years of experience across Artificial Intelligence (AI) / Machine Learning (ML) engineering, data engineering, and MLOps implementation, including:
	+ Designing and deploying production\-grade ML systems.
	+ Building scalable data pipelines and ML workflows.
	+ Managing model lifecycle in cloud environments.
* Proficient in Python and familiar with ML frameworks such as TensorFlow, PyTorch, and Scikit\-learn.
* Strong understanding and experience in AWS Machine Learning Stack including: AWS SageMaker AWS Glue AWS Bedrock AWS Data Pipelines AWS Lambda Functions
* Experience with Generative AI model development builing LLM based applications with RAG.
* Experience implementing agentic frameworks (e.g., LangGraph, AutoGen) and Model Context Protocol (MCP) for orchestration.
* Knowledge of React UI, GraphDB, and GenAI model performance evaluation
* Experience with CI/CD, containerization (e.g., Docker), and orchestration tools (e.g., Kubernetes).
* Solid grasp of software engineering principles including testing, version control (e.g., Git), and security.
* Familiarity with the Machine Learning Development Lifecycle (MDLC) and best practices for reproducibility and scalability.
* Strong communication and collaboration skills, with experience working across technical and business teams.
* Ability to anticipate ambiguity and devise scalable solutions to address it.
**For applications and inquiries, contact:** hirings@openkyber.com</t>
        </is>
      </c>
    </row>
    <row r="40">
      <c r="A40" t="inlineStr">
        <is>
          <t>in-3018d292bc675d59</t>
        </is>
      </c>
      <c r="B40" t="inlineStr">
        <is>
          <t>Machine Learning Engineer - Remote</t>
        </is>
      </c>
      <c r="C40" t="inlineStr">
        <is>
          <t>CSAA Insurance Group, a AAA Insurer</t>
        </is>
      </c>
      <c r="D40" t="inlineStr">
        <is>
          <t>indeed</t>
        </is>
      </c>
      <c r="E40">
        <f>HYPERLINK("https://www.indeed.com/viewjob?jk=3018d292bc675d59", "https://www.indeed.com/viewjob?jk=3018d292bc675d59")</f>
        <v/>
      </c>
      <c r="F40">
        <f>HYPERLINK("https://jsv3.recruitics.com/redirect?rx_cid=3265&amp;rx_jobId=R7593&amp;rx_url=https%3A%2F%2Fcareers.csaa-insurance.aaa.com%2Fus%2Fen%2Fjob%2FR7593%2FMachine-Learning-Engineer-Remote%3Frx_campaign%3Dindeed0%26rx_ch%3Djobp4p%26rx_group%3D116280%26rx_id%3D6eb09023-02bf-11f1-96f1-b12e29b52cd7%26rx_job%3DR7593%26rx_medium%3Dcpc%26rx_r%3Dnone%26rx_source%3DIndeed%26rx_ts%3D20260206T000051Z%26rx_vp%3Dcpc%26source%3DIndeedJobBoard-Organic", "https://jsv3.recruitics.com/redirect?rx_cid=3265&amp;rx_jobId=R7593&amp;rx_url=https%3A%2F%2Fcareers.csaa-insurance.aaa.com%2Fus%2Fen%2Fjob%2FR7593%2FMachine-Learning-Engineer-Remote%3Frx_campaign%3Dindeed0%26rx_ch%3Djobp4p%26rx_group%3D116280%26rx_id%3D6eb09023-02bf-11f1-96f1-b12e29b52cd7%26rx_job%3DR7593%26rx_medium%3Dcpc%26rx_r%3Dnone%26rx_source%3DIndeed%26rx_ts%3D20260206T000051Z%26rx_vp%3Dcpc%26source%3DIndeedJobBoard-Organic")</f>
        <v/>
      </c>
      <c r="G40" t="inlineStr">
        <is>
          <t>Phoenix, AZ, US</t>
        </is>
      </c>
      <c r="H40" s="3" t="n">
        <v>46056</v>
      </c>
      <c r="I40" t="inlineStr">
        <is>
          <t>CSAA Insurance Group (CSAA IG), a AAA insurer, is one of the leading personal lines property and casualty insurance groups in the United States. Here, every employee shapes our mission. We build innovative, human\-centered solutions that help AAA members prevent, prepare for, and recover from life's uncertainties. You will join a collaborative, inclusive culture where your strengths have room to grow and your ideas can drive real impact. Step into a role where you can contribute to our shared success through meaningful work.
We are actively hiring for a **Machine Learning Engineer** \- Remote
**Your Role:** We are seeking a skilled and motivated **AI/ML Engineer** to join our **Data \&amp; AI Platform Engineering** team. In this role, you will contribute to the design, implementation, and support of AI and ML capabilities that operate as part of an enterprise data and AI platform.
You will work closely with senior engineers, data scientists, and cross\-functional partners to deliver high\-quality AI/ML components that are production\-ready, well\-governed, and aligned with established engineering standards. This role requires strong **software engineering fundamentals**, experience working with **unstructured data and metadata**, and an understanding of how **semantic modeling** can improve how users discover and interact with data and AI solutions.
You will also stay current with evolving AI technologies, including **Large Language Models (LLMs)** and foundation model platforms, and apply them responsibly within a governed enterprise environment.
**Your Work:**
--------------
**Design and Implementation**
-----------------------------
* Design, implement, and support AI and ML components under the guidance of senior engineers and architects.
* Build AI/ML solutions that are **secure, stable, testable, and maintainable**, following established platform and engineering patterns.
* Apply existing **engineering and AI/ML frameworks** to ensure consistency, scalability, and operational readiness.
* Evaluate tradeoffs between performance, scalability, cost, and usability when implementing solutions.
**Unstructured Data, Metadata, and Semantics**
----------------------------------------------
* Implement pipelines to ingest, process, and enrich **unstructured and semi\-structured data** such as documents and text.
* Work with **metadata, embeddings, and semantic representations** to improve search, retrieval, and downstream AI use cases.
* Apply semantic modeling techniques to help make data more discoverable, interpretable, and useful to end users and applications.
**Code Quality and Engineering Practices**
------------------------------------------
* Write high\-quality, production\-grade code using modern software engineering best practices.
* Contribute to automated testing, code reviews, and CI/CD pipelines for AI/ML systems.
* Turn well\-defined designs into working software and deliver on commitments reliably.
**Problem Solving and Collaboration**
-------------------------------------
* Implement solutions to moderately complex problems by understanding requirements, constraints, and business context.
* Collaborate with data scientists, platform engineers, and business partners to deliver effective AI/ML capabilities.
* Contribute to user stories, technical documentation, and design discussions.
**Automation and Operational Excellence**
-----------------------------------------
* Support MLOps / FMOps practices such as model deployment, versioning, monitoring, and troubleshooting.
* Identify operational issues and work with the team to improve reliability, observability, and maintainability.
* Contribute improvements to existing pipelines, tools, and platform components.
**LLMs and Foundation Models**
------------------------------
* Apply **LLMs and prompt engineering techniques** to business use cases under established architectural and governance guidelines.
* Contribute to solutions using managed model platforms such as **AWS Bedrock**.
* Assist in evaluating and integrating new AI capabilities into the platform.
**Data and AI Governance**
--------------------------
* Build AI/ML solutions that adhere to **data and AI governance standards**, including documentation, lineage, and testing requirements.
* Partner with governance and compliance teams to ensure AI/ML implementations meet enterprise expectations.
* Follow established practices for model versioning, validation, and transparency.
**Required Experience, Education and Skills**
---------------------------------------------
* Bachelor’s degree in Computer Science, Data Science, Engineering, or a related field.
* 3\+ years of experience in **AI/ML engineering or applied machine learning**.
* Experience delivering AI/ML solutions that are used in production environments.
* Hands\-on experience working with **unstructured data**, embeddings, or semantic techniques.
* **Strong programming skills**, particularly in **Python**; experience with Java or similar languages is a plus.
* Experience with AI/ML frameworks and libraries (e.g., TensorFlow, PyTorch, Scikit\-learn).
* Experience deploying AI/ML workloads on cloud platforms, preferably **AWS** and AWS Bedrock
* Experience with data processing technologies such as Spark, SQL, or NoSQL systems.
* **Familiarity with Palantir (Foundry, AIP, or related tools)** is required.
* Exposure to **MLOps/FMOps** practices and governed AI environments
**What would make us excited about you?**
* Strong problem\-solving and analytical skills with attention to detail.
* Effective communication and collaboration skills in cross\-functional teams.
* Ability to operate in an agile, fast\-paced engineering environment.
* Desire to learn, grow, and deepen expertise in AI/ML engineering and platform development.
* Actively shapes our company culture (e.g., participating in employee resource groups, volunteering, etc.)
* Lives into cultural norms (e.g., willing to have cameras when it matters: helping onboard new team members, building relationships, etc.)
* Travels as needed for role, including divisional / team meetings and other in\-person meetings
* Fulfills business needs, which may include investing extra time, helping other teams, etc
Please note we are hiring for this role remote anywhere in the United States with the following exceptions: Hawaii and Alaska.
**Why Choose a Career at CSAA IG?**
-----------------------------------
At CSAA IG, we are a mission\-driven organization proudly committed to empowering our members, our employees, and our communities to thrive**.**
**Recognition:** We offer a total compensation package, annual bonus eligibility for most roles, 401(k) with a company match, and so much more! Read more about what we offer and what it is like to be a part of our dynamic team at https://careers.csaainsurance.aaa.com/us/en/benefits.
**Career Growth:** We believe in growth for everyone. Here at CSAA IG, leaders and mentors partner with employees to align interests, unlock development opportunities, and support long‑term success.
**Flexible Workplace:** We embrace a remote\-first culture through our Flexible Workplace. Most employees hold Home\-Flex roles, working primarily from home, often with the flexibility to work from various locations including CSAA offices. Our flexible workplace empowers you to balance remote work with intentional in‑person moments that deepen connection and collaboration.
**Inclusion and Belonging:** An inclusive and welcoming workplace is the cornerstone of our success. By fostering an environment where people feel valued and heard, we deepen our ability to understand and meet the unique needs of our members. This strengthens innovation and enhances our products and services, giving us a competitive edge in the market.
**Sustainability:** As climate change leads to more frequent and severe weather events, we are taking bold action to build more resilient communities and reduce our environmental impact. Submit your application to be considered. We communicate via email, so check your inbox and/or your spam folder to ensure you don’t miss important updates from us.
CSAA is committed to providing reasonable accommodations to qualified applicants and employees with disabilities or other limitations. If you would like to request an accommodation to participate in the job application or interview process, please contact TalentAcquistion@csaa.com
If you apply and are selected to continue in the recruiting process, we will schedule a preliminary call with you to discuss the role and will disclose during that call the available salary/hourly rate range based on your location. Factors used to determine the actual salary offered may include location, experience, or education.
CSAA does not provide visa sponsorship for this role. Applicants must have authorization to work indefinitely in the US. Please do not apply for this role if at any time (now or in the future) you will need immigration support (i.e., H\-1B, TN, STEM OPT Training Plans, etc.).
CSAA Insurance Group is an equal opportunity employer.
**\#LI\-JR1**
00</t>
        </is>
      </c>
    </row>
    <row r="41">
      <c r="A41" t="inlineStr">
        <is>
          <t>in-4c3d5359788d281b</t>
        </is>
      </c>
      <c r="B41" t="inlineStr">
        <is>
          <t>Principal Applied Scientist, Advertiser Growth, Amazon Sponsored Products &amp; Brands</t>
        </is>
      </c>
      <c r="C41" t="inlineStr">
        <is>
          <t>Amazon.com</t>
        </is>
      </c>
      <c r="D41" t="inlineStr">
        <is>
          <t>indeed</t>
        </is>
      </c>
      <c r="E41">
        <f>HYPERLINK("https://www.indeed.com/viewjob?jk=4c3d5359788d281b", "https://www.indeed.com/viewjob?jk=4c3d5359788d281b")</f>
        <v/>
      </c>
      <c r="F41">
        <f>HYPERLINK("https://www.amazon.jobs/jobs/3115279/principal-applied-scientist-advertiser-growth-amazon-sponsored-products--brands?cmpid=DA_INAD200785B", "https://www.amazon.jobs/jobs/3115279/principal-applied-scientist-advertiser-growth-amazon-sponsored-products--brands?cmpid=DA_INAD200785B")</f>
        <v/>
      </c>
      <c r="G41" t="inlineStr">
        <is>
          <t>Palo Alto, CA, US</t>
        </is>
      </c>
      <c r="H41" s="3" t="n">
        <v>45942</v>
      </c>
      <c r="I4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in-c5d8ea9db466ddf4</t>
        </is>
      </c>
      <c r="B42" t="inlineStr">
        <is>
          <t>Principal Applied Scientist, Advertiser Growth, Amazon Sponsored Products &amp; Brands</t>
        </is>
      </c>
      <c r="C42" t="inlineStr">
        <is>
          <t>Amazon.com</t>
        </is>
      </c>
      <c r="D42" t="inlineStr">
        <is>
          <t>indeed</t>
        </is>
      </c>
      <c r="E42">
        <f>HYPERLINK("https://www.indeed.com/viewjob?jk=c5d8ea9db466ddf4", "https://www.indeed.com/viewjob?jk=c5d8ea9db466ddf4")</f>
        <v/>
      </c>
      <c r="F42">
        <f>HYPERLINK("https://www.amazon.jobs/jobs/3115279/principal-applied-scientist-advertiser-growth-amazon-sponsored-products--brands?cmpid=DA_INAD200785B", "https://www.amazon.jobs/jobs/3115279/principal-applied-scientist-advertiser-growth-amazon-sponsored-products--brands?cmpid=DA_INAD200785B")</f>
        <v/>
      </c>
      <c r="G42" t="inlineStr">
        <is>
          <t>Seattle, WA, US</t>
        </is>
      </c>
      <c r="H42" s="3" t="n">
        <v>45942</v>
      </c>
      <c r="I4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in-5fa07f2513156ad5</t>
        </is>
      </c>
      <c r="B43" t="inlineStr">
        <is>
          <t>Applied Scientist II, Prime Video - Personalization and Discovery Science, Personalization and Discovery Science</t>
        </is>
      </c>
      <c r="C43" t="inlineStr">
        <is>
          <t>Amazon.com</t>
        </is>
      </c>
      <c r="D43" t="inlineStr">
        <is>
          <t>indeed</t>
        </is>
      </c>
      <c r="E43">
        <f>HYPERLINK("https://www.indeed.com/viewjob?jk=5fa07f2513156ad5", "https://www.indeed.com/viewjob?jk=5fa07f2513156ad5")</f>
        <v/>
      </c>
      <c r="F4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3" t="inlineStr">
        <is>
          <t>New York, NY, US</t>
        </is>
      </c>
      <c r="H43" s="3" t="n">
        <v>45930</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in-eaa1e848ab0e8c66</t>
        </is>
      </c>
      <c r="B44" t="inlineStr">
        <is>
          <t>Applied Scientist II, Prime Video - Personalization and Discovery Science, Personalization and Discovery Science</t>
        </is>
      </c>
      <c r="C44" t="inlineStr">
        <is>
          <t>Amazon.com</t>
        </is>
      </c>
      <c r="D44" t="inlineStr">
        <is>
          <t>indeed</t>
        </is>
      </c>
      <c r="E44">
        <f>HYPERLINK("https://www.indeed.com/viewjob?jk=eaa1e848ab0e8c66", "https://www.indeed.com/viewjob?jk=eaa1e848ab0e8c66")</f>
        <v/>
      </c>
      <c r="F4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4" t="inlineStr">
        <is>
          <t>Seattle, WA, US</t>
        </is>
      </c>
      <c r="H44" s="3" t="n">
        <v>45930</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in-34e337bbb37850c9</t>
        </is>
      </c>
      <c r="B45" t="inlineStr">
        <is>
          <t>Applied Scientist II, Prime Video - Personalization and Discovery Science, Personalization and Discovery Science</t>
        </is>
      </c>
      <c r="C45" t="inlineStr">
        <is>
          <t>Amazon.com</t>
        </is>
      </c>
      <c r="D45" t="inlineStr">
        <is>
          <t>indeed</t>
        </is>
      </c>
      <c r="E45">
        <f>HYPERLINK("https://www.indeed.com/viewjob?jk=34e337bbb37850c9", "https://www.indeed.com/viewjob?jk=34e337bbb37850c9")</f>
        <v/>
      </c>
      <c r="F4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5" t="inlineStr">
        <is>
          <t>Sunnyvale, CA, US</t>
        </is>
      </c>
      <c r="H45" s="3" t="n">
        <v>45930</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in-66ef153515f91eb9</t>
        </is>
      </c>
      <c r="B46" t="inlineStr">
        <is>
          <t>Applied Scientist II, Prime Video - Personalization and Discovery Science</t>
        </is>
      </c>
      <c r="C46" t="inlineStr">
        <is>
          <t>Amazon.com</t>
        </is>
      </c>
      <c r="D46" t="inlineStr">
        <is>
          <t>indeed</t>
        </is>
      </c>
      <c r="E46">
        <f>HYPERLINK("https://www.indeed.com/viewjob?jk=66ef153515f91eb9", "https://www.indeed.com/viewjob?jk=66ef153515f91eb9")</f>
        <v/>
      </c>
      <c r="F46">
        <f>HYPERLINK("https://www.amazon.jobs/jobs/3059253/applied-scientist-ii-prime-video--personalization-and-discovery-science?cmpid=DA_INAD200785B", "https://www.amazon.jobs/jobs/3059253/applied-scientist-ii-prime-video--personalization-and-discovery-science?cmpid=DA_INAD200785B")</f>
        <v/>
      </c>
      <c r="G46" t="inlineStr">
        <is>
          <t>Seattle, WA, US</t>
        </is>
      </c>
      <c r="H46" s="3" t="n">
        <v>45881</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in-72ad87167c3bf49d</t>
        </is>
      </c>
      <c r="B47" t="inlineStr">
        <is>
          <t>Applied Scientist II, Prime Video - Personalization and Discovery Science</t>
        </is>
      </c>
      <c r="C47" t="inlineStr">
        <is>
          <t>Amazon.com</t>
        </is>
      </c>
      <c r="D47" t="inlineStr">
        <is>
          <t>indeed</t>
        </is>
      </c>
      <c r="E47">
        <f>HYPERLINK("https://www.indeed.com/viewjob?jk=72ad87167c3bf49d", "https://www.indeed.com/viewjob?jk=72ad87167c3bf49d")</f>
        <v/>
      </c>
      <c r="F47">
        <f>HYPERLINK("https://www.amazon.jobs/jobs/3059253/applied-scientist-ii-prime-video--personalization-and-discovery-science?cmpid=DA_INAD200785B", "https://www.amazon.jobs/jobs/3059253/applied-scientist-ii-prime-video--personalization-and-discovery-science?cmpid=DA_INAD200785B")</f>
        <v/>
      </c>
      <c r="G47" t="inlineStr">
        <is>
          <t>New York, NY, US</t>
        </is>
      </c>
      <c r="H47" s="3" t="n">
        <v>45881</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in-48c865c38e6b289d</t>
        </is>
      </c>
      <c r="B48" t="inlineStr">
        <is>
          <t>Applied Scientist II, Prime Video - Personalization and Discovery Science</t>
        </is>
      </c>
      <c r="C48" t="inlineStr">
        <is>
          <t>Amazon.com</t>
        </is>
      </c>
      <c r="D48" t="inlineStr">
        <is>
          <t>indeed</t>
        </is>
      </c>
      <c r="E48">
        <f>HYPERLINK("https://www.indeed.com/viewjob?jk=48c865c38e6b289d", "https://www.indeed.com/viewjob?jk=48c865c38e6b289d")</f>
        <v/>
      </c>
      <c r="F48">
        <f>HYPERLINK("https://www.amazon.jobs/jobs/3059253/applied-scientist-ii-prime-video--personalization-and-discovery-science?cmpid=DA_INAD200785B", "https://www.amazon.jobs/jobs/3059253/applied-scientist-ii-prime-video--personalization-and-discovery-science?cmpid=DA_INAD200785B")</f>
        <v/>
      </c>
      <c r="G48" t="inlineStr">
        <is>
          <t>Sunnyvale, CA, US</t>
        </is>
      </c>
      <c r="H48" s="3" t="n">
        <v>45881</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in-508de283ba944ca3</t>
        </is>
      </c>
      <c r="B49" t="inlineStr">
        <is>
          <t>Sr. Applied Scientist, Prime Video - Personalization and Discovery Science</t>
        </is>
      </c>
      <c r="C49" t="inlineStr">
        <is>
          <t>Amazon.com</t>
        </is>
      </c>
      <c r="D49" t="inlineStr">
        <is>
          <t>indeed</t>
        </is>
      </c>
      <c r="E49">
        <f>HYPERLINK("https://www.indeed.com/viewjob?jk=508de283ba944ca3", "https://www.indeed.com/viewjob?jk=508de283ba944ca3")</f>
        <v/>
      </c>
      <c r="F49">
        <f>HYPERLINK("https://www.amazon.jobs/jobs/3059256/sr-applied-scientist-prime-video--personalization-and-discovery-science?cmpid=DA_INAD200785B", "https://www.amazon.jobs/jobs/3059256/sr-applied-scientist-prime-video--personalization-and-discovery-science?cmpid=DA_INAD200785B")</f>
        <v/>
      </c>
      <c r="G49" t="inlineStr">
        <is>
          <t>Seattle, WA, US</t>
        </is>
      </c>
      <c r="H49" s="3" t="n">
        <v>45881</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in-6f4286c0a7379e25</t>
        </is>
      </c>
      <c r="B50" t="inlineStr">
        <is>
          <t>Sr. Applied Scientist, Prime Video - Personalization and Discovery Science</t>
        </is>
      </c>
      <c r="C50" t="inlineStr">
        <is>
          <t>Amazon.com</t>
        </is>
      </c>
      <c r="D50" t="inlineStr">
        <is>
          <t>indeed</t>
        </is>
      </c>
      <c r="E50">
        <f>HYPERLINK("https://www.indeed.com/viewjob?jk=6f4286c0a7379e25", "https://www.indeed.com/viewjob?jk=6f4286c0a7379e25")</f>
        <v/>
      </c>
      <c r="F50">
        <f>HYPERLINK("https://www.amazon.jobs/jobs/3059256/sr-applied-scientist-prime-video--personalization-and-discovery-science?cmpid=DA_INAD200785B", "https://www.amazon.jobs/jobs/3059256/sr-applied-scientist-prime-video--personalization-and-discovery-science?cmpid=DA_INAD200785B")</f>
        <v/>
      </c>
      <c r="G50" t="inlineStr">
        <is>
          <t>Sunnyvale, CA, US</t>
        </is>
      </c>
      <c r="H50" s="3" t="n">
        <v>45881</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in-bd1097b3ed66981a</t>
        </is>
      </c>
      <c r="B51" t="inlineStr">
        <is>
          <t>Sr. Applied Scientist, Prime Video - Personalization and Discovery Science</t>
        </is>
      </c>
      <c r="C51" t="inlineStr">
        <is>
          <t>Amazon.com</t>
        </is>
      </c>
      <c r="D51" t="inlineStr">
        <is>
          <t>indeed</t>
        </is>
      </c>
      <c r="E51">
        <f>HYPERLINK("https://www.indeed.com/viewjob?jk=bd1097b3ed66981a", "https://www.indeed.com/viewjob?jk=bd1097b3ed66981a")</f>
        <v/>
      </c>
      <c r="F51">
        <f>HYPERLINK("https://www.amazon.jobs/jobs/3059256/sr-applied-scientist-prime-video--personalization-and-discovery-science?cmpid=DA_INAD200785B", "https://www.amazon.jobs/jobs/3059256/sr-applied-scientist-prime-video--personalization-and-discovery-science?cmpid=DA_INAD200785B")</f>
        <v/>
      </c>
      <c r="G51" t="inlineStr">
        <is>
          <t>New York, NY, US</t>
        </is>
      </c>
      <c r="H51" s="3" t="n">
        <v>45881</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in-41f2fe6327893205</t>
        </is>
      </c>
      <c r="B52" t="inlineStr">
        <is>
          <t>Sr. Applied Scientist, Amazon Advertising</t>
        </is>
      </c>
      <c r="C52" t="inlineStr">
        <is>
          <t>Amazon.com</t>
        </is>
      </c>
      <c r="D52" t="inlineStr">
        <is>
          <t>indeed</t>
        </is>
      </c>
      <c r="E52">
        <f>HYPERLINK("https://www.indeed.com/viewjob?jk=41f2fe6327893205", "https://www.indeed.com/viewjob?jk=41f2fe6327893205")</f>
        <v/>
      </c>
      <c r="F52">
        <f>HYPERLINK("https://www.amazon.jobs/jobs/3035686/sr-applied-scientist-amazon-advertising?cmpid=DA_INAD200785B", "https://www.amazon.jobs/jobs/3035686/sr-applied-scientist-amazon-advertising?cmpid=DA_INAD200785B")</f>
        <v/>
      </c>
      <c r="G52" t="inlineStr">
        <is>
          <t>Los Angeles, CA, US</t>
        </is>
      </c>
      <c r="H52" s="3" t="n">
        <v>45851</v>
      </c>
      <c r="I5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in-91b49a700a144d93</t>
        </is>
      </c>
      <c r="B53" t="inlineStr">
        <is>
          <t>Sr. Applied Scientist, Amazon Advertising</t>
        </is>
      </c>
      <c r="C53" t="inlineStr">
        <is>
          <t>Amazon.com</t>
        </is>
      </c>
      <c r="D53" t="inlineStr">
        <is>
          <t>indeed</t>
        </is>
      </c>
      <c r="E53">
        <f>HYPERLINK("https://www.indeed.com/viewjob?jk=91b49a700a144d93", "https://www.indeed.com/viewjob?jk=91b49a700a144d93")</f>
        <v/>
      </c>
      <c r="F53">
        <f>HYPERLINK("https://www.amazon.jobs/jobs/3035686/sr-applied-scientist-amazon-advertising?cmpid=DA_INAD200785B", "https://www.amazon.jobs/jobs/3035686/sr-applied-scientist-amazon-advertising?cmpid=DA_INAD200785B")</f>
        <v/>
      </c>
      <c r="G53" t="inlineStr">
        <is>
          <t>West Hollywood, CA, US</t>
        </is>
      </c>
      <c r="H53" s="3" t="n">
        <v>45851</v>
      </c>
      <c r="I5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in-906156fa6768cb30</t>
        </is>
      </c>
      <c r="B54" t="inlineStr">
        <is>
          <t>Sr. Applied Scientist, Amazon Advertising</t>
        </is>
      </c>
      <c r="C54" t="inlineStr">
        <is>
          <t>Amazon.com</t>
        </is>
      </c>
      <c r="D54" t="inlineStr">
        <is>
          <t>indeed</t>
        </is>
      </c>
      <c r="E54">
        <f>HYPERLINK("https://www.indeed.com/viewjob?jk=906156fa6768cb30", "https://www.indeed.com/viewjob?jk=906156fa6768cb30")</f>
        <v/>
      </c>
      <c r="F54">
        <f>HYPERLINK("https://www.amazon.jobs/jobs/3035686/sr-applied-scientist-amazon-advertising?cmpid=DA_INAD200785B", "https://www.amazon.jobs/jobs/3035686/sr-applied-scientist-amazon-advertising?cmpid=DA_INAD200785B")</f>
        <v/>
      </c>
      <c r="G54" t="inlineStr">
        <is>
          <t>New York, NY, US</t>
        </is>
      </c>
      <c r="H54" s="3" t="n">
        <v>45851</v>
      </c>
      <c r="I5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in-5ced48cf6130c3b6</t>
        </is>
      </c>
      <c r="B55" t="inlineStr">
        <is>
          <t>Sr. Applied Scientist, Amazon Advertising</t>
        </is>
      </c>
      <c r="C55" t="inlineStr">
        <is>
          <t>Amazon.com</t>
        </is>
      </c>
      <c r="D55" t="inlineStr">
        <is>
          <t>indeed</t>
        </is>
      </c>
      <c r="E55">
        <f>HYPERLINK("https://www.indeed.com/viewjob?jk=5ced48cf6130c3b6", "https://www.indeed.com/viewjob?jk=5ced48cf6130c3b6")</f>
        <v/>
      </c>
      <c r="F55">
        <f>HYPERLINK("https://www.amazon.jobs/jobs/3035686/sr-applied-scientist-amazon-advertising?cmpid=DA_INAD200785B", "https://www.amazon.jobs/jobs/3035686/sr-applied-scientist-amazon-advertising?cmpid=DA_INAD200785B")</f>
        <v/>
      </c>
      <c r="G55" t="inlineStr">
        <is>
          <t>Palo Alto, CA, US</t>
        </is>
      </c>
      <c r="H55" s="3" t="n">
        <v>45851</v>
      </c>
      <c r="I5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in-f94cc51a627812b2</t>
        </is>
      </c>
      <c r="B56" t="inlineStr">
        <is>
          <t>Sr. Applied Scientist, Amazon Advertising</t>
        </is>
      </c>
      <c r="C56" t="inlineStr">
        <is>
          <t>Amazon.com</t>
        </is>
      </c>
      <c r="D56" t="inlineStr">
        <is>
          <t>indeed</t>
        </is>
      </c>
      <c r="E56">
        <f>HYPERLINK("https://www.indeed.com/viewjob?jk=f94cc51a627812b2", "https://www.indeed.com/viewjob?jk=f94cc51a627812b2")</f>
        <v/>
      </c>
      <c r="F56">
        <f>HYPERLINK("https://www.amazon.jobs/jobs/3035686/sr-applied-scientist-amazon-advertising?cmpid=DA_INAD200785B", "https://www.amazon.jobs/jobs/3035686/sr-applied-scientist-amazon-advertising?cmpid=DA_INAD200785B")</f>
        <v/>
      </c>
      <c r="G56" t="inlineStr">
        <is>
          <t>Seattle, WA, US</t>
        </is>
      </c>
      <c r="H56" s="3" t="n">
        <v>45851</v>
      </c>
      <c r="I5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in-7bbf5a12a2dee965</t>
        </is>
      </c>
      <c r="B57" t="inlineStr">
        <is>
          <t>Sr. Applied Scientist, Amazon Advertising</t>
        </is>
      </c>
      <c r="C57" t="inlineStr">
        <is>
          <t>Amazon.com</t>
        </is>
      </c>
      <c r="D57" t="inlineStr">
        <is>
          <t>indeed</t>
        </is>
      </c>
      <c r="E57">
        <f>HYPERLINK("https://www.indeed.com/viewjob?jk=7bbf5a12a2dee965", "https://www.indeed.com/viewjob?jk=7bbf5a12a2dee965")</f>
        <v/>
      </c>
      <c r="F57">
        <f>HYPERLINK("https://www.amazon.jobs/jobs/3035686/sr-applied-scientist-amazon-advertising?cmpid=DA_INAD200785B", "https://www.amazon.jobs/jobs/3035686/sr-applied-scientist-amazon-advertising?cmpid=DA_INAD200785B")</f>
        <v/>
      </c>
      <c r="G57" t="inlineStr">
        <is>
          <t>Arlington, VA, US</t>
        </is>
      </c>
      <c r="H57" s="3" t="n">
        <v>45851</v>
      </c>
      <c r="I5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in-0bc0933892a1bba4</t>
        </is>
      </c>
      <c r="B58" t="inlineStr">
        <is>
          <t>Sr. Applied Scientist, Amazon Advertising</t>
        </is>
      </c>
      <c r="C58" t="inlineStr">
        <is>
          <t>Amazon.com</t>
        </is>
      </c>
      <c r="D58" t="inlineStr">
        <is>
          <t>indeed</t>
        </is>
      </c>
      <c r="E58">
        <f>HYPERLINK("https://www.indeed.com/viewjob?jk=0bc0933892a1bba4", "https://www.indeed.com/viewjob?jk=0bc0933892a1bba4")</f>
        <v/>
      </c>
      <c r="F58">
        <f>HYPERLINK("https://www.amazon.jobs/jobs/3035686/sr-applied-scientist-amazon-advertising?cmpid=DA_INAD200785B", "https://www.amazon.jobs/jobs/3035686/sr-applied-scientist-amazon-advertising?cmpid=DA_INAD200785B")</f>
        <v/>
      </c>
      <c r="G58" t="inlineStr">
        <is>
          <t>Simi Valley, CA, US</t>
        </is>
      </c>
      <c r="H58" s="3" t="n">
        <v>45851</v>
      </c>
      <c r="I5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in-d5158ae4c77a3a91</t>
        </is>
      </c>
      <c r="B59" t="inlineStr">
        <is>
          <t>Sr. Applied Scientist, Amazon Advertising</t>
        </is>
      </c>
      <c r="C59" t="inlineStr">
        <is>
          <t>Amazon.com</t>
        </is>
      </c>
      <c r="D59" t="inlineStr">
        <is>
          <t>indeed</t>
        </is>
      </c>
      <c r="E59">
        <f>HYPERLINK("https://www.indeed.com/viewjob?jk=d5158ae4c77a3a91", "https://www.indeed.com/viewjob?jk=d5158ae4c77a3a91")</f>
        <v/>
      </c>
      <c r="F59">
        <f>HYPERLINK("https://www.amazon.jobs/jobs/3035686/sr-applied-scientist-amazon-advertising?cmpid=DA_INAD200785B", "https://www.amazon.jobs/jobs/3035686/sr-applied-scientist-amazon-advertising?cmpid=DA_INAD200785B")</f>
        <v/>
      </c>
      <c r="G59" t="inlineStr">
        <is>
          <t>Austin, TX, US</t>
        </is>
      </c>
      <c r="H59" s="3" t="n">
        <v>45851</v>
      </c>
      <c r="I5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in-38e0d789a855e193</t>
        </is>
      </c>
      <c r="B60" t="inlineStr">
        <is>
          <t>Applied Scientist, Prime Video - Personalization and Discovery Science</t>
        </is>
      </c>
      <c r="C60" t="inlineStr">
        <is>
          <t>Amazon.com</t>
        </is>
      </c>
      <c r="D60" t="inlineStr">
        <is>
          <t>indeed</t>
        </is>
      </c>
      <c r="E60">
        <f>HYPERLINK("https://www.indeed.com/viewjob?jk=38e0d789a855e193", "https://www.indeed.com/viewjob?jk=38e0d789a855e193")</f>
        <v/>
      </c>
      <c r="F60">
        <f>HYPERLINK("https://www.amazon.jobs/jobs/3033050/applied-scientist-prime-video--personalization-and-discovery-science?cmpid=DA_INAD200785B", "https://www.amazon.jobs/jobs/3033050/applied-scientist-prime-video--personalization-and-discovery-science?cmpid=DA_INAD200785B")</f>
        <v/>
      </c>
      <c r="G60" t="inlineStr">
        <is>
          <t>New York, NY, US</t>
        </is>
      </c>
      <c r="H60" s="3" t="n">
        <v>45845</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in-7b8d04be1d35ed16</t>
        </is>
      </c>
      <c r="B61" t="inlineStr">
        <is>
          <t>Applied Scientist, Prime Video - Personalization and Discovery Science</t>
        </is>
      </c>
      <c r="C61" t="inlineStr">
        <is>
          <t>Amazon.com</t>
        </is>
      </c>
      <c r="D61" t="inlineStr">
        <is>
          <t>indeed</t>
        </is>
      </c>
      <c r="E61">
        <f>HYPERLINK("https://www.indeed.com/viewjob?jk=7b8d04be1d35ed16", "https://www.indeed.com/viewjob?jk=7b8d04be1d35ed16")</f>
        <v/>
      </c>
      <c r="F61">
        <f>HYPERLINK("https://www.amazon.jobs/jobs/3033050/applied-scientist-prime-video--personalization-and-discovery-science?cmpid=DA_INAD200785B", "https://www.amazon.jobs/jobs/3033050/applied-scientist-prime-video--personalization-and-discovery-science?cmpid=DA_INAD200785B")</f>
        <v/>
      </c>
      <c r="G61" t="inlineStr">
        <is>
          <t>Sunnyvale, CA, US</t>
        </is>
      </c>
      <c r="H61" s="3" t="n">
        <v>45845</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in-c3bea9cc373ac375</t>
        </is>
      </c>
      <c r="B62" t="inlineStr">
        <is>
          <t>Applied Scientist, Prime Video - Personalization and Discovery Science</t>
        </is>
      </c>
      <c r="C62" t="inlineStr">
        <is>
          <t>Amazon.com</t>
        </is>
      </c>
      <c r="D62" t="inlineStr">
        <is>
          <t>indeed</t>
        </is>
      </c>
      <c r="E62">
        <f>HYPERLINK("https://www.indeed.com/viewjob?jk=c3bea9cc373ac375", "https://www.indeed.com/viewjob?jk=c3bea9cc373ac375")</f>
        <v/>
      </c>
      <c r="F62">
        <f>HYPERLINK("https://www.amazon.jobs/jobs/3033050/applied-scientist-prime-video--personalization-and-discovery-science?cmpid=DA_INAD200785B", "https://www.amazon.jobs/jobs/3033050/applied-scientist-prime-video--personalization-and-discovery-science?cmpid=DA_INAD200785B")</f>
        <v/>
      </c>
      <c r="G62" t="inlineStr">
        <is>
          <t>Seattle, WA, US</t>
        </is>
      </c>
      <c r="H62" s="3" t="n">
        <v>45845</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in-5e48857276005670</t>
        </is>
      </c>
      <c r="B63" t="inlineStr">
        <is>
          <t>Principal Applied Scientist, FAR (Frontier AI &amp; Robotics)</t>
        </is>
      </c>
      <c r="C63" t="inlineStr">
        <is>
          <t>Amazon.com</t>
        </is>
      </c>
      <c r="D63" t="inlineStr">
        <is>
          <t>indeed</t>
        </is>
      </c>
      <c r="E63">
        <f>HYPERLINK("https://www.indeed.com/viewjob?jk=5e48857276005670", "https://www.indeed.com/viewjob?jk=5e48857276005670")</f>
        <v/>
      </c>
      <c r="F63">
        <f>HYPERLINK("https://www.amazon.jobs/jobs/2938625/principal-applied-scientist-far-frontier-ai--robotics?cmpid=DA_INAD200785B", "https://www.amazon.jobs/jobs/2938625/principal-applied-scientist-far-frontier-ai--robotics?cmpid=DA_INAD200785B")</f>
        <v/>
      </c>
      <c r="G63" t="inlineStr">
        <is>
          <t>San Francisco, CA, US</t>
        </is>
      </c>
      <c r="H63" s="3" t="n">
        <v>45740</v>
      </c>
      <c r="I6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in-0f42cf79dd9b3db7</t>
        </is>
      </c>
      <c r="B64" t="inlineStr">
        <is>
          <t>Principal Applied Scientist, FAR (Frontier AI &amp; Robotics)</t>
        </is>
      </c>
      <c r="C64" t="inlineStr">
        <is>
          <t>Amazon.com</t>
        </is>
      </c>
      <c r="D64" t="inlineStr">
        <is>
          <t>indeed</t>
        </is>
      </c>
      <c r="E64">
        <f>HYPERLINK("https://www.indeed.com/viewjob?jk=0f42cf79dd9b3db7", "https://www.indeed.com/viewjob?jk=0f42cf79dd9b3db7")</f>
        <v/>
      </c>
      <c r="F64">
        <f>HYPERLINK("https://www.amazon.jobs/jobs/2938625/principal-applied-scientist-far-frontier-ai--robotics?cmpid=DA_INAD200785B", "https://www.amazon.jobs/jobs/2938625/principal-applied-scientist-far-frontier-ai--robotics?cmpid=DA_INAD200785B")</f>
        <v/>
      </c>
      <c r="G64" t="inlineStr">
        <is>
          <t>Seattle, WA, US</t>
        </is>
      </c>
      <c r="H64" s="3" t="n">
        <v>45740</v>
      </c>
      <c r="I6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in-27fb937f776996f6</t>
        </is>
      </c>
      <c r="B65" t="inlineStr">
        <is>
          <t>Staff Machine Learning Engineer - Ads</t>
        </is>
      </c>
      <c r="C65" t="inlineStr">
        <is>
          <t>Uber</t>
        </is>
      </c>
      <c r="D65" t="inlineStr">
        <is>
          <t>indeed</t>
        </is>
      </c>
      <c r="E65">
        <f>HYPERLINK("https://www.indeed.com/viewjob?jk=27fb937f776996f6", "https://www.indeed.com/viewjob?jk=27fb937f776996f6")</f>
        <v/>
      </c>
      <c r="F65">
        <f>HYPERLINK("https://tnl2.jometer.com/v2/job?jz=5wqzs4688776f8c7a542359f87375db63c558KMAAKAAAAABQ&amp;iis=Job%20Board%20-%20Recruitment%20Marketing&amp;iisn=Indeed%20Organic", "https://tnl2.jometer.com/v2/job?jz=5wqzs4688776f8c7a542359f87375db63c558KMAAKAAAAABQ&amp;iis=Job%20Board%20-%20Recruitment%20Marketing&amp;iisn=Indeed%20Organic")</f>
        <v/>
      </c>
      <c r="G65" t="inlineStr">
        <is>
          <t>New York, NY, US</t>
        </is>
      </c>
      <c r="H65" s="3" t="n">
        <v>46058</v>
      </c>
      <c r="I65" t="inlineStr">
        <is>
          <t>The Ads Machine Learning team at Uber is responsible for designing, building, and evolving the core ML systems that powers ads selection, ranking, pricing, and delivery across the Uber ecosystem. We develop a deep understanding of user intent and merchant objectives to produce high quality ML signals that drive large scale auction based decision making. These systems operate under strict latency, reliability, and fairness constraints while serving billions of predictions that directly impact user experience, advertiser performance, and revenue outcomes.
As a Staff Machine Learning Engineer, you will play a central role in defining and executing the Ads ML technical roadmap. You will lead the design of next generation recommendation and auction architectures, enable step function improvements in model quality and serving efficiency, and raise the bar on observability and reliability of online ML systems. This role requires end to end ownership across modeling, training, online inference, and system integration, as well as close collaboration with product, infrastructure, and platform teams. Delivering robust, scalable, and measurable ad recommendations is critical to Uber's rapidly growing Ads business, making this a highly visible and high impact role.
**What the Candidate Will Do:*** Lead the design and evolution of machine learning models that power ads ranking, pricing, and auction systems at scale.
* Own end to end ML systems, including training pipelines, feature infrastructure, and low latency online inference for real time and batch use cases.
* Apply advanced statistical and ML techniques to improve ads relevance, marketplace efficiency, and advertiser outcomes.
* Define experimentation strategies, success metrics, and evaluation frameworks, and drive iteration through rigorous offline and online testing.
* Establish model and system observability through metrics, dashboards, and reliability best practices.
* Translate ambiguous product goals into durable ML architectures in close partnership with Product and Engineering.
* Provide technical leadership through mentorship, design reviews, and raising engineering standards across the Ads ML org.
* Stay current on advances in machine learning and ads auction systems, and drive adoption where they deliver clear impact.
**Basic Qualifications:*** Bachelor's degree or equivalent experience in Computer Science, Computer Engineering, Data Science, Machine Learning, Statistics, or a related quantitative field.
* Demonstrated ownership of designing, deploying, and evolving large scale machine learning systems powering ads ranking, auction, or pricing in production environments.
* Strong proficiency in Python for building production ML systems and defining model, feature, and training abstractions used across teams.
* Deep understanding of SQL with experience driving production decision making, data validation, and system level analysis.
* Strong grasp of big data and distributed system architectures, with experience designing data platforms and ETL pipelines that support Ads ML workloads.
* Hands on experience building and operating batch data pipelines using Spark or comparable distributed compute frameworks, with accountability for data quality and correctness.
* Proven expertise in experimentation and evaluation, including A/B testing and offline metrics for ads auctions, ranking quality, and marketplace outcomes.
* Experience defining and operationalizing model and serving level metrics, and building observability for reliable online ML inference systems.
* Experience owning or influencing online model serving, including latency aware inference, scalability, and reliability considerations.
* Strong grounding in statistical methods, with the ability to reason about bias, uncertainty, and tradeoffs in ads and marketplace systems.
* Demonstrated ability to influence product and technical direction by synthesizing complex modeling insights into clear recommendations.
* Ability to operate independently in ambiguous problem spaces, set technical direction, and drive alignment across ML, product, and platform teams.
* Strong communication skills across technical and executive audiences, with a consistent track record of mentorship and feedback.
**Preferred Qualifications :*** 7 or more years of industry experience as a Machine Learning Engineer or equivalent, with demonstrated impact at Staff or equivalent scope.
* Proven experience leading large, ambiguous technical initiatives and setting direction across teams in fast moving, cross functional environments.
* Experience designing, scaling, and operating production ML systems end to end, including training, deployment, and online inference.
* Hands on experience with online model serving and inference optimization, including latency aware systems, GPU based serving, or platforms such as Triton.
* Direct experience building or evolving ads auction systems, including ranking, pricing, calibration, or marketplace tradeoffs.
* Experience applying state of the art deep learning architectures for large scale recommendation or ranking systems, including modern GenRec patterns.
Advanced degree (M.S. or Ph.D.) in Machine Learning, Data Science, or a related field is a plus.  
* 
For New York, NY\-based roles: The base hourly rate amount for this role is USD$30\.00 per hour. You will also be eligible for various benefits.</t>
        </is>
      </c>
    </row>
    <row r="66">
      <c r="A66" t="inlineStr">
        <is>
          <t>in-b20102265462c8eb</t>
        </is>
      </c>
      <c r="B66" t="inlineStr">
        <is>
          <t>Staff Machine Learning Engineer - Ads</t>
        </is>
      </c>
      <c r="C66" t="inlineStr">
        <is>
          <t>Uber</t>
        </is>
      </c>
      <c r="D66" t="inlineStr">
        <is>
          <t>indeed</t>
        </is>
      </c>
      <c r="E66">
        <f>HYPERLINK("https://www.indeed.com/viewjob?jk=b20102265462c8eb", "https://www.indeed.com/viewjob?jk=b20102265462c8eb")</f>
        <v/>
      </c>
      <c r="F66">
        <f>HYPERLINK("https://tnl2.jometer.com/v2/job?jz=5wqzsbd0c898fb9afc8cf406e5e50a42b4bc5KMAAKAAAAABQ&amp;iis=Job%20Board%20-%20Recruitment%20Marketing&amp;iisn=Indeed%20Organic", "https://tnl2.jometer.com/v2/job?jz=5wqzsbd0c898fb9afc8cf406e5e50a42b4bc5KMAAKAAAAABQ&amp;iis=Job%20Board%20-%20Recruitment%20Marketing&amp;iisn=Indeed%20Organic")</f>
        <v/>
      </c>
      <c r="G66" t="inlineStr">
        <is>
          <t>San Francisco, CA, US</t>
        </is>
      </c>
      <c r="H66" s="3" t="n">
        <v>46058</v>
      </c>
      <c r="I66" t="inlineStr">
        <is>
          <t>The Ads Machine Learning team at Uber is responsible for designing, building, and evolving the core ML systems that powers ads selection, ranking, pricing, and delivery across the Uber ecosystem. We develop a deep understanding of user intent and merchant objectives to produce high quality ML signals that drive large scale auction based decision making. These systems operate under strict latency, reliability, and fairness constraints while serving billions of predictions that directly impact user experience, advertiser performance, and revenue outcomes.
As a Staff Machine Learning Engineer, you will play a central role in defining and executing the Ads ML technical roadmap. You will lead the design of next generation recommendation and auction architectures, enable step function improvements in model quality and serving efficiency, and raise the bar on observability and reliability of online ML systems. This role requires end to end ownership across modeling, training, online inference, and system integration, as well as close collaboration with product, infrastructure, and platform teams. Delivering robust, scalable, and measurable ad recommendations is critical to Uber's rapidly growing Ads business, making this a highly visible and high impact role.
**What the Candidate Will Do:*** Lead the design and evolution of machine learning models that power ads ranking, pricing, and auction systems at scale.
* Own end to end ML systems, including training pipelines, feature infrastructure, and low latency online inference for real time and batch use cases.
* Apply advanced statistical and ML techniques to improve ads relevance, marketplace efficiency, and advertiser outcomes.
* Define experimentation strategies, success metrics, and evaluation frameworks, and drive iteration through rigorous offline and online testing.
* Establish model and system observability through metrics, dashboards, and reliability best practices.
* Translate ambiguous product goals into durable ML architectures in close partnership with Product and Engineering.
* Provide technical leadership through mentorship, design reviews, and raising engineering standards across the Ads ML org.
* Stay current on advances in machine learning and ads auction systems, and drive adoption where they deliver clear impact.
**Basic Qualifications:*** Bachelor's degree or equivalent experience in Computer Science, Computer Engineering, Data Science, Machine Learning, Statistics, or a related quantitative field.
* Demonstrated ownership of designing, deploying, and evolving large scale machine learning systems powering ads ranking, auction, or pricing in production environments.
* Strong proficiency in Python for building production ML systems and defining model, feature, and training abstractions used across teams.
* Deep understanding of SQL with experience driving production decision making, data validation, and system level analysis.
* Strong grasp of big data and distributed system architectures, with experience designing data platforms and ETL pipelines that support Ads ML workloads.
* Hands on experience building and operating batch data pipelines using Spark or comparable distributed compute frameworks, with accountability for data quality and correctness.
* Proven expertise in experimentation and evaluation, including A/B testing and offline metrics for ads auctions, ranking quality, and marketplace outcomes.
* Experience defining and operationalizing model and serving level metrics, and building observability for reliable online ML inference systems.
* Experience owning or influencing online model serving, including latency aware inference, scalability, and reliability considerations.
* Strong grounding in statistical methods, with the ability to reason about bias, uncertainty, and tradeoffs in ads and marketplace systems.
* Demonstrated ability to influence product and technical direction by synthesizing complex modeling insights into clear recommendations.
* Ability to operate independently in ambiguous problem spaces, set technical direction, and drive alignment across ML, product, and platform teams.
* Strong communication skills across technical and executive audiences, with a consistent track record of mentorship and feedback.
**Preferred Qualifications :*** 7 or more years of industry experience as a Machine Learning Engineer or equivalent, with demonstrated impact at Staff or equivalent scope.
* Proven experience leading large, ambiguous technical initiatives and setting direction across teams in fast moving, cross functional environments.
* Experience designing, scaling, and operating production ML systems end to end, including training, deployment, and online inference.
* Hands on experience with online model serving and inference optimization, including latency aware systems, GPU based serving, or platforms such as Triton.
* Direct experience building or evolving ads auction systems, including ranking, pricing, calibration, or marketplace tradeoffs.
* Experience applying state of the art deep learning architectures for large scale recommendation or ranking systems, including modern GenRec patterns.
Advanced degree (M.S. or Ph.D.) in Machine Learning, Data Science, or a related field is a plus.  
* 
For New York, NY\-based roles: The base hourly rate amount for this role is USD$30\.00 per hour. You will also be eligible for various benefits.</t>
        </is>
      </c>
    </row>
    <row r="67">
      <c r="A67" t="inlineStr">
        <is>
          <t>in-d754e8016f8d5226</t>
        </is>
      </c>
      <c r="B67" t="inlineStr">
        <is>
          <t>Machine Learning Engineer</t>
        </is>
      </c>
      <c r="C67" t="inlineStr">
        <is>
          <t>Paylocity</t>
        </is>
      </c>
      <c r="D67" t="inlineStr">
        <is>
          <t>indeed</t>
        </is>
      </c>
      <c r="E67">
        <f>HYPERLINK("https://www.indeed.com/viewjob?jk=d754e8016f8d5226", "https://www.indeed.com/viewjob?jk=d754e8016f8d5226")</f>
        <v/>
      </c>
      <c r="F67">
        <f>HYPERLINK("https://2000recruiting.paylocity.com/recruiting/jobs/Details/42409/PAYLOCITY-CORPORATION/Machine-Learning-Engineer?source=Indeed_Feed", "https://2000recruiting.paylocity.com/recruiting/jobs/Details/42409/PAYLOCITY-CORPORATION/Machine-Learning-Engineer?source=Indeed_Feed")</f>
        <v/>
      </c>
      <c r="G67" t="inlineStr">
        <is>
          <t>US</t>
        </is>
      </c>
      <c r="H67" s="3" t="n">
        <v>46058</v>
      </c>
      <c r="I67" t="inlineStr">
        <is>
          <t>**Position Title: Engineer Machine Learning**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Paylocity is growing its Machine Learning Engineering organization! Our machine learning engineering team is responsible for developing infrastructure and tooling to help enable data driven decisions and insights at scale for millions of Paylocity users.
As a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at least 3 of machine learning engineering success or similar experience at software companies; or, advanced degree (master’s or PhD) preferred in machine learning engineering, data engineering, computer science, engineering, statistics, mathematics, data science, or other quantitative field, with no additional experience required.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 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This email address is exclusively designated for such requests, aligning with federal and state disability laws. Please do not send resumes to this email address, as they will be removed.
The base pay range for this position is $106,600 \- $198,000/yr; however, base pay offered may vary depending on job\-related knowledge, skills, and experience. This position offers a full range of benefits . This information is provided per the relevant state and local pay transparency laws for the location in which this position will be performed. Base pay information is based on market location. Applicants should apply via www.paylocity.com/careers.</t>
        </is>
      </c>
    </row>
    <row r="68">
      <c r="A68" t="inlineStr">
        <is>
          <t>in-cf56c96fe267e655</t>
        </is>
      </c>
      <c r="B68" t="inlineStr">
        <is>
          <t>Full Stack AI Engineer</t>
        </is>
      </c>
      <c r="C68" t="inlineStr">
        <is>
          <t>Velosys</t>
        </is>
      </c>
      <c r="D68" t="inlineStr">
        <is>
          <t>indeed</t>
        </is>
      </c>
      <c r="E68">
        <f>HYPERLINK("https://www.indeed.com/viewjob?jk=cf56c96fe267e655", "https://www.indeed.com/viewjob?jk=cf56c96fe267e655")</f>
        <v/>
      </c>
      <c r="F68">
        <f>HYPERLINK("http://www.indeed.com/job/full-stack-ai-engineer-cf56c96fe267e655", "http://www.indeed.com/job/full-stack-ai-engineer-cf56c96fe267e655")</f>
        <v/>
      </c>
      <c r="G68" t="inlineStr">
        <is>
          <t>Austin, TX, US</t>
        </is>
      </c>
      <c r="H68" s="3" t="n">
        <v>46058</v>
      </c>
      <c r="I68" t="inlineStr">
        <is>
          <t>**Responsibilities**
* Build and maintain clean, efficient Python services, APIs, and microservices
* Contribute to AI\-powered applications using LLMs and agentic frameworks
* Collaborate with product, design, and engineering teams to ship new features
* Apply cloud\-native patterns with an API\-first mindset
* Optimize applications for performance, scalability, and security
* Ensure high quality through TDD and best engineering practices
* Stay current on emerging AI and cloud technologies
**Tech Stack**  
Python, LLMs, Agentic AI, JavaScript (React/Angular/Vue), Azure \&amp; AWS, Snowflake, Terraform/Bicep/CDK, Docker, Redis, Git/GitLab CI/CD, NoSQL (CosmosDB, MongoDB, DocumentDB)
**Qualifications**
* 3–4 years of full\-stack development experience, strong in Python
* Experience with Python frameworks (Django, Flask)
* Solid OOP fundamentals and API design experience
* Working knowledge of cloud platforms (Azure or AWS)
* Front\-end experience with JavaScript, HTML, and CSS
* Familiarity with containers (Docker; Kubernetes a plus)
* Experience building LLM\-based applications (OpenAI, Llama, or similar)
* Strong problem\-solving, communication, and teamwork skills
* Bachelor’s or Master’s in Computer Science, Engineering, or related field
**Nice to Have**
* Deploying Python apps to Azure using IaC (Bicep, Azure CLI, Terraform, etc.)
* Experience with Azure AI / Azure ML
* Background in financial services or asset management
* Experience with large\-scale, real\-time distributed systems
No 3rd party submissions, please.
Job Type: Full\-time
Pay: $125,000\.00 \- $148,000\.00 per year
Benefits:
* 401(k) matching
* AD\&amp;D insurance
* Dental insurance
* Flexible spending account
* Health insurance
* Life insurance
* Paid holidays
* Paid sick time
* Paid time off
* Prescription drug insurance
* Vision insurance
Work Location: In person</t>
        </is>
      </c>
    </row>
    <row r="69">
      <c r="A69" t="inlineStr">
        <is>
          <t>in-8ae90af8b4b73d17</t>
        </is>
      </c>
      <c r="B69" t="inlineStr">
        <is>
          <t>AWS AI Engineer</t>
        </is>
      </c>
      <c r="C69" t="inlineStr">
        <is>
          <t>Fustis LLC</t>
        </is>
      </c>
      <c r="D69" t="inlineStr">
        <is>
          <t>indeed</t>
        </is>
      </c>
      <c r="E69">
        <f>HYPERLINK("https://www.indeed.com/viewjob?jk=8ae90af8b4b73d17", "https://www.indeed.com/viewjob?jk=8ae90af8b4b73d17")</f>
        <v/>
      </c>
      <c r="F69">
        <f>HYPERLINK("https://fustis.oorwin.ai/#/careers/index.html/job/details/aee6e7cba08370f8e346c2a6268372c40be71fb7?source=indeed&amp;postedby=1", "https://fustis.oorwin.ai/#/careers/index.html/job/details/aee6e7cba08370f8e346c2a6268372c40be71fb7?source=indeed&amp;postedby=1")</f>
        <v/>
      </c>
      <c r="G69" t="inlineStr">
        <is>
          <t>Boston, MA, US</t>
        </is>
      </c>
      <c r="H69" s="3" t="n">
        <v>46058</v>
      </c>
      <c r="I69" t="inlineStr">
        <is>
          <t>AWS AI Engineer
Boston, MA
Hybrid role
Our AI Engineering Team builds custom web applications with leading LLMs, largely in secure Amazon Bedrock environments. Our aim is to streamline business processes and deliver constituent value by implementing AI solutions responsibly. Data security and human\-centered design are core to our approach, as we operate in a highly regulated industry. We are seeking an experienced AI Engineer to join our team on a contract basis. The ideal candidate will bring deep expertise in AI development and AWS services to help us build and deploy public sector AI solutions.  
Required Qualifications:  
3\-5 years of experience in Applications, AI/ML development and implementation  
2\+ years of hands\-on experience with Amazon Bedrock and related AWS services  
Strong understanding of AI/ML frameworks, model deployment, and optimization  
Understanding of Application integration patterns and demonstrated project work integrating into complex systems  
Proficiency in React and TypeScript for building AI\-powered user interfaces  
Experience designing intuitive UI/UX for AI applications  
Comfort using cloud\-based version control and CI/CD pipelines  
Bachelor//'s degree in Computer Science or related field  
Preferred Qualifications:  
Prior work in the public sector or government projects  
Familiarity with compliance requirements and security standards  
AWS AI Cloud Practitioner certifications desired  
Excellent problem\-solving and analytical skills with strong attention to detail  
Effective communication skills, both written and verbal, with the ability to convey complex technical information to non\-technical stakeholders  
Ability to work independently and collaboratively in a fast\-paced environment  
Responsibilities:  
Lead AI engineering initiatives by taking ownership of solutions  
Advocate for technical integrity and transparency in the development process  
Engage directly with stakeholders  
Design, develop, test and deploy AI solutions using Amazon Bedrock and related AWS services  
Explore opportunities to integrate AI into existing applications and workflows  
Collaborate with cross\-functional teams to understand, document business requirements and deliver impactful solutions  
Ensure best practices in model deployment, monitoring, and maintenance  
Complete AI COE artifacts and technical documentation for knowledge transfer and audit compliance  
Participate in collaborative development using version control and CI/CD</t>
        </is>
      </c>
    </row>
    <row r="70">
      <c r="A70" t="inlineStr">
        <is>
          <t>in-afe9dec9574fc6ad</t>
        </is>
      </c>
      <c r="B70" t="inlineStr">
        <is>
          <t>Senior AWS AI Engineer - Boston, MA (Local Candidates Only)</t>
        </is>
      </c>
      <c r="C70" t="inlineStr">
        <is>
          <t>NavitasPartners</t>
        </is>
      </c>
      <c r="D70" t="inlineStr">
        <is>
          <t>indeed</t>
        </is>
      </c>
      <c r="E70">
        <f>HYPERLINK("https://www.indeed.com/viewjob?jk=afe9dec9574fc6ad", "https://www.indeed.com/viewjob?jk=afe9dec9574fc6ad")</f>
        <v/>
      </c>
      <c r="F70">
        <f>HYPERLINK("https://navitasp.talentnest.com/en/posting/224958/location/270623?source=indeed", "https://navitasp.talentnest.com/en/posting/224958/location/270623?source=indeed")</f>
        <v/>
      </c>
      <c r="G70" t="inlineStr">
        <is>
          <t>Worcester, MA, US</t>
        </is>
      </c>
      <c r="H70" s="3" t="n">
        <v>46057</v>
      </c>
      <c r="I70" t="inlineStr">
        <is>
          <t>### **Job Title: Senior AWS AI Engineer**
**Location:** Boston, MA (Local Candidates Only)  
**Work Authorization:** Candidates must currently reside in **MA / NH / RI**  
**Duration:** 12 Months (Contract)
### **Position Overview**
"Navitas Partners, LLC" is seeking a highly skilled **Senior AWS AI Engineer** to support the design, development, and deployment of AI\-driven web applications using leading Large Language Models (LLMs) within secure **Amazon Bedrock** environments.
This role focuses on building responsible, human\-centered AI solutions in a highly regulated environment, with a strong emphasis on data security, transparency, and scalability. The ideal candidate will bring hands\-on AI engineering expertise, deep AWS knowledge, and the ability to collaborate effectively with technical and non\-technical stakeholders.
### **Required Qualifications**
* 3–5 years of experience in application development and AI/ML implementation
* 2\+ years of hands\-on experience with **Amazon Bedrock** and related AWS services
* Strong understanding of AI/ML frameworks, model deployment, and optimization
* Proven experience integrating AI solutions into complex enterprise systems
* Proficiency in **React** and **TypeScript** for building AI\-powered user interfaces
* Experience designing intuitive and user\-friendly UI/UX for AI applications
* Hands\-on experience with cloud\-based version control and CI/CD pipelines
* Bachelor’s degree in Computer Science or a related technical field
### **Preferred Qualifications**
* Experience supporting public sector or government initiatives
* Familiarity with compliance requirements and security standards in regulated environments
* AWS AI Cloud Practitioner or related AWS certifications
* Strong analytical and problem\-solving skills with attention to detail
* Excellent written and verbal communication skills, including the ability to explain complex technical concepts to non\-technical audiences
* Ability to work both independently and collaboratively in a fast\-paced environment
### **Key Responsibilities**
* Lead AI engineering initiatives with full ownership of solution design and delivery
* Design, develop, test, and deploy AI solutions using **Amazon Bedrock** and AWS services
* Advocate for technical integrity, responsible AI practices, and transparency throughout development
* Collaborate with cross\-functional teams to gather requirements and deliver impactful solutions
* Identify and implement opportunities to integrate AI into existing applications and workflows
* Ensure best practices in model deployment, monitoring, and ongoing maintenance
* Produce technical documentation and AI Center of Excellence (COE) artifacts to support knowledge transfer and audit requirements
* Participate in collaborative development using version control systems and CI/CD pipelines
* Engage directly with stakeholders to align technical solutions with business needs
*For more details reach at* ***resumes@navitassols.com***
**About Navitas Partners, LLC:**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71">
      <c r="A71" t="inlineStr">
        <is>
          <t>in-bbc77aaedae2111e</t>
        </is>
      </c>
      <c r="B71" t="inlineStr">
        <is>
          <t>Senior AWS AI Engineer - Boston, MA (Local Candidates Only)</t>
        </is>
      </c>
      <c r="C71" t="inlineStr">
        <is>
          <t>NavitasPartners</t>
        </is>
      </c>
      <c r="D71" t="inlineStr">
        <is>
          <t>indeed</t>
        </is>
      </c>
      <c r="E71">
        <f>HYPERLINK("https://www.indeed.com/viewjob?jk=bbc77aaedae2111e", "https://www.indeed.com/viewjob?jk=bbc77aaedae2111e")</f>
        <v/>
      </c>
      <c r="F71">
        <f>HYPERLINK("https://navitasp.talentnest.com/en/posting/224958/location/270623?source=indeed", "https://navitasp.talentnest.com/en/posting/224958/location/270623?source=indeed")</f>
        <v/>
      </c>
      <c r="G71" t="inlineStr">
        <is>
          <t>Boston, MA, US</t>
        </is>
      </c>
      <c r="H71" s="3" t="n">
        <v>46057</v>
      </c>
      <c r="I71" t="inlineStr">
        <is>
          <t>### **Job Title: Senior AWS AI Engineer**
**Location:** Boston, MA (Local Candidates Only)  
**Work Authorization:** Candidates must currently reside in **MA / NH / RI**  
**Duration:** 12 Months (Contract)
### **Position Overview**
"Navitas Partners, LLC" is seeking a highly skilled **Senior AWS AI Engineer** to support the design, development, and deployment of AI\-driven web applications using leading Large Language Models (LLMs) within secure **Amazon Bedrock** environments.
This role focuses on building responsible, human\-centered AI solutions in a highly regulated environment, with a strong emphasis on data security, transparency, and scalability. The ideal candidate will bring hands\-on AI engineering expertise, deep AWS knowledge, and the ability to collaborate effectively with technical and non\-technical stakeholders.
### **Required Qualifications**
* 3–5 years of experience in application development and AI/ML implementation
* 2\+ years of hands\-on experience with **Amazon Bedrock** and related AWS services
* Strong understanding of AI/ML frameworks, model deployment, and optimization
* Proven experience integrating AI solutions into complex enterprise systems
* Proficiency in **React** and **TypeScript** for building AI\-powered user interfaces
* Experience designing intuitive and user\-friendly UI/UX for AI applications
* Hands\-on experience with cloud\-based version control and CI/CD pipelines
* Bachelor’s degree in Computer Science or a related technical field
### **Preferred Qualifications**
* Experience supporting public sector or government initiatives
* Familiarity with compliance requirements and security standards in regulated environments
* AWS AI Cloud Practitioner or related AWS certifications
* Strong analytical and problem\-solving skills with attention to detail
* Excellent written and verbal communication skills, including the ability to explain complex technical concepts to non\-technical audiences
* Ability to work both independently and collaboratively in a fast\-paced environment
### **Key Responsibilities**
* Lead AI engineering initiatives with full ownership of solution design and delivery
* Design, develop, test, and deploy AI solutions using **Amazon Bedrock** and AWS services
* Advocate for technical integrity, responsible AI practices, and transparency throughout development
* Collaborate with cross\-functional teams to gather requirements and deliver impactful solutions
* Identify and implement opportunities to integrate AI into existing applications and workflows
* Ensure best practices in model deployment, monitoring, and ongoing maintenance
* Produce technical documentation and AI Center of Excellence (COE) artifacts to support knowledge transfer and audit requirements
* Participate in collaborative development using version control systems and CI/CD pipelines
* Engage directly with stakeholders to align technical solutions with business needs
*For more details reach at* ***resumes@navitassols.com***
**About Navitas Partners, LLC:**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72">
      <c r="A72" t="inlineStr">
        <is>
          <t>in-a56e1834136d32c7</t>
        </is>
      </c>
      <c r="B72" t="inlineStr">
        <is>
          <t>Senior AWS AI Engineer - Boston, MA (Local Candidates Only)</t>
        </is>
      </c>
      <c r="C72" t="inlineStr">
        <is>
          <t>NavitasPartners</t>
        </is>
      </c>
      <c r="D72" t="inlineStr">
        <is>
          <t>indeed</t>
        </is>
      </c>
      <c r="E72">
        <f>HYPERLINK("https://www.indeed.com/viewjob?jk=a56e1834136d32c7", "https://www.indeed.com/viewjob?jk=a56e1834136d32c7")</f>
        <v/>
      </c>
      <c r="F72">
        <f>HYPERLINK("https://navitasp.talentnest.com/en/posting/224958/location/270623?source=indeed", "https://navitasp.talentnest.com/en/posting/224958/location/270623?source=indeed")</f>
        <v/>
      </c>
      <c r="G72" t="inlineStr">
        <is>
          <t>Quincy, MA, US</t>
        </is>
      </c>
      <c r="H72" s="3" t="n">
        <v>46057</v>
      </c>
      <c r="I72" t="inlineStr">
        <is>
          <t>### **Job Title: Senior AWS AI Engineer**
**Location:** Boston, MA (Local Candidates Only)  
**Work Authorization:** Candidates must currently reside in **MA / NH / RI**  
**Duration:** 12 Months (Contract)
### **Position Overview**
"Navitas Partners, LLC" is seeking a highly skilled **Senior AWS AI Engineer** to support the design, development, and deployment of AI\-driven web applications using leading Large Language Models (LLMs) within secure **Amazon Bedrock** environments.
This role focuses on building responsible, human\-centered AI solutions in a highly regulated environment, with a strong emphasis on data security, transparency, and scalability. The ideal candidate will bring hands\-on AI engineering expertise, deep AWS knowledge, and the ability to collaborate effectively with technical and non\-technical stakeholders.
### **Required Qualifications**
* 3–5 years of experience in application development and AI/ML implementation
* 2\+ years of hands\-on experience with **Amazon Bedrock** and related AWS services
* Strong understanding of AI/ML frameworks, model deployment, and optimization
* Proven experience integrating AI solutions into complex enterprise systems
* Proficiency in **React** and **TypeScript** for building AI\-powered user interfaces
* Experience designing intuitive and user\-friendly UI/UX for AI applications
* Hands\-on experience with cloud\-based version control and CI/CD pipelines
* Bachelor’s degree in Computer Science or a related technical field
### **Preferred Qualifications**
* Experience supporting public sector or government initiatives
* Familiarity with compliance requirements and security standards in regulated environments
* AWS AI Cloud Practitioner or related AWS certifications
* Strong analytical and problem\-solving skills with attention to detail
* Excellent written and verbal communication skills, including the ability to explain complex technical concepts to non\-technical audiences
* Ability to work both independently and collaboratively in a fast\-paced environment
### **Key Responsibilities**
* Lead AI engineering initiatives with full ownership of solution design and delivery
* Design, develop, test, and deploy AI solutions using **Amazon Bedrock** and AWS services
* Advocate for technical integrity, responsible AI practices, and transparency throughout development
* Collaborate with cross\-functional teams to gather requirements and deliver impactful solutions
* Identify and implement opportunities to integrate AI into existing applications and workflows
* Ensure best practices in model deployment, monitoring, and ongoing maintenance
* Produce technical documentation and AI Center of Excellence (COE) artifacts to support knowledge transfer and audit requirements
* Participate in collaborative development using version control systems and CI/CD pipelines
* Engage directly with stakeholders to align technical solutions with business needs
*For more details reach at* ***resumes@navitassols.com***
**About Navitas Partners, LLC:**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73">
      <c r="A73" t="inlineStr">
        <is>
          <t>in-95806072b70520e9</t>
        </is>
      </c>
      <c r="B73" t="inlineStr">
        <is>
          <t>Senior AWS AI Engineer - Boston, MA (Local Candidates Only)</t>
        </is>
      </c>
      <c r="C73" t="inlineStr">
        <is>
          <t>NavitasPartners</t>
        </is>
      </c>
      <c r="D73" t="inlineStr">
        <is>
          <t>indeed</t>
        </is>
      </c>
      <c r="E73">
        <f>HYPERLINK("https://www.indeed.com/viewjob?jk=95806072b70520e9", "https://www.indeed.com/viewjob?jk=95806072b70520e9")</f>
        <v/>
      </c>
      <c r="F73">
        <f>HYPERLINK("https://navitasp.talentnest.com/en/posting/224958/location/270623?source=indeed", "https://navitasp.talentnest.com/en/posting/224958/location/270623?source=indeed")</f>
        <v/>
      </c>
      <c r="G73" t="inlineStr">
        <is>
          <t>Plymouth, MA, US</t>
        </is>
      </c>
      <c r="H73" s="3" t="n">
        <v>46057</v>
      </c>
      <c r="I73" t="inlineStr">
        <is>
          <t>### **Job Title: Senior AWS AI Engineer**
**Location:** Boston, MA (Local Candidates Only)  
**Work Authorization:** Candidates must currently reside in **MA / NH / RI**  
**Duration:** 12 Months (Contract)
### **Position Overview**
"Navitas Partners, LLC" is seeking a highly skilled **Senior AWS AI Engineer** to support the design, development, and deployment of AI\-driven web applications using leading Large Language Models (LLMs) within secure **Amazon Bedrock** environments.
This role focuses on building responsible, human\-centered AI solutions in a highly regulated environment, with a strong emphasis on data security, transparency, and scalability. The ideal candidate will bring hands\-on AI engineering expertise, deep AWS knowledge, and the ability to collaborate effectively with technical and non\-technical stakeholders.
### **Required Qualifications**
* 3–5 years of experience in application development and AI/ML implementation
* 2\+ years of hands\-on experience with **Amazon Bedrock** and related AWS services
* Strong understanding of AI/ML frameworks, model deployment, and optimization
* Proven experience integrating AI solutions into complex enterprise systems
* Proficiency in **React** and **TypeScript** for building AI\-powered user interfaces
* Experience designing intuitive and user\-friendly UI/UX for AI applications
* Hands\-on experience with cloud\-based version control and CI/CD pipelines
* Bachelor’s degree in Computer Science or a related technical field
### **Preferred Qualifications**
* Experience supporting public sector or government initiatives
* Familiarity with compliance requirements and security standards in regulated environments
* AWS AI Cloud Practitioner or related AWS certifications
* Strong analytical and problem\-solving skills with attention to detail
* Excellent written and verbal communication skills, including the ability to explain complex technical concepts to non\-technical audiences
* Ability to work both independently and collaboratively in a fast\-paced environment
### **Key Responsibilities**
* Lead AI engineering initiatives with full ownership of solution design and delivery
* Design, develop, test, and deploy AI solutions using **Amazon Bedrock** and AWS services
* Advocate for technical integrity, responsible AI practices, and transparency throughout development
* Collaborate with cross\-functional teams to gather requirements and deliver impactful solutions
* Identify and implement opportunities to integrate AI into existing applications and workflows
* Ensure best practices in model deployment, monitoring, and ongoing maintenance
* Produce technical documentation and AI Center of Excellence (COE) artifacts to support knowledge transfer and audit requirements
* Participate in collaborative development using version control systems and CI/CD pipelines
* Engage directly with stakeholders to align technical solutions with business needs
*For more details reach at* ***resumes@navitassols.com***
**About Navitas Partners, LLC:**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74">
      <c r="A74" t="inlineStr">
        <is>
          <t>in-f348866f8777f4f6</t>
        </is>
      </c>
      <c r="B74" t="inlineStr">
        <is>
          <t>Senior Machine Learning Engineer - Chemistry and Materials Science</t>
        </is>
      </c>
      <c r="C74" t="inlineStr">
        <is>
          <t>NVIDIA</t>
        </is>
      </c>
      <c r="D74" t="inlineStr">
        <is>
          <t>indeed</t>
        </is>
      </c>
      <c r="E74">
        <f>HYPERLINK("https://www.indeed.com/viewjob?jk=f348866f8777f4f6", "https://www.indeed.com/viewjob?jk=f348866f8777f4f6")</f>
        <v/>
      </c>
      <c r="F74">
        <f>HYPERLINK("https://nvidia.wd5.myworkdayjobs.com/en-US/NVIDIAExternalCareerSite/job/US-CA-Santa-Clara/Senior-Machine-Learning-Engineer---Chemistry-and-Materials-Science_JR2012864", "https://nvidia.wd5.myworkdayjobs.com/en-US/NVIDIAExternalCareerSite/job/US-CA-Santa-Clara/Senior-Machine-Learning-Engineer---Chemistry-and-Materials-Science_JR2012864")</f>
        <v/>
      </c>
      <c r="G74" t="inlineStr">
        <is>
          <t>Santa Clara, CA, US</t>
        </is>
      </c>
      <c r="H74" s="3" t="n">
        <v>46057</v>
      </c>
      <c r="I74" t="inlineStr">
        <is>
          <t>NVIDIA’s deep learning and HPC platforms have made a huge impact in various fields and are broadly used across leading academic institutions, start\-ups, and industry, including the world’s largest Internet companies. We need passionate and creative people to help us on building AI frameworks that will solve the toughest and most relevant problems of humanity and problems that are at the cutting edge of science \&amp; engineering: weather/climate challenges, product design, digital twins, molecular dynamics, novel materials, accelerated drug development, etc.
What you'll be doing:* Work with some of the brightest minds in a leading AI company to develop leading machine learning frameworks including NVIDIA PhysicsNeMo and ALCHEMI used by our academic and industry partners to accelerate scientific discovery and solve real world problems at scale
* Work with internal project teams to validate applications built using the framework across NVIDIA's products
* Stay up to date with the latest research and innovations in deep learning techniques, implement and experiment with new ideas to develop and enhance NVIDIA's deep learning technologies that couple physical simulations with AI/ML models
What we need to see:* BS or MS degree (PhD preferred) in computer science, mathematics, computational chemistry/materials science, physical chemistry or related technical field or equivalent experience
* 5\+ yrs of relevant experience
* Strong Python programming skills
* Familiarity with containers, continuous integration/continuous development, numeric libraries, modular software design, and collaborative programming/engineering
* Good understanding and intuition for state\-of\-the\-art AI/ML architectures and techniques including but not limited to geometric deep learning, Euclidean neural networks, diffusion/flow matching
* Familiarity across the AI framework ecosystem: e.g. PyTorch, PyTorch Geometric, Jax, Flax
* Experience across the AI/ML model lifecycle: from dataset curation,from dataset curation to training techniques, to inference deployment and performance optimization
* Proven track record of applying AI/ML techniques to solve real world problems in chemistry and materials science: e.g. surrogate interatomic potentials, inverse design, crystal structure prediction, experimental characterization
* Strong analytical skills with bias for action.Good time management and organization skills to thrive in a fast paced, dynamic environment
* Solid written and oral communications skills.
* Good teamwork and interpersonal skills
Ways to stand out from the crowd:* Work with distributed systems with data\-parallel and model parallel programming experience. Experience with CUDA Python. Experience working with GPU (SIMT/Tile) parallelism
* Published papers in the field of AI with chemistry and materials science applications. Presentations at major workshops and conferences; NeurIPS, ICLR, ICML
* Familiarity with accelerated simulation packages in quantum chemistry (e.g. PySCF, VASP) and/or molecular dynamics (e.g. LAMMPS, OpenMM)
NVIDIA is widely considered to be one of the technology world’s most desirable employers. We have some of the most forward\-thinking and hardworking people on the planet working for us. If you're creative and autonomous, we want to hear from you! NVIDIA’s invention of the GPU in 1999 sparked the growth of the PC gaming market, redefined modern computer graphics, and revolutionized parallel computing. More recently, GPU deep learning ignited modern deep learning — the next era of computing — with the GPU acting as the brain of computers, robots, and self\-driving cars that can perceive and understand the world. Today, we are increasingly known as “the AI computing company.” We're looking to grow our company and establish teams with the most thoughtful people in the world.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\#deeplearning</t>
        </is>
      </c>
    </row>
    <row r="75">
      <c r="A75" t="inlineStr">
        <is>
          <t>in-4e3999670fb1a9b9</t>
        </is>
      </c>
      <c r="B75" t="inlineStr">
        <is>
          <t>Senior Physics-Machine Learning Engineer - CAE</t>
        </is>
      </c>
      <c r="C75" t="inlineStr">
        <is>
          <t>NVIDIA</t>
        </is>
      </c>
      <c r="D75" t="inlineStr">
        <is>
          <t>indeed</t>
        </is>
      </c>
      <c r="E75">
        <f>HYPERLINK("https://www.indeed.com/viewjob?jk=4e3999670fb1a9b9", "https://www.indeed.com/viewjob?jk=4e3999670fb1a9b9")</f>
        <v/>
      </c>
      <c r="F75">
        <f>HYPERLINK("https://nvidia.wd5.myworkdayjobs.com/en-US/NVIDIAExternalCareerSite/job/US-CA-Santa-Clara/Senior-Physics-Machine-Learning-Engineer---CAE_JR2012866", "https://nvidia.wd5.myworkdayjobs.com/en-US/NVIDIAExternalCareerSite/job/US-CA-Santa-Clara/Senior-Physics-Machine-Learning-Engineer---CAE_JR2012866")</f>
        <v/>
      </c>
      <c r="G75" t="inlineStr">
        <is>
          <t>Santa Clara, CA, US</t>
        </is>
      </c>
      <c r="H75" s="3" t="n">
        <v>46057</v>
      </c>
      <c r="I75" t="inlineStr">
        <is>
          <t>NVIDIA’s deep learning and HPC platforms have made a huge impact in various fields and are broadly used across leading academic institutions, start\-ups, and industry, including the world’s largest Internet companies. We need passionate and creative people to help us on building a AI framework that will solve the toughest and most relevant problems of humanity and problems that are at the cutting edge of science \&amp; engineering: weather/climate challenges, product design, digital twins, molecular dynamics, novel materials, accelerated drug development, etc.
What you'll be doing:* Collaborate with some of the brightest minds in a leading AI company to develop a leading Physics\-AI framework, NVIDIA PhysicsNemo, for our academic and industrial partners to construct digital twins and machine learning simulation surrogates for real world science and engineering problems
* Work with internal teams at Nvidia and external users to validate the product with industrial applications
* Stay up to date with the latest research and innovations in deep learning techniques, implement and experiment with new ideas to develop and enhance NVIDIA's deep learning technologies with focus on simulations
What we need to see:* BS or MS degree (PhD preferred) in computer science, mathematics, computational science/engineering, or related technical field or equivalent experience
* 5\+ yrs of relevant experience
* Strong Python programming skills. Familiarity with containers, numeric libraries, modular software design
* Good knowledge of state\-of\-the\-art DNN architectures and machine learning techniques and algorithms (graph networks, diffusion models, reinforcement learning etc.) with experience in developing or using major deep learning frameworks (PyTorch, Tensorflow, JAX etc.)
* Experience in solving and using machine learning for real world problems involving scientific/engineering simulations (multi\-physics applications in CFD, structural, thermal, electrical, electromagnetics, optics, acoustics etc. for various industries such as automotive, aerospace, machinery, medical, energy, computers, semiconductors, consumer goods etc.)
* Experience with scientific visualization is a big plus
* Strong analytical skills with bias for action
* Good time management and organization skills to thrive in a fast paced, dynamic environment
* Solid written and oral communications skills. Good teamwork and interpersonal skills
Ways to stand out from the crowd:* Work with multi\-node systems with data\-parallel and model parallel programming experience
* Experience with CUDA. Usage of nonlinear simulation tools and techniques, usage of major simulation codes (opensource and/or commercial). Development and applications of the new architectures and algorithms on industry scale problems
* Published papers in the field of AI in scientific computing
NVIDIA is widely considered to be one of the technology world’s most desirable employers. We have some of the most forward\-thinking and hardworking people on the planet working for us. If you're creative and autonomous, we want to hear from you! NVIDIA’s invention of the GPU in 1999 sparked the growth of the PC gaming market, redefined modern computer graphics, and revolutionized parallel computing. More recently, GPU deep learning ignited modern deep learning — the next era of computing — with the GPU acting as the brain of computers, robots, and self\-driving cars that can perceive and understand the world. Today, we are increasingly known as “the AI computing company.” We're looking to grow our company and establish teams with the most thoughtful people in the world.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\#deeplearning</t>
        </is>
      </c>
    </row>
    <row r="76">
      <c r="A76" t="inlineStr">
        <is>
          <t>in-9d2f74a57a753a6f</t>
        </is>
      </c>
      <c r="B76" t="inlineStr">
        <is>
          <t>Lead AI Engineer</t>
        </is>
      </c>
      <c r="C76" t="inlineStr">
        <is>
          <t>Bizee</t>
        </is>
      </c>
      <c r="D76" t="inlineStr">
        <is>
          <t>indeed</t>
        </is>
      </c>
      <c r="E76">
        <f>HYPERLINK("https://www.indeed.com/viewjob?jk=9d2f74a57a753a6f", "https://www.indeed.com/viewjob?jk=9d2f74a57a753a6f")</f>
        <v/>
      </c>
      <c r="F76">
        <f>HYPERLINK("https://apply.workable.com/j/0E626DC332", "https://apply.workable.com/j/0E626DC332")</f>
        <v/>
      </c>
      <c r="G76" t="inlineStr">
        <is>
          <t>Houston, TX, US</t>
        </is>
      </c>
      <c r="H76" s="3" t="n">
        <v>46057</v>
      </c>
      <c r="I76" t="inlineStr">
        <is>
          <t>### **About Bizee**
Bizee (formerly Incfile) has helped over 1 million entrepreneurs start and run their businesses. We are transforming from a transaction\-focused formation business to an AI\-powered operating system for entrepreneurs.
We champion the everyday entrepreneur. We believe in self\-determination, grit, and earned success. No fluff, no jargon, no pretense. We work hard, ship fast, and let our products speak for themselves.
### **What Makes Working Here Different**
* **AI is the Product, Not a Feature:** You are not building AI for a demo. You are building the intelligence layer that powers how entrepreneurs form, manage, and grow their businesses.
* **Real Problems, Real Scale:** 50\+ state jurisdictions with different rules. Hundreds of thousands of customers. Compliance deadlines that matter. Your AI systems will have measurable business impact.
* **Build the Team:** You will inherit a small AI team and grow it. You will define how AI engineering works at Bizee.
* Your success in building AI capabilities directly drives company valuation.
### **The Role**
As the Lead AI Engineer, you will build the intelligence layer of Bizee's platform. You will own the AI systems that power personalized recommendations, intelligent automation, and predictive compliance. Your work will directly impact how entrepreneurs experience Bizee: smarter upsells, proactive compliance alerts, and automated document generation.
**This is a player\-coach role.** You will lead a team of 3\-6 AI/ML engineers while spending 50\-60% of your time hands\-on: building systems, reviewing code, and shipping features. You report to the Head of Platform and partner closely with Data, Product, and Growth teams.
**This is a hands\-on, AI\-native engineering role**. You live in Claude Code. You ship production AI systems, not prototypes. You can demonstrate real applications you have built using LLMs, not just fine\-tuning experiments. We will ask you to show us.
Reports to Head of Platform.
### **What You'll Deliver**
**In your first year:**
* **Recommendations Engine:** Personalized upsell/cross\-sell recommendations in production with measurable conversion lift.
* **Compliance Intelligence:** AI\-powered compliance alerts predicting customer needs before deadlines.
* **Document Automation:** Intelligent document generation and extraction reducing manual processing by 50%\+.
* **AI Infrastructure:** Production\-ready AI gateway, model serving, and inference pipelines with cost controls.
* **Team Growth: Grow** AI team from 3 to 5\-6 engineers. Establish AI engineering practices and code standards.
* **Claude Code Adoption:** Champion AI\-assisted development across engineering; be the internal expert others learn from.
### **What You Will Own**
* **Recommendations \&amp; Personalization:** Build systems that understand customer context and deliver relevant product suggestions at the right moment.
* **Intelligent Automation:** Automate compliance workflows, document processing, and customer communications using LLMs and ML.
* **AI Infrastructure:** Model serving, feature stores, inference pipelines, AI gateway, and cost management.
* **LLM Integration:** Production LLM applications with guardrails, safety, prompt management, and evaluation.
* **AI Team:** Hire, develop, and retain AI/ML engineers. Set technical direction and code standards.
**Requirements**
### **What We're Looking For**
* **Production AI Experience:** 5\+ years in software engineering with 2\+ years building AI/ML systems in production (not just research or POCs).
* **LLM Application Development:** You have built real applications using LLMs (Claude, GPT, etc.). You understand prompting, RAG, fine\-tuning tradeoffs, and production deployment.
* **Claude Code Native:** You use Claude Code (or similar AI coding tools) daily. It is how you work, not an experiment. Show us what you have built with it.
* **Recommendations/Personalization:** Experience building recommendation systems, personalization engines, or similar ML\-powered product features.
* **Technical Leadership:** You have led small teams (2\-5 engineers) or been a strong tech lead. You can mentor, review code, and set technical direction.
* **Full\-Stack AI:** You can build end\-to\-end: data pipelines, model training/serving, API integration, and production monitoring.
* **Business Orientation:** You measure success by business metrics (conversion, retention, efficiency), not model accuracy alone.
### **What Will Make You Stand Out**
* You can show us production AI applications you have built using Claude Code in the last 6 months.
* You have built recommendation systems that drove measurable revenue impact.
* Experience in compliance, legal tech, fintech, or regulatory\-heavy industries.
* You have implemented LLM guardrails, safety systems, and cost management at scale.
* Background in document processing, OCR, or intelligent automation.
* You have opinions on AI engineering best practices and can articulate them clearly.
### **This Role Is NOT For You If...**
* You prefer research over production. We ship AI systems, not papers.
* You have only done traditional ML and have not built with LLMs.
* You do not use AI coding tools in your daily work.
* You want a pure IC role with no people leadership responsibility.
* You optimize for model metrics rather than business outcomes.
### **What We Don't Care About**
* PhD or advanced degrees (show us what you have shipped).
* FAANG pedigree (show us your production systems).
* Kaggle rankings or competition wins (show us business impact).
**Interview Note:** We will ask you to show us AI applications you have built, walk through how you use Claude Code daily, and discuss a production AI system you have shipped end\-to\-end. Come prepared with specific examples and code.
**Benefits**
**Disclaimer:**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The compensation offered to the successful applicant may vary based on factors including experience, skills, education, location, and other job\-related reasons.
This employer participates in E\-verify and will provide the federal government with your Form I\-9 information to confirm that you are authorized to work in the U.S.
Available benefits include: Health Care Plan (Medical, Dental \&amp; Vision), Life Insurance (Basic, Voluntary \&amp; AD\&amp;D), Virtual Wellness Resources, Work From Home</t>
        </is>
      </c>
    </row>
    <row r="77">
      <c r="A77" t="inlineStr">
        <is>
          <t>in-db08c95eb0a90a9d</t>
        </is>
      </c>
      <c r="B77" t="inlineStr">
        <is>
          <t>AI/ML Engineer</t>
        </is>
      </c>
      <c r="C77" t="inlineStr">
        <is>
          <t>Wipro</t>
        </is>
      </c>
      <c r="D77" t="inlineStr">
        <is>
          <t>indeed</t>
        </is>
      </c>
      <c r="E77">
        <f>HYPERLINK("https://www.indeed.com/viewjob?jk=db08c95eb0a90a9d", "https://www.indeed.com/viewjob?jk=db08c95eb0a90a9d")</f>
        <v/>
      </c>
      <c r="F77">
        <f>HYPERLINK("https://careers.wipro.com/job/AIML-Engineer/131784-en_US", "https://careers.wipro.com/job/AIML-Engineer/131784-en_US")</f>
        <v/>
      </c>
      <c r="G77" t="inlineStr">
        <is>
          <t>Austin, TX, US</t>
        </is>
      </c>
      <c r="H77" s="3" t="n">
        <v>46057</v>
      </c>
      <c r="I77" t="inlineStr">
        <is>
          <t>Job Description* 
Job Title: AI/ML Engineer
City: Austin
State/Province: Texas
Posting Start Date: 2/5/26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**Job Role:** AI/ML Engineer
**Primary Skills:** Programming Skills (Python) Familiarity with Java/Golang/Node.Js, Agentic AI tools (orchestration, reasoning loops, workflow automation), Prompt Engineering (LLM, RAG) , Vector DB, Rest API \&amp; Microservices Architecture, Docker/Container, Cloud Experience (AWS/Azure)
**Detailed JD \&amp; Qualifications Required:**
* Technical Proficiency in software development, with strong exposure to AI/ML systems
* Strong programming skills in Python (primary); familiarity with Java / Go / Node.js is a plus
Experience with agentic AI architectures (tool calling, orchestration, reasoning loops, workflow automation).  
* 
**͏**
-----
**Technical Proficiency \&amp; hands\-on experience with:*** LLMs and prompt engineering
* RAG architectures
* Vector databases (FAISS, Pinecone, Weaviate, Milvus, OpenSearch, etc.)
Embeddings and similarity search  
* 
* Experience building agentic AI frameworks or orchestration layers
* Solid understanding of REST APIs and microservices architecture
* Experience with containerization and orchestration:
* + Docker
	+ Kubernetes
Experience deploying and operating services in cloud environments
Mandatory Skills: Enterprise Platform Engineering Python .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78">
      <c r="A78" t="inlineStr">
        <is>
          <t>in-8d7ccb1dcd30af8c</t>
        </is>
      </c>
      <c r="B78" t="inlineStr">
        <is>
          <t>Senior Machine Learning Engineer - BRAID Genomics</t>
        </is>
      </c>
      <c r="C78" t="inlineStr">
        <is>
          <t>Genentech</t>
        </is>
      </c>
      <c r="D78" t="inlineStr">
        <is>
          <t>indeed</t>
        </is>
      </c>
      <c r="E78">
        <f>HYPERLINK("https://www.indeed.com/viewjob?jk=8d7ccb1dcd30af8c", "https://www.indeed.com/viewjob?jk=8d7ccb1dcd30af8c")</f>
        <v/>
      </c>
      <c r="F78">
        <f>HYPERLINK("https://careers.gene.com/us/en/job/202602-103062/Senior-Machine-Learning-Engineer-BRAID-Genomics", "https://careers.gene.com/us/en/job/202602-103062/Senior-Machine-Learning-Engineer-BRAID-Genomics")</f>
        <v/>
      </c>
      <c r="G78" t="inlineStr">
        <is>
          <t>San Francisco, CA, US</t>
        </is>
      </c>
      <c r="H78" s="3" t="n">
        <v>46057</v>
      </c>
      <c r="I78"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the transformative power of data and Artificial Intelligence (AI) to assist our scientists in both pRED and gRED to deliver more innovative and transformative medicines for patients worldwide.
**The Opportunity**
Genentech is seeking an exceptional Senior Machine Learning Engineer to join the BRAID (Biology Research \| AI Development) team within our Computational Sciences organization. This role will focus on developing, optimizing and deploying novel machine learning methods with a strong emphasis on foundation models for genomics data modalities. You will build and productionize machine learning systems and foundation models for regulatory genomics, enabling sequence\-to\-function modeling, variant effect predictions, and nucleic acid design.
**In this role, you will:**
* Training, fine\-tuning, evaluation, benchmarking, deployment of DNA/RNA sequence\-to\-function models.
* Design scalable data and training pipelines (distributed training, efficient dataloading, reproducibility, experiment tracking).
* Build and maintain production\-grade inference systems (APIs/SDKs, latency/cost optimization, reliability, monitoring).
* Establish engineering best practices for ML codebases: CI, unit/integration tests, model versioning, documentation, and code reviews.
* Collaborate closely with computational biologists, wet\-lab partners, and platform teams to define requirements, success metrics, and adoption pathways.
**Who you are**
* PhD with 5\+ years professional software engineering experience (or equivalent), including ownership of production services or ML platforms.
* Strong Python engineering skills (clean architecture, packaging, testing, CI, performance profiling).
* Deep experience with PyTorch, including training workflows and debugging numerical/performance issues.
* Experience with modern deep learning for sequences or high\-dimensional biological data (transformers, representation learning, generative modeling).
* Familiarity with regulatory genomics or functional genomics data and evaluation (e.g., expression/splicing/chromatin assays; variant effect prediction).
* Excellent communication skills; ability to translate scientific needs into reliable software and measurable deliverables.
Preferred Qualifications
* Experience with long\-context sequence modeling and established genomic frameworks (e.g., Enformer/Borzoi\-style models).
* Distributed training and systems experience (multi\-GPU, DDP/FSDP, mixed precision; GPU profiling/optimization).
* MLOps experience (model registry, experiment tracking, deployment pipelines, monitoring/drift).
* Experience with single\-cell and scverse ecosystem tools (scanpy/anndata, etc.).  
Publications or open\-source contributions in ML \+ genomics are a plus.
Relocation benefits are NOT available for this job posting
The expected salary range for this position, based on the primary location of California, is $167,400 \- 310,800\.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JOB FACTS
**Job Sub Category**Artificial Intelligence \&amp; Machine Learning
**Schedule**Full time
**Job Type**Regular
**Posted Date**Feb 5th 2026
**Job ID**202602\-103062</t>
        </is>
      </c>
    </row>
    <row r="79">
      <c r="A79" t="inlineStr">
        <is>
          <t>in-aa31e9ec8cfa60d4</t>
        </is>
      </c>
      <c r="B79" t="inlineStr">
        <is>
          <t>Identity AI / ML Engineer</t>
        </is>
      </c>
      <c r="C79" t="inlineStr">
        <is>
          <t>Openkyber</t>
        </is>
      </c>
      <c r="D79" t="inlineStr">
        <is>
          <t>indeed</t>
        </is>
      </c>
      <c r="E79">
        <f>HYPERLINK("https://www.indeed.com/viewjob?jk=aa31e9ec8cfa60d4", "https://www.indeed.com/viewjob?jk=aa31e9ec8cfa60d4")</f>
        <v/>
      </c>
      <c r="F79">
        <f>HYPERLINK("https://candidateportalnew.ceipal.com/job-details/PPC3x4_8dTXK-fnPQ0E18SGWy2Pw9-VwdFWWesxe0Cc#.job_boards.Indeed", "https://candidateportalnew.ceipal.com/job-details/PPC3x4_8dTXK-fnPQ0E18SGWy2Pw9-VwdFWWesxe0Cc#.job_boards.Indeed")</f>
        <v/>
      </c>
      <c r="G79" t="inlineStr">
        <is>
          <t>TX, US</t>
        </is>
      </c>
      <c r="H79" s="3" t="n">
        <v>46057</v>
      </c>
      <c r="I79" t="inlineStr">
        <is>
          <t>Role: Google Cloud ML Engineer\- Vertex AI Dallas, TX (Day1 Onsite) Local to Texas Only
About the Role: We seek an experienced developer to design, build, and deploy advanced Conversational AI/NLU solutions
Requirements: Experience architecting, designing, and developing scalable chat Virtual Agent frameworks using Google Vertex AI, with proficiency in Vertex AI Agent Engine, Model Garden and Google Agent Development Kit (ADK). Hands\-on experience in developing NLP and GenAI Models on Vertex AI Proficiency in training, fine\-tuning, and deploying custom LLMs, transformer models, and Retrieval Augmented Generation (RAG) pipelines to AI Models.
Required Qualifications: 5\-7 years in software development (4\+ in NLP/NLU for chat). Good to have an understanding on other Google Cloud Platform services and cloud\-native architectures
Preferred Qualifications: Master's/PhD in Computer Science, AI/ML, or related field Must have Google Cloud Platform Certification\- Google Cloud Certified Professional Machine Learning Engineer Experience with GenAI frameworks (PaLM, Gemini) Integration with CRM, knowledge bases, and live agent systems
Soft Skills: Excellent communication and collaboration. Strong ownership and end\-to\-end project delivery. Leadership in cross\-functional environments. Team Leading and Management.
**For applications and inquiries, contact:** hirings@openkyber.com</t>
        </is>
      </c>
    </row>
    <row r="80">
      <c r="A80" t="inlineStr">
        <is>
          <t>in-e5faad328f1df367</t>
        </is>
      </c>
      <c r="B80" t="inlineStr">
        <is>
          <t>Identity AI / ML Engineer</t>
        </is>
      </c>
      <c r="C80" t="inlineStr">
        <is>
          <t>Openkyber</t>
        </is>
      </c>
      <c r="D80" t="inlineStr">
        <is>
          <t>indeed</t>
        </is>
      </c>
      <c r="E80">
        <f>HYPERLINK("https://www.indeed.com/viewjob?jk=e5faad328f1df367", "https://www.indeed.com/viewjob?jk=e5faad328f1df367")</f>
        <v/>
      </c>
      <c r="F80">
        <f>HYPERLINK("https://candidateportalnew.ceipal.com/job-details/DnWDYGn1hMMTxuihaMBqaFm0lP-nu9GmXRgs53-d21E#.job_boards.Indeed", "https://candidateportalnew.ceipal.com/job-details/DnWDYGn1hMMTxuihaMBqaFm0lP-nu9GmXRgs53-d21E#.job_boards.Indeed")</f>
        <v/>
      </c>
      <c r="G80" t="inlineStr">
        <is>
          <t>TX, US</t>
        </is>
      </c>
      <c r="H80" s="3" t="n">
        <v>46057</v>
      </c>
      <c r="I80" t="inlineStr">
        <is>
          <t>**Role:** AI/ML Engineer Location: Austin, TX (Hybrid) Duration: 12\+ Months Requirements: We are seeking a highly skilled AI Technical Developer to lead the design, development, and deployment of cutting\-edge AI\-driven product solutions. This role involves collaborating closely with product development, architecture, and management teams to propel the advancement of AI technologies working with business teams and end customers.. Design, develop, and maintain scalable Python\-based backend services and microservices for enterprise applications.
Build and integrate AI/ML and LLM\-driven solutions, including model inference services, data pipelines, and API exposure.
Develop and maintain modern UI applications using Angular, ensuring seamless integration with Python backends.
Deploy, manage, and optimize containerized workloads on Kubernetes on Bare Metal (KOB) platforms.
Implement end\-to\-end DevOps practices including CI/CD, infrastructure automation, monitoring, and observability.
Apply security\-by\-design principles across applications, API, container, and infrastructure layers.
Collaborate cross\-functionally with product, architecture, QA, platform, and security teams to deliver high\-quality solutions.
Ensure code quality through unit testing, integration testing, code reviews, and documentation.
Drive performance optimization, reliability, and scalability across the full technology stack.
Exposure in Large Language Models (LLMs), Machine Learning, Deep Learning, Generative AI, Supervised Learning, Data Science, and Data Engineering.
Python Full Stack Development Strong hands\-on experience with Python (3\.x) for enterprise application development.
Expertise with FastAPI, Flask, or Django frameworks.
Proficiency in building RESTful and event\-driven APIs.
Strong understanding of asynchronous programming, threading, and performance optimization.
Experience with SQL and NoSQL databases (PostgreSQL, MySQL, MongoDB, Redis).
Experience developing and integrating AI/ML solutions into production systems.
Hands\-on exposure to machine learning frameworks such as PyTorch, TensorFlow, or Scikit\-learn.
Experience with LLMs, prompt engineering, and AI service orchestration is a strong plus.
Understanding of model lifecycle management, monitoring, and inference performance tuning.
Data Science tools and visualization tools Strong experience developing applications with Angular Proficiency in TypeScript, RxJS, component\-based architecture, and state management.
Ability to integrate UI with secure backend APIs.
Familiarity with responsive UI design, accessibility standards, and performance optimization.
Hands\-on experience with Docker and containerization best practices.
Strong expertise in Kubernetes on Bare Metal (KOB) Cluster setup, upgrades, and troubleshooting Networking (CNI), storage (CSI), and ingress configurations High availability and fault tolerance.
**For applications and inquiries, contact:** hirings@openkyber.com</t>
        </is>
      </c>
    </row>
    <row r="81">
      <c r="A81" t="inlineStr">
        <is>
          <t>in-f54efb7f82340493</t>
        </is>
      </c>
      <c r="B81" t="inlineStr">
        <is>
          <t>Identity AI / ML Engineer</t>
        </is>
      </c>
      <c r="C81" t="inlineStr">
        <is>
          <t>Openkyber</t>
        </is>
      </c>
      <c r="D81" t="inlineStr">
        <is>
          <t>indeed</t>
        </is>
      </c>
      <c r="E81">
        <f>HYPERLINK("https://www.indeed.com/viewjob?jk=f54efb7f82340493", "https://www.indeed.com/viewjob?jk=f54efb7f82340493")</f>
        <v/>
      </c>
      <c r="F81">
        <f>HYPERLINK("https://candidateportalnew.ceipal.com/job-details/o1FD-OXyC9OpNFhK6djOaE7K2r7TQxudaSZPx0K5mwk#.job_boards.Indeed", "https://candidateportalnew.ceipal.com/job-details/o1FD-OXyC9OpNFhK6djOaE7K2r7TQxudaSZPx0K5mwk#.job_boards.Indeed")</f>
        <v/>
      </c>
      <c r="G81" t="inlineStr">
        <is>
          <t>TX, US</t>
        </is>
      </c>
      <c r="H81" s="3" t="n">
        <v>46057</v>
      </c>
      <c r="I81" t="inlineStr">
        <is>
          <t>**Role:** Full\-Stack AI/ML Engineer  
**Location:** Irving, TX (Hybrid)  
**Work Authorization:** Engagement: Contract to Hire
**Key Skills:** Python (Pandas, NumPy, Scikit\-learn, LangChain/LangGraph) ML frameworks: TensorFlow / PyTorch / scikit\-learn LLMs \&amp; GenAI (OpenAI, Azure OpenAI, Hugging Face) RAG, vector databases, document intelligence FastAPI, microservices, REST APIs MLOps: Docker, Kubernetes, CI/CD Cloud platforms: Azure / AWS / Google Cloud Platform
If this aligns with your experience and you're open to exploring, please share your updated resume and let me know a good time to connect. Looking forward to your response.
**For applications and inquiries, contact:** hirings@openkyber.com</t>
        </is>
      </c>
    </row>
    <row r="82">
      <c r="A82" t="inlineStr">
        <is>
          <t>in-5db22fc154957213</t>
        </is>
      </c>
      <c r="B82" t="inlineStr">
        <is>
          <t>Identity AI / ML Engineer</t>
        </is>
      </c>
      <c r="C82" t="inlineStr">
        <is>
          <t>Openkyber</t>
        </is>
      </c>
      <c r="D82" t="inlineStr">
        <is>
          <t>indeed</t>
        </is>
      </c>
      <c r="E82">
        <f>HYPERLINK("https://www.indeed.com/viewjob?jk=5db22fc154957213", "https://www.indeed.com/viewjob?jk=5db22fc154957213")</f>
        <v/>
      </c>
      <c r="F82">
        <f>HYPERLINK("https://candidateportalnew.ceipal.com/job-details/lq1C-P0OJwh8XnUtITUVm48GD4tKqnPhwOxPtChjxsw#.job_boards.Indeed", "https://candidateportalnew.ceipal.com/job-details/lq1C-P0OJwh8XnUtITUVm48GD4tKqnPhwOxPtChjxsw#.job_boards.Indeed")</f>
        <v/>
      </c>
      <c r="G82" t="inlineStr">
        <is>
          <t>GA, US</t>
        </is>
      </c>
      <c r="H82" s="3" t="n">
        <v>46057</v>
      </c>
      <c r="I82" t="inlineStr">
        <is>
          <t>Locations: New York, NY 2 Positions Alpharetta, GA 2 Positions Role Overview We are seeking a highly motivated AI/ML Engineer to design, develop, deploy, and optimize machine learning and Generative AI solutions. This role blends core ML engineering , Python backend development , and LLM\-based systems , including prompt engineering and Retrieval\-Augmented Generation (RAG). The ideal candidate will work closely with product, data, and engineering teams to deliver scalable, production\-ready AI solutions that drive real business impact. Key Responsibilities 1\. Machine Learning Model Development \&amp; Deployment Design, develop, train, and evaluate machine learning models using supervised, unsupervised, and reinforcement learning techniques. Perform data cleaning, preprocessing, feature engineering, and exploratory data analysis (EDA) on structured and unstructured datasets. Select appropriate algorithms and evaluation metrics based on business use cases. Optimize model performance through hyperparameter tuning and experimentation. Deploy models into production environments with proper monitoring, versioning, and rollback strategies. Implement CI/CD pipelines for ML workflows and model lifecycle management. 2\. Prompt Engineering \&amp; LLM Orchestration Design, test, and optimize prompts for Large Language Models (LLMs) such as GPT\-4, Claude, and Llama 3 . Apply advanced prompting techniques including: Chain\-of\-Thought (CoT) Few\-Shot and Zero\-Shot prompting ReAct and tool\-augmented reasoning patterns Build and maintain Retrieval\-Augmented Generation (RAG) pipelines to ensure factual, grounded, and reliable responses. Integrate LLMs with proprietary datasets using vector search and embeddings. Evaluate LLM output quality and continuously reduce hallucinations and bias. 3\. Python Engineering \&amp; API Development Write clean, scalable, and maintainable Python (3\.x) code following best practices. Develop RESTful APIs and microservices to expose AI/ML capabilities to internal and external applications. Implement asynchronous programming and efficient data pipelines. Utilize ML and data science libraries including: NumPy, Pandas Scikit\-learn PyTorch and/or TensorFlow Collaborate with frontend and backend teams to integrate AI features into core products. 4\. Data \&amp; Infrastructure Collaboration Work with vector databases such as Pinecone, Milvus, Weaviate, or ChromaDB. Collaborate with DevOps teams on Dockerized deployments and Kubernetes\-based orchestration . Ensure AI solutions meet performance, security, and scalability requirements. Document architectures, workflows, and design decisions. Required Skills \&amp; Qualifications Core Technical Skills Python: Strong proficiency in Python 3\.x, including async programming. Machine Learning Fundamentals: Statistics, probability, and linear algebra Algorithms such as Random Forests, XGBoost, Gradient Boosting, and Neural Networks Prompt Engineering: Hands\-on experience crafting prompts for reliable and explainable LLM outputs. LLM Frameworks: Experience with LangChain, LlamaIndex, or Haystack . Databases: Understanding of vector databases and embedding\-based retrieval systems. Soft Skills Strong analytical and problem\-solving mindset. Ability to communicate complex AI/ML concepts to non\-technical stakeholders. Self\-starter with a passion for continuous learning in the rapidly evolving GenAI space. Strong collaboration skills across cross\-functional teams. Experience Level Expectations Entry Level (1 5 Years) Mandatory: Python programming Basic TensorFlow or PyTorch Understanding of ML algorithms and model evaluation Preferred: Data preprocessing using Pandas and NumPy Exposure to cloud\-based AI/ML services Mid Level (5 12 Years) Mandatory: End\-to\-end model development and deployment REST API development for ML models Production ML experience Preferred: NLP and deep learning experience Experience with cloud ML platforms such as AWS SageMaker or Azure AI Expert Level (12\+ Years) Mandatory: Design and implementation of scalable, enterprise\-grade ML systems Advanced statistical modeling and optimization techniques Preferred: Leadership in AI architecture and strategy Deep experience with Transformers, LLMs, and GenAI frameworks Preferred Qualifications (All Levels) Experience with REST or GraphQL API integrations Docker and Kubernetes exposure Fine\-tuning or adapting open\-source models (Hugging Face ecosystem) GitHub repository or portfolio showcasing AI/ML projects, prompt libraries, or GenAI solutions
**For applications and inquiries, contact:** hirings@openkyber.com</t>
        </is>
      </c>
    </row>
    <row r="83">
      <c r="A83" t="inlineStr">
        <is>
          <t>in-67cbc7781248fc2d</t>
        </is>
      </c>
      <c r="B83" t="inlineStr">
        <is>
          <t>Identity AI / ML Engineer</t>
        </is>
      </c>
      <c r="C83" t="inlineStr">
        <is>
          <t>Openkyber</t>
        </is>
      </c>
      <c r="D83" t="inlineStr">
        <is>
          <t>indeed</t>
        </is>
      </c>
      <c r="E83">
        <f>HYPERLINK("https://www.indeed.com/viewjob?jk=67cbc7781248fc2d", "https://www.indeed.com/viewjob?jk=67cbc7781248fc2d")</f>
        <v/>
      </c>
      <c r="F83">
        <f>HYPERLINK("https://candidateportalnew.ceipal.com/job-details/EZRq6lu2vCweGtyg7CWzrSabVG1On6UXVfTMFf64fM4#.job_boards.Indeed", "https://candidateportalnew.ceipal.com/job-details/EZRq6lu2vCweGtyg7CWzrSabVG1On6UXVfTMFf64fM4#.job_boards.Indeed")</f>
        <v/>
      </c>
      <c r="G83" t="inlineStr">
        <is>
          <t>GA, US</t>
        </is>
      </c>
      <c r="H83" s="3" t="n">
        <v>46057</v>
      </c>
      <c r="I83" t="inlineStr">
        <is>
          <t>The typical candidate will have experience working in enterprise software system in a cross\-collaborative environment. The candidate is expected to work closely with stakeholders including Product Managers and Architects, to help shape the requirements, influence the solution, and explain the same to the team. The candidate needs to be a team player and should be willing to take up responsibilities as necessitated by project requirements.
**Key Responsibilities**  
**Communication:** Clearly articulate engineering point of view in calls with stakeholders including Product Managers and Architects  
**Analysis:** Break down requirements into technical asks related to the system at hand Work with Product Managers to ensure backlog, maintain story hygiene, and ensure stories are implementation ready.  
**Solutioning:** Collaborate with architects and designers to refine requirements and validate feasibility. Call out gaps in requirements engage with stakeholders including Product Managers, Architects to get them addressed.  
**Execution:** Convert solution designs to working deliverables Ensure high quality deliverables with clear focus on design alignment, code, code reviews, Represent team in periodic calls with stakeholders  
**Hypercare \&amp; Post Go\-Live Management Support:** post\-go\-live stabilization during the hypercare period. Triage incidents, track resolution, and report on hypercare performance.  
**Preferred Qualifications**  
Engineer with 8\-10 yrs of software engineering experience, including 3 5 years in AI/ML system design and delivery. Excellent communication and stakeholder engagement skills. Expertise of core AI/ML techniques and algorithms Expertise in Python, OOP, Design Patterns, time and space\-efficient algorithms Evaluate and implement ML models in cloud environments. Understanding data architecture, APIs and distributed systems Proficiency in ServiceNow Platform including Scripting, integrations, ACLs, Flow designer, Now Assist will be a plus Able to understand / clarify requirements and work on delivery of modules with minimal dependency
**For applications and inquiries, contact:** hirings@openkyber.com</t>
        </is>
      </c>
    </row>
    <row r="84">
      <c r="A84" t="inlineStr">
        <is>
          <t>in-5c92dbf329ed369e</t>
        </is>
      </c>
      <c r="B84" t="inlineStr">
        <is>
          <t>Identity AI / ML Engineer</t>
        </is>
      </c>
      <c r="C84" t="inlineStr">
        <is>
          <t>Openkyber</t>
        </is>
      </c>
      <c r="D84" t="inlineStr">
        <is>
          <t>indeed</t>
        </is>
      </c>
      <c r="E84">
        <f>HYPERLINK("https://www.indeed.com/viewjob?jk=5c92dbf329ed369e", "https://www.indeed.com/viewjob?jk=5c92dbf329ed369e")</f>
        <v/>
      </c>
      <c r="F84">
        <f>HYPERLINK("https://candidateportalnew.ceipal.com/job-details/Fn-X6uf5NEYczzdsCN0rBEe78SBFvM1iMSZLTLOBjDo#.job_boards.Indeed", "https://candidateportalnew.ceipal.com/job-details/Fn-X6uf5NEYczzdsCN0rBEe78SBFvM1iMSZLTLOBjDo#.job_boards.Indeed")</f>
        <v/>
      </c>
      <c r="G84" t="inlineStr">
        <is>
          <t>TX, US</t>
        </is>
      </c>
      <c r="H84" s="3" t="n">
        <v>46057</v>
      </c>
      <c r="I84" t="inlineStr">
        <is>
          <t>We are looking for AI/ML Engineer for our client in Round Rock, TX
**Job Title:** AI/ML Engineer
**Job Location:** Round Rock, TX
**Job Type:** Contract
**Job Description:** We are seeking a highly skilled AI Technical Developer to lead the design, development, and deployment of cutting\-edge AI\-driven product solutions. This role involves collaborating closely with product development, architecture, and management teams to propel the advancement of AI technologies working with business teams and end customers.
* Design, develop, and maintain scalable Python\-based backend services and microservices for enterprise applications.
* Build and integrate AI/ML and LLM\-driven solutions, including model inference services, data pipelines, and API exposure.
* Develop and maintain modern UI applications using Angular, ensuring seamless integration with Python backends.
* Deploy, manage, and optimize containerized workloads on Kubernetes on Bare Metal (KOB) platforms.
* Implement end to end DevOps practices including CI/CD, infrastructure automation, monitoring, and observability.
* Apply security\-by\-design principles across application, API, container, and infrastructure layers.
* Collaborate cross\-functionally with product, architecture, QA, platform, and security teams to deliver high\-quality solutions.
* Ensure code quality through unit testing, integration testing, code reviews, and documentation.
* Drive performance optimization, reliability, and scalability across the full technology stack.
* Exposure in Large Language Models (LLMs), Machine Learning, Deep Learning, Generative AI, Supervised Learning, Data Science, and Data Engineering.
* Python Full stack Development Strong hands\-on experience with Python (3\.x) for enterprise application development.
* Expertise with FastAPI, Flask, or Django frameworks.
* Proficiency in building RESTful and event\-driven APIs.
* Strong understanding of asynchronous programming, threading, and performance optimization.
* Experience with SQL and NoSQL databases (PostgreSQL, MySQL, MongoDB, Redis).
* Experience developing and integrating AI/ML solutions into production systems.
* Hands\-on exposure to machine learning frameworks such as PyTorch, TensorFlow, or Scikit\-learn.
* Experience with LLMs, prompt engineering, and AI service orchestration is a strong plus.
* Understanding of model lifecycle management, monitoring, and inference performance tuning.
* Data Science tools and visualization tools Strong experience developing applications with Angular Proficiency in TypeScript, RxJS, component\-based architecture, and state management.
* Ability to integrate UI with secure backend APIs.
* Familiarity with responsive UI design, accessibility standards, and performance optimization.
* Hands\-on experience with Docker and containerization best practices.
* Strong expertise in Kubernetes on Bare Metal (KOB), including: Cluster setup, upgrades, and troubleshooting Networking (CNI), storage (CSI), and ingress configurations High availability and fault tolerance.
**For applications and inquiries, contact:** hirings@openkyber.com</t>
        </is>
      </c>
    </row>
    <row r="85">
      <c r="A85" t="inlineStr">
        <is>
          <t>in-775a93f13d72f44c</t>
        </is>
      </c>
      <c r="B85" t="inlineStr">
        <is>
          <t>Identity AI / ML Engineer</t>
        </is>
      </c>
      <c r="C85" t="inlineStr">
        <is>
          <t>Openkyber</t>
        </is>
      </c>
      <c r="D85" t="inlineStr">
        <is>
          <t>indeed</t>
        </is>
      </c>
      <c r="E85">
        <f>HYPERLINK("https://www.indeed.com/viewjob?jk=775a93f13d72f44c", "https://www.indeed.com/viewjob?jk=775a93f13d72f44c")</f>
        <v/>
      </c>
      <c r="F85">
        <f>HYPERLINK("https://candidateportalnew.ceipal.com/job-details/W996NAzzfn--cmwRgdZ37lWCDcIIBgxK15Hc-4lixqU#.job_boards.Indeed", "https://candidateportalnew.ceipal.com/job-details/W996NAzzfn--cmwRgdZ37lWCDcIIBgxK15Hc-4lixqU#.job_boards.Indeed")</f>
        <v/>
      </c>
      <c r="G85" t="inlineStr">
        <is>
          <t>NJ, US</t>
        </is>
      </c>
      <c r="H85" s="3" t="n">
        <v>46057</v>
      </c>
      <c r="I85" t="inlineStr">
        <is>
          <t>A client of OpenKyber is immediately hiring for Python Developer . Position type: Contract Duration: 18 Months Location: Jersey City, NJ (3 Days Onsite) As a Python AI Developer , you will: Candidate will be responsible for supporting Major enterprise initiatives to develop new modules in latest technologies. Project will have complex enhancements in Extract, Transform and Load (ETL) and Validations.. Required Skills (Must\-Have) 1\. Strong knowledge of Python, Gen AI, ML and RAG. 2\. Minimum 6\+ years' experience in Python and Gen AI Applications developments. 3\. Extensive experience in debugging, performance tuning, Runtime Analysis and System monitoring 4\. Good experience in Oracle plsql programming, Unix scripting and Autosys scheduler. Qualified candidates should APPLY NOW for immediate consideration! This position is only open to applicants who can be engaged on a W\-2 basis. Please hit APPLY to provide the required information, and we will be back in touch as soon as possible. We are currently interviewing to fill this and other similar positions. If this role is not a fit for you, we do offer a referral bonus program for referrals that we successfully place with our clients, subject to program guidelines. ASK ME HOW. OpenKyber 210\-881\-3113 hirings@openkyber.com PAY RANGE AND BENEFITS: Pay Range\*: $65/hr \- $75/hr on W2\. \*Pay range offered to a successful candidate will be based on several factors, including the candidate's education, work experience, work location, specific job duties, certifications, etc. Benefits: OpenKyber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OpenKyber: Founded in 1998 and headquartered in Atlanta, Georgia, OpenKyber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Named One of America's Best Employers for New Grads by Forbes (2024 Named One of the Best Companies to Work for by U.S. News \&amp; World Report (Private Companies List, 2024\-2025\) One of the Largest IT Staffing Firms in the US Ranked \#3 by Staffing Industry Analysts (SIA, 2024\) One of the Largest Staffing Firms in the US Ranked \#13 by Staffing Industry Analysts (SIA, 2024; includes OpenKyber, Volt, \&amp; HireGenics) Named One of the Top Ten Private Companies in Atlanta by the Atlanta Business Chronicle (2023\) One of the Largest Certified Minority Business Enterprises (MBEs) in the United States (NMSDC, 2024\) AWS Advanced Tier Services Partner with 100\+ certifications Website : https://www.innovasolutions.com/ OpenKyber offers a referral bonus for qualified Ambassadors who refer eligible referrals. Submit referrals at https://innovasolutions.workllama.com/atsuser/anonreferafriend and earn $250\-$1,000 per referral. OpenKyber is an Equal Opportunity Employer and prohibits any kind of unlawful discrimination and harassment. OpenKyber encourages all interested and qualified candidates to apply for employment opportunities. OpenKyber (HireGenics/Volt) does not discriminate against applicants based on citizenship status, immigration status, or national origin, in accordance with 8 U.S.C. 1324b. The company will consider for employment qualified applicants with arrest and conviction records in a manner that complies with the San Francisco Fair Chance Ordinance, the Los Angeles Fair Chance Initiative for Hiring Ordinance, and other applicable laws. . By applying for this job, you agree to receive calls, AI\-generated calls, text messages, or emails from OpenKyber and its affiliates, and contracted partners. Frequency varies for text messages. Message and data rates may apply. Carriers are not liable for delayed or undelivered messages.
**For applications and inquiries, contact:** hirings@openkyber.com</t>
        </is>
      </c>
    </row>
    <row r="86">
      <c r="A86" t="inlineStr">
        <is>
          <t>in-51054a144c7eea99</t>
        </is>
      </c>
      <c r="B86" t="inlineStr">
        <is>
          <t>Identity AI / ML Engineer</t>
        </is>
      </c>
      <c r="C86" t="inlineStr">
        <is>
          <t>Openkyber</t>
        </is>
      </c>
      <c r="D86" t="inlineStr">
        <is>
          <t>indeed</t>
        </is>
      </c>
      <c r="E86">
        <f>HYPERLINK("https://www.indeed.com/viewjob?jk=51054a144c7eea99", "https://www.indeed.com/viewjob?jk=51054a144c7eea99")</f>
        <v/>
      </c>
      <c r="F86">
        <f>HYPERLINK("https://candidateportalnew.ceipal.com/job-details/VEAs0H__eZc5QGyIO3DzLCE9KGe894uTAx3JQZ0vKtc#.job_boards.Indeed", "https://candidateportalnew.ceipal.com/job-details/VEAs0H__eZc5QGyIO3DzLCE9KGe894uTAx3JQZ0vKtc#.job_boards.Indeed")</f>
        <v/>
      </c>
      <c r="G86" t="inlineStr">
        <is>
          <t>GA, US</t>
        </is>
      </c>
      <c r="H86" s="3" t="n">
        <v>46057</v>
      </c>
      <c r="I86" t="inlineStr">
        <is>
          <t>**Role:** AI ML Engineer
**Location:** NYC \&amp; Alpharetta, GA
**Need Passport Number**
**Job description**
Mid Level ( 9 12 years)
**Mandatory Skills:**
* Model development \&amp; deployment
* REST API integration for ML models
**Preferred Skills:**
* Experience with NLP, deep learning
* Cloud ML platforms (AWS SageMaker, Azure AI)
**For applications and inquiries, contact:** hirings@openkyber.com</t>
        </is>
      </c>
    </row>
    <row r="87">
      <c r="A87" t="inlineStr">
        <is>
          <t>in-a5a8653b215e262d</t>
        </is>
      </c>
      <c r="B87" t="inlineStr">
        <is>
          <t>Identity AI / ML Engineer</t>
        </is>
      </c>
      <c r="C87" t="inlineStr">
        <is>
          <t>Openkyber</t>
        </is>
      </c>
      <c r="D87" t="inlineStr">
        <is>
          <t>indeed</t>
        </is>
      </c>
      <c r="E87">
        <f>HYPERLINK("https://www.indeed.com/viewjob?jk=a5a8653b215e262d", "https://www.indeed.com/viewjob?jk=a5a8653b215e262d")</f>
        <v/>
      </c>
      <c r="F87">
        <f>HYPERLINK("https://candidateportalnew.ceipal.com/job-details/7_2LtnqD0N-GnXVd-LbDA-NJcwy1TfT6AMz47owevYI#.job_boards.Indeed", "https://candidateportalnew.ceipal.com/job-details/7_2LtnqD0N-GnXVd-LbDA-NJcwy1TfT6AMz47owevYI#.job_boards.Indeed")</f>
        <v/>
      </c>
      <c r="G87" t="inlineStr">
        <is>
          <t>GA, US</t>
        </is>
      </c>
      <c r="H87" s="3" t="n">
        <v>46057</v>
      </c>
      <c r="I87" t="inlineStr">
        <is>
          <t>**Qualifications Bachelor s degree in Computer Science, Engineering, or related field (Master s preferred).**
6\+ years of experience across Artificial Intelligence (AI) / Machine Learning (ML) engineering, data engineering, and MLOps implementation, including:
* Designing and deploying production\-grade ML systems.
* Building scalable data pipelines and ML workflows.
* Managing model lifecycle in cloud environments.
* Proficient in Python and familiar with ML frameworks such as TensorFlow, PyTorch, and Scikit\-learn.
* Strong understanding and experience in AWS Machine Learning Stack including: AWS SageMaker AWS Glue AWS Bedrock AWS Data Pipelines AWS Lambda Functions
* Experience with Generative AI model development builing LLM based applications with RAG.
* Experience implementing agentic frameworks (e.g., LangGraph, AutoGen) and Model Context Protocol (MCP) for orchestration.
* Knowledge of React UI, GraphDB, and GenAI model performance evaluation
* Experience with CI/CD, containerization (e.g., Docker), and orchestration tools (e.g., Kubernetes).
* Solid grasp of software engineering principles including testing, version control (e.g., Git), and security.
* Familiarity with the Machine Learning Development Lifecycle (MDLC) and best practices for reproducibility and scalability.
* Strong communication and collaboration skills, with experience working across technical and business teams.
* Ability to anticipate ambiguity and devise scalable solutions to address it.
**For applications and inquiries, contact:** hirings@openkyber.com</t>
        </is>
      </c>
    </row>
    <row r="88">
      <c r="A88" t="inlineStr">
        <is>
          <t>in-1a111dc9ac720a7e</t>
        </is>
      </c>
      <c r="B88" t="inlineStr">
        <is>
          <t>Identity AI / ML Engineer</t>
        </is>
      </c>
      <c r="C88" t="inlineStr">
        <is>
          <t>Openkyber</t>
        </is>
      </c>
      <c r="D88" t="inlineStr">
        <is>
          <t>indeed</t>
        </is>
      </c>
      <c r="E88">
        <f>HYPERLINK("https://www.indeed.com/viewjob?jk=1a111dc9ac720a7e", "https://www.indeed.com/viewjob?jk=1a111dc9ac720a7e")</f>
        <v/>
      </c>
      <c r="F88">
        <f>HYPERLINK("https://candidateportalnew.ceipal.com/job-details/FthfKUEfYZoKiFSlXUnUL0H9eWTmZOr7zAweA4fxzJo#.job_boards.Indeed", "https://candidateportalnew.ceipal.com/job-details/FthfKUEfYZoKiFSlXUnUL0H9eWTmZOr7zAweA4fxzJo#.job_boards.Indeed")</f>
        <v/>
      </c>
      <c r="G88" t="inlineStr">
        <is>
          <t>GA, US</t>
        </is>
      </c>
      <c r="H88" s="3" t="n">
        <v>46057</v>
      </c>
      <c r="I88" t="inlineStr">
        <is>
          <t>**Role Summary** The AI/ML Specialist will be responsible for designing, implementing, and integrating advanced AI/ML capabilities, including Large Language Model (LLM)\-driven workflows, intelligent document processing, and AI\-assisted engineering solutions. The role requires strong expertise in NLP, computer vision, and production AI systems with a focus on quality assurance, auditability, and governance.
**Key Responsibilities**
* Design and implement LLM\-based and agentic AI workflows
* Build NLP pipelines for document classification, extraction, and summarization
* Develop and deploy computer vision\-based AI solutions where applicable
* Integrate vector databases and embedding pipelines
* Implement confidence scoring, logging, and explainability mechanisms for AI outputs
* Support QA processes for AI outputs and model validation
* Ensure all AI solutions align with SOW standards, risk management, and governance policies
**Minimum Qualifications (Required)**
* 6\+ years of experience in AI/ML, Data Science, or Applied Machine Learning roles
* Strong hands\-on experience with LLMs and NLP
* Proficiency in Python for AI development
* Experience working with vector databases and embeddings
* Experience deploying AI models and solutions into production environments
* Understanding of AI risk, bias, compliance, and governance
* Ability to demonstrate AI\-related work via a public GitHub repository
**Preferred Qualifications (Scored)**
* Experience with agentic AI frameworks (e.g., LangChain or similar)
* Hands\-on experience with computer vision in production systems
* Prior experience working in regulated or public\-sector environments
* Experience integrating AI solutions into document\-heavy workflows
**For applications and inquiries, contact:** hirings@openkyber.com</t>
        </is>
      </c>
    </row>
    <row r="89">
      <c r="A89" t="inlineStr">
        <is>
          <t>in-9b385caff45cf0d2</t>
        </is>
      </c>
      <c r="B89" t="inlineStr">
        <is>
          <t>Senior Machine Learning Engineer - BRAID Genomics</t>
        </is>
      </c>
      <c r="C89" t="inlineStr">
        <is>
          <t>Genentech</t>
        </is>
      </c>
      <c r="D89" t="inlineStr">
        <is>
          <t>indeed</t>
        </is>
      </c>
      <c r="E89">
        <f>HYPERLINK("https://www.indeed.com/viewjob?jk=9b385caff45cf0d2", "https://www.indeed.com/viewjob?jk=9b385caff45cf0d2")</f>
        <v/>
      </c>
      <c r="F89">
        <f>HYPERLINK("https://careers.gene.com/us/en/job/GENEUS202602103062EXTERNALENUS/Senior-Machine-Learning-Engineer-BRAID-Genomics", "https://careers.gene.com/us/en/job/GENEUS202602103062EXTERNALENUS/Senior-Machine-Learning-Engineer-BRAID-Genomics")</f>
        <v/>
      </c>
      <c r="G89" t="inlineStr">
        <is>
          <t>San Francisco, CA, US</t>
        </is>
      </c>
      <c r="H89" s="3" t="n">
        <v>46057</v>
      </c>
      <c r="I89" t="inlineStr">
        <is>
          <t>###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the transformative power of data and Artificial Intelligence (AI) to assist our scientists in both pRED and gRED to deliver more innovative and transformative medicines for patients worldwide.
**The Opportunity**
Genentech is seeking an exceptional Senior Machine Learning Engineer to join the BRAID (Biology Research \| AI Development) team within our Computational Sciences organization. This role will focus on developing, optimizing and deploying novel machine learning methods with a strong emphasis on foundation models for genomics data modalities. You will build and productionize machine learning systems and foundation models for regulatory genomics, enabling sequence\-to\-function modeling, variant effect predictions, and nucleic acid design.
**In this role, you will:**
* Training, fine\-tuning, evaluation, benchmarking, deployment of DNA/RNA sequence\-to\-function models.
* Design scalable data and training pipelines (distributed training, efficient dataloading, reproducibility, experiment tracking).
* Build and maintain production\-grade inference systems (APIs/SDKs, latency/cost optimization, reliability, monitoring).
* Establish engineering best practices for ML codebases: CI, unit/integration tests, model versioning, documentation, and code reviews.
* Collaborate closely with computational biologists, wet\-lab partners, and platform teams to define requirements, success metrics, and adoption pathways.
**Who you are**
* PhD with 5\+ years professional software engineering experience (or equivalent), including ownership of production services or ML platforms.
* Strong Python engineering skills (clean architecture, packaging, testing, CI, performance profiling).
* Deep experience with PyTorch, including training workflows and debugging numerical/performance issues.
* Experience with modern deep learning for sequences or high\-dimensional biological data (transformers, representation learning, generative modeling).
* Familiarity with regulatory genomics or functional genomics data and evaluation (e.g., expression/splicing/chromatin assays; variant effect prediction).
* Excellent communication skills; ability to translate scientific needs into reliable software and measurable deliverables.
Preferred Qualifications
* Experience with long\-context sequence modeling and established genomic frameworks (e.g., Enformer/Borzoi\-style models).
* Distributed training and systems experience (multi\-GPU, DDP/FSDP, mixed precision; GPU profiling/optimization).
* MLOps experience (model registry, experiment tracking, deployment pipelines, monitoring/drift).
* Experience with single\-cell and scverse ecosystem tools (scanpy/anndata, etc.).  
Publications or open\-source contributions in ML \+ genomics are a plus.
Relocation benefits are NOT available for this job posting
The expected salary range for this position, based on the primary location of California, is $167,400 \- 310,800\.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90">
      <c r="A90" t="inlineStr">
        <is>
          <t>in-3664153f736485db</t>
        </is>
      </c>
      <c r="B90" t="inlineStr">
        <is>
          <t>Full-Stack + AI Engineer</t>
        </is>
      </c>
      <c r="C90" t="inlineStr">
        <is>
          <t>Alchemy Worx</t>
        </is>
      </c>
      <c r="D90" t="inlineStr">
        <is>
          <t>indeed</t>
        </is>
      </c>
      <c r="E90">
        <f>HYPERLINK("https://www.indeed.com/viewjob?jk=3664153f736485db", "https://www.indeed.com/viewjob?jk=3664153f736485db")</f>
        <v/>
      </c>
      <c r="F90">
        <f>HYPERLINK("https://apply.workable.com/j/3D649C067D", "https://apply.workable.com/j/3D649C067D")</f>
        <v/>
      </c>
      <c r="G90" t="inlineStr">
        <is>
          <t>New York, NY, US</t>
        </is>
      </c>
      <c r="H90" s="3" t="n">
        <v>46057</v>
      </c>
      <c r="I90" t="inlineStr">
        <is>
          <t>**About Us**
Daat Lab is an AI venture studio that collaborates directly with businesses to transform deep domain expertise into valuable, commercial\-grade AI products. We assist companies in identifying and validating high\-impact, AI\-feasible use cases. Our process spans from initial ideation and building a proof of concept to developing a fully commercializable product and successfully launching it in the market. We maintain an active presence across multiple sectors, including real estate, digital marketing/e\-commerce, and health, with an ambitious goal of adding one new product to our portfolio every month.
 **About the Role**
We are looking for a software engineer to help take concepts from ideas to product. You will work directly with our strategy team and business partners to identify high\-value, AI\-feasible opportunities, shape product direction, and execute quickly. You’ll own the full product cycle including: discovery, prototyping, building, shipping, and iteration, often across multiple projects at once. This is a hands\-on role for someone who thrives in ambiguity, moves fast, and likes being close to customers.
 **What You’ll Do:**
* Own multiple projects from end to end: brainstorming product concepts, generating POCs to be evaluated and owning builds to reach a minimum viable product.
* Build full\-stack applications (backend, frontend, data layer, infra, deployment, and monitoring).
* Experiment with AI functionality on each case: classical ML when needed (forecasting, scoring, classification), plus LLM/agent workflows and evaluation loops
* Establish engineering standards: code quality, CI/CD hygiene, logging/analytics, basic security
* Work directly with design partners and ship weekly updates
**Requirements**
* You should have:
* + 3\+ years shipping full\-stack products end\-to\-end
	+ Strong Python and modern web stack (React/Next.js \+ APIs \+ DB \+ deployments)
	+ Data processing and Machine learning fundamentals (pandas, Sklearn, pytorch/tensorflow, model evaluation)
	+ Experience experimenting with LLMs and Agent frameworks (Open AI SDK, Google ADK, Langchain/Langraph, MCP)
	+ Comfort with ambiguity, fast cycles, and customer\-facing iteration
* What Success Looks Like:
* + Ship multiple POCs that clearly validate feasibility and ROI
	+ Bring at least one concept to a usable MVP with design\-partner feedback loops
**Benefits**
* Salary: $110 \- 140k (full\-time hire, will start as a 1099 contractor)
Please note: Daat Lab is a separate entity, unrelated to Alchemy Worx.</t>
        </is>
      </c>
    </row>
    <row r="91">
      <c r="A91" t="inlineStr">
        <is>
          <t>in-c56465af8ecdfc2e</t>
        </is>
      </c>
      <c r="B91" t="inlineStr">
        <is>
          <t>AI Engineer</t>
        </is>
      </c>
      <c r="C91" t="inlineStr">
        <is>
          <t>Westfield Insurance</t>
        </is>
      </c>
      <c r="D91" t="inlineStr">
        <is>
          <t>indeed</t>
        </is>
      </c>
      <c r="E91">
        <f>HYPERLINK("https://www.indeed.com/viewjob?jk=c56465af8ecdfc2e", "https://www.indeed.com/viewjob?jk=c56465af8ecdfc2e")</f>
        <v/>
      </c>
      <c r="F91">
        <f>HYPERLINK("https://fa-exdv-saasfaprod1.fa.ocs.oraclecloud.com/hcmUI/CandidateExperience/en/sites/CX_1/requisitions/preview/11651", "https://fa-exdv-saasfaprod1.fa.ocs.oraclecloud.com/hcmUI/CandidateExperience/en/sites/CX_1/requisitions/preview/11651")</f>
        <v/>
      </c>
      <c r="G91" t="inlineStr">
        <is>
          <t>Westfield Center, OH, US</t>
        </is>
      </c>
      <c r="H91" s="3" t="n">
        <v>46057</v>
      </c>
      <c r="I91" t="inlineStr">
        <is>
          <t>**Job Summary**
Westfield is hiring an AI Engineer to build AI use cases of different shapes and sizes that impact our core insurance workflows. You’ll work with other AI Engineers, software developers, and business stakeholders to ship features and assets that range in complexity from simple prompt workflows and document understanding to AI agents, RAG, computer use, and more. You’ll be involved in business use cases from design and architecture into implementation, testing, deployment, monitoring, and maintenance.
*Applicants must be currently authorized to work in the United States on a full\-time basis without employer sponsorship.*  
**What You'll Do**
* Build containerized AI services in Python. Implement clean APIs where needed and standards\-based integrations for enterprise systems.
* Design retrieval \&amp; agent flows using industry\-standard frameworks; implement prompt/tool versioning and safe rollouts (e.g., feature flags, canary).
* Guardrails \&amp; governance: help implement controls around PII handling, audit logging, RBAC, prompt\-injection defenses, and egress controls.
* Evaluation automation: create eval harnesses, golden sets, regression gates, and basic business KPIs (e.g., quality, safety, latency, cost).
* Observability: instrument tracing/metrics/logging with standard tooling, integrate with enterprise monitoring/logging platforms, and build actionable dashboards/alerts.
* Operational rigor: contribute to runbooks and incident hygiene. Participate in the on\-call rotation for the AI services you help own.
* CI/CD: use pipeline\-as\-code for delivery and keep code\-quality/security gates clean for frequent deployments.
Team play: embed with asset teams when appropriate. Contribute back reusable components, SDKs, and docs to the AI engineering platform.  
* 
**Job Qualifications**
* At least 2 years of software engineering experience, including at least 1 production\-deployed GenAI use case for real business users or consumers.
* Strong Python and microservice fundamentals (e.g., FastAPI or similar, type hints, tests such as pytest) with an emphasis on well\-structured, readable code.
* Hands\-on experience with any AI orchestration frameworks (e.g., LangChain, LangGraph, OpenAI Agents SDK, PydanticAI or similar).
* Containers/orchestration experience: solid containerization understanding and hands\-on with deploy/scale/config/secret management (e.g., Docker, Kubernetes/OpenShift).
* Observability experience: metrics, logs, tracing (e.g., OTel) and using these signals to debug production outages and performance issues.
* CI/CD discipline (e.g., Azure DevOps YAML or similar), code\-quality/security gates (e.g., SonarQube, Snyk), and dependency management basics.
Governance understanding: audit logs, RBAC, data\-privacy boundaries, and change control in business\-critical environments.  
* 
**Job Qualifications (Preferred)**
* Experience deploying and supporting multiple custom GenAI use cases in production.
* Familiarity with MCP, A2A, or other AI integration standards.
* Experience with RAG and vector search.
* Experience with Python dependency/build management (e.g., uv) and familiarity with ASGI servers (e.g., uvicorn).
**Location**
Hybrid defined as three (3\) or more days per week in the office.  
**Behavioral Competencies**
* Collaborates
* Customer focus
* Communicates effectively
* Decision quality
Nimble learning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
        </is>
      </c>
    </row>
    <row r="92">
      <c r="A92" t="inlineStr">
        <is>
          <t>in-fd58e1858e5ab273</t>
        </is>
      </c>
      <c r="B92" t="inlineStr">
        <is>
          <t>AI Engineer</t>
        </is>
      </c>
      <c r="C92" t="inlineStr">
        <is>
          <t>Blattner Company</t>
        </is>
      </c>
      <c r="D92" t="inlineStr">
        <is>
          <t>indeed</t>
        </is>
      </c>
      <c r="E92">
        <f>HYPERLINK("https://www.indeed.com/viewjob?jk=fd58e1858e5ab273", "https://www.indeed.com/viewjob?jk=fd58e1858e5ab273")</f>
        <v/>
      </c>
      <c r="F92">
        <f>HYPERLINK("https://blattner.wd5.myworkdayjobs.com/en-US/BlattnerCompany/job/RemoteTraveling-For-Corporate-Use-Only/AI-Engineer_R7051", "https://blattner.wd5.myworkdayjobs.com/en-US/BlattnerCompany/job/RemoteTraveling-For-Corporate-Use-Only/AI-Engineer_R7051")</f>
        <v/>
      </c>
      <c r="G92" t="inlineStr">
        <is>
          <t>Remote, US</t>
        </is>
      </c>
      <c r="H92" s="3" t="n">
        <v>46057</v>
      </c>
      <c r="I92" t="inlineStr">
        <is>
          <t>A DAY IN THE LIFE
The AI Engineer supports the development and deployment of Artificial Intelligence and Machine Learning solutions that enhance the way Blattner’s utility\-scale renewable energy projects are designed, planned, and built. This role focuses on building and maintaining models, applications, and pipelines that enable data\-driven decision making across the enterprise. This role executes against established AI engineering standards, reference architectures, and delivery practices defined by the AI Innovation \&amp; Delivery team. The AI Engineer contributes technical input and implements approved designs, partnering with IT, data teams, and business stakeholders to deliver secure, scalable solutions.
STEP INTO THE ROLE* Builds, tests, and deploys components of AI/ML models and applications (features, services, pipelines) that support renewable energy planning, forecasting, construction optimization, and operational insights, under guidance and within established patterns and standards.
* Implements components of MLOps workflows including data pipelines, packaging, versioning, monitoring, and model retraining.
* Collaborates with IT and data teams to ensure AI solutions follow security, integration, and performance requirements.
* Breaks down requirements into well\-defined technical tasks; implements approved technical designs and contributes implementation\-level input during design reviews.
WHAT YOU’LL NEED* Bachelor’s degree in Computer Science, Data Science, or related field
* 2 or more years of professional experience in Machine Learning, AI Engineering, or related fields.
WHAT SETS YOU APART* Experience developing AI/ML solutions and supporting deployment to cloud environments (Azure preferred), working within established engineering and security standards.
* Proficiency with Python, APIs, and modern ML frameworks (e.g., Scikit\-learn, XGBoost, Langchain, Tensorflow, LlamaIndex, etc.)
* Understanding of data engineering concepts, cloud services, and enterprise integration patterns.
HOW WE INVEST IN YOU* Competitive pay
* 100% employer paid HDHP insurance premiums for employees
* 401(k) with company match
* HSA and FSA options
* Dental and Vision insurance
* Education Assistance (Tuition Reimbursement)
* Work/Life balance
* Employee/Family focused culture
* Gym on site
* And more!
$91,419\.00 \- $132,558\.00 Individual Compensation to be determined based on the applicant's applicable experience and qualifications balanced against internal equity.  
WHO ARE WE?
With more than 115 years of construction experience, the company has played a vital role in building America’s critical infrastructure, ranging from railroads and highways to dams and mines. Since 1997, Blattner has focused on renewable energy solutions and is responsible for some of the most significant solar, wind and storage projects in the U.S. Today, Blattner has installed more than 25% of America’s utility\-scale wind, solar and energy storage capacity. Blattner Company is the parent company of Blattner Energy and D.H. Blattner \&amp; Sons, of which all are members of the Quanta Services family of companies. Company headquarters are in Avon, Minnesota.*Blattner is an Equal Employment Opportunity Employer committed to diversity and inclusion in the workplace. Blattner will not tolerate discrimination against any applicant for employment or employee on the basis of age (40 and over), ancestry, color, religious creed, gender, gender expression, gender identity, genetic information, marital status, medical condition, mental disability, military or veteran status, national origin, physical disability, race, receipt of public assistance, sex, sexual orientation, or any other status protected by federal, state, or local laws. This commitment governs all aspects of employment including, but not limited to: hiring, promotion, demotion, transfer, layoff, termination, compensation, discipline, and access to benefits and training. Additionally, Blattner is committed, in accordance with applicable law, to making reasonable accommodations for job applicants and employees based on a qualifying disability, a sincerely held religious belief or practice, and for pregnancy, childbirth or related health conditions. Applicants and employees who feel they have experienced or witnessed discrimination or who wishes to request a reasonable accommodation should contact the Human Resources Department. Blattner prohibits retaliation against any individual for making a complaint under this policy, for opposing discrimination, for participating in an investigation pursuant to this policy, or for requesting a reasonable accommodation.*</t>
        </is>
      </c>
    </row>
    <row r="93">
      <c r="A93" t="inlineStr">
        <is>
          <t>in-6d27d1631dacd8bd</t>
        </is>
      </c>
      <c r="B93" t="inlineStr">
        <is>
          <t>Data and Machine Learning Engineer - Vision Language Models, Data &amp; Machine Learning (DML)</t>
        </is>
      </c>
      <c r="C93" t="inlineStr">
        <is>
          <t>Amazon Web Services</t>
        </is>
      </c>
      <c r="D93" t="inlineStr">
        <is>
          <t>indeed</t>
        </is>
      </c>
      <c r="E93">
        <f>HYPERLINK("https://www.indeed.com/viewjob?jk=6d27d1631dacd8bd", "https://www.indeed.com/viewjob?jk=6d27d1631dacd8bd")</f>
        <v/>
      </c>
      <c r="F93">
        <f>HYPERLINK("https://www.amazon.jobs/jobs/3173014/data-and-machine-learning-engineer--vision-language-models-data--machine-learning-dml?cmpid=DA_INAD200785B", "https://www.amazon.jobs/jobs/3173014/data-and-machine-learning-engineer--vision-language-models-data--machine-learning-dml?cmpid=DA_INAD200785B")</f>
        <v/>
      </c>
      <c r="G93" t="inlineStr">
        <is>
          <t>Herndon, VA, US</t>
        </is>
      </c>
      <c r="H93" s="3" t="n">
        <v>46051</v>
      </c>
      <c r="I9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4">
      <c r="A94" t="inlineStr">
        <is>
          <t>in-7bc168da6b554673</t>
        </is>
      </c>
      <c r="B94" t="inlineStr">
        <is>
          <t>Data and Machine Learning Engineer - Vision Language Models, Data &amp; Machine Learning (DML)</t>
        </is>
      </c>
      <c r="C94" t="inlineStr">
        <is>
          <t>Amazon Web Services</t>
        </is>
      </c>
      <c r="D94" t="inlineStr">
        <is>
          <t>indeed</t>
        </is>
      </c>
      <c r="E94">
        <f>HYPERLINK("https://www.indeed.com/viewjob?jk=7bc168da6b554673", "https://www.indeed.com/viewjob?jk=7bc168da6b554673")</f>
        <v/>
      </c>
      <c r="F94">
        <f>HYPERLINK("https://www.amazon.jobs/jobs/3173014/data-and-machine-learning-engineer--vision-language-models-data--machine-learning-dml?cmpid=DA_INAD200785B", "https://www.amazon.jobs/jobs/3173014/data-and-machine-learning-engineer--vision-language-models-data--machine-learning-dml?cmpid=DA_INAD200785B")</f>
        <v/>
      </c>
      <c r="G94" t="inlineStr">
        <is>
          <t>Arlington, VA, US</t>
        </is>
      </c>
      <c r="H94" s="3" t="n">
        <v>46051</v>
      </c>
      <c r="I9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5">
      <c r="A95" t="inlineStr">
        <is>
          <t>in-b046a38d66ebe191</t>
        </is>
      </c>
      <c r="B95" t="inlineStr">
        <is>
          <t>Machine Learning Engineer, WWPS ProServe Data and Machine Learning</t>
        </is>
      </c>
      <c r="C95" t="inlineStr">
        <is>
          <t>Amazon Web Services</t>
        </is>
      </c>
      <c r="D95" t="inlineStr">
        <is>
          <t>indeed</t>
        </is>
      </c>
      <c r="E95">
        <f>HYPERLINK("https://www.indeed.com/viewjob?jk=b046a38d66ebe191", "https://www.indeed.com/viewjob?jk=b046a38d66ebe191")</f>
        <v/>
      </c>
      <c r="F95">
        <f>HYPERLINK("https://www.amazon.jobs/jobs/3168182/machine-learning-engineer-wwps-proserve-data-and-machine-learning?cmpid=DA_INAD200785B", "https://www.amazon.jobs/jobs/3168182/machine-learning-engineer-wwps-proserve-data-and-machine-learning?cmpid=DA_INAD200785B")</f>
        <v/>
      </c>
      <c r="G95" t="inlineStr">
        <is>
          <t>Herndon, VA, US</t>
        </is>
      </c>
      <c r="H95" s="3" t="n">
        <v>46044</v>
      </c>
      <c r="I9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6">
      <c r="A96" t="inlineStr">
        <is>
          <t>in-43a7e920cf9012e6</t>
        </is>
      </c>
      <c r="B96" t="inlineStr">
        <is>
          <t>Machine Learning Engineer, WWPS ProServe Data and Machine Learning</t>
        </is>
      </c>
      <c r="C96" t="inlineStr">
        <is>
          <t>Amazon Web Services</t>
        </is>
      </c>
      <c r="D96" t="inlineStr">
        <is>
          <t>indeed</t>
        </is>
      </c>
      <c r="E96">
        <f>HYPERLINK("https://www.indeed.com/viewjob?jk=43a7e920cf9012e6", "https://www.indeed.com/viewjob?jk=43a7e920cf9012e6")</f>
        <v/>
      </c>
      <c r="F96">
        <f>HYPERLINK("https://www.amazon.jobs/jobs/3168182/machine-learning-engineer-wwps-proserve-data-and-machine-learning?cmpid=DA_INAD200785B", "https://www.amazon.jobs/jobs/3168182/machine-learning-engineer-wwps-proserve-data-and-machine-learning?cmpid=DA_INAD200785B")</f>
        <v/>
      </c>
      <c r="G96" t="inlineStr">
        <is>
          <t>Arlington, VA, US</t>
        </is>
      </c>
      <c r="H96" s="3" t="n">
        <v>46044</v>
      </c>
      <c r="I9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7">
      <c r="A97" t="inlineStr">
        <is>
          <t>in-5b458d20bcd5cd77</t>
        </is>
      </c>
      <c r="B97" t="inlineStr">
        <is>
          <t>Machine Learning Engineer, WWPS ProServe Data and Machine Learning</t>
        </is>
      </c>
      <c r="C97" t="inlineStr">
        <is>
          <t>Amazon Web Services</t>
        </is>
      </c>
      <c r="D97" t="inlineStr">
        <is>
          <t>indeed</t>
        </is>
      </c>
      <c r="E97">
        <f>HYPERLINK("https://www.indeed.com/viewjob?jk=5b458d20bcd5cd77", "https://www.indeed.com/viewjob?jk=5b458d20bcd5cd77")</f>
        <v/>
      </c>
      <c r="F97">
        <f>HYPERLINK("https://www.amazon.jobs/jobs/3168180/machine-learning-engineer-wwps-proserve-data-and-machine-learning?cmpid=DA_INAD200785B", "https://www.amazon.jobs/jobs/3168180/machine-learning-engineer-wwps-proserve-data-and-machine-learning?cmpid=DA_INAD200785B")</f>
        <v/>
      </c>
      <c r="G97" t="inlineStr">
        <is>
          <t>Herndon, VA, US</t>
        </is>
      </c>
      <c r="H97" s="3" t="n">
        <v>46043</v>
      </c>
      <c r="I9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8">
      <c r="A98" t="inlineStr">
        <is>
          <t>in-7f8f9385e28c7d34</t>
        </is>
      </c>
      <c r="B98" t="inlineStr">
        <is>
          <t>Machine Learning Engineer, WWPS ProServe Data and Machine Learning</t>
        </is>
      </c>
      <c r="C98" t="inlineStr">
        <is>
          <t>Amazon Web Services</t>
        </is>
      </c>
      <c r="D98" t="inlineStr">
        <is>
          <t>indeed</t>
        </is>
      </c>
      <c r="E98">
        <f>HYPERLINK("https://www.indeed.com/viewjob?jk=7f8f9385e28c7d34", "https://www.indeed.com/viewjob?jk=7f8f9385e28c7d34")</f>
        <v/>
      </c>
      <c r="F98">
        <f>HYPERLINK("https://www.amazon.jobs/jobs/3168180/machine-learning-engineer-wwps-proserve-data-and-machine-learning?cmpid=DA_INAD200785B", "https://www.amazon.jobs/jobs/3168180/machine-learning-engineer-wwps-proserve-data-and-machine-learning?cmpid=DA_INAD200785B")</f>
        <v/>
      </c>
      <c r="G98" t="inlineStr">
        <is>
          <t>Arlington, VA, US</t>
        </is>
      </c>
      <c r="H98" s="3" t="n">
        <v>46043</v>
      </c>
      <c r="I9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9">
      <c r="A99" t="inlineStr">
        <is>
          <t>in-0d7b10baf74b38ae</t>
        </is>
      </c>
      <c r="B99" t="inlineStr">
        <is>
          <t>Applied Scientist, Alexa Smart Home</t>
        </is>
      </c>
      <c r="C99" t="inlineStr">
        <is>
          <t>Amazon.com</t>
        </is>
      </c>
      <c r="D99" t="inlineStr">
        <is>
          <t>indeed</t>
        </is>
      </c>
      <c r="E99">
        <f>HYPERLINK("https://www.indeed.com/viewjob?jk=0d7b10baf74b38ae", "https://www.indeed.com/viewjob?jk=0d7b10baf74b38ae")</f>
        <v/>
      </c>
      <c r="F99">
        <f>HYPERLINK("https://www.amazon.jobs/jobs/3169205/applied-scientist-alexa-smart-home?cmpid=DA_INAD200785B", "https://www.amazon.jobs/jobs/3169205/applied-scientist-alexa-smart-home?cmpid=DA_INAD200785B")</f>
        <v/>
      </c>
      <c r="G99" t="inlineStr">
        <is>
          <t>Seattle, WA, US</t>
        </is>
      </c>
      <c r="H99" s="3" t="n">
        <v>46033</v>
      </c>
      <c r="I9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0">
      <c r="A100" t="inlineStr">
        <is>
          <t>in-872859bc7adb58ef</t>
        </is>
      </c>
      <c r="B100" t="inlineStr">
        <is>
          <t>Applied Scientist, Alexa Smart Home</t>
        </is>
      </c>
      <c r="C100" t="inlineStr">
        <is>
          <t>Amazon.com</t>
        </is>
      </c>
      <c r="D100" t="inlineStr">
        <is>
          <t>indeed</t>
        </is>
      </c>
      <c r="E100">
        <f>HYPERLINK("https://www.indeed.com/viewjob?jk=872859bc7adb58ef", "https://www.indeed.com/viewjob?jk=872859bc7adb58ef")</f>
        <v/>
      </c>
      <c r="F100">
        <f>HYPERLINK("https://www.amazon.jobs/jobs/3169205/applied-scientist-alexa-smart-home?cmpid=DA_INAD200785B", "https://www.amazon.jobs/jobs/3169205/applied-scientist-alexa-smart-home?cmpid=DA_INAD200785B")</f>
        <v/>
      </c>
      <c r="G100" t="inlineStr">
        <is>
          <t>Sunnyvale, CA, US</t>
        </is>
      </c>
      <c r="H100" s="3" t="n">
        <v>46033</v>
      </c>
      <c r="I10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1">
      <c r="A101" t="inlineStr">
        <is>
          <t>in-b8f911a445f5796f</t>
        </is>
      </c>
      <c r="B101" t="inlineStr">
        <is>
          <t>ML Engineer, GO-AI Technology &amp; Development Team</t>
        </is>
      </c>
      <c r="C101" t="inlineStr">
        <is>
          <t>Amazon.com</t>
        </is>
      </c>
      <c r="D101" t="inlineStr">
        <is>
          <t>indeed</t>
        </is>
      </c>
      <c r="E101">
        <f>HYPERLINK("https://www.indeed.com/viewjob?jk=b8f911a445f5796f", "https://www.indeed.com/viewjob?jk=b8f911a445f5796f")</f>
        <v/>
      </c>
      <c r="F101">
        <f>HYPERLINK("https://www.amazon.jobs/jobs/3173298/ml-engineer-goai-technology--development-team?cmpid=DA_INAD200785B", "https://www.amazon.jobs/jobs/3173298/ml-engineer-goai-technology--development-team?cmpid=DA_INAD200785B")</f>
        <v/>
      </c>
      <c r="G101" t="inlineStr">
        <is>
          <t>Westborough, MA, US</t>
        </is>
      </c>
      <c r="H101" s="3" t="n">
        <v>45998</v>
      </c>
      <c r="I10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02">
      <c r="A102" t="inlineStr">
        <is>
          <t>in-fb31b365472fe75d</t>
        </is>
      </c>
      <c r="B102" t="inlineStr">
        <is>
          <t>ML Engineer, GO-AI Technology &amp; Development Team</t>
        </is>
      </c>
      <c r="C102" t="inlineStr">
        <is>
          <t>Amazon.com</t>
        </is>
      </c>
      <c r="D102" t="inlineStr">
        <is>
          <t>indeed</t>
        </is>
      </c>
      <c r="E102">
        <f>HYPERLINK("https://www.indeed.com/viewjob?jk=fb31b365472fe75d", "https://www.indeed.com/viewjob?jk=fb31b365472fe75d")</f>
        <v/>
      </c>
      <c r="F102">
        <f>HYPERLINK("https://www.amazon.jobs/jobs/3173298/ml-engineer-goai-technology--development-team?cmpid=DA_INAD200785B", "https://www.amazon.jobs/jobs/3173298/ml-engineer-goai-technology--development-team?cmpid=DA_INAD200785B")</f>
        <v/>
      </c>
      <c r="G102" t="inlineStr">
        <is>
          <t>Boston, MA, US</t>
        </is>
      </c>
      <c r="H102" s="3" t="n">
        <v>45998</v>
      </c>
      <c r="I10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03">
      <c r="A103" t="inlineStr">
        <is>
          <t>in-3f31a4ac593b47fa</t>
        </is>
      </c>
      <c r="B103" t="inlineStr">
        <is>
          <t>ML Engineer, GO-AI Technology &amp; Development Team</t>
        </is>
      </c>
      <c r="C103" t="inlineStr">
        <is>
          <t>Amazon.com</t>
        </is>
      </c>
      <c r="D103" t="inlineStr">
        <is>
          <t>indeed</t>
        </is>
      </c>
      <c r="E103">
        <f>HYPERLINK("https://www.indeed.com/viewjob?jk=3f31a4ac593b47fa", "https://www.indeed.com/viewjob?jk=3f31a4ac593b47fa")</f>
        <v/>
      </c>
      <c r="F103">
        <f>HYPERLINK("https://www.amazon.jobs/jobs/3173298/ml-engineer-goai-technology--development-team?cmpid=DA_INAD200785B", "https://www.amazon.jobs/jobs/3173298/ml-engineer-goai-technology--development-team?cmpid=DA_INAD200785B")</f>
        <v/>
      </c>
      <c r="G103" t="inlineStr">
        <is>
          <t>Reading, MA, US</t>
        </is>
      </c>
      <c r="H103" s="3" t="n">
        <v>45998</v>
      </c>
      <c r="I10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04">
      <c r="A104" t="inlineStr">
        <is>
          <t>in-ef85fb17ee5abf13</t>
        </is>
      </c>
      <c r="B104" t="inlineStr">
        <is>
          <t>ML Engineer, GO-AI Technology &amp; Development Team</t>
        </is>
      </c>
      <c r="C104" t="inlineStr">
        <is>
          <t>Amazon.com</t>
        </is>
      </c>
      <c r="D104" t="inlineStr">
        <is>
          <t>indeed</t>
        </is>
      </c>
      <c r="E104">
        <f>HYPERLINK("https://www.indeed.com/viewjob?jk=ef85fb17ee5abf13", "https://www.indeed.com/viewjob?jk=ef85fb17ee5abf13")</f>
        <v/>
      </c>
      <c r="F104">
        <f>HYPERLINK("https://www.amazon.jobs/jobs/3173298/ml-engineer-goai-technology--development-team?cmpid=DA_INAD200785B", "https://www.amazon.jobs/jobs/3173298/ml-engineer-goai-technology--development-team?cmpid=DA_INAD200785B")</f>
        <v/>
      </c>
      <c r="G104" t="inlineStr">
        <is>
          <t>Seattle, WA, US</t>
        </is>
      </c>
      <c r="H104" s="3" t="n">
        <v>45998</v>
      </c>
      <c r="I10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05">
      <c r="A105" t="inlineStr">
        <is>
          <t>in-fa34c1095989b449</t>
        </is>
      </c>
      <c r="B105" t="inlineStr">
        <is>
          <t>Sr. Machine Learning Engineer, AGIF | Finetuning</t>
        </is>
      </c>
      <c r="C105" t="inlineStr">
        <is>
          <t>Amazon.com</t>
        </is>
      </c>
      <c r="D105" t="inlineStr">
        <is>
          <t>indeed</t>
        </is>
      </c>
      <c r="E105">
        <f>HYPERLINK("https://www.indeed.com/viewjob?jk=fa34c1095989b449", "https://www.indeed.com/viewjob?jk=fa34c1095989b449")</f>
        <v/>
      </c>
      <c r="F105">
        <f>HYPERLINK("https://www.amazon.jobs/jobs/3145989/sr-machine-learning-engineer-agif--finetuning?cmpid=DA_INAD200785B", "https://www.amazon.jobs/jobs/3145989/sr-machine-learning-engineer-agif--finetuning?cmpid=DA_INAD200785B")</f>
        <v/>
      </c>
      <c r="G105" t="inlineStr">
        <is>
          <t>Sunnyvale, CA, US</t>
        </is>
      </c>
      <c r="H105" s="3" t="n">
        <v>45984</v>
      </c>
      <c r="I10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in-7364290b1d391bcc</t>
        </is>
      </c>
      <c r="B106" t="inlineStr">
        <is>
          <t>Sr. Machine Learning Engineer, AGIF | Finetuning</t>
        </is>
      </c>
      <c r="C106" t="inlineStr">
        <is>
          <t>Amazon.com</t>
        </is>
      </c>
      <c r="D106" t="inlineStr">
        <is>
          <t>indeed</t>
        </is>
      </c>
      <c r="E106">
        <f>HYPERLINK("https://www.indeed.com/viewjob?jk=7364290b1d391bcc", "https://www.indeed.com/viewjob?jk=7364290b1d391bcc")</f>
        <v/>
      </c>
      <c r="F106">
        <f>HYPERLINK("https://www.amazon.jobs/jobs/3145989/sr-machine-learning-engineer-agif--finetuning?cmpid=DA_INAD200785B", "https://www.amazon.jobs/jobs/3145989/sr-machine-learning-engineer-agif--finetuning?cmpid=DA_INAD200785B")</f>
        <v/>
      </c>
      <c r="G106" t="inlineStr">
        <is>
          <t>Bellevue, WA, US</t>
        </is>
      </c>
      <c r="H106" s="3" t="n">
        <v>45984</v>
      </c>
      <c r="I10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in-c6e8543587d2ab67</t>
        </is>
      </c>
      <c r="B107" t="inlineStr">
        <is>
          <t>Sr. Machine Learning Engineer, AGIF | Finetuning</t>
        </is>
      </c>
      <c r="C107" t="inlineStr">
        <is>
          <t>Amazon.com</t>
        </is>
      </c>
      <c r="D107" t="inlineStr">
        <is>
          <t>indeed</t>
        </is>
      </c>
      <c r="E107">
        <f>HYPERLINK("https://www.indeed.com/viewjob?jk=c6e8543587d2ab67", "https://www.indeed.com/viewjob?jk=c6e8543587d2ab67")</f>
        <v/>
      </c>
      <c r="F107">
        <f>HYPERLINK("https://www.amazon.jobs/jobs/3145989/sr-machine-learning-engineer-agif--finetuning?cmpid=DA_INAD200785B", "https://www.amazon.jobs/jobs/3145989/sr-machine-learning-engineer-agif--finetuning?cmpid=DA_INAD200785B")</f>
        <v/>
      </c>
      <c r="G107" t="inlineStr">
        <is>
          <t>New York, NY, US</t>
        </is>
      </c>
      <c r="H107" s="3" t="n">
        <v>45984</v>
      </c>
      <c r="I10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in-c3414ff7f8e0aa65</t>
        </is>
      </c>
      <c r="B108" t="inlineStr">
        <is>
          <t>Machine Learning Engineer II, Sponsored Products Search Sourcing, Amazon Advertising</t>
        </is>
      </c>
      <c r="C108" t="inlineStr">
        <is>
          <t>Amazon.com</t>
        </is>
      </c>
      <c r="D108" t="inlineStr">
        <is>
          <t>indeed</t>
        </is>
      </c>
      <c r="E108">
        <f>HYPERLINK("https://www.indeed.com/viewjob?jk=c3414ff7f8e0aa65", "https://www.indeed.com/viewjob?jk=c3414ff7f8e0aa65")</f>
        <v/>
      </c>
      <c r="F108">
        <f>HYPERLINK("https://www.amazon.jobs/jobs/3105222/machine-learning-engineer-ii--sponsored-products-search-sourcing-amazon-advertising?cmpid=DA_INAD200785B", "https://www.amazon.jobs/jobs/3105222/machine-learning-engineer-ii--sponsored-products-search-sourcing-amazon-advertising?cmpid=DA_INAD200785B")</f>
        <v/>
      </c>
      <c r="G108" t="inlineStr">
        <is>
          <t>New York, NY, US</t>
        </is>
      </c>
      <c r="H108" s="3" t="n">
        <v>45935</v>
      </c>
      <c r="I108" t="inlineStr">
        <is>
          <t>**DESCRIPTION**
---------------
The Sponsored Products and Brands team at Amazon Ads is re\-imagining the advertising landscape through cutting\-edge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We are looking for a Machine Learning Engineer II who can drive appropriate technology choices for the business, lead the way for continuous innovation, and shape the future of ad serving on Amazon search. You will build services to handle billions of requests per day, while maintaining response latency in milliseconds and meeting strict SLA requirements. It is quite routine for our systems to operate on massive datasets using distributed frameworks. You will design and code, troubleshoot, and support high volume and low latency distributed systems. The solutions you create would ensure relevant ads are served to Amazon's customers. You will directly impact our customers’ shopping experience while helping our sellers get the maximum ROI from advertising on Amazon. This role will provide exposure to cutting\-edge innovations in product search, information retrieval, natural language processing (NLP), LLM training, deep learning, and image processing. In addition to being a strongly motivated IC, you will also be responsible for mentoring junior engineers and guiding them to deliver high impacting products and services for Amazon customers and sellers.  
Key job responsibilities  
Job Responsibilities:
* Drive the direction of our technical solutions, and work on many different technologies such as deep learning, AWS, Auto ML, real\-time ML serving systems.
* Design, develop, and production software to support scalable offline machine\-learning pipelines and online serving components.
* Work closely with applied scientists to optimize the performance of machine\-learning models, improve the team’s machine learning productivity, and advance the technical foundation to empower our science innovation. What you create is also what you own.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building complex software systems that have been successfully delivered to customers
**PREFERRED QUALIFICATIONS**
----------------------------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 with AI/ML technologies
* Experiences with LLM,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in-e00e173442eded81</t>
        </is>
      </c>
      <c r="B109" t="inlineStr">
        <is>
          <t>Machine Learning Engineer II, Sponsored Products Search Sourcing, Amazon Advertising</t>
        </is>
      </c>
      <c r="C109" t="inlineStr">
        <is>
          <t>Amazon.com</t>
        </is>
      </c>
      <c r="D109" t="inlineStr">
        <is>
          <t>indeed</t>
        </is>
      </c>
      <c r="E109">
        <f>HYPERLINK("https://www.indeed.com/viewjob?jk=e00e173442eded81", "https://www.indeed.com/viewjob?jk=e00e173442eded81")</f>
        <v/>
      </c>
      <c r="F109">
        <f>HYPERLINK("https://www.amazon.jobs/jobs/3105222/machine-learning-engineer-ii--sponsored-products-search-sourcing-amazon-advertising?cmpid=DA_INAD200785B", "https://www.amazon.jobs/jobs/3105222/machine-learning-engineer-ii--sponsored-products-search-sourcing-amazon-advertising?cmpid=DA_INAD200785B")</f>
        <v/>
      </c>
      <c r="G109" t="inlineStr">
        <is>
          <t>Seattle, WA, US</t>
        </is>
      </c>
      <c r="H109" s="3" t="n">
        <v>45935</v>
      </c>
      <c r="I109" t="inlineStr">
        <is>
          <t>**DESCRIPTION**
---------------
The Sponsored Products and Brands team at Amazon Ads is re\-imagining the advertising landscape through cutting\-edge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We are looking for a Machine Learning Engineer II who can drive appropriate technology choices for the business, lead the way for continuous innovation, and shape the future of ad serving on Amazon search. You will build services to handle billions of requests per day, while maintaining response latency in milliseconds and meeting strict SLA requirements. It is quite routine for our systems to operate on massive datasets using distributed frameworks. You will design and code, troubleshoot, and support high volume and low latency distributed systems. The solutions you create would ensure relevant ads are served to Amazon's customers. You will directly impact our customers’ shopping experience while helping our sellers get the maximum ROI from advertising on Amazon. This role will provide exposure to cutting\-edge innovations in product search, information retrieval, natural language processing (NLP), LLM training, deep learning, and image processing. In addition to being a strongly motivated IC, you will also be responsible for mentoring junior engineers and guiding them to deliver high impacting products and services for Amazon customers and sellers.  
Key job responsibilities  
Job Responsibilities:
* Drive the direction of our technical solutions, and work on many different technologies such as deep learning, AWS, Auto ML, real\-time ML serving systems.
* Design, develop, and production software to support scalable offline machine\-learning pipelines and online serving components.
* Work closely with applied scientists to optimize the performance of machine\-learning models, improve the team’s machine learning productivity, and advance the technical foundation to empower our science innovation. What you create is also what you own.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building complex software systems that have been successfully delivered to customers
**PREFERRED QUALIFICATIONS**
----------------------------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 with AI/ML technologies
* Experiences with LLM,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li-4359127128</t>
        </is>
      </c>
      <c r="B2" t="inlineStr">
        <is>
          <t>Principal AI Engineer (Autonomous Agent) (US)</t>
        </is>
      </c>
      <c r="C2" t="inlineStr">
        <is>
          <t>PointClickCare</t>
        </is>
      </c>
      <c r="D2" t="inlineStr">
        <is>
          <t>linkedin</t>
        </is>
      </c>
      <c r="E2" t="inlineStr"/>
      <c r="F2" t="inlineStr"/>
      <c r="G2" t="inlineStr"/>
      <c r="H2" t="inlineStr"/>
      <c r="I2"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 Travel to Office expectations\*\*
**For Remote Roles** 
 : If this role is remote, there will be in\-office events that will require travel to and from the Mississauga and/or Salt Lake City office. These will include, but not limited to, onboarding, team events, semi\-annual and annual team meetings.
**For Hybrid Roles** 
 :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**Team Summary**
 This team will serve as the product owner for GenAI capabilities within PointClickCare, working closely with other engineering teams across the organization to identify, build and support generative AI solutions. This centralized team with deep specialization, closely integrated with key horizontal partners to ensure delivery of safe, scalable and high\-impact AI products.
**Job Summary**
 The AI Engineer – Autonomous Agent will work closely with the Product and Engineering teams to design and implement agent\-based solutions that align with product goals. The AI Engineer – Autonomous Agent will also build new agent data types and pipelines and enable frameworks and workflows for agent reasoning, function calling, and action coordination.
**Key Responsibilities**
* Collaborate with product and engineering teams to translate product objectives into autonomous agent\-based solutions.
* Design and build new agent data types, and pipelines that enable agents frameworks, and workflows to coordinate reasoning, function calling, actions
* Develop and optimize autonomous agents leveraging LLMs, planning algorithms, and multi\-step reasoning approaches.
* Implement comprehensive security mechanisms for autonomous agents, including authentication, role\-based access control, audit logging, and compliance monitoring
* Integrate agents securely with existing systems, APIs, and data sources with secure communication protocols
**Qualifications \&amp; Skills**
* Expert level in Python, frameworks, and functional programming principles
* Experience designing and implementing LLM agent workflows, and familiarity with frameworks such as LangChain, LlamaIndex, LangGraph, CrewAI, and AutoGen.
**Preferred**
* Master’s degree or higher in Artificial Intelligence.
* Experience implementing security at scale including role\-based access control, multi\-factor authentication, network security best practices, and compliance monitoring.
**PointClickCare Benefits \&amp; Perks**
 Benefits starting from Day 1!
 Retirement Plan Matching
 Flexible Paid Time Off
 Wellness Support Programs and Resources
 Parental \&amp; Caregiver Leaves
 Fertility \&amp; Adoption Support
 Continuous Development Support Program
 Employee Assistance Program
 Allyship and Inclusion Communities
 Employee Recognition … and more!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As part of our commitment to a streamlined and equitable hiring experience, PointClickCare uses AI tools to assist with candidate screening and assessment.
 When you apply for a position, your information is processed and stored with Lever, in accordance with Lever’s Privacy Policy.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*At PointClickCare, base salary is one of the many components that make up our total rewards package. The US base salary range for this position is $179,000\-199,000 (not overtime eligible) \+ bonus \+ benefits.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is>
      </c>
    </row>
    <row r="3">
      <c r="A3" t="inlineStr">
        <is>
          <t>li-4357644016</t>
        </is>
      </c>
      <c r="B3" t="inlineStr">
        <is>
          <t>Data Scientist (ML Engineer) - San Ramon, CA</t>
        </is>
      </c>
      <c r="C3" t="inlineStr">
        <is>
          <t>Franklin Templeton</t>
        </is>
      </c>
      <c r="D3" t="inlineStr">
        <is>
          <t>linkedin</t>
        </is>
      </c>
      <c r="E3" t="inlineStr"/>
      <c r="F3" t="inlineStr"/>
      <c r="G3" t="inlineStr">
        <is>
          <t>San Ramon, CA</t>
        </is>
      </c>
      <c r="H3" t="inlineStr"/>
      <c r="I3"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**Franklin Templeton Technology (FTT)** 
 drives the technology strategy and delivers innovative technology solutions for Franklin Templeton (FT), a global investment leader delivering innovative multi\-asset solutions across public and private markets. FT integrates asset allocation, manager research, and implementation to drive portfolio construction, execution, and strategic oversight. Joining FT means working in a collaborative, growth\-oriented environment that values innovation in investment technology.
**What is the Data Scientist (ML Engineer) in the FTT Digital Technology Group Responsible For?**
 As a
 **Data Scientist / ML Engineer** 
 , you will play a critical role in
 **designing, building, and productionizing machine learning systems** 
 that solve real\-world business problems. You will focus on
 **end\-to\-end ML lifecycle ownership** 
 , including data ingestion, feature engineering, model development, deployment, monitoring, and optimization in production environments.
 You will work closely with
 **data engineering, platform, and product teams** 
 to deliver scalable, reliable, and secure ML solutions. Under the guidance of senior technical leaders, you will contribute to
 **engineering\-grade ML architecture** 
 , gain hands\-on experience with
 **cloud\-native ML systems** 
 , and help advance the organization’s AI capabilities.
**Job Location** 
 : San Mateo or San Ramon, California office (Hybrid Schedule)
**Ongoing Responsibilities (Engineering\-Focused)**
***Data Engineering \&amp; Pipelines***
* Design, implement, and maintain robust, scalable data pipelines for ML workloads.
* Build automated data ingestion, validation, and preprocessing frameworks.
* Collaborate with data engineers to integrate ML workflows into enterprise data platforms.
* Optimize data storage and access patterns for high\-volume, high\-performance ML use cases.
* Ensure data quality, lineage, and reproducibility across ML pipelines.
***Machine Learning Engineering***
* Develop, optimize, and maintain production\-grade machine learning models.
* Implement feature engineering pipelines and reusable ML components.
* Design and build end\-to\-end ML architectures, from experimentation to deployment.
* Apply model evaluation, testing, and validation frameworks to ensure robustness.
* Lead efforts in Generative AI system design, mentoring team members on applied GenAI patterns and best practices.
* Translate ambiguous business problems into clear technical designs and ML system architectures.
***MLOps \&amp; Production Systems***
* Deploy ML models using CI/CD pipelines, containerization, and cloud\-native services.
* Implement model monitoring, performance tracking, drift detection, and retraining strategies.
* Partner with platform teams to ensure models meet security, scalability, and reliability standards.
* Troubleshoot and optimize ML systems in production environments.
* Contribute to ML platform standards, tooling, and reusable frameworks.
***Cross\-Functional Engineering Collaboration***
* Work closely with product managers, engineers, and business stakeholders to define technical requirements.
* Translate analytical insights into engineering deliverables for downstream systems.
* Communicate technical designs, trade\-offs, and system behavior to both technical and non\-technical audiences.
* Collaborate with domain experts to integrate business logic into ML system design.
***Continuous Learning \&amp; Technical Innovation***
* Stay current with advancements in ML engineering, cloud platforms, MLOps, and Generative AI.
* Prototype and evaluate new tools, architectures, and frameworks.
* Contribute to technical documentation, design reviews, and best practices.
* Continuously improve system reliability, performance, and maintainability.
**Ideal Qualifications, Skills \&amp; Experience (Engineering\-Heavy)**
***Education \&amp; Experience***
* Bachelor’s or Master’s degree in Computer Science, Engineering, Data Science, or related discipline.
* 5\+ years of hands\-on experience building and deploying ML systems in production.
***Core Technical Skills***
* Strong proficiency in Python with experience building production ML code.
* Advanced SQL skills and experience working with large\-scale datasets.
* Experience with machine learning frameworks.
* Hands\-on experience with data pipelines, feature stores, and ML workflows.
* Familiarity with Generative AI models and applied GenAI system patterns.
***ML Engineering \&amp; MLOps***
* Experience deploying models using containers (Docker) and CI/CD pipelines.
* Exposure to cloud platforms (AWS, Azure, or GCP) and managed ML services.
* Understanding of model monitoring, drift detection, and lifecycle management.
* Ability to design scalable, fault\-tolerant ML architectures.
***Engineering Mindset***
* Strong ability to translate business problems into engineering solutions.
* Comfortable working with ambiguous requirements and defining technical direction.
* Experience designing modular, reusable, and maintainable systems.
* Strong debugging, performance optimization, and problem\-solving skills.
***Collaboration \&amp; Communication***
* Ability to explain complex ML systems and trade\-offs to diverse stakeholders.
* Strong written and verbal communication skills.
* Team\-oriented with the ability to work independently and take ownership.
* Effective planning, prioritization, and execution in fast\-paced environments.
**Compensation Range** 
 :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The salary, benefits and variable rewards will reflect the seniority of the position and a competitive market rate. We expect the annual salary for this position to range between $125,000 to $160,000\.
 When applying, please be sure to
 **attach your resume / CV** 
 . Applications without a resume file attachment will not be reviewed.
 \#ASSOCIATE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 Three weeks paid time off the first year
* Medical, dental and vision insurance
* 401(k) Retirement Plan with 85% company match on your pre\-tax and/or Roth contributions, up to the IRS limits
* Employee Stock Investment Program
* Tuition Assistance Program
* Purchase of company funds with no sales charge
* Onsite fitness center and recreation center\*
* Onsite cafeteria\*
*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row>
    <row r="4">
      <c r="A4" t="inlineStr">
        <is>
          <t>li-4369106945</t>
        </is>
      </c>
      <c r="B4" t="inlineStr">
        <is>
          <t>Alibaba.com-Accio-Senior Applied Scientist-Sunnyvale</t>
        </is>
      </c>
      <c r="C4" t="inlineStr">
        <is>
          <t>Alibaba Group</t>
        </is>
      </c>
      <c r="D4" t="inlineStr">
        <is>
          <t>linkedin</t>
        </is>
      </c>
      <c r="E4" t="inlineStr"/>
      <c r="F4" t="inlineStr"/>
      <c r="G4" t="inlineStr">
        <is>
          <t>Sunnyvale, CA</t>
        </is>
      </c>
      <c r="H4" t="inlineStr"/>
      <c r="I4" t="inlineStr">
        <is>
          <t>**About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 Deliver full projects by defining the data structure, framework, design, and evaluation metrics for AI solution development and implementation.
* Develop and deploy Large Language Models (LLMs) to empower search and agent systems for a variety of applications.
* Identify new and upcoming product innovation areas by interacting with potential external and internal collaborators.
* Identify undefined problems in existing technology and engage stakeholders and leaders to address them.
**Qualifications**
**Job Requirements**
* PhD, Master's, or Bachelor's degree in Computer Science, Engineering, Mathematics, or related fields.
* Ability to implement and verify state\-of\-the\-art NLP or Computer Vision algorithms.
* Experience in successfully applying machine learning approaches to real\-world personalization problems.
* Experience with building large language models.
* Knowledge of statistical methods, with strong mathematical skills.
* Excellent problem\-solving and programming skills in Python.
 The pay range for this position at commencement of employment is expected to be between $162,400/year and $266,000/year.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5">
      <c r="A5" t="inlineStr">
        <is>
          <t>li-4315926050</t>
        </is>
      </c>
      <c r="B5" t="inlineStr">
        <is>
          <t>Applied Scientist 4</t>
        </is>
      </c>
      <c r="C5" t="inlineStr">
        <is>
          <t>Oracle</t>
        </is>
      </c>
      <c r="D5" t="inlineStr">
        <is>
          <t>linkedin</t>
        </is>
      </c>
      <c r="E5" t="inlineStr"/>
      <c r="F5" t="inlineStr"/>
      <c r="G5" t="inlineStr"/>
      <c r="H5" t="inlineStr"/>
      <c r="I5" t="inlineStr">
        <is>
          <t>**Job Description**
 Invent, implement and deploy state\-of\-the\-art machine learning and/or specific domain industry algorithms and systems. Build prototypes and explore conceptually new solutions. Work collaboratively with science, engineering, and product teams to identify customer needs in order to create and implement solutions, promote innovation and drive model implementations. Applies data science capabilities and research findings to create and implement solutions to scale. Responsible for developing new intelligence around core products and services through applied research on behalf of our customers. Develops models, prototypes, and experiments that pave the way for innovative products and services. Build cloud services that work out of the box for enterprises, e.g. decision support, anomaly detection, forecasting and recommendations), natural language processing (NLP), Natural Language Understanding (NLU),Time Series, Automatic Speech Recognition (ASR), Machine Learning (ML), and Computer Vision (CV). Design and run experiments, research new algorithms, and find new ways of optimizing risk, profitability, and customer experience. Conversant on ethical problems in consideration of sciences.
**Responsibilities**
 Leading contributor providing guidance and mentorship to define, design and deliver product quality improvements from ideation stage to shipping to the customer. Write high quality code to power experiments and build models. Contributes to writing production model code. Work closely with product management and engineering to deliver products which solves the needs of our customers by building relevant, innovative results which strategically differentiates Oracle in the market. Set up environment needed to run experiments for all projects. Set up distributed environments. Engage with customers and help solve complex problems with the customer/partner. Directly impact our customers via innovation in products and services that make use of ML/AI technology. Clearly articulate technical work to audiences of all levels and across multiple functional areas. Keep track of the progress and ensure the team is following the best practices. Works on training data collection, feature engineering, model training, offline and online experimentation. Drives independent research and development. Advance the state\-of\-the\-art machine learning and algorithms for real\-world large\-scale applications. Ensure solutions are designed with fairness and explainability in mind. May perform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
      <c r="A6" t="inlineStr">
        <is>
          <t>li-4339947625</t>
        </is>
      </c>
      <c r="B6" t="inlineStr">
        <is>
          <t>Sr. Applied Scientist, Prime Video - Recommendation/Search</t>
        </is>
      </c>
      <c r="C6" t="inlineStr">
        <is>
          <t>Prime Video &amp; Amazon MGM Studios</t>
        </is>
      </c>
      <c r="D6" t="inlineStr">
        <is>
          <t>linkedin</t>
        </is>
      </c>
      <c r="E6" t="inlineStr"/>
      <c r="F6" t="inlineStr"/>
      <c r="G6" t="inlineStr">
        <is>
          <t>Sunnyvale, CA</t>
        </is>
      </c>
      <c r="H6" t="inlineStr"/>
      <c r="I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Sr. Applied Scientists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A3124938</t>
        </is>
      </c>
    </row>
    <row r="7">
      <c r="A7" t="inlineStr">
        <is>
          <t>li-4314908936</t>
        </is>
      </c>
      <c r="B7" t="inlineStr">
        <is>
          <t>Principal Applied Scientist</t>
        </is>
      </c>
      <c r="C7" t="inlineStr">
        <is>
          <t>Oracle</t>
        </is>
      </c>
      <c r="D7" t="inlineStr">
        <is>
          <t>linkedin</t>
        </is>
      </c>
      <c r="E7" t="inlineStr"/>
      <c r="F7" t="inlineStr"/>
      <c r="G7" t="inlineStr"/>
      <c r="H7" t="inlineStr"/>
      <c r="I7" t="inlineStr">
        <is>
          <t>**Job Description**
 Responsible AI: Principal Applied Scientist.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**Responsibilities**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
      <c r="A8" t="inlineStr">
        <is>
          <t>li-4314917647</t>
        </is>
      </c>
      <c r="B8" t="inlineStr">
        <is>
          <t>Principal Applied Scientist</t>
        </is>
      </c>
      <c r="C8" t="inlineStr">
        <is>
          <t>Oracle</t>
        </is>
      </c>
      <c r="D8" t="inlineStr">
        <is>
          <t>linkedin</t>
        </is>
      </c>
      <c r="E8" t="inlineStr"/>
      <c r="F8" t="inlineStr"/>
      <c r="G8" t="inlineStr"/>
      <c r="H8" t="inlineStr"/>
      <c r="I8" t="inlineStr">
        <is>
          <t>**Job Description**
 Responsible AI: Principal Applied Scientist.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**Responsibilities**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
      <c r="A9" t="inlineStr">
        <is>
          <t>li-4315476944</t>
        </is>
      </c>
      <c r="B9" t="inlineStr">
        <is>
          <t>Principal Applied Scientist</t>
        </is>
      </c>
      <c r="C9" t="inlineStr">
        <is>
          <t>Oracle</t>
        </is>
      </c>
      <c r="D9" t="inlineStr">
        <is>
          <t>linkedin</t>
        </is>
      </c>
      <c r="E9" t="inlineStr"/>
      <c r="F9" t="inlineStr"/>
      <c r="G9" t="inlineStr"/>
      <c r="H9" t="inlineStr"/>
      <c r="I9" t="inlineStr">
        <is>
          <t>**Job Description**
 Invent, implement and deploy state\-of\-the\-art machine learning and/or specific domain industry algorithms and systems. Build prototypes and explore conceptually new solutions. Work collaboratively with science, engineering, and product teams to identify customer needs in order to create and implement solutions, promote innovation and drive model implementations. Applies data science capabilities and research findings to create and implement solutions to scale. Responsible for developing new intelligence around core products and services through applied research on behalf of our customers. Develops models, prototypes, and experiments that pave the way for innovative products and services
**About The Role**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**Business Justification:**
 This role is critical to advancing our AI strategy by accelerating the development and deployment of
 **scalable, production\-grade machine learning solutions** 
 that directly support customer use cases and drive differentiation in our core products. By combining
 **cutting\-edge research with applied innovation** 
 , this role will enable us to:
* Address high\-priority technical gaps in areas such as model safety, bias mitigation, explainability, and performance optimization
* Increase customer trust and adoption through more robust and responsible AI systems
* Strengthen our IP portfolio and thought leadership through novel model development and peer\-reviewed publications
 This position not only supports innovation but also
 **directly impacts revenue, customer satisfaction, and competitive advantage** 
 by ensuring our AI systems are performant, responsible, and aligned with user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
      <c r="A10" t="inlineStr">
        <is>
          <t>li-4369111573</t>
        </is>
      </c>
      <c r="B10" t="inlineStr">
        <is>
          <t>Staff Applied Scientist</t>
        </is>
      </c>
      <c r="C10" t="inlineStr">
        <is>
          <t>Visa</t>
        </is>
      </c>
      <c r="D10" t="inlineStr">
        <is>
          <t>linkedin</t>
        </is>
      </c>
      <c r="E10" t="inlineStr"/>
      <c r="F10" t="inlineStr"/>
      <c r="G10" t="inlineStr">
        <is>
          <t>Bellevue, WA</t>
        </is>
      </c>
      <c r="H10" t="inlineStr"/>
      <c r="I10"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highly technical and hands\-on
 **Staff Applied Scientist** 
 to contribute to the development of AI\-driven data products across the Visa Acceptance Platform. In this role, you will work closely with engineering, product, and architecture partners to design, build, and deploy machine learning solutions that operate at global scale.
 This is an execution\-focused role for an experienced data scientist who thrives in production environments and enjoys solving complex data and modeling problems that directly impact customers.
 What You Will Do (Essential Functions)
* Design, develop, and deploy machine learning models and data solutions that support analytics, predictive insights, and AI\-powered platform features.
* Perform data exploration, feature engineering, modeling, and validation using large, complex datasets.
* Build, maintain, and improve data pipelines and model workflows in partnership with engineering teams.
* Apply appropriate metrics and evaluation techniques to measure model performance, reliability, and business impact.
* Collaborate with Product, Engineering, and Security partners to translate business requirements into scalable and secure data science solutions.
* Contribute to platform modernization efforts by improving data quality, performance, reliability, and observability.
* Support operational readiness through monitoring, troubleshooting, and continuous improvement of deployed models.
 This is a hybrid position. Expectation of days in the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2\+ years of experience building and deploying AI/ML models for analytics, predictions, or recommendations in production environments.
* 3\+ years of experience working with large\-scale data technologies such as Spark, Kafka, Hadoop, Hive, NoSQL, or relational databases.
* 2\+ years of experience designing and maintaining ETL or data pipelines.
* Experience working with big data, distributed systems, and batch or streaming data processing.
* Strong understanding of metrics design, experimentation, and model evaluation techniques.
* Proficiency in Python and SQL; experience with modern ML frameworks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145,300\.00 to 232,700\.00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1">
      <c r="A11" t="inlineStr">
        <is>
          <t>li-4369616288</t>
        </is>
      </c>
      <c r="B11" t="inlineStr">
        <is>
          <t>Sr. Applied Scientist, AGI Foundations</t>
        </is>
      </c>
      <c r="C11" t="inlineStr">
        <is>
          <t>Amazon</t>
        </is>
      </c>
      <c r="D11" t="inlineStr">
        <is>
          <t>linkedin</t>
        </is>
      </c>
      <c r="E11" t="inlineStr"/>
      <c r="F11" t="inlineStr"/>
      <c r="G11" t="inlineStr">
        <is>
          <t>Bellevue, WA</t>
        </is>
      </c>
      <c r="H11" t="inlineStr"/>
      <c r="I11"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A3123268</t>
        </is>
      </c>
    </row>
    <row r="12">
      <c r="A12" t="inlineStr">
        <is>
          <t>li-4369603913</t>
        </is>
      </c>
      <c r="B12" t="inlineStr">
        <is>
          <t>Junior Machine Learning Engineer</t>
        </is>
      </c>
      <c r="C12" t="inlineStr">
        <is>
          <t>ClearML</t>
        </is>
      </c>
      <c r="D12" t="inlineStr">
        <is>
          <t>linkedin</t>
        </is>
      </c>
      <c r="E12" t="inlineStr"/>
      <c r="F12" t="inlineStr"/>
      <c r="G12" t="inlineStr">
        <is>
          <t>California, United States</t>
        </is>
      </c>
      <c r="H12" t="inlineStr"/>
      <c r="I12" t="inlineStr">
        <is>
          <t>**Junior Machine Learning Engineer (Machine Learning AI)**
 Join us to advance data science and machine learning.
 ClearML is a rapidly growing open source MLOps platform that helps data science, ML engineering, and DevOps teams easily develop, orchestrate, and automate ML workflows at scale. Our frictionless, unified, end\-to\-end MLOps suite enables users and customers to focus on developing their ML code and automation, ensuring their work is reproducible and scalable. ClearML is trusted by brands such as NVIDIA, NetApp, Samsung, Hyundai, Bosch, Microsoft, Intel, IBM, and Philips.
**Overview:**
 We are an open source end\-to\-end MLOPs platform, built by developers for developers.
 We're looking for a junior Machine Learning Engineer (Machine Learning AI) to join our growing team. In this role, you will collaborate across our development and product teams and will have a chance to collaborate with our MLOPs experts working in the exciting areas of machine learning, deep learning, DevOps, and AI.
 The ideal candidate will be a recent graduate who wants to learn how to create and fine\-tune models from large amounts of raw information and optimize them You will work with our team to learn to build ML/DL data pipelines to extract valuable business insights, analyze trends, and help us make better decisions.
 We expect you to be highly analytical with a knack for analysis, math, and statistics, and a passion for machine learning and research. Critical thinking and problem\-solving skills are also required.
**Responsibilities:**
 \- Research and analyze valuable data sources and automate processes
 \- Perform preprocessing of structured and unstructured data
 \- Review large amounts of information to discover trends and patterns
 \- Create predictive models and machine\-learning algorithms
 \- Modify and combine different models through ensemble modeling
 \- Organize and present information using data visualization techniques
 \- Develop and suggest solutions and strategies to business challenges
 \- Work together with engineering and product development teams to build and test ML/DL solutions stretching the entire spectrum of ML operationalization from data processing, model training, hyperparameter tuning, deployment, and model management.
**Requirements:**
 \- Graduate role, no experience necessary, remote opportunity
 \- Knowledge of SQL and Python; familiarity with Scala, Java, or C\+\+ is a plus.
 \- Familiar with Kubernetes and/or perhaps similar container system
 \- Strong math and analytical skills, with business acumen
 \- Strong communication and presentation skills
 \- Good problem\-solving abilities
 \- BSc or BA degree in Computer Science, Engineering or other relevant area</t>
        </is>
      </c>
    </row>
    <row r="13">
      <c r="A13" t="inlineStr">
        <is>
          <t>li-4369454889</t>
        </is>
      </c>
      <c r="B13" t="inlineStr">
        <is>
          <t>Machine Learning Engineer</t>
        </is>
      </c>
      <c r="C13" t="inlineStr">
        <is>
          <t>Edison Smart®</t>
        </is>
      </c>
      <c r="D13" t="inlineStr">
        <is>
          <t>linkedin</t>
        </is>
      </c>
      <c r="E13" t="inlineStr"/>
      <c r="F13" t="inlineStr"/>
      <c r="G13" t="inlineStr">
        <is>
          <t>Chicago, IL</t>
        </is>
      </c>
      <c r="H13" t="inlineStr"/>
      <c r="I13" t="inlineStr">
        <is>
          <t>**Machine Learning Engineer \| Robotics \| Chicago, IL (On\-site) \| Up to $125,000** 
 Join a fast\-growing construction robotics startup based in Chicago, building autonomous systems that operate in challenging, real\-world environments.
 As a Computer Vision / ML Engineer you'll focus on taking models from idea to production—owning the full lifecycle from data to deployment on real robots.
**What You’ll Do** 
* Design and implement ML and computer vision models end\-to\-end, from simple classifiers to complex deep learning architectures
* Own the full model lifecycle: data preparation, model selection, training, validation, and deployment
* Optimize models for performance, reliability, and edge deployment on robotic hardware
* Adapt existing models to new problem domains quickly, as our product and environments evolve
* Collaborate closely with robotics, software, and hardware teams to integrate perception into autonomous systems
* Help define best practices for data, evaluation, and production ML in a robotics setting
**Required Skills** 
* Strong experience with Python
* Hands\-on with PyTorch and/or TensorFlow
* Proven ability to build ML pipelines from training through deployment
* Experience with model optimization for edge devices
* Prior experience at a robotics company or robotics\-focused projects (required)
* Ability to rapidly adapt models to new domains and data
**Nice to Have** 
* Experience with real\-time vision systems
* Familiarity with embedded or resource\-constrained platforms
* Background in construction, automation, or industrial robotics</t>
        </is>
      </c>
    </row>
    <row r="14">
      <c r="A14" t="inlineStr">
        <is>
          <t>li-4221292086</t>
        </is>
      </c>
      <c r="B14" t="inlineStr">
        <is>
          <t>Applied Machine Learning Engineer</t>
        </is>
      </c>
      <c r="C14" t="inlineStr">
        <is>
          <t>Nooks</t>
        </is>
      </c>
      <c r="D14" t="inlineStr">
        <is>
          <t>linkedin</t>
        </is>
      </c>
      <c r="E14" t="inlineStr"/>
      <c r="F14" t="inlineStr"/>
      <c r="G14" t="inlineStr">
        <is>
          <t>San Francisco, CA</t>
        </is>
      </c>
      <c r="H14" t="inlineStr"/>
      <c r="I14" t="inlineStr">
        <is>
          <t>**About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Toast, and hundreds more.
 We’re a team of high performers raising over $70M from top VCs, including Kleiner Perkins, which made its first sales\-tech investment in over 10 years by investing in Nooks. Over the past two years, we’ve grown ARR by 4x and then 3x, and we plan to 3x it again this year.
 For more information, visit Nooks.ai.
**The role**
 Note: Exact job title will be commensurate with experience
 We have an ambitious product vision in a nascent area \- AI\-powered realtime collaboration \- so there are a ton of interesting technical challenges on our roadmap. This is a role focused on implementing ML features into Nooks. Our ideal candidate will have prior experience working in industry for a business where ML is a core part of the offering.
 Responsibilities will include training production models to improve their accuracy for specific sales use cases. You will align our technical strategy with performance, cost and feasibility considerations.
**Examples of engineering problems you may touch**
*These are just examples, this list is non\-exhaustive, and you definitely don’t need experience in all of these areas. But hopefully you find some of them exciting!*
* Realtime audio AI \&amp; precision/recall/latency tradeoffs (algorithms \&amp; models)
+ We use audio data, transcription, silence detection, and several other signals to detect whether a live phone call is a voicemail, a human, or a dial tree. Here, latency is a third factor added to the standard precision/recall tradeoff because it’s important we can detect humans quickly. Our approach involves LLM embeddings, few\-shot learning, data labeling, and continuous monitoring of model performance in prod.
* Smart call funnels \&amp; playbooks (data wrangling, backend eng, GPT\-3, UX)
+ At what point in the conversation do my reps get stuck? What are the toughest questions that we need to address? Can I “program” a playbook so that Nooks will help my team standardize toward best\-practices? We’re using GPT\-3 and other LLM’s to turn companies’ mostly unstructured call data into actionable strategies \&amp; feedback loops.
* Conversation embeddings \&amp; markov models (ML modeling)
+ What does the anatomy of a call look like? If I say XYZ, what are the different ways the prospect might answer and the probabilities of each? Conditioned on the first half of the call, what do I say next to maximize the likelihood that I book a demo at the end of the call? Can we use LLM’s to generate embeddings of conversations that we can use to cluster similar conversation patterns and predict where the conversation is headed?
**Requirements**
* Bachelor's or Master's degree in Computer Science, Machine Learning, Data Science, or a related field.
* 3\+ years of industry experience, including 2\+ years training and deploying ML models in production.
* Full stack ML Eng chops: proficiency in general purposes programming languages such as Python/Javascript, and with libraries like TensorFlow, PyTorch, Keras, scikit\-learn etc.
* Expertise in areas like NLP, Deep Learning, Anomaly Detection, Transformers and Large Language Models.
 Nice to haves
* Background in an analytical field like heuristics, data science \&amp;/or statistics
* Prior experiences working in both startup and research environments
 We offer competitive compensation because we want to hire the best people and reward them for their contributions to our mission. We pay all employees competitively relative to market. In compliance with pay transparency laws and in pursuit of pay equity and fairness, we publish salary ranges for our open roles. The target salary range for this role is $140,000 \- $240,000\. On top of base salary, we also offer equity, generous perks and comprehensive benefits.
**Equal Employment Opportunity Statement**
 Nooks is an equal opportunity employer committed to fostering a diverse and inclusive workforce. We believe in providing equal employment opportunities to all individuals regardless of race, color, religion, gender, gender identity, sexual orientation, national origin, age, disability, veteran status, or any other characteristic protected by law.
 Nooks does not discriminate in hiring, promotion, compensation, or any other employment practices, and we are committed to ensuring a workplace that is free from discrimination, harassment, and retaliation. We encourage individuals from all backgrounds to apply and join our team.</t>
        </is>
      </c>
    </row>
    <row r="15">
      <c r="A15" t="inlineStr">
        <is>
          <t>li-4369610361</t>
        </is>
      </c>
      <c r="B15" t="inlineStr">
        <is>
          <t>Senior AI/ML Engineer</t>
        </is>
      </c>
      <c r="C15" t="inlineStr">
        <is>
          <t>Pragmatike</t>
        </is>
      </c>
      <c r="D15" t="inlineStr">
        <is>
          <t>linkedin</t>
        </is>
      </c>
      <c r="E15" t="inlineStr"/>
      <c r="F15" t="inlineStr"/>
      <c r="G15" t="inlineStr">
        <is>
          <t>Pennsylvania, United States</t>
        </is>
      </c>
      <c r="H15" t="inlineStr"/>
      <c r="I15"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6">
      <c r="A16" t="inlineStr">
        <is>
          <t>li-4369618165</t>
        </is>
      </c>
      <c r="B16" t="inlineStr">
        <is>
          <t>Senior AI/ML Engineer</t>
        </is>
      </c>
      <c r="C16" t="inlineStr">
        <is>
          <t>Pragmatike</t>
        </is>
      </c>
      <c r="D16" t="inlineStr">
        <is>
          <t>linkedin</t>
        </is>
      </c>
      <c r="E16" t="inlineStr"/>
      <c r="F16" t="inlineStr"/>
      <c r="G16" t="inlineStr">
        <is>
          <t>New Jersey, United States</t>
        </is>
      </c>
      <c r="H16" t="inlineStr"/>
      <c r="I16"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7">
      <c r="A17" t="inlineStr">
        <is>
          <t>li-4359814646</t>
        </is>
      </c>
      <c r="B17" t="inlineStr">
        <is>
          <t>Machine Learning Engineer</t>
        </is>
      </c>
      <c r="C17" t="inlineStr">
        <is>
          <t>Open Talent</t>
        </is>
      </c>
      <c r="D17" t="inlineStr">
        <is>
          <t>linkedin</t>
        </is>
      </c>
      <c r="E17" t="inlineStr"/>
      <c r="F17" t="inlineStr"/>
      <c r="G17" t="inlineStr">
        <is>
          <t>El Segundo, CA</t>
        </is>
      </c>
      <c r="H17" t="inlineStr"/>
      <c r="I17" t="inlineStr">
        <is>
          <t>**Founding AI/ML Engineer (Production) \- California (SF/Palo Alto)** 
**$450k \- $500k\+ Base \+ Founding Equity** 
***This role requires US Citizenship due to regulatory constraints.***
**Most of the Valley is obsessed with LLM wrappers for HR or marketing. We’re using them to run multi\-ton autonomous machines; \&amp; fast.** 
 We’re a Top 10 hard\-tech startup with real hardware \&amp; real customers. We aren't a research lab \&amp; we don't do R\&amp;D for the sake of it. Our machines are in the field globally right now. We need a
 **Founding AI/ML Engineer** 
 to build the production intelligence layer that turns complex logic into physical movement.
**The Squad** 
 You’ll be joining a high\-density team from SpaceX, Palantir, \&amp; Anduril. We’ve cut out the corporate theater\-no bloated meetings, no process for the sake of process, \&amp; zero ego. As a founding hire, you aren't just training models; you’re architecting the engine of the company.
**The Work: Moving Atoms** 
 In this role, an unreliable model isn't just a "bug"\-it’s a physical failure. You’ll own the stack from fine\-tuning to field deployment.
* **Mission\-Critical Logic:** 
 Fine\-tuning \&amp; deploying models that handle real\-time operational decisions where precision is the only metric that matters.
* **The Pipeline:** 
 Building the RAG systems, data flywheels, \&amp; retrieval logic that allow our robots to understand their environment with sub\-100ms latency.
* **Hardened Evals:** 
 Designing the testing frameworks \&amp; grounding suites required for heavy hardware. You ensure the "reasoning" holds up when things get messy in the real world.
* **Full Autonomy:** 
 You pick the tools, define the architecture, \&amp; own the deployment.
**The Profile** 
 We want builders who are bored with digital\-only products \&amp; want to solve hard problems grounded in physics.
* **Production Grit:** 
 You’ve shipped \&amp; maintained ML systems in high\-bar environments (SpaceX, Tesla, or similar).
* **Systems Thinking:** 
 You understand the full lifecycle\-from raw telemetry \&amp; fine\-tuning to inference optimization \&amp; hardware constraints.
* **High\-Bar Pedigree:** 
 You come from a place where "production\-ready" means it works every time, \&amp; shipping broken code isn't an option.
**The Deal** 
* **Comp:** 
 $450k \- $500k\+ base \+
 **Meaningful Founding Equity** 
 .
* **Location:** 
 SF / Palo Alto \- On\-site.
* **Process:** 
**1 week, 0 take\-homes. No leet code.** 
 We move as fast as we ship.
1. **Technical Deep Dive:** 
 A conversation about a complex system you actually built \&amp; shipped.
2. **Practical Pairing:** 
 Solving a real\-world production problem with the team. No Leetcode.
3. **Founder Chat:** 
 A focus on judgment, trade\-offs, \&amp; vision.
 If you’re ready to build something that actually moves, let’s talk.
**TL;DR** 
* **Role:** 
 Founding AI/ML (Production focus)
* **The Mission:** 
 Critical intelligence for heavy robotics
* **The Team:** 
 Ex\-SpaceX, Palantir, Anduril
* **The Comp:** 
 $450k \- $500k\+ base \+ Equity
* **The Speed:** 
 1\-week process. Zero BS.
 All applicants will receive a response within 72 hours.
**Equal Opportunity** 
 We're hiring for an Equal Opportunity Employer.
 \*All our new jobs are posted here 1st:
**linkedin.com/in/sufyanbashir/**</t>
        </is>
      </c>
    </row>
    <row r="18">
      <c r="A18" t="inlineStr">
        <is>
          <t>li-4369479035</t>
        </is>
      </c>
      <c r="B18" t="inlineStr">
        <is>
          <t>Machine Learning Engineer</t>
        </is>
      </c>
      <c r="C18" t="inlineStr">
        <is>
          <t>Block</t>
        </is>
      </c>
      <c r="D18" t="inlineStr">
        <is>
          <t>linkedin</t>
        </is>
      </c>
      <c r="E18" t="inlineStr"/>
      <c r="F18" t="inlineStr"/>
      <c r="G18" t="inlineStr"/>
      <c r="H18" t="inlineStr"/>
      <c r="I18" t="inlineStr">
        <is>
          <t>**About The Company** 
 Founded a decade ago in Sydney, Australia, Afterpay has established itself as a leading innovator in the financial technology sector. With over 24 million active customers worldwide and partnerships with more than 250,000 top\-tier retailers including Anthropologie, Revolve, DSW, GOAT, Finish Line, Levi's, Mac Cosmetics, Ray\-Ban, and many others, Afterpay is committed to creating a more accessible and responsible financial ecosystem. Our movement is centered around the principle that everyone can win—shoppers, retailers, society, and our team—by fostering fairness, trust, and rewarding integrity. We believe in empowering individuals to achieve financial freedom while enabling retailers to grow globally. As part of the Block ecosystem, we focus on supporting our community of shoppers and promoting a sustainable, inclusive economy.
**About The Role** 
 We are seeking a highly experienced and strategic Machine Learning and Data Science leader to join our team remotely in the US or Canada. In this role, you will be instrumental in architecting and developing advanced ML systems that safeguard our lending products through fraud detection, abuse mitigation, and inclusive credit decisioning. Your work will leverage complex datasets to enhance the precision, speed, and adaptability of our decision frameworks, ensuring portfolio resilience and operational excellence. You will collaborate closely with cross\-functional teams including Product, Engineering, and Operations to design scalable systems, influence risk strategies, and pioneer AI\-native, self\-adapting risk management solutions. Your leadership will help us stay ahead of emerging fraud vectors, improve underwriting processes, and drive innovation in our risk ecosystem.
**Qualifications** 
* Bachelor’s degree in Mathematics, Statistics, Physics, Computer Science, or related quantitative field. Master’s or PhD preferred.
* 10\+ years of professional experience in risk management, fraud prevention, credit underwriting, or a high\-stakes decisioning domain.
* Deep expertise in machine learning methodologies, statistical modeling, and advanced analytics techniques.
* Proven experience designing automated validation frameworks for models and decision logic.
* Strong analytical and testing mindset with experience analyzing large, complex datasets.
* Excellent communication skills, capable of translating complex technical concepts for diverse stakeholders.
* Hands\-on experience with agentic workflows, including LLM\-based agents or automation components that enhance modeling velocity and decision reliability.
* Proficiency with technologies such as SQL, Python (NumPy, Pandas, Sklearn, TensorFlow), GitHub, and cloud platforms like GCP or AWS.
**Responsibilities** 
* Design and implement next\-generation lending decision frameworks utilizing advanced analytics, machine learning, and automation to enhance accuracy and responsiveness.
* Analyze large\-scale datasets to derive insights that influence underwriting strategies, strengthen ecosystem safeguards, and guide product development.
* Lead signal discovery initiatives and conduct deep experimentations to identify evolving risk patterns and inform system enhancements.
* Collaborate with Product, Engineering, and Operations teams to develop systems and features that foster trust and maintain portfolio health.
* Mentor and develop fellow data scientists and modelers, establishing best practices and technical standards across the team.
* Own end\-to\-end solution development—from problem framing and system design to deployment, monitoring, and iterative improvements.
* Stay ahead of emerging fraud vectors and adapt models proactively to mitigate risks before they scale.
**Benefits** 
* Remote work flexibility for US and Canadian candidates.
* Comprehensive medical insurance coverage.
* Flexible time off policies to support work\-life balance.
* Retirement savings plans with company contributions.
* Modern family planning and parental leave benefits.
* Opportunities for professional growth and development within a global fintech leader.
 Equal Opportunity
 Block is an equal\-opportunity employer committed to fostering an inclusive environment. We evaluate all employees and job applicants without regard to race, gender, age, religion, national origin, disability, sexual orientation, gender identity, or any other legally protected status. We consider qualified applicants with arrest or conviction records in accordance with applicable laws and ordinances.</t>
        </is>
      </c>
    </row>
    <row r="19">
      <c r="A19" t="inlineStr">
        <is>
          <t>li-4369610362</t>
        </is>
      </c>
      <c r="B19" t="inlineStr">
        <is>
          <t>Senior AI/ML Engineer</t>
        </is>
      </c>
      <c r="C19" t="inlineStr">
        <is>
          <t>Pragmatike</t>
        </is>
      </c>
      <c r="D19" t="inlineStr">
        <is>
          <t>linkedin</t>
        </is>
      </c>
      <c r="E19" t="inlineStr"/>
      <c r="F19" t="inlineStr"/>
      <c r="G19" t="inlineStr">
        <is>
          <t>Cambridge, MA</t>
        </is>
      </c>
      <c r="H19" t="inlineStr"/>
      <c r="I19"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0">
      <c r="A20" t="inlineStr">
        <is>
          <t>li-4359873975</t>
        </is>
      </c>
      <c r="B20" t="inlineStr">
        <is>
          <t>Machine Learning Engineer</t>
        </is>
      </c>
      <c r="C20" t="inlineStr">
        <is>
          <t>MRJ Recruitment</t>
        </is>
      </c>
      <c r="D20" t="inlineStr">
        <is>
          <t>linkedin</t>
        </is>
      </c>
      <c r="E20" t="inlineStr"/>
      <c r="F20" t="inlineStr"/>
      <c r="G20" t="inlineStr"/>
      <c r="H20" t="inlineStr"/>
      <c r="I20" t="inlineStr">
        <is>
          <t>**Machine Learning Engineer** 
**$200k to $260k \+ equity \| Remote (North America)** 
 We are working with a growing data and AI platform focused on one thing: helping teams act on their data, not just analyse it.
 They are now investing in machine learning to power real\-time decisioning across personalisation, experimentation and optimisation.
 This is not an academic or research\-heavy environment. It is production ML with clear ownership and visible impact.
 A good fit for engineers who like solving real problems and shipping regularly.
**What you will be doing:** 
 This role sits at the point where data science meets real\-world impact.
 You will be solving questions like:
* Which customers should we engage, and when?
* What content or offers are most likely to convert?
* How do we automatically test thousands of variations without manual setup?
* Where is spend actually driving incremental results vs wasted budget?
* How can AI generate and adapt messaging in real time?
 You will design, ship and iterate on the systems that answer those questions, turning models into live decision engines that sit directly in customer\-facing workflows.
 Expect fast feedback loops, measurable outcomes and real ownership, not long research cycles.
**Skills needed:** 
 To thrive here, you will likely bring:
* Experience deploying machine learning models into production environments
* Strong foundations in statistics, experimentation and optimisation
* Confidence working with large datasets and modern cloud/data infrastructure
* Python and common ML tooling/frameworks
* The ability to move from ambiguous problems to working solutions independently
* Comfort collaborating closely with product and engineering teams
 Backgrounds in recommender systems, growth/marketing optimisation, experimentation platforms or applied LLM use cases are a bonus, not a requirement.
 Most importantly, you care about impact and shipping, not just training models.
**Next steps:** 
 We are supporting this hire directly and working closely with the leadership team.
 You will get clear insight into the roadmap, technical challenges and expectations before interviews, along with honest prep and guidance throughout the process.
 If you are looking for a high\-impact ML role where your work goes straight into production and drives real business results, apply and we will walk you through the details.</t>
        </is>
      </c>
    </row>
    <row r="21">
      <c r="A21" t="inlineStr">
        <is>
          <t>li-4361010758</t>
        </is>
      </c>
      <c r="B21" t="inlineStr">
        <is>
          <t>Machine Learning Engineer - Mid</t>
        </is>
      </c>
      <c r="C21" t="inlineStr">
        <is>
          <t>Silverthorne Advisory Group</t>
        </is>
      </c>
      <c r="D21" t="inlineStr">
        <is>
          <t>linkedin</t>
        </is>
      </c>
      <c r="E21" t="inlineStr"/>
      <c r="F21" t="inlineStr"/>
      <c r="G21" t="inlineStr">
        <is>
          <t>Tampa, FL</t>
        </is>
      </c>
      <c r="H21" t="inlineStr"/>
      <c r="I21" t="inlineStr">
        <is>
          <t>**Benefits:**
* Retirement Plan
* 401(k)
* 401(k) matching
* Bonus based on performance
* Company parties
* Competitive salary
* Dental insurance
* Health insurance
* Opportunity for advancement
* Paid time off
* Training \&amp; development
* Vision insurance
**Job Description**
 As an experienced engineer, you know that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DoD program offices. As an ML Engineer on our AI\-enabled team, you will train, test, deploy, and maintain models that learn from data. In this role, you will own and define the direction of mission\-critical solutions by applying best\-fit ML algorithms and technologies. You will be part of a large community of ML engineers across the firm and collaborate with data engineers, data scientist, solutions architects, and product owners to deliver world class solutions to DoD and Federal clients. Your advanced consulting skills and extensive technical expertise will guide clients as they navigate the landscape of ML algorithms, tools, and frameworks. On our team, you will use your leadership skills and data science expertise to create real\-world impact. You will work closely with clients to understand their questions and needs, and then dig into their data\-rich environments to find the pieces of their information puzzle. You will guide teammates and lead the development of
 algorithms and systems. You will use the right combination of tools and frameworks to turn sets of disparate data points into objective answers to advise your clients as they make informed decisions. Ultimately, you will provide a deep understanding of the data, what it all means, and how it can be used.
**Responsibilities**
* Establish scalable, efficient, automated processes for large\-scale data analysis, machine learning model development, model validation and serving.
* Optimize machine learning algorithms.
* Contribute to building an infrastructure that facilitates end\-to\-end ML workflows.
* Experience with one or more Deep Learning packages including but not limited to TensorFlow and PyTorch.
* Explore new technologies like quantum engineering for advanced model development.
* Collaborate with cross\-functional teams to enhance data processing pipelines.
* Communicate and coordinate with teams to accomplish objectives and deliver excellence.
**Requirements**
* Top Secret clearance required (can be sponsored).
* 3\+ years of full software development life cycle, including coding standards, code reviews, source control management, build processes, testing, and operations experience.
* 4\+ years with natural language processing (NLP) topics, including tagging, syntactic parsing, word sense disambiguation, topic modeling, contextual text mining, or application of deep learning to NLP.
* Strong background in a modern programming language, such as Python or Java, and associated numerical and analytics packages (NUMPY, PANDAS); git; PYTORCH or TensorFlow; CI/CD pipelines and regression testing.
* Ability to quickly grasp technical concepts and collaborate with multiple functional groups.
* Excellent communication and collaboration skills, with the ability to work effectively with cross\-functional teams.
* Detail\-oriented mindset with a commitment to delivering high\-quality results.
**Nice to Have**
* Recent DoD or IC\-related experience.
* Experience building distributed deep learning libraries or scaling large distributed deep learning workflows using PyTorch (or similar).
* Experience in machine learning, data mining, information retrieval, statistics, or natural language processing.
* Experience in large scale AI and ML infrastructure, AWS ML tools such as SageMaker.
* Experience with data discovery techniques and tools such as AWS Glue Crawler, Apache Atlas, Datahub, or Collibra.
* Experience in working in an agile development environment.
 If you are passionate about leveraging your machine learning skills and working with cutting\-edge
 technologies to enable efficient data analysis, we encourage you to apply. Join our team and be a part of
 our mission to provide streamlined and rapid access to critical information!
**Benefits**
* Compensation \- We carefully consider a wide range of compensation factors, including but not limited to prior experience, skills, expertise, location, and other considerations permitted by law.
* Healthcare \- We offer Health, Vision, and Dental Plans for our employees and their families.
* Retirement Plan – We invest in your future with a competitive 401(k) plan, where we match 100% of your contributions up to your first 6% and give you access to Vanguard Admiral funds.
* Paid Time Off \- Based on length of service, we offer a generous amount of paid leave.
* Bonus System – As you invest in us, we invest in you. We offer bonuses to all employees who meet and exceed goals throughout the year.
* Professional Development – Support for career growth through training programs and certifications.
* Company Retreats \&amp; Team Events – Sponsored trips, team\-building activities, and annual conferences related to your skillset.</t>
        </is>
      </c>
    </row>
    <row r="22">
      <c r="A22" t="inlineStr">
        <is>
          <t>li-4369111692</t>
        </is>
      </c>
      <c r="B22" t="inlineStr">
        <is>
          <t>Founding AI/ML Engineer</t>
        </is>
      </c>
      <c r="C22" t="inlineStr">
        <is>
          <t>VLM Run</t>
        </is>
      </c>
      <c r="D22" t="inlineStr">
        <is>
          <t>linkedin</t>
        </is>
      </c>
      <c r="E22" t="inlineStr"/>
      <c r="F22" t="inlineStr"/>
      <c r="G22" t="inlineStr">
        <is>
          <t>Santa Clara, CA</t>
        </is>
      </c>
      <c r="H22" t="inlineStr"/>
      <c r="I22" t="inlineStr">
        <is>
          <t>**About the Role:** 
 We’re looking for a
 **Founding AI/ML Engineer** 
 to join our cutting\-edge team at an exciting stage of growth. You will be a hands\-on, research\-aware builder who ships real\-world AI/ML models. This is a unique opportunity to work on
 **bleeding\-edge** 
 projects and contribute to developing advanced AI tools with practical, scalable applications. You will play a key role in shaping our AI/ML architecture from the ground up while actively deploying and optimizing models in production.
**What We’re Looking For:** 
* **Practical Experience with LLMs:** 
 Hands\-on experience deploying and optimizing large language models (LLMs) in real\-world environments, not just theoretical knowledge.
* **Model Deployment:** 
 Experience deploying models locally and at scale, using tools like
 **VLLM** 
 ,
 **Hugging Face** 
 , and
 **Llama/Ollama** 
 .
* **Advanced AI Architectures:** 
 Expertise with
 **Vision Transformers (ViT)** 
 and
 **Vision\-Language Models (VLMs)** 
 .
* **Tech Stack Proficiency:** 
 Proficiency in
 **PyTorch** 
 and experience building, fine\-tuning, and deploying complex AI/ML systems.
* **Research\-Aware Builder:** 
 A unique combination of
 **applied research** 
 and hands\-on
 **production deployment** 
 . You should be comfortable working in both research and production environments, shipping models that drive real\-world outcomes.
* **Experience Flexibility:** 
 We are open to candidates with
 **4\+ years of experience** 
 or demonstrable ability via
 **GitHub contributions** 
 and production\-shipping history. No rigid education requirements—if you have a proven track record, we’re interested.
**Bonus Qualifications:** 
* Familiarity with cutting\-edge
 **AI/ML tools** 
 and model development pipelines.
* Prior experience working in startups or fast\-moving teams with a hands\-on approach to engineering.
**What We Offer:** 
* A chance to work at the forefront of AI/ML innovation with
 **bleeding\-edge tools** 
 and models.
* A collaborative, creative environment where your voice and ideas matter.
* The opportunity to shape the future of AI, working alongside a talented and ambitious team.
 If you're a research\-aware builder who thrives in a fast\-paced, innovative environment, we’d love to connect with you. Apply today!
**Additional Job Application Terms** 
 This job is part of LinkedIn’s Full\-Service Hiring beta program. Eligibility is limited to candidates located in and performing services in the United States, excluding those based in Alaska, Hawaii, Nevada, South Carolina, or West Virginia.
 We’re committed to making our hiring process as smooth and timely as possible, and we understand that waiting to hear back can add to the anticipation. If you’re a potential fit, our team will reach out within two weeks to progress you to the next stage. If you don’t hear from us in that time, we encourage you to explore other opportunities with our team in the future, and we wish you the very best in your job search.</t>
        </is>
      </c>
    </row>
    <row r="23">
      <c r="A23" t="inlineStr">
        <is>
          <t>li-4367561510</t>
        </is>
      </c>
      <c r="B23" t="inlineStr">
        <is>
          <t>Machine Learning Engineer II</t>
        </is>
      </c>
      <c r="C23" t="inlineStr">
        <is>
          <t>The Walt Disney Company</t>
        </is>
      </c>
      <c r="D23" t="inlineStr">
        <is>
          <t>linkedin</t>
        </is>
      </c>
      <c r="E23" t="inlineStr"/>
      <c r="F23" t="inlineStr"/>
      <c r="G23" t="inlineStr">
        <is>
          <t>New York, NY</t>
        </is>
      </c>
      <c r="H23" t="inlineStr"/>
      <c r="I23"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**Responsibilities**
* Understanding business objectives and developing models that help to identify and prevent credential stuffing, ATO (account takeover) and other fraud behaviors, along with metrics to track the progress.
* Exploring and visualizing data to gain an understanding of the problems, then identifying differences in data distribution and selecting the suitable ML algorithms.
* Apply machine learning, statistics or data mining to help to be efficient in every aspects of identity security
* Develop scalable and efficient methods for large scale data analysis and model development.
* Defining data augmentation pipelines, training models and tuning their hyperparameters, deploying models to production, monitoring \&amp; evaluating the performance of ML models.
* Collaborate with developers, program managers, and product managers in an open, creative environment
**Basic Qualifications**
* Bachelors in computer science, EE or other quantitative discipline and a minimum of 3 years of experience
* Experience in large scale machine learning, user behavior analysis, fraud detection in leading internet companies.
* Proficiency with machine learning libraries of scikit\-learn, pandas and machine learning frameworks of TensorFlow/Keras or PyTorch.
* Expertise in visualizing and manipulating big datasets.
* Familiarity with Python, Java/Scala.
* Experience in security domain is highly preferred.
* Passion for technology, open to interdisciplinary work, and experience in building data\-driven services and applications.
* Excellent written and oral communication skills.
 The hiring range for this position in New York, NY is $120,300 to $161,300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4">
      <c r="A24" t="inlineStr">
        <is>
          <t>li-4344479020</t>
        </is>
      </c>
      <c r="B24" t="inlineStr">
        <is>
          <t>Machine Learning Engineer</t>
        </is>
      </c>
      <c r="C24" t="inlineStr">
        <is>
          <t>Treeswift</t>
        </is>
      </c>
      <c r="D24" t="inlineStr">
        <is>
          <t>linkedin</t>
        </is>
      </c>
      <c r="E24" t="inlineStr"/>
      <c r="F24" t="inlineStr"/>
      <c r="G24" t="inlineStr">
        <is>
          <t>New York, NY</t>
        </is>
      </c>
      <c r="H24" t="inlineStr"/>
      <c r="I24" t="inlineStr">
        <is>
          <t>**About Treeswift**
 In the face of rising threats like severe storms and wildfires, increasing pressure on affordability and unprecedented demands for system expansion, Treeswift empowers energy companies to modernize their field work to meet the unprecedented growth and challenges ahead.
 To accomplish our mission we deploy our sensors into our customers' field operations , typically on backpacks or vehicles. The resulting LiDAR and imagery data is processed through our AI models to deliver actionable analytics through our web platform. To date, our technology has enabled utilities to reduce wildfire, regulatory and outage risk from vegetation, avoid delays and cost overruns in new construction, and accelerate recovery from severe storms.
 In just a year and a half since our first utility pilot we are working with three of the five largest utilities in the United States and rapidly expanding across new customers and use cases. To tackle this challenge we are bringing together a team of mission\-driven experts from with deep industry experience in robotics (UPenn, Caltech, CMU) and enterprise software development (Palantir, Stripe, Oracle). We have raised from leading investors including Penny Pritzker’s Inspired Capital. We hope you’ll join us on this journey
**About The Role**
 Treeswift is seeking a highly skilled and motivated engineer to join our team. You will play a pivotal role in developing and deploying state\-of\-the\-art machine learning solutions to advance our mission. We are looking for an exceptional candidate with a proven track record of training and deploying models in a commercial setting. If you are a passionate and experienced engineer eager to contribute to the future of distributed infrastructure management we encourage you to apply.
 This is a full\-time, hybrid/2\-day a week in person role in our NYC office.
**Key Responsibilities**
* Develop machine learning models that revolutionize our customers’ businesses. Treeswift develops machine learning algorithms that upend the cost and accuracy of field work for energy infrastructure. Our machine learning model development focuses on two primary areas: (a) LiDAR point cloud models to classify and segment landscapes and infrastructure and (b) image models to derive vegetation attributes such as species and health. In this role you will be responsible for bringing innovative ideas and rapid execution to new and existing models. In the course of development, you will collaborate closely with other teams (product, operations etc…) and have an opportunity to interact with end\-users.
* Create a best\-in\-class feedback loop to accelerate model development. You will improve Treeswift’s ability to assess model performance and adapt to new operating conditions at scale. Treeswift’s cutting edge model development involves significant investment in a proprietary dataset to train our models.
* Help Treeswift scale. In this role you will be expected to bring prior experience with commercial machine learning model development and deployment to help Treeswift cost\-effectively scale its technology to serve a growing number of customers and use cases. You will be responsible for enabling effective collaboration on model development within the engineering team, and you will contribute to efforts to ensure reliable and robust performance of models in production.
**Required Skills**
* Proven track record of training and deploying machine learning models at scale for commercial use cases.
* Experience in segmentation and object detection of point cloud data or image data or other sensor data.
* Experience creating, curating, and cleaning training datasets
* Strong programming skills in Python
* Expertise in deep learning libraries such as PyTorch, TensorFlow, or similar.
* Excellent problem\-solving and analytical abilities.
* Exceptional communication and collaboration skills.
**Preferred Skills**
* Experience with semantic mapping.
* Experience with image processing techniques and computer vision fundamentals.
* Experience with one or more of: Sensor Fusion, SLAM, Visual Odometry.
* Building and using cloud\-based training and inference pipelines.
* 5\+ years of professional experience or 3\+ years with an advanced degree.
* Experience with deep learning training frameworks such as MLflow, Lightning, Weights and Biases, or similar.
**What We Value**
* Mission first. We value low ego team members who focus on working towards the best outcomes for the customer and the business, regardless of who gets the credit.
* Truth seeking. We don’t always have perfect information to make decisions, but we seek to constantly get closer to the ground truth and aren’t afraid to learn we were wrong in the process.
* Owners mindset. If you see an opportunity for improvement, run with it. We believe that good ideas can come from anywhere, no matter your role.
**Benefits**
* Comprehensive medical, dental and vision insurance
* Life insurance package and disability coverage
* Stock options
* Paid leave for new parents
* Unlimited PTO
* 401K
**Salary**
 The estimated salary range for this position is $140,000\-$210,000\. Total compensation for this position is determined by skills, qualifications, relevant work experience, location, and other factors. This salary estimate excludes the value of any potential bonuses; the value of any benefits offered; and the potential future value of any long\-term incentives. This information is provided per the New York City Human Rights Law. Please note that the range provided is applicable only to New York City\-based applicants. Base compensation may vary if the work location is outside of New York City.
 Treeswift is proud to be an equal opportunity employer. We provide employment opportunities without regard to age, race, color, ancestry, national origin, religion, disability, sex, gender identity or expression, sexual orientation, veteran status, or any other protected status in accordance with applicable law.
 If you require any accommodations during the recruitment process, whether it be alternate forms of material, accessible meeting rooms, etc., please let us know and we will work with you to meet your needs.</t>
        </is>
      </c>
    </row>
    <row r="25">
      <c r="A25" t="inlineStr">
        <is>
          <t>li-4341002791</t>
        </is>
      </c>
      <c r="B25" t="inlineStr">
        <is>
          <t>Machine Learning Engineer</t>
        </is>
      </c>
      <c r="C25" t="inlineStr">
        <is>
          <t>Abaka AI</t>
        </is>
      </c>
      <c r="D25" t="inlineStr">
        <is>
          <t>linkedin</t>
        </is>
      </c>
      <c r="E25" t="inlineStr"/>
      <c r="F25" t="inlineStr"/>
      <c r="G25" t="inlineStr">
        <is>
          <t>Palo Alto, CA</t>
        </is>
      </c>
      <c r="H25" t="inlineStr"/>
      <c r="I25" t="inlineStr">
        <is>
          <t>**About Abaka AI**
 Abaka AI is built on one mission: to be the world’s most trusted data partner for AI companies. More than 1,000 industry leaders across Generative AI, Embodied AI, and Automotive AI rely on us to power their data pipelines. With our headquarters in Silicon Valley—and teams in Paris, Singapore, and Tokyo—we support global partners with fast, reliable, and scalable data solutions.
 Our offerings include a diverse catalog of off\-the\-shelf datasets (image, video, multimodal, reasoning, 3D, and beyond) as well as comprehensive data collection and annotation services. Whether teams need raw data, curated datasets, or full\-cycle data engineering, Abaka AI provides the foundation for building high\-performance AI systems.
**About The Role**
 We’re hiring our first Machine Learning Engineer in the United States, a foundational role that will shape how Abaka builds, trains, and optimizes multimodal AI systems. You will own the design and development of scalable training pipelines, work directly with our data engineering and research teams, and help drive the technical roadmap for model development across multiple modalities.
 As an early member of the engineering team, you will influence core decisions around model training strategy, experimentation frameworks, distributed infrastructure, and internal best practices. Your work will directly impact the performance of frontier models trained on Abaka datasets and will help elevate the technical bar for our clients and partners.
 If you thrive in high\-ownership environments and want to shape the machine learning foundation of a fast\-moving AI company, this role offers an opportunity to make an immediate and lasting impact.
**Responsibilities**
* Design, build, and optimize scalable machine learning pipelines for multimodal model training, fine\-tuning, and evaluation across text, image, audio, video, and 3D data.
* Work closely with data engineering and research teams to develop efficient data workflows, including collection, preprocessing, annotation, versioning, and model integration.
* Implement and refine training strategies for large\-scale AI systems, including vision, video, and diffusion models, ensuring reproducibility, efficiency, and strong model performance.
* Develop tools and automation frameworks that accelerate model experimentation, hyperparameter tuning, and deployment.
* Identify and address performance bottlenecks in data or training pipelines to improve throughput, stability, and resource utilization.
* Collaborate with product and infrastructure teams to ensure smooth integration of model outputs into both internal and client\-facing applications.
* Support internal best practices for model governance, experiment tracking, and documentation to maintain high engineering standards and reproducibility.
**Qualifications**
* Strong academic background in computer science, artificial intelligence, machine learning, or related fields. Master’s degree or Ph.D. is preferred.
* 3\+ years of experience in applied machine learning or ML engineering, with a demonstrated ability to deliver production\-ready models or pipelines.
* Proficient in Python and ML frameworks such as PyTorch, TensorFlow, or JAX, with hands\-on experience in large\-scale distributed training and inference systems.
* Familiarity with multimodal data processing (e.g., text\-image pairing, video understanding, speech\-audio modeling) and dataset optimization for model training.
* Solid understanding of ML system design, including feature pipelines, data loaders, model serving, and evaluation frameworks.
* Experience with modern infrastructure tools such as Kubernetes, Ray, Airflow, or MLflow, along with cloud\-based training environments (AWS, GCP, Azure).
* Excellent communication and collaboration skills, capable of working effectively across engineering, research, and product teams to accomplish shared goals.
* Self\-driven and adaptable, comfortable operating in a fast\-paced startup environment, and able to demonstrate strong ownership and urgency in execution.
**Compensation \&amp; Benefits**
 The base salary range for this position is $175,000 \- $275,000 USD annually.
 Compensation may vary outside of this range depending on a number of factors, including a candidate’s qualifications, skills, competencies and experience. Base pay is one part of the Total Package that is provided to compensate and recognize employees for their work at Abaka AI. This role is eligible for equity, as well as a comprehensive benefits package (health, dental, vision, PTO, flexible work schedule).</t>
        </is>
      </c>
    </row>
    <row r="26">
      <c r="A26" t="inlineStr">
        <is>
          <t>li-4369608794</t>
        </is>
      </c>
      <c r="B26" t="inlineStr">
        <is>
          <t>Artificial Intelligence/Machine Learning Engineer</t>
        </is>
      </c>
      <c r="C26" t="inlineStr">
        <is>
          <t>Sancian LLC</t>
        </is>
      </c>
      <c r="D26" t="inlineStr">
        <is>
          <t>linkedin</t>
        </is>
      </c>
      <c r="E26" t="inlineStr"/>
      <c r="F26" t="inlineStr"/>
      <c r="G26" t="inlineStr">
        <is>
          <t>Atlanta, GA</t>
        </is>
      </c>
      <c r="H26" t="inlineStr"/>
      <c r="I26" t="inlineStr">
        <is>
          <t>**Company Description**
 Sancian LLC is a transformative scientific consultancy dedicated to public health, policy innovation, and leveraging AI\-powered solutions to address critical challenges. We collaborate with federal agencies, healthcare systems, and private organizations to drive measurable impact, foster health equity, and enhance public trust. With expertise in AI strategy, data science, regulatory science, and policy, we deliver results\-driven, ethical solutions for complex issues in health and innovation. Our mission is to empower organizations to make data\-driven decisions that save lives, promote equity, and shape a healthier future. Headquartered in Atlanta, GA, Sancian LLC is recognized for setting a high standard in AI\-driven public health consulting.
**Role Description**
 We are seeking a full\-time Artificial Intelligence/Machine Learning Engineer for a hybrid role based in Atlanta, GA, with flexibility for partial remote work. In this role, you will design, develop, and implement cutting\-edge AI and machine learning models to tackle pressing public health and scientific challenges. Daily responsibilities include analyzing large datasets, developing algorithms, and building predictive models to drive data\-driven solutions. You will collaborate with cross\-functional teams to ensure technical solutions align with ethical, equity\-centered practices and support client goals. You will also engage in documentation, testing, and optimization of machine learning architectures.
**Qualifications**
* Expertise in Pattern Recognition, Neural Networks, and designing predictive models
* Strong foundation in Computer Science and advanced knowledge of Algorithms
* Proficiency in Statistics and data analysis for model development and validation
* Proven ability to work with large datasets and transform data into actionable insights
* Experience in AI applications for healthcare or public health is a plus
* Proficiency in programming languages such as Python, R, or similar
* Master’s or Ph.D. in Computer Science, Data Science, Artificial Intelligence, or related field preferred
* Strong problem\-solving skills and the ability to work collaboratively</t>
        </is>
      </c>
    </row>
    <row r="27">
      <c r="A27" t="inlineStr">
        <is>
          <t>li-4369614354</t>
        </is>
      </c>
      <c r="B27" t="inlineStr">
        <is>
          <t>Senior AI/ML Engineer</t>
        </is>
      </c>
      <c r="C27" t="inlineStr">
        <is>
          <t>Pragmatike</t>
        </is>
      </c>
      <c r="D27" t="inlineStr">
        <is>
          <t>linkedin</t>
        </is>
      </c>
      <c r="E27" t="inlineStr"/>
      <c r="F27" t="inlineStr"/>
      <c r="G27" t="inlineStr">
        <is>
          <t>New York, NY</t>
        </is>
      </c>
      <c r="H27" t="inlineStr"/>
      <c r="I27"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8">
      <c r="A28" t="inlineStr">
        <is>
          <t>li-4360513443</t>
        </is>
      </c>
      <c r="B28" t="inlineStr">
        <is>
          <t>Senior Machine Learning Engineer at fast-growing AI data startup</t>
        </is>
      </c>
      <c r="C28" t="inlineStr">
        <is>
          <t>Jack &amp; Jill</t>
        </is>
      </c>
      <c r="D28" t="inlineStr">
        <is>
          <t>linkedin</t>
        </is>
      </c>
      <c r="E28" t="inlineStr"/>
      <c r="F28" t="inlineStr"/>
      <c r="G28" t="inlineStr">
        <is>
          <t>San Francisco, CA</t>
        </is>
      </c>
      <c r="H28" t="inlineStr"/>
      <c r="I28" t="inlineStr">
        <is>
          <t>This is a job that Jill, our AI Recruiter, is recruiting for on behalf of one of our customers.
 She will pick the best candidates from Jack's network.
 The next step is to speak to Jack.
 Senior Machine Learning Engineer
**Company Description:** 
 Fast\-growing AI data startup
**Job Description:**
 As a Senior Machine Learning Engineer, you will drive the development of advanced models to extract insights from complex data streams. You will play a pivotal role in architecting scalable ML pipelines and deploying production\-ready algorithms. This is an opportunity to lead high\-impact technical initiatives within a fast\-moving, collaborative environment focused on cutting\-edge innovation.
**Location:** 
 San Francisco, USA
**Why this role is remarkable:**
* Work at the intersection of data integrity and advanced machine learning within a high\-growth sector.
* Join a mission\-driven team backed by top\-tier VCs with significant runway and market traction.
* Influence the core product roadmap and technical architecture during a critical stage of scaling.
**What you will do:**
* Design, train, and deploy sophisticated ML models to solve complex pattern recognition challenges.
* Architect and maintain robust, scalable data pipelines to support large\-scale model inference.
* Collaborate with cross\-functional teams to integrate ML capabilities into the core user experience.
**The ideal candidate:**
* Proven experience building and deploying machine learning models in a production startup environment.
* Deep expertise in Python and modern ML frameworks such as PyTorch, TensorFlow, or JAX.
* Strong background in software engineering best practices, including version control and CI/CD for ML.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29">
      <c r="A29" t="inlineStr">
        <is>
          <t>li-4359071618</t>
        </is>
      </c>
      <c r="B29" t="inlineStr">
        <is>
          <t>Machine Learning Engineer, 3D Object Detection (PhD New Grad)</t>
        </is>
      </c>
      <c r="C29" t="inlineStr">
        <is>
          <t>Waymo</t>
        </is>
      </c>
      <c r="D29" t="inlineStr">
        <is>
          <t>linkedin</t>
        </is>
      </c>
      <c r="E29" t="inlineStr"/>
      <c r="F29" t="inlineStr"/>
      <c r="G29" t="inlineStr">
        <is>
          <t>San Francisco, CA</t>
        </is>
      </c>
      <c r="H29" t="inlineStr"/>
      <c r="I2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Own tasks in the ML Driver, take responsibility for task scaling and task performance, create ML methods and recipes to scale and improve tasks.
* Analyze behavior of ML systems in real\-world application, identify issues and root causes, advise or develop short\- and long\-term solutions.
* Monitor ML systems in production, develop methods for automatically detecting issues or regressions, develop AI\-aided analysis and debugging tooling.
* Develop and maintain metrics for ADV relevant issues, including safety\-critical and longtail issues.
**You Have**
* Bachelors in Computer Science or a similar discipline, or an equivalent amount of deep learning experience
* 3\+ years experience in Machine Learning and Computer Vision
* Experience with Python
* Experience with ML frameworks like PyTorch or JAX
**We Prefer**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30">
      <c r="A30" t="inlineStr">
        <is>
          <t>li-4359123522</t>
        </is>
      </c>
      <c r="B30" t="inlineStr">
        <is>
          <t>ML Engineer, Foundation Model Evaluation</t>
        </is>
      </c>
      <c r="C30" t="inlineStr">
        <is>
          <t>Waymo</t>
        </is>
      </c>
      <c r="D30" t="inlineStr">
        <is>
          <t>linkedin</t>
        </is>
      </c>
      <c r="E30" t="inlineStr"/>
      <c r="F30" t="inlineStr"/>
      <c r="G30" t="inlineStr">
        <is>
          <t>Mountain View, CA</t>
        </is>
      </c>
      <c r="H30" t="inlineStr"/>
      <c r="I3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Research Scientist.*
**You Will**
* Develop and extend cutting\-edge research in robotics and machine learning to advance state\-of\-the\-art methodologies for evaluating the quality, safety, and realism of embodied AI agents
* Partner within and across organizations to land disruptive and innovative tech in production
* Work with a variety of state\-of\-the\-art Foundation Models
* Drive model development through defining evaluation and benchmarks
* Implement and extend large large scale data and evaluation pipelines.
**You Have**
* Masters degree in Computer Science, Machine Learning, Robotics, similar technical field of study, or equivalent practical experience
* Proficiency in Python
* Familiarity with one of the modern deep learning frameworks (e.g. Pytorch, JAX, Tensorflow)
* Prior work in an industrial or research setting developing methodologies for the evaluation of ML models
**We Prefer**
* Strong hands\-on SWE skills, able to design, implement, and extend large distributed pipelines
* Track record of publications in top\-tier conferences or leading open source projects in the related fields
* Proficiency in C\+\+
* Experience in AV planning and related research
* Experience in labeling and curating data for ML eval and training
 ((Remote jobs only \- Please note that Waymo may not be able to employ remotely in all locations. Please speak with your recruiter about your preferred location for remote work when you begin the interview process.))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31">
      <c r="A31" t="inlineStr">
        <is>
          <t>li-4314920194</t>
        </is>
      </c>
      <c r="B31" t="inlineStr">
        <is>
          <t>Senior Machine Learning Engineer</t>
        </is>
      </c>
      <c r="C31" t="inlineStr">
        <is>
          <t>Samsara</t>
        </is>
      </c>
      <c r="D31" t="inlineStr">
        <is>
          <t>linkedin</t>
        </is>
      </c>
      <c r="E31" t="inlineStr"/>
      <c r="F31" t="inlineStr"/>
      <c r="G31" t="inlineStr"/>
      <c r="H31" t="inlineStr"/>
      <c r="I3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We’re looking for a motivated Senior Machine Learning Engineer I to join our Safety In\-Vehicle Experience team. Samsara’s In\-Vehicle Experience team is shaping how millions of drivers interact with Samsara on the road. From real\-time safety alerts and AI\-driven insights to intuitive in\-cab experiences, our work directly improves driver safety, engagement, and trust.
 This role calls for an experienced Edge AI engineer passionate about developing and optimizing ML models for highly constrained embedded environments. You will bridge the gap between research and production by deploying efficient, reliable, and scalable AI models that power the next generation of Samsara’s in\-vehicle intelligence.
**This is a remote position open to candidates residing in the US.**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Design, optimize, and deploy computer vision and multimodal ML models that run efficiently on constrained edge platforms powering Samsara’s in\-vehicle camera systems.
* Apply advanced model optimization techniques—such as quantization, pruning, and distillation—to achieve real\-time inference under strict CPU, memory, and thermal constraints.
* Partner with ML research and product teams to translate new AI detections into deployable, maintainable edge models.
* Collaborate with firmware, ML research, and hardware teams to productize our ML runtime pipeline, bringing scalable, reliable, and testable on\-device inference to production.
* Develop performance benchmarking, profiling, and validation frameworks for edge\-deployed models to ensure robustness across millions of deployed devices.
* Drive continuous improvement of our edge ML toolchain and advocate for best practices in model optimization, inference reliability, and deployment efficiency.
* Mentor peers on efficient inference design and collaborate cross\-functionally to accelerate feature delivery for safety and driver experience programs.
* Champion, role model, and embed Samsara’s cultural principles (Focus on Customer Success, Build for the Long Term, Adopt a Growth Mindset, Be Inclusive, Win as a Team) as we scale globally and across new offices.
**Minimum requirements for the role:**
* 5\+ years of experience developing and deploying deep learning models for edge, embedded, or real\-time systems.
* Strong background in computer vision or multimodal ML (e.g., 2D/3D CNNs, Transformers) using industry\-standard deep learning frameworks.
* Proficiency in Python and C\+\+, with hands\-on experience optimizing inference runtimes and applying model optimization techniques for edge deployment.
* Deep understanding of performance tuning, including compiler\- or DSP\-level optimizations, runtime profiling, latency analysis, and memory management on constrained hardware.
* Familiarity with middleware or streaming frameworks used in real\-time perception pipelines.
* Excellent cross\-functional communication and collaboration skills, especially across ML, firmware, and product domains.
**An ideal candidate also has:**
* Experience bringing ML infrastructure or runtime systems from prototype to production at scale.
* Background in multimodal ML (e.g., audio \+ vision fusion) or event\-based detection systems.
* Experience validating AI models across large, diverse fleets of deployed devices in real\-world environments.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$135,481\.50—$227,700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32">
      <c r="A32" t="inlineStr">
        <is>
          <t>li-4369487106</t>
        </is>
      </c>
      <c r="B32" t="inlineStr">
        <is>
          <t>AI Engineer - Agentic AI</t>
        </is>
      </c>
      <c r="C32" t="inlineStr">
        <is>
          <t>American Express</t>
        </is>
      </c>
      <c r="D32" t="inlineStr">
        <is>
          <t>linkedin</t>
        </is>
      </c>
      <c r="E32" t="inlineStr"/>
      <c r="F32" t="inlineStr"/>
      <c r="G32" t="inlineStr">
        <is>
          <t>New York, NY</t>
        </is>
      </c>
      <c r="H32" t="inlineStr"/>
      <c r="I32" t="inlineStr">
        <is>
          <t>*American Express invites you to share your resume so you can be considered for future Agentic AI opportunities in Enterprise Technology Services organization.*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**The Role**
 As an AI Engineer – Agentic AI, you will be a hands\-on builder contributing to the development of production agentic AI systems that operate on real financial data and serve real customers.
 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
 This is not a research\-only role. You will write production code, contribute to system design discussions, and help operate what you build after launch, with support and guidance from more senior engineers.
**What You’ll Do** 
* Contribute to the design and implementation of LLM\-powered and agentic product features.
* Build and extend agentic AI workflows that reason over context, call tools, and perform actions under guidance from senior engineers.
* Help implement and maintain retrieval\-augmented generation (RAG) pipelines over financial data, with an emphasis on correctness and safety.
* Contribute to shared AI infrastructure such as LLM services, orchestration components, and evaluation or monitoring tooling.
* Participate in operating AI systems in production, including monitoring, debugging, and improving reliability and performance.
* Collaborate closely with product and design partners, learning to translate customer needs into technical solutions.
**Technical Environment**
 We don’t hire to a narrow checklist, but candidates should be excited to grow in a modern, enterprise\-scale engineering environment with a focus on agentic AI.
**Core engineering stack** 
* Languages: Python, Go, TypeScript
* Cloud and infrastructure: AWS and/or GCP, Kubernetes
* APIs and services: REST, gRPC
* Distributed systems: event\-driven architectures, including Kafka
**Agentic AI and ML** 
* Commercial and open\-source LLMs integrated into agentic workflows
* Tooling for agent orchestration, retrieval\-augmented generation, vector storage, and evaluation
* Schema validation and structured data handling
**AI\-assisted development** 
* Use of AI\-assisted and agentic development tools for design, implementation, testing, debugging, and refactoring
* Learning how to apply these tools responsibly while maintaining production\-quality standards
 All systems are built to meet high standards for reliability, security, and auditability, reflecting the responsibility of deploying autonomous AI in a financial services environment.
**What We’re Looking For** 
* 2\+ years of professional software engineering experience.
* Some hands\-on experience building or contributing to AI\-powered features, LLM\-based applications, or applied ML systems (professional or project\-based).
* Solid engineering fundamentals in at least one backend language (Python, Go, or TypeScript).
* Familiarity with APIs, basic cloud concepts, and modern development practices.
* Interest in agentic AI systems, autonomy, and AI\-assisted development workflows.
* Willingness to learn, take feedback, and grow technical ownership over time.
* Comfort working in collaborative, cross\-functional teams.
* A strong customer mindset and curiosity about real\-world problem solving.
**Preferred Qualifications** 
* Exposure to LLM tooling, prompt engineering, RAG, or agent frameworks through work, coursework, or personal projects.
* Internship or early\-career experience in fintech or other regulated environments.
* Contributions to open\-source projects, hackathons, or side projects related to AI or developer tooling.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33">
      <c r="A33" t="inlineStr">
        <is>
          <t>li-4355887904</t>
        </is>
      </c>
      <c r="B33" t="inlineStr">
        <is>
          <t>AI/ML Engineer / Defence / $500k+ / NYC</t>
        </is>
      </c>
      <c r="C33" t="inlineStr">
        <is>
          <t>Open Talent</t>
        </is>
      </c>
      <c r="D33" t="inlineStr">
        <is>
          <t>linkedin</t>
        </is>
      </c>
      <c r="E33" t="inlineStr"/>
      <c r="F33" t="inlineStr"/>
      <c r="G33" t="inlineStr">
        <is>
          <t>New York, United States</t>
        </is>
      </c>
      <c r="H33" t="inlineStr"/>
      <c r="I33"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34">
      <c r="A34" t="inlineStr">
        <is>
          <t>li-4359568045</t>
        </is>
      </c>
      <c r="B34" t="inlineStr">
        <is>
          <t>Founding AI/ML Engineer (Production) - NYC - $250k-$500k+ + Founding Equity</t>
        </is>
      </c>
      <c r="C34" t="inlineStr">
        <is>
          <t>Open Talent</t>
        </is>
      </c>
      <c r="D34" t="inlineStr">
        <is>
          <t>linkedin</t>
        </is>
      </c>
      <c r="E34" t="inlineStr"/>
      <c r="F34" t="inlineStr"/>
      <c r="G34" t="inlineStr">
        <is>
          <t>New York, NY</t>
        </is>
      </c>
      <c r="H34" t="inlineStr"/>
      <c r="I34" t="inlineStr">
        <is>
          <t>**Founding AI/ML Engineer (Production) \- NYC \- $250k\-$500k\+ \+ Founding Equity** 
*We’re hiring for one of NYC’s top 10 robotics startups. If you’re an elite engineer looking to join an A squad\-builders from SpaceX, Palantir, Google \&amp; Anduril \- this is where you want to be.* 
 \*
 Most AI roles are currently focused on generating pixels or text. This team are using LLMs to command multi\-ton autonomous machines.
***Must be based in NYC \&amp; role requires US citizenship due to regulatory constraints.***
 We need a
 **Founding AI/ML Engineer** 
 to build the production intelligence layer for autonomous heavy machinery. This isn't a research lab. We have real robots, real customers, and systems operating in the field 24/7\. Your work won't just generate tokens; it will drive physical outcomes.
**The Work** 
 This is a 100% production role focused on critical AI infrastructure. You are responsible for the intelligence that allows multi\-ton machines to act on complex environments.
* **Production LLMs:** 
 Fine\-tuning and deploying models that handle mission\-critical operational logic.
* **Systems \&amp; Infra:** 
 Building the RAG pipelines and data flywheels that power our fleet’s intelligence.
* **Evals \&amp; Determinism:** 
 Designing evaluation frameworks to ensure model outputs are safe and reliable enough for heavy hardware.
* **Problem Solving:** 
 Moving from raw telemetry to deployed models. You own the pipeline, the tuning, and the performance in the field.
**The Team** 
 You’ll be joining a high\-density team from
 **SpaceX, Palantir, and Anduril** 
 . We’ve stripped away the typical corporate friction\-no bloated meetings or research for the sake of research. We hire for high agency and low ego. As a founding hire, you aren't just training models; you’re architecting the intelligence of the company.
**What we're looking for** 
 We want high\-signal builders who are bored with "wrapper" apps and want to solve hard problems grounded in physics.
* **Production Grit:** 
 You’ve shipped ML systems at scale. You care about inference latency and reliability more than "vibe checks."
* **LLM Mastery:** 
 Deep experience with fine\-tuning, RAG, and prompt engineering in high\-stakes environments.
* **Systems Thinker:** 
 You understand the full stack. You know how to optimize models to run efficiently and how to build the infra that supports them.
* **High\-Bar Pedigree:** 
 You’ve worked in environments where the standard for "production\-ready" is exceptionally high.
**Stack \&amp; Comp** 
* **Stack:** 
 Python, PyTorch, LLMs, RAG, Vector DBs, Kubernetes.
* **Location:** 
 NYC (Manhattan) \- On\-site/Hybrid.
* **Comp:** 
 $250k \- $500k\+ base \+
 **Founding Member Equity** 
 .
**The Process:** 
**1 Week \&amp; 0 Take\-Homes** 
 We move as fast as we ship. We can go from first touch to offer in one week:
1. **(Founders) Technical Deep Dive:** 
 A conversation about the most complex AI system you’ve actually shipped.
2. **(Team)Practical Pairing:** 
 Solving a real\-world production ML or data infra problem together.
 **No Leetcode.**
3. **(Exec) Founding Team Chat:** 
 A focus on judgment, trade\-offs \&amp; vision.
 If you’re ready to put AI into the physical world, let’s talk.
**TL;DR** 
* **Role:** 
 Founding AI/ML Engineer (Production)
* **Focus:** 
 Fine\-tuning, Evals, and RAG for Robotics
* **Team:** 
 Ex\-SpaceX, Palantir, Anduril, Google
* **Comp:** 
 $250k \- $500k\+ base \+ Founding Equity
* **Process:** 
 1 week. 3 rounds.
**Equal Opportunity** 
 We're hiring for an Equal Opportunity Employer.
 \*All our new jobs are posted here 1st:
**linkedin.com/in/sufyanbashir/**</t>
        </is>
      </c>
    </row>
    <row r="35">
      <c r="A35" t="inlineStr">
        <is>
          <t>li-4369615237</t>
        </is>
      </c>
      <c r="B35" t="inlineStr">
        <is>
          <t>Applied AI Engineer - REMOTE</t>
        </is>
      </c>
      <c r="C35" t="inlineStr">
        <is>
          <t>Jobgether</t>
        </is>
      </c>
      <c r="D35" t="inlineStr">
        <is>
          <t>linkedin</t>
        </is>
      </c>
      <c r="E35" t="inlineStr"/>
      <c r="F35" t="inlineStr"/>
      <c r="G35" t="inlineStr"/>
      <c r="H35" t="inlineStr"/>
      <c r="I35" t="inlineStr">
        <is>
          <t>This position is posted by Jobgether on behalf of a partner company. We are currently looking for an Applied AI Engineer. In this role, you'll be at the forefront of transforming financial services for millions, working on AI models that enhance customer interactions across West Africa. By bridging the gap between research and production, you'll develop systems that operate under challenging conditions. Your efforts will directly influence the ease of financial access for individuals and businesses in emerging markets, contributing to a vision of a cashless continent. We encourage innovative problem\-solving and ownership of projects, making this an exciting opportunity to create meaningful impact.
**Accountabilities**
* Bridge research and production by building AI models and agent systems for real products.
* Architect, evaluate, and optimize autonomous voice and digital agents for 10M\+ monthly customer interactions.
* Address challenging edge cases such as poor connectivity and low literacy.
* Experiment with the latest voice and text models to enhance user experience.
* Own problems from discovery to production in collaboration with product and engineering teams.
**Requirements**
* 5\+ years of experience in AI/ML engineering.
* Strong Python and backend engineering skills.
* Solid foundation in statistics and ML theory.
* Experience with building and deploying LLMs and AI coding agents.
* Proven track record of taking ML models from prototype to production.
* Fluency in English; bilingual in French is a big plus.
**Benefits**
* Remote work flexibility with a $1,200 yearly stipend for coworking meetups.
* Competitive salary up to $222,700 depending on experience and location.
* Generous equity package.
* Subsidized health insurance and retirement contributions.
* 6 months of fully paid parental leave and subsidized fertility assistance.
* Flexible vacation policy, with most employees taking 21\-30 days off.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
      <c r="A36" t="inlineStr">
        <is>
          <t>li-4362491507</t>
        </is>
      </c>
      <c r="B36" t="inlineStr">
        <is>
          <t>AI Engineer - Agent Automation</t>
        </is>
      </c>
      <c r="C36" t="inlineStr">
        <is>
          <t>Zoom</t>
        </is>
      </c>
      <c r="D36" t="inlineStr">
        <is>
          <t>linkedin</t>
        </is>
      </c>
      <c r="E36" t="inlineStr"/>
      <c r="F36" t="inlineStr"/>
      <c r="G36" t="inlineStr">
        <is>
          <t>San Jose, CA</t>
        </is>
      </c>
      <c r="H36" t="inlineStr"/>
      <c r="I36" t="inlineStr">
        <is>
          <t>**What You Can Expect**
 We're seeking an experienced AI Engineer specialized in agent orchestrator design and implementation, agent workflow, and LLM evaluation metrics and pipeline design. You'll be instrumental in developing and deploying intelligent agent systems that can understand context, orchestrate multi\-step processes, automate complex workflows, and execute tasks autonomously across Zoom. Your expertise will help us create agents that streamline operations, reduce manual intervention, and optimize end\-to\-end business processes through intelligent automation.
**About The Team**
 The Agentic Workflow Automation team is committed to revolutionizing productivity by streamlining complex workflows, automating routine tasks, and making decisions with great speed and clarity. We are passionate about leveraging cutting\-edge technology to drive significant advancements in how people communicate and collaborate.
**Responsibilities**
* Designing and implementing agent architectures that can reason about tasks, plan actions, and execute solutions
* Developing prompt engineering frameworks and techniques for reliable agent behavior
* Implementing safety mechanisms and oversight protocols for autonomous systems
* Building and maintaining LLM\-powered services using models like GPT\-4, Claude, and internal models
* Optimizing model infrastructure for low latency and high throughput
* Building robust testing frameworks for agent behavior validation
**What We’re Looking For**
* Possess a Bachelor's degree in Computer Science, Artificial Intelligence, Machine Learning, Cognitive Science, or a related field.
* Have 3\+ years of experience in ML engineering
* Exhibit expertise in microservice design and implementation
* Have experience with production agent systems
* Demonstrate programming skills in Python or Java, with deep learning frameworks (PyTorch, Transformers, LangChain)
* Have experience with cloud infrastructure stack (Kubernetes, Docker, AWS)
**Minimum**
**Salary Range or On Target Earnings:**
 $151,800\.00
**Maximum**
 $332,200\.00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t>
        </is>
      </c>
    </row>
    <row r="37">
      <c r="A37" t="inlineStr">
        <is>
          <t>li-4369615376</t>
        </is>
      </c>
      <c r="B37" t="inlineStr">
        <is>
          <t>Machine Learning Engineer</t>
        </is>
      </c>
      <c r="C37" t="inlineStr">
        <is>
          <t>Trimble Inc.</t>
        </is>
      </c>
      <c r="D37" t="inlineStr">
        <is>
          <t>linkedin</t>
        </is>
      </c>
      <c r="E37" t="inlineStr"/>
      <c r="F37" t="inlineStr"/>
      <c r="G37" t="inlineStr">
        <is>
          <t>Westminster, CO</t>
        </is>
      </c>
      <c r="H37" t="inlineStr"/>
      <c r="I37" t="inlineStr">
        <is>
          <t>**Shape the Future of AI: Machine Learning Engineer**
 Are you ready to take ownership of the full ML lifecycle and turn complex data into world\-changing products? We are looking for a proactive Machine Learning Engineer to bridge the gap between research and production. If you are passionate about deploying deep learning models at scale and mentoring the next generation of innovators, your work here will directly transform how global industries operate.
**About Us** 
 Trimble is a global technology company that connects the physical and digital worlds, transforming the ways work gets done. With relentless innovation in precise positioning, modeling and data analytics, Trimble enables essential industries including construction, geospatial and transportation.
 The Trimble AECO segment provides digital construction solutions that increase precision and productivity for Architecture, Engineering, Construction, and Operations.
**What Makes This Role Great:** 
 In this role, you’ll be the technical architect of our machine learning future, moving beyond theory to deploy deep learning models that solve real\-world industrial challenges at scale. You will have the unique opportunity to act as a visionary pragmatist—independently identifying and refining models that directly enhance the accuracy and reliability of our global product suite.
**Key Exciting Responsibilities**
* Mastermind the ML Lifecycle: Spearhead the full journey of deep learning models from initial conceptualization to large\-scale production deployment.
* Drive MLOps Excellence: Elevate our technical standards by implementing robust containerization, versioning, and monitoring practices to ensure model reliability.
* Bridge the Gap: Collaborate with domain experts to translate ambiguous business needs into crisp, actionable machine learning tasks and technical solutions.
* Innovate at the Frontier: Research and adapt breakthrough methods, such as foundation models and self\-supervised learning, into our production environment.
* Empower the Team: Serve as a pivotal technical resource, providing informal guidance and sharing best practices to foster the growth of emerging talent.
**Essential Skills \&amp; Experience**
* Bachelor's degree in Computer Science, Math, Engineering, Statistics, or a related quantitative field with 3\-5 years of relevant experience, or a Master's degree with 1\-3 years of relevant experience, demonstrating in\-depth knowledge and practical application.
* In\-depth conceptual and practical knowledge of machine learning and deep learning principles, including model selection, training, and evaluation methodologies.
* Proven track record as a Machine Learning Engineer or similar role, with evidence of production\-ready ML work, including shipped projects, open\-source contributions, or strong GitHub portfolios.
* Fluency in Python and deep learning frameworks (PyTorch is a must, TensorFlow is welcome), along with strong familiarity with NumPy, pandas, and scikit\-learn.
* Experience with Linux and bash scripting.
* Solid grounding in data structures, data modeling, and software architecture, with an understanding of how code fits together and how to maintain its tidiness.
* Practical statistical sense, with the ability to run experiments with rigor, understand how to collect data, compare approaches, and avoid biased sampling or flawed metrics.
* Strong algorithmic and problem\-solving skills, capable of tackling complex challenges with a structured approach and knowing when to iterate rapidly and deploy effective solutions.
**Bonus Points For**
* Experience with large\-scale computing frameworks (e.g., Spark, Hadoop) and designing/implementing solutions for distributed systems.
* Contributions to open\-source projects or academic publications in ML/AI, showcasing thought leadership.
* Experience with MLOps practices for seamless model deployment, monitoring, and lifecycle management, including tools like Azure DevOps, New Relic, and Azure Monitor for AI\-driven infrastructure optimization and automated incident management.
* Familiarity with cloud\-native ML services (e.g., Azure Cognitive Services, AWS SageMaker) and their integration into broader architectures.
* Adaptable and curious mindset, eager to dig into new techniques or tools where appropriate and iterate rapidly.
* Experience with generative AI models (e.g., LLMs, diffusion models) and their application in real\-world scenarios, including conversational AI and agentic platforms (e.g., Semantic Kernel).
* Familiarity with computer vision techniques for image/video analysis (e.g., drawing title block extraction, symbol classification).
**Why You’ll Love Working With Us** 
 At Trimble, we’re not just a company that “does good”—we are a team dedicated to making a tangible, positive
 **Real\-World Impact** 
 . We build innovative solutions designed to solve the world’s most critical challenges. From construction sites to transportation hubs, our work tangibly improves how people live, build, move, and grow.
 You’ll work on
 **projects that truly matter** 
 : Our purpose\-driven culture means you’ll be helping to build and deliver solutions that make work faster, safer, and more sustainable for millions of people worldwide. You will work with a
 **collaborative, supportive team** 
 that shares your purpose and fosters a genuine sense of belonging. Trimble thrives on individuals who take initiative and
 **embrace ownership** 
 ; you’ll find an entrepreneurial spirit where success is often “self\-authored”.
 Machine Learning Engineer, Senior ML Engineer, Deep Learning, PyTorch, MLOps, Python, AECO, Digital Construction, AI Research, Data Science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$122,500\.00–$168,400\.00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38">
      <c r="A38" t="inlineStr">
        <is>
          <t>li-4369621222</t>
        </is>
      </c>
      <c r="B38" t="inlineStr">
        <is>
          <t>Machine Learning Engineer</t>
        </is>
      </c>
      <c r="C38" t="inlineStr">
        <is>
          <t>Trimble Inc.</t>
        </is>
      </c>
      <c r="D38" t="inlineStr">
        <is>
          <t>linkedin</t>
        </is>
      </c>
      <c r="E38" t="inlineStr"/>
      <c r="F38" t="inlineStr"/>
      <c r="G38" t="inlineStr">
        <is>
          <t>Lake Oswego, OR</t>
        </is>
      </c>
      <c r="H38" t="inlineStr"/>
      <c r="I38" t="inlineStr">
        <is>
          <t>**Shape the Future of AI: Machine Learning Engineer**
 Are you ready to take ownership of the full ML lifecycle and turn complex data into world\-changing products? We are looking for a proactive Machine Learning Engineer to bridge the gap between research and production. If you are passionate about deploying deep learning models at scale and mentoring the next generation of innovators, your work here will directly transform how global industries operate.
**About Us** 
 Trimble is a global technology company that connects the physical and digital worlds, transforming the ways work gets done. With relentless innovation in precise positioning, modeling and data analytics, Trimble enables essential industries including construction, geospatial and transportation.
 The Trimble AECO segment provides digital construction solutions that increase precision and productivity for Architecture, Engineering, Construction, and Operations.
**What Makes This Role Great:** 
 In this role, you’ll be the technical architect of our machine learning future, moving beyond theory to deploy deep learning models that solve real\-world industrial challenges at scale. You will have the unique opportunity to act as a visionary pragmatist—independently identifying and refining models that directly enhance the accuracy and reliability of our global product suite.
**Key Exciting Responsibilities**
* Mastermind the ML Lifecycle: Spearhead the full journey of deep learning models from initial conceptualization to large\-scale production deployment.
* Drive MLOps Excellence: Elevate our technical standards by implementing robust containerization, versioning, and monitoring practices to ensure model reliability.
* Bridge the Gap: Collaborate with domain experts to translate ambiguous business needs into crisp, actionable machine learning tasks and technical solutions.
* Innovate at the Frontier: Research and adapt breakthrough methods, such as foundation models and self\-supervised learning, into our production environment.
* Empower the Team: Serve as a pivotal technical resource, providing informal guidance and sharing best practices to foster the growth of emerging talent.
**Essential Skills \&amp; Experience**
* Bachelor's degree in Computer Science, Math, Engineering, Statistics, or a related quantitative field with 3\-5 years of relevant experience, or a Master's degree with 1\-3 years of relevant experience, demonstrating in\-depth knowledge and practical application.
* In\-depth conceptual and practical knowledge of machine learning and deep learning principles, including model selection, training, and evaluation methodologies.
* Proven track record as a Machine Learning Engineer or similar role, with evidence of production\-ready ML work, including shipped projects, open\-source contributions, or strong GitHub portfolios.
* Fluency in Python and deep learning frameworks (PyTorch is a must, TensorFlow is welcome), along with strong familiarity with NumPy, pandas, and scikit\-learn.
* Experience with Linux and bash scripting.
* Solid grounding in data structures, data modeling, and software architecture, with an understanding of how code fits together and how to maintain its tidiness.
* Practical statistical sense, with the ability to run experiments with rigor, understand how to collect data, compare approaches, and avoid biased sampling or flawed metrics.
* Strong algorithmic and problem\-solving skills, capable of tackling complex challenges with a structured approach and knowing when to iterate rapidly and deploy effective solutions.
**Bonus Points For**
* Experience with large\-scale computing frameworks (e.g., Spark, Hadoop) and designing/implementing solutions for distributed systems.
* Contributions to open\-source projects or academic publications in ML/AI, showcasing thought leadership.
* Experience with MLOps practices for seamless model deployment, monitoring, and lifecycle management, including tools like Azure DevOps, New Relic, and Azure Monitor for AI\-driven infrastructure optimization and automated incident management.
* Familiarity with cloud\-native ML services (e.g., Azure Cognitive Services, AWS SageMaker) and their integration into broader architectures.
* Adaptable and curious mindset, eager to dig into new techniques or tools where appropriate and iterate rapidly.
* Experience with generative AI models (e.g., LLMs, diffusion models) and their application in real\-world scenarios, including conversational AI and agentic platforms (e.g., Semantic Kernel).
* Familiarity with computer vision techniques for image/video analysis (e.g., drawing title block extraction, symbol classification).
**Why You’ll Love Working With Us** 
 At Trimble, we’re not just a company that “does good”—we are a team dedicated to making a tangible, positive
 **Real\-World Impact** 
 . We build innovative solutions designed to solve the world’s most critical challenges. From construction sites to transportation hubs, our work tangibly improves how people live, build, move, and grow.
 You’ll work on
 **projects that truly matter** 
 : Our purpose\-driven culture means you’ll be helping to build and deliver solutions that make work faster, safer, and more sustainable for millions of people worldwide. You will work with a
 **collaborative, supportive team** 
 that shares your purpose and fosters a genuine sense of belonging. Trimble thrives on individuals who take initiative and
 **embrace ownership** 
 ; you’ll find an entrepreneurial spirit where success is often “self\-authored”.
 Machine Learning Engineer, Senior ML Engineer, Deep Learning, PyTorch, MLOps, Python, AECO, Digital Construction, AI Research, Data Science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$122,500\.00–$168,400\.00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39">
      <c r="A39" t="inlineStr">
        <is>
          <t>li-4369454975</t>
        </is>
      </c>
      <c r="B39" t="inlineStr">
        <is>
          <t>Principal AI/ML Engineer - Remote</t>
        </is>
      </c>
      <c r="C39" t="inlineStr">
        <is>
          <t>ExecutivePlacements.com</t>
        </is>
      </c>
      <c r="D39" t="inlineStr">
        <is>
          <t>linkedin</t>
        </is>
      </c>
      <c r="E39" t="inlineStr"/>
      <c r="F39" t="inlineStr"/>
      <c r="G39" t="inlineStr">
        <is>
          <t>Austin, TX</t>
        </is>
      </c>
      <c r="H39" t="inlineStr"/>
      <c r="I39"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opportunitiesacross UnitedHealth Group businesses including UnitedHealthcare, Optum Financial, Optum Health, Optum Insight,and Optum Rx. In addition to transforming the health care journey through responsible AI/ML innovation, our charter also includes developing and supporting an enterprise AI/ML development platform.
 You'll enjoy the flexibility to work remotely \* from anywhere within the U.S. as you take on some tough challenges. For all hires in the Minneapolis or Washington, D.C. area, you will be required to work in the office a minimum of four days per week.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10\+ years of industry/academic experience in machine learning or a related field
* 5\+ years of building models for business application experience
* 5\+ years leading technical teams
* Experienced mathematical background, especially in optimization theory, stochastic algorithms, and/or numerical methods
* Experience with state\-of\-the\-art algorithms and topologies including, but not limited to: GNNs, GANs, Transformers, deep and wide, SSMs, LLMs among others
* Experience with LLM alignment (DPO, PPO among others)
* Solid Python programming skills and experience with deep learning frameworks such as PyTorch or TensorFlow
* In\-depth knowledge in Generative AI technology and Large Language Models (LLM) with focus in LLM optimization
* Advanced understanding of Deep Learning with applications in NLP and multimodal modeling
**Preferred Qualifications**
* Experience in AI/ML in the healthcare and or Fintech sector
* Experience working with cross\-functional and distributed teams in a global and diverse environment
* Experience in establishing AI/ML best practices, standards, and ethics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k contribution (all benefits are subject to eligibility requirements). No matter where or when you begin a career with us, you'll find a far\-reaching choice of benefits and incentives. The salary for this role will range from $, to $,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40">
      <c r="A40" t="inlineStr">
        <is>
          <t>li-4369606115</t>
        </is>
      </c>
      <c r="B40" t="inlineStr">
        <is>
          <t>Applied AI Engineer-Associate</t>
        </is>
      </c>
      <c r="C40" t="inlineStr">
        <is>
          <t>JPMorganChase</t>
        </is>
      </c>
      <c r="D40" t="inlineStr">
        <is>
          <t>linkedin</t>
        </is>
      </c>
      <c r="E40" t="inlineStr"/>
      <c r="F40" t="inlineStr"/>
      <c r="G40" t="inlineStr">
        <is>
          <t>Wilmington, DE</t>
        </is>
      </c>
      <c r="H40" t="inlineStr"/>
      <c r="I40" t="inlineStr">
        <is>
          <t>**Job Description**
 As Applied AI Engineer\-Associate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1\+ years applied AI experience
* Proven track record of building and scaling software and or machine learning platforms in high\-growth or enterprise environments
* 3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41">
      <c r="A41" t="inlineStr">
        <is>
          <t>li-4236739499</t>
        </is>
      </c>
      <c r="B41" t="inlineStr">
        <is>
          <t>Agentic AI Engineer</t>
        </is>
      </c>
      <c r="C41" t="inlineStr">
        <is>
          <t>DPR Construction</t>
        </is>
      </c>
      <c r="D41" t="inlineStr">
        <is>
          <t>linkedin</t>
        </is>
      </c>
      <c r="E41" t="inlineStr"/>
      <c r="F41" t="inlineStr"/>
      <c r="G41" t="inlineStr">
        <is>
          <t>Nashville, TN</t>
        </is>
      </c>
      <c r="H41" t="inlineStr"/>
      <c r="I41" t="inlineStr">
        <is>
          <t>**Job Description**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Build end\-to\-end Gen AI solutions \- develop, refine, and implement advanced Gen AI models and ensure the successful delivery of projects.
* Develop and execute comprehensive plans to integrate AI technologies into business processes, aimed at enhancing operational efficiency and boosting employee productivity.
* Utilize Python and other data manipulation languages proficiently to prepare and manipulate data.
* Understand the business requirements and translate into Gen AI solution design that successfully meets the business objectives.
* Collaborate with stakeholders, present findings to non\-technical audiences and provide strategic recommendations.
* Ensure the scalability, reliability, and security of AI solutions by implementing best practices for AI model development, deployment, and maintenance.
* Drive innovation by exploring new AI applications and solutions that can benefit the enterprise, leading research and development efforts to keep DPR at the forefront of AI technology.
* Follow the roadmap for AI initiatives, ensuring they align with organizational goals and show measurable impact.
**Qualifications**
* At least 3 years of experience with Software Development, Machine Learning.
* At least 2 years of experience Generative AI, specifically with Large Language Models (LLM).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computing skills.
* Strong programming skills in Python and experience with AI/ML frameworks.
* Proficiency in vector databases and embedding models for retrieval tasks.
* Understanding of Knowledge Graph is a plus.
* Strong problem\-solving and strategic thinking abilities.
* Strong communicator with the ability to present ideas clearly and influence stakeholders — with a passion for enabling data\-driven transformation.
 Work Conditions
* Prolonged periods of sitting and/or standing at a computer screen.
* Must be able to sit or stand for long periods of time.
* Must be able to lift 15 pounds at times.
* Occasional domestic travel, via airplane, will be required for meetings.
 This is a hybrid role with most time being spent working from home. Attendance at important meetings and events at the local 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2">
      <c r="A42" t="inlineStr">
        <is>
          <t>li-4369468901</t>
        </is>
      </c>
      <c r="B42" t="inlineStr">
        <is>
          <t>Senior AI Engineer - Agentic AI</t>
        </is>
      </c>
      <c r="C42" t="inlineStr">
        <is>
          <t>American Express</t>
        </is>
      </c>
      <c r="D42" t="inlineStr">
        <is>
          <t>linkedin</t>
        </is>
      </c>
      <c r="E42" t="inlineStr"/>
      <c r="F42" t="inlineStr"/>
      <c r="G42" t="inlineStr">
        <is>
          <t>New York, NY</t>
        </is>
      </c>
      <c r="H42" t="inlineStr"/>
      <c r="I42" t="inlineStr">
        <is>
          <t>*American Express invites you to share your resume so you can be considered for future Agentic AI opportunities in Enterprise Technology Services organization.*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**The Role**
 As a Senior AI Engineer – Agentic AI, you will be a core builder responsible for turning complex, ambiguous problems into production\-grade agentic systems that operate on real financial data, serve real customers, and meet real regulatory requirements.
 You will work end to end: shaping solutions with product and design, building and shipping production code, and owning what you deliver after launch. The scope of this role spans customer\-facing LLM\-powered features, agentic systems that automate financial workflows, and internal AI capabilities that enable other engineers to build with AI safely and efficiently.
 This is not a research\-only role. We are looking for engineers who are comfortable operating with autonomy, exercising sound judgment, and pushing the technical envelope within the realities of a regulated financial environment.
**What You’ll Do** 
* Design, build, and ship LLM\-powered and agentic product features that change how customers manage their finances.
* Build agentic AI systems that reason over context, invoke tools, take real actions, and recover gracefully from failure.
* Architect and implement production\-grade RAG pipelines over sensitive financial data, with strict requirements for correctness, auditability, and safety.
* Contribute to shared AI infrastructure, including LLM services, agent orchestration frameworks, and evaluation and monitoring tooling, that scales agentic development across Amex Technology.
* Own the systems you build in production, including reliability, latency, cost, and failure modes.
* Work closely with product and design partners; engineers in this role are expected to think in terms of customer outcomes, not just technical execution.
**Technical Environment**
 We don’t hire to a narrow checklist, but candidates should be comfortable operating in a modern, enterprise\-scale environment with a strong emphasis on agentic AI.
**Core engineering stack** 
* Languages: Python, Go, TypeScript
* Cloud and infrastructure: AWS and/or GCP, Kubernetes
* APIs and services: REST, gRPC
* Distributed systems: event\-driven architectures, including Kafka
**Agentic AI and ML** 
* Commercial and open\-source LLMs integrated into agentic workflows
* Tooling for agent orchestration, retrieval\-augmented generation, vector storage, and evaluation
* Strong schema, validation, and state management practices
**AI\-assisted development** 
* Fluency with AI\-assisted and agentic development workflows for design, implementation, testing, debugging, and refactoring
* Thoughtful use of these tools while maintaining production\-quality engineering standards
 All systems are built to meet high standards for reliability, security, and auditability, reflecting the responsibility of deploying autonomous AI in a financial services environment.
**What We’re Looking For** 
* 5\+ years of software engineering experience, including meaningful production experience with LLMs or applied ML systems.
* A track record of shipping AI\-powered or agentic systems that real users depend on.
* Strong engineering fundamentals across backend systems, APIs, data pipelines, and cloud infrastructure.
* Hands\-on experience with modern LLM tooling and agentic patterns and architectures.
* Fluency with AI\-assisted and agentic development workflows.
* Strong sense of ownership and sound technical judgment.
* Comfort operating with ambiguity and turning it into shipped reliable product.
* A strong product mindset and customer orientation.
**Preferred Qualifications** 
* Experience building agentic systems in fintech or other regulated industries.
* Experience as a founding engineer or early technical contributor in high\-growth environments.
* Demonstrated ability to ship technically complex systems in regulated contexts that customers actively rely on.
* Meaningful open\-source contributions, particularly in AI or developer tooling.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43">
      <c r="A43" t="inlineStr">
        <is>
          <t>li-4362733307</t>
        </is>
      </c>
      <c r="B43" t="inlineStr">
        <is>
          <t>Senior Associate - AI Engineer</t>
        </is>
      </c>
      <c r="C43" t="inlineStr">
        <is>
          <t>New York Life Insurance Company</t>
        </is>
      </c>
      <c r="D43" t="inlineStr">
        <is>
          <t>linkedin</t>
        </is>
      </c>
      <c r="E43" t="inlineStr"/>
      <c r="F43" t="inlineStr"/>
      <c r="G43" t="inlineStr">
        <is>
          <t>New York, NY</t>
        </is>
      </c>
      <c r="H43" t="inlineStr"/>
      <c r="I43" t="inlineStr">
        <is>
          <t>**Location Designation:** 
 Hybrid \- 3 days per week
 Our New York Life culture has laid the foundation for over 180 years of commitment to our employees, agents, policy owners, and the communities where we live and work. Here you become a valued part of a welcoming, inclusive, and caring organization with a long\-standing legacy in stability and growth. The strength revolves around our diversified, multi\-dimensional business portfolio that goes beyond life insurance.
 As a Fortune 100 company and industry leader, we provide an environment where you can explore your career ambitions, offering opportunities to tackle meaningful challenges and stretch your skills while balancing work and life priorities. You will be part of an inclusive team guided by our belief to always be there for each other–providing the support and flexibility to grow and reach new heights while making an impact in the lives of others.
 You are our future, and we commit to investing in you accordingly.
 When you join New York Life, you are joining a company that values career development, collaboration, innovation, and inclusiveness. We want employees to feel proud about being part of a company that is committed to doing the right thing. You will have the opportunity to grow your career while developing personally and professionally through various resources and programs. New York Life is a relationship\-based company and appreciates how both virtual and in\-person interactions support our culture.
 New York Life’s AI and Data team delivers innovative data, insights and AI solutions for the organization. Our AI team works on a diverse portfolio of AI and GenAI projects, by combining agile and entrepreneurial drive with industry\-leading methods and tools. Our efforts are fully supported by executive leadership, and we work hand in hand with our Business Partners through all stages of model development from ideation to deployment. As it takes multiple skill sets to deliver AI models to production, our AI team includes product managers, data scientists, AI engineers, program managers, a model validation \&amp; governance group, and a communications \&amp; development group.
 You will work with Data Scientists and Platform Engineers to deliver AI and GenAI solutions to our business customers. You will influence design, implementation, and best practices for our AI solutions.
**What You’ll Do**
* Responsible for design and development of production grade AI solutions
* Ensuring all AI code conforms to software engineering best practices and coding standards
* Implementation of models with debugging, scaling and monitoring in mind
* Help set up ML experiments for server\-based hyperparameter tuning
* Work with Platform Engineers to develop pipelines and tools to automate model deployment
* Collaborate with the team on architecture and implementation
* Expertise in developing solution architectures that integrate ML models into real\-world systems
* Hands\-on prototyping of new technology and AI solutions
* Collaborate with product managers, data scientists and other engineers
* Review code to ensure solutions are properly designed and implemented
* Stay up to date with the latest AI trends/emerging technologies and look for opportunities to improve the stack
* Current understanding of LLMs and their use
**What You’ll Bring**
* 5\+ years of experience in Software Engineering with at least 2\-years hands on with implementing AI/ML solutions
* Experience in API development, best standards and practices
* Competency in Python
* Experience with machine learning libraries and frameworks such as sklearn, TensorFlow, PyTorch, or Keras
* Understanding of containerization (Docker \&amp; Linux experience)
* Passionate about technology transformations, innovation, and continuous improvement
* Experience with advanced natural language processing ( NLP ) techniques and tools, such as SpaCy, NLTK, or Hugging Face
* Strong knowledge of data structures, algorithms, and software engineering principles
* Experience with SQL and big data platforms such as Postgres, Redshift and Snowflake
* Experience with cloud compute environments (AWS) along with cloud\-native tools
* Experience with Agile/Scrum methodology and best practices
**Preferred**
* Previous work experience with Generative AI
* Understanding of use and implementation of Vector Databases
* Kubernetes container orchestration experience
* Exposure of MCP servers
**Pay Transparency**
 Salary Range: $124,000\-$177,000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92281</t>
        </is>
      </c>
    </row>
    <row r="44">
      <c r="A44" t="inlineStr">
        <is>
          <t>li-4362770885</t>
        </is>
      </c>
      <c r="B44" t="inlineStr">
        <is>
          <t>Senior Associate - AI Engineer</t>
        </is>
      </c>
      <c r="C44" t="inlineStr">
        <is>
          <t>New York Life Insurance Company</t>
        </is>
      </c>
      <c r="D44" t="inlineStr">
        <is>
          <t>linkedin</t>
        </is>
      </c>
      <c r="E44" t="inlineStr"/>
      <c r="F44" t="inlineStr"/>
      <c r="G44" t="inlineStr">
        <is>
          <t>New York, NY</t>
        </is>
      </c>
      <c r="H44" t="inlineStr"/>
      <c r="I44" t="inlineStr">
        <is>
          <t>**Location Designation:** 
 Hybrid \- 3 days per week
 Our New York Life culture has laid the foundation for over 180 years of commitment to our employees, agents, policy owners, and the communities where we live and work. Here you become a valued part of a welcoming, inclusive, and caring organization with a long\-standing legacy in stability and growth. The strength revolves around our diversified, multi\-dimensional business portfolio that goes beyond life insurance.
 As a Fortune 100 company and industry leader, we provide an environment where you can explore your career ambitions, offering opportunities to tackle meaningful challenges and stretch your skills while balancing work and life priorities. You will be part of an inclusive team guided by our belief to always be there for each other–providing the support and flexibility to grow and reach new heights while making an impact in the lives of others.
 You are our future, and we commit to investing in you accordingly.
 When you join New York Life, you are joining a company that values career development, collaboration, innovation, and inclusiveness. We want employees to feel proud about being part of a company that is committed to doing the right thing. You will have the opportunity to grow your career while developing personally and professionally through various resources and programs. New York Life is a relationship\-based company and appreciates how both virtual and in\-person interactions support our culture.
 New York Life’s AI and Data team delivers innovative data, insights and AI solutions for the organization. Our AI team works on a diverse portfolio of AI and GenAI projects, by combining agile and entrepreneurial drive with industry\-leading methods and tools. Our efforts are fully supported by executive leadership, and we work hand in hand with our Business Partners through all stages of model development from ideation to deployment. As it takes multiple skill sets to deliver AI models to production, our AI team includes product managers, data scientists, AI engineers, program managers, a model validation \&amp; governance group, and a communications \&amp; development group.
 You will work with Data Scientists and Platform Engineers to deliver AI and GenAI solutions to our business customers. You will influence design, implementation, and best practices for our AI solutions.
**What You’ll Do**
* Responsible for design and development of production grade AI solutions
* Ensuring all AI code conforms to software engineering best practices and coding standards
* Implementation of models with debugging, scaling and monitoring in mind
* Help set up ML experiments for server\-based hyperparameter tuning
* Work with Platform Engineers to develop pipelines and tools to automate model deployment
* Collaborate with the team on architecture and implementation
* Expertise in developing solution architectures that integrate ML models into real\-world systems
* Hands\-on prototyping of new technology and AI solutions
* Collaborate with product managers, data scientists and other engineers
* Review code to ensure solutions are properly designed and implemented
* Stay up to date with the latest AI trends/emerging technologies and look for opportunities to improve the stack
* Current understanding of LLMs and their use
**What You’ll Bring:**
* 5\+ years of experience in Software Engineering with at least 2\-years hands on with implementing AI/ML solutions
* Experience in API development, best standards and practices
* Competency in Python
* Experience with machine learning libraries and frameworks such as sklearn, TensorFlow, PyTorch, or Keras
* Understanding of containerization (Docker \&amp; Linux experience)
* Passionate about technology transformations, innovation, and continuous improvement
* Experience with advanced natural language processing ( NLP ) techniques and tools, such as SpaCy, NLTK, or Hugging Face
* Strong knowledge of data structures, algorithms, and software engineering principles
* Experience with SQL and big data platforms such as Postgres, Redshift and Snowflake
* Experience with cloud compute environments (AWS) along with cloud\-native tools
* Experience with Agile/Scrum methodology and best practices
**Preferred**
* Previous work experience with Generative AI
* Understanding of use and implementation of Vector Databases
* Kubernetes container orchestration experience
* Exposure of MCP servers
**Pay Transparency**
 Salary Range: $124,000\-$177,000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92280</t>
        </is>
      </c>
    </row>
    <row r="45">
      <c r="A45" t="inlineStr">
        <is>
          <t>li-4322192886</t>
        </is>
      </c>
      <c r="B45" t="inlineStr">
        <is>
          <t>Staff Machine Learning Engineer, Growth</t>
        </is>
      </c>
      <c r="C45" t="inlineStr">
        <is>
          <t>Hinge</t>
        </is>
      </c>
      <c r="D45" t="inlineStr">
        <is>
          <t>linkedin</t>
        </is>
      </c>
      <c r="E45" t="inlineStr"/>
      <c r="F45" t="inlineStr"/>
      <c r="G45" t="inlineStr">
        <is>
          <t>New York, NY</t>
        </is>
      </c>
      <c r="H45" t="inlineStr"/>
      <c r="I45" t="inlineStr">
        <is>
          <t>**Hinge is the dating app designed to be deleted** 
 In today's digital world, finding genuine relationships is tougher than ever. At Hinge, we’re on a mission to inspire intimate connection to create a less lonely world. We’re obsessed with understanding our users’ behaviors to help them find love, and our success is defined by one simple metric– setting up great dates. With millions of users across the globe, we’ve become the most trusted way to find a relationship, for all.
**About the Role:** 
 We are hiring a
 **Staff Machine Learning Engineer** 
 to drive the design, development, and deployment of machine learning systems that power our core products in User Growth and Monetization. You will work on building deeply personalized user experiences that drive business growth and meet individual needs and preferences: by targeting the right users with the right products at the right time, we empower product teams to drive meaningful growth in revenue and user engagement while enhancing user satisfaction.
 The Growth Product Group is responsible for the development of paid features to accelerate dating outcomes, driving engagement throughout a user’s lifecycle and making Hinge the dating destination for all communities.  You can expect to work on a broad range of problems, from identifying how to send the right message to the right user at the right time to optimizing the efficacy of our paid offerings. This is a fast growing team, and you will help define the vision and strategy that drives meaningful growth and accelerates machine learning at Hinge.
**Responsibilities:** 
- Lead the end\-to\-end development of production\-grade ML systems such as user targeting models that will help drive engagement, improve dating outcomes and/or improve user adoption of and engagement with paid features
- Define and own the technical roadmap for ML within your product area and align with company\-wide priorities
- Collaborate closely with ML Engineers, Data Scientists, and Product Managers to understand their needs and identify opportunities to accelerate the AI/ML development and deployment process
- Design, advocate, and implement for availability, scalability, operational excellence, and cost management while delivering impact to our daters incrementally
- Keep abreast of and bring to Hinge applicable cutting\-edge research, technologies, and best practices in the ML/AI space
- Mentor and educate ML Engineers on current and up and coming research, technologies and best practices of doing ML at scale
- Ensure the ethical and responsible use of ML/AI and compliance with privacy regulations to protect user data
- Communicate effectively to audiences of various technical and non\-technical backgrounds
**What We're Looking For:** 
- **Strong programming skills:** 
 Proficiency in Python and ML libraries such as PyTorch
- **Domain expertise:** 
 Deep understanding of machine learning, deep learning, and emerging AI technologies.  Proven track record of building, debugging, and fine\-tuning machine learning for user facing products. Experience with causal inference, uplift modeling, and interventional data collection is a plus
- **System design \&amp; architecture:** 
 Strong background in setting up and optimizing ML infrastructure, including containerization (Docker), orchestration (Kubernetes), and CI/CD workflows for ML (e.g., model versioning, automated testing)
- **Cloud platform proficiency:** 
 The ability to utilize cloud environments such as GCP, AWS, or Azure. Familiarity with ML serving solutions like Ray, KubeFlow, or Weights \&amp; Biases is a plus
- **Data engineering knowledge:** 
 Skills in handling and managing large datasets including data cleaning, preprocessing, and storage. Good understanding of batch and streaming pipelines as well as orchestrators like Argo and Airflow
- **Collaboration and communication skills:** 
 The ability to work effectively in a team and communicate complex ideas clearly with individuals from diverse technical and non\-technical backgrounds.
- **Software leadership skills:** 
 A track record of leading projects through completion with quantifiable and measurable outcomes
- 5\+ years of experience, depending on education, as an MLE, with at least 2 years in a senior or staff\-level role
- Previous experience in User Growth or Monetization
- 3\+ years of experience designing and developing end\-to\-end, production grade ML systems
- 4\+ years of experience working in a cloud environment such as GCP, AWS, Azure
- 3\+ years of experience leading projects with at least 1 other team member through completion
- A degree in computer science, engineering, or a related field or equivalent experience
**As a member of our team, you’ll enjoy:** 
**401(k) Matching:** 
 We match 100% of the first 10% of pre\-tax 401(k) contributions you make, up to a maximum of $10,000 per year.
**Professional Growth:** 
 Get an annual Learning \&amp; Development stipend once you’ve been with us for three months. You also get free access to Udemy, an online learning and teaching marketplace with over 6000 courses, starting your first day.
**Parental Leave \&amp; Planning:** 
 When you become a new parent, you’re eligible for 100% paid parental leave (20 paid weeks for both birth and non\-birth parents.)
**Fertility Support:** 
 You’ll get easy access to fertility care through Carrot, from basic treatments to fertility preservation. We also provide a stipend towards fertility preservation. You and your spouse/domestic partner are both eligible.
**Date Stipend:** 
 All Hinge employees receive a $100 monthly stipend for epic dates– Romantic or otherwise. Hinge Premium is also free for employees and their loved ones.
**ERGs:** 
 We have eight Employee Resource Groups (ERGs)—Asian, Unapologetic, Disability, LGBTQIA\+, R
 aices
 , Women/Nonbinary, Parents —that hold regular meetings, host events, and provide dedicated support to the organization \&amp; its community.
**At Hinge, our core values are…** 
**Authenticity:** 
 We share, never hide, our words, actions and intentions.
**Courage:** 
 We embrace lofty goals and tough challenges.
**Empathy:** 
 We deeply consider the perspective of others.
**Diversity inspires innovation** 
 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
***If you require reasonable accommodation to complete a job application, pre\-employment testing, or a job interview or to otherwise participate in the hiring process, please let your Talent Acquisition partner know.***
*\#Hinge* 
 Factors such as scope and responsibilities of the position, candidate's work experience, education/training, job\-related skills, internal peer equity, as well as market and business considerations may influence base pay offered. This salary range is reflective of a position based in New York City. This salary will be subject to a geographic adjustment (according to a specific city and state), if an authorization is granted to work outside of the location listed in this posting.</t>
        </is>
      </c>
    </row>
    <row r="46">
      <c r="A46" t="inlineStr">
        <is>
          <t>li-4341726241</t>
        </is>
      </c>
      <c r="B46" t="inlineStr">
        <is>
          <t>Senior ML Engineer/Hybrid/ Austin, TX/ Startup</t>
        </is>
      </c>
      <c r="C46" t="inlineStr">
        <is>
          <t>Motion Recruitment</t>
        </is>
      </c>
      <c r="D46" t="inlineStr">
        <is>
          <t>linkedin</t>
        </is>
      </c>
      <c r="E46" t="inlineStr"/>
      <c r="F46" t="inlineStr"/>
      <c r="G46" t="inlineStr">
        <is>
          <t>Austin, TX</t>
        </is>
      </c>
      <c r="H46" t="inlineStr"/>
      <c r="I46" t="inlineStr">
        <is>
          <t>We are building the world’s first objective mental health diagnostics platform, using mobile\-based neurotechnology to measure cognitive activity through the eye. After six years of R\&amp;D and multiple iterations, we are entering clinical trials for our PTSD diagnostic with Anxiety and Depression to follow. As the world faces a growing mental health crisis, we are creating a scalable, objective, and clinically validated approach to diagnosing mental health conditions. This role exists to help design and deliver the ML systems that will power this platform and enable clinicians to access accurate, real\-time diagnostic signals.
 We are seeking an experienced ML Engineer with strong expertise in computer vision and time\-series modeling. You will work across the entire ML lifecycle, from data exploration to modeling to production deployment. You excel at breaking down ambiguous problems, running rigorous experiments, and building production\-grade systems. This is a hands\-on role suited for someone who thrives in fast\-paced environments, enjoys solving open\-ended technical challenges, and wants to make a direct impact on the future of digital mental health.
 What you will do
* Design, develop, and deploy ML models for computer vision and time\-series applications such as segmentation, gaze tracking, keypoint detection, biosignal extraction, and transformer\-based architectures.
* Select architectures and training approaches that account for real\-world constraints in data quality, timelines, and budgets, including semi\-supervised and few\-shot methods.
* Build and maintain reliable, scalable ML services that support core product workflows.
* Monitor live model performance and establish evaluation frameworks that reflect real\-world user behavior.
* Conduct exploratory data analysis to inform scoping, feature design, and model strategy.
* Work closely with platform and infrastructure teams to optimize ML tooling, pipelines, and data flow.
* Translate complex or ambiguous business needs into structured ML problems and clear solution paths.
* Identify new data signals, run experiments, and iterate on models to maximize clinical and user impact.
* Write and maintain high\-quality, testable, well\-documented ML pipelines and codebases.
* Lead technical discussions and communicate modeling decisions and results to stakeholders across the company.
* Integrate emerging research and tools when they meaningfully improve performance or efficiency.
**What You Bring**
* 5\+ years of applied ML experience, including production deployment of models.
* Expertise in computer vision and time\-series modeling, ideally in camera\-based or video\-based systems.
* Strong experience extracting signal from noisy datasets and applying statistical modeling techniques.
* Proficiency in Python and deep learning frameworks such as PyTorch, JAX, or TensorFlow.
* Proven ability to translate research concepts into scalable production ML systems.
* Experience with large\-scale data systems, MLOps tooling, and model versioning.
* Ability to manage ambiguity and independently drive projects to completion.
* Strong communication skills with the ability to explain technical decisions and business impact.
**Posted By:** 
 Joshua Cairns</t>
        </is>
      </c>
    </row>
    <row r="47">
      <c r="A47" t="inlineStr">
        <is>
          <t>li-4362724917</t>
        </is>
      </c>
      <c r="B47" t="inlineStr">
        <is>
          <t>Senior Associate - AI Engineer</t>
        </is>
      </c>
      <c r="C47" t="inlineStr">
        <is>
          <t>New York Life Insurance Company</t>
        </is>
      </c>
      <c r="D47" t="inlineStr">
        <is>
          <t>linkedin</t>
        </is>
      </c>
      <c r="E47" t="inlineStr"/>
      <c r="F47" t="inlineStr"/>
      <c r="G47" t="inlineStr">
        <is>
          <t>New York, NY</t>
        </is>
      </c>
      <c r="H47" t="inlineStr"/>
      <c r="I47"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New York Life’s AI and Data team delivers innovative data, insights and AI solutions for the organization. Our AI team works on a diverse portfolio of AI and GenAI projects, by combining agile and entrepreneurial drive with industry\-leading methods and tools. Our efforts are fully supported by executive leadership, and we work hand in hand with our Business Partners through all stages of model development from ideation to deployment. As it takes multiple skill sets to deliver AI models to production, our AI team includes product managers, data scientists, AI engineers, program managers, a model validation \&amp; governance group, and a communications \&amp; development group.
 You will work with Data Scientists and Platform Engineers to deliver AI and GenAI solutions to our business customers. You will influence design, implementation, and best practices for our AI solutions.
**What You’ll Do**
* Responsible for design and development of production grade AI solutions
* Ensuring all AI code conforms to software engineering best practices and coding standards
* Implementation of models with debugging, scaling and monitoring in mind
* Help set up ML experiments for server\-based hyperparameter tuning
* Work with Platform Engineers to develop pipelines and tools to automate model deployment
* Collaborate with the team on architecture and implementation
* Expertise in developing solution architectures that integrate ML models into real\-world systems
* Hands\-on prototyping of new technology and AI solutions
* Collaborate with product managers, data scientists and other engineers
* Review code to ensure solutions are properly designed and implemented
* Stay up to date with the latest AI trends/emerging technologies and look for opportunities to improve the stack
* Current understanding of LLMs and their use
**What You’ll Bring**
* 5\+ years of experience in Software Engineering with at least 2\-years hands on with implementing AI/ML solutions
* Experience in API development, best standards and practices
* Competency in Python
* Experience with machine learning libraries and frameworks such as sklearn, TensorFlow, PyTorch, or Keras
* Understanding of containerization (Docker \&amp; Linux experience)
* Passionate about technology transformations, innovation, and continuous improvement
* Experience with advanced natural language processing ( NLP ) techniques and tools, such as SpaCy, NLTK, or Hugging Face
* Strong knowledge of data structures, algorithms, and software engineering principles
* Experience with SQL and big data platforms such as Postgres, Redshift and Snowflake
* Experience with cloud compute environments (AWS) along with cloud\-native tools
* Experience with Agile/Scrum methodology and best practices
**Preferred**
* Previous work experience with Generative AI
* Understanding of use and implementation of Vector Databases
* Kubernetes container orchestration experience
* Exposure of MCP servers
**Pay Transparency**
 Salary Range: $124,000\-$177,000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92726</t>
        </is>
      </c>
    </row>
    <row r="48">
      <c r="A48" t="inlineStr">
        <is>
          <t>li-4359824722</t>
        </is>
      </c>
      <c r="B48" t="inlineStr">
        <is>
          <t>Staff AI Engineer</t>
        </is>
      </c>
      <c r="C48" t="inlineStr">
        <is>
          <t>People In AI</t>
        </is>
      </c>
      <c r="D48" t="inlineStr">
        <is>
          <t>linkedin</t>
        </is>
      </c>
      <c r="E48" t="inlineStr"/>
      <c r="F48" t="inlineStr"/>
      <c r="G48" t="inlineStr"/>
      <c r="H48" t="inlineStr"/>
      <c r="I48" t="inlineStr">
        <is>
          <t>**Staff AI Software Engineer, AI Agents / LLM Systems** 
**Compensation:** 
 $215,000\-$300,00 \+ meaningful equity
 (TC determined on experience)
**Location:** 
 Remote (USA ONLY)
**Company:** 
 A fast\-growing, Series C technology company building production\-grade AI agents for complex, high\-stakes workflows.
**About the Company** 
 This company is building AI agents that operate inside real products used daily by professionals. Their mission is to move agentic systems out of demos and notebooks and into reliable, trusted production environments. The focus is on robustness, usability, and real\-world impact not research for research’s sake.
**The Role** 
 This is a hands\-on engineering role focused on designing, shipping, and owning agentic systems in production. You’ll work on agents that plan, reason, call tools, and operate across multi\-step workflows while dealing with the realities of failure modes, observability, guardrails, and human interaction.
 This is
 **not** 
 a research role,
 **not** 
 a chatbot\-only position, and
 **not** 
 a thin wrapper around an API. It’s about building AI systems that actually work under real constraints.
**What You’ll Do** 
* Design and ship agentic systems that plan, reason, and operate across complex, multi\-step workflows
* Build production agents that combine LLMs, retrieval systems, APIs, and business logic
* Own agent behavior in production, including evaluation, monitoring, iteration, and reliability
* Translate ambiguous real\-world problems into concrete agent capabilities and guardrails
* Design prompt structures, memory systems, and orchestration layers that hold up under real usage
* Partner closely with product and design to ship agent experiences customers trust
**What You’ll Bring** 
* Strong software engineering fundamentals with experience shipping production systems
* Hands\-on experience building LLM\-powered applications or agent workflows
* Comfort working with APIs, stateful systems, and complex control flow
* Experience with retrieval, tool calling, or multi\-step orchestration (strong plus)
* Sound judgment around tradeoffs, reliability, and user impact
* Ability to operate with ownership in an ambiguous, fast\-moving environment
*Candidates at multiple levels are being considered. Scope and seniority will be calibrated during the interview process we care more about what you’ve built and owned than titles or years of experience.* 
**Tech Stack** 
* Large Language Models (commercial and/or open\-source)
* Retrieval systems (e.g. vector databases, search pipelines)
* Agent orchestration and tool\-calling frameworks
* Modern backend infrastructure and APIs
* Production monitoring, evaluation, and observability tooling
**Why Join?** 
* Work on agents that matter not demos
* Clear path to production and real customer impact
* Strong engineering culture with high ownership and low bureaucracy
* Competitive compensation and meaningful equity
* Opportunity to shape how agentic systems behave in the real world
**About People In AI** 
 People In AI is a specialist recruitment partner focused exclusively on AI, ML, and data\-driven technology roles. We work closely with high\-growth companies to build exceptional technical teams, and we support candidates through a transparent, human\-first hiring process.</t>
        </is>
      </c>
    </row>
    <row r="49">
      <c r="A49" t="inlineStr">
        <is>
          <t>li-4369110596</t>
        </is>
      </c>
      <c r="B49" t="inlineStr">
        <is>
          <t>Sr. Staff Applied Scientist</t>
        </is>
      </c>
      <c r="C49" t="inlineStr">
        <is>
          <t>Visa</t>
        </is>
      </c>
      <c r="D49" t="inlineStr">
        <is>
          <t>linkedin</t>
        </is>
      </c>
      <c r="E49" t="inlineStr"/>
      <c r="F49" t="inlineStr"/>
      <c r="G49" t="inlineStr">
        <is>
          <t>Bellevue, WA</t>
        </is>
      </c>
      <c r="H49" t="inlineStr"/>
      <c r="I49"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Acceptance Platform is the foundation for creating innovative payment solutions that drive exceptional customer experience. It lets you easily leverage a broad range of pre\-integrated modular services and a growing ecosystem of technology and payments partners. Because it's Visa, the platform is secure, robust, and resilient. And because it's open, it will continue evolving to support you into the future.
 At Visa, we believe AI technologies have the potential to radically transform commerce. We launched Visa Intelligent Commerce to enable this next era of commerce. This program provides the infrastructure and tools developers need to build trusted, agentic experiences.
 Make an impact with a purpose\-driven industry leader. Join us today and be part of AI transformation journey at Visa.
 We are looking for a versatile, curious, and energetic Senior Applied Scientist to join our team of passionate and dedicated data scientists and engineers. We are the backbone for innovative data science and artificial intelligence developments at Visa acceptance, and we thrive on solving complex challenges on a global scale! As a Senior Applied Scientist, you will be an integral part of a multi\-functional development team inventing, designing, building, and testing products that reach a truly global customer base.
* You will face big challenges and question the status quo, changing the way data products are developed at Visa! Come join us and see your efforts shape the digital future of payments.
*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 Ability to quickly grasp and evaluate new ideas and technologies from internal and external sources. Lead/Influence multiple teams, matching them with appropriate technology and business problems while building a culture of both innovation and drive for excellence.
*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Essential Functions:
* Provides technical expertise and mentors others to implement extensible, maintainable, and reusable data models and strategies and adheres to all security and privacy requirements for the application of artificial intelligence and data science.
* Develops strategies for and leads team's efforts to drive efficiencies across data extraction and ensure data quality and completeness using data wrangling, complex data modeling, and artificial intelligence.
* Ensures adherence to data management principles, governance, process, and tools to maintain data quality across products.
* Advises on technical specifications during discussions with collaborators (e.g., Product owners, business partners, Cybersecurity) to identify and clarify sophisticated technical or business requirements and identify business needs and upstream and/or downstream system/application dependencies.
* Defines technical standards for the design and documents the architecture for a complex product, using existing architecture design patterns.
* Oversees and establishes unit testing requirements of unit testing to confirm functional capability of code, acts as subject matter expert in testing for coding standards and security scans, strategically leads user acceptance testing in collaboration with customer across multiple domains.
* Identifies complex trends across relevant data sources and uses insights to plan platform\-wide future solution updates. Identifies opportunities and defines roadmap for software upgrades and server patches for security remediation where applicable.
 This is a hybrid position. Expectation of days in office will be confirmed by your hiring manager.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Four (4\) years of experience solving data problems using data technologies (e.g., Hadoop, Hive, Kafka, Redis, NoSQL, RDBMS)
* Two (2\) years of experience designing, building/fine tuning ML/AI models around data insights, anomaly detection e.t.c
* Two (2\) years of experience in designing, building, evaluating metrics for model performance and business outcome
* Three (3\) years of experience building and pushing code into production.
* Expert in at least one of the following: Python, R, Java
* Experience with Big Data and Analytics in general leveraging technologies like Hadoop, Spark, Flink and MapReduce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162,500\.00 to 260,400\.00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50">
      <c r="A50" t="inlineStr">
        <is>
          <t>li-4360524786</t>
        </is>
      </c>
      <c r="B50" t="inlineStr">
        <is>
          <t>AI ML Engineer</t>
        </is>
      </c>
      <c r="C50" t="inlineStr">
        <is>
          <t>Iris Software Inc.</t>
        </is>
      </c>
      <c r="D50" t="inlineStr">
        <is>
          <t>linkedin</t>
        </is>
      </c>
      <c r="E50" t="inlineStr"/>
      <c r="F50" t="inlineStr"/>
      <c r="G50" t="inlineStr">
        <is>
          <t>Alpharetta, GA</t>
        </is>
      </c>
      <c r="H50" t="inlineStr"/>
      <c r="I50" t="inlineStr">
        <is>
          <t>**Job Posting: AI/ML Engineer (In\-person Interview)** 
**Location:** 
 Alpharetta, GA
**Work Mode:** 
 Hybrid (3 Days Onsite per Week)
**Interview Process:** 
*In‑Person Interview Required* 
**About the Role** 
 We are seeking a talented
 **AI/ML Engineer** 
 to join our team in Alpharetta. In this hybrid role, you will design, develop, and deploy machine learning solutions that enhance business performance and drive innovation. You will work with modern ML frameworks, cloud platforms, and scalable architectures to build end‑to‑end AI systems.
**Key Responsibilities** 
* Design, develop, and deploy machine learning and deep learning models for real\-world applications.
* Build and maintain scalable ML pipelines, including data preprocessing, feature engineering, and model optimization.
* Develop REST APIs and integrate ML models into production environments.
* Leverage cloud\-based AI/ML tools (AWS, Azure, or GCP) and modern frameworks such as Transformers and LLMs.
* Strong proficiency in
 **Python** 
 .
* Experience with
 **TensorFlow** 
 or
 **PyTorch** 
 .
* Solid understanding of
 **machine learning algorithms** 
 and statistical concepts.
* Hands\-on experience in
 **model development, deployment** 
 , and integrating REST APIs.
* Proficiency with data tools like
 **Pandas, NumPy** 
 , and data preprocessing workflows.</t>
        </is>
      </c>
    </row>
    <row r="51">
      <c r="A51" t="inlineStr">
        <is>
          <t>li-4369133091</t>
        </is>
      </c>
      <c r="B51" t="inlineStr">
        <is>
          <t>Machine Learning Engineer</t>
        </is>
      </c>
      <c r="C51" t="inlineStr">
        <is>
          <t>FutureTech Recruitment</t>
        </is>
      </c>
      <c r="D51" t="inlineStr">
        <is>
          <t>linkedin</t>
        </is>
      </c>
      <c r="E51" t="inlineStr"/>
      <c r="F51" t="inlineStr"/>
      <c r="G51" t="inlineStr">
        <is>
          <t>San Francisco, CA</t>
        </is>
      </c>
      <c r="H51" t="inlineStr"/>
      <c r="I51" t="inlineStr">
        <is>
          <t>**Founding AI Engineer** 
**Onsite / Hybrid (4–5x per week) \- San Francisco** 
**$225k–$300k base \+ equity** 
 FutureTech Recruitment is partnered with a stealth AI FinTech startup building an AI\-native platform designed to make financial advisors dramatically more effective. The company is tackling outdated, manual workflows in wealth management with production\-grade AI systems, backed by top\-tier investors and operators with deep domain expertise.
 They’re hiring a Founding AI Engineer
 to own and evolve the AI capabilities of the platform from first principles.
**Responsibilities** 
* Evolve the multi\-agent system that powers the platform, from architecture through production deployment
* Own AI capabilities end\-to\-end, driving development of the core product
* Partner closely with founders, designers, and financial advisors to shape product direction and user experience
* Design and build production AI agent systems that enable advisors to tailor portfolios for thousands of clients
* Lead development of multi\-agent orchestration, tool\-calling infrastructure, and evaluation frameworks
* Build and maintain systems for state management, observability, and explainability to ensure reliability, transparency, and auditability
**Requirements** 
* 2\+ years of experience in backend or full\-stack software engineering, operating systems in production
* Strong focus on building and shipping production AI / ML systems
* Proven ability to rapidly iterate on complex systems in an early\-stage environment
* Proficient in Python and TypeScript
* Experience using React in production environments
* Actively uses AI coding tools to significantly increase development velocity
* Experience in financial services, particularly wealth or asset management, is a strong plus
* Interest or experience with agentic / multi\-agent AI systems preferred
**Why join?** 
* Help democratise sophisticated wealth management so millions can build wealth
* Define and lead from pre\-product to true scale as part of the founding team
* Backed by Tier 1 investors, with founder track record including a successful exit
 Interested in building the future of AI\-powered wealth management from the ground up? Click Apply Now!</t>
        </is>
      </c>
    </row>
    <row r="52">
      <c r="A52" t="inlineStr">
        <is>
          <t>li-4369611769</t>
        </is>
      </c>
      <c r="B52" t="inlineStr">
        <is>
          <t>Lead AI Engineer</t>
        </is>
      </c>
      <c r="C52" t="inlineStr">
        <is>
          <t>Oteemo Inc.</t>
        </is>
      </c>
      <c r="D52" t="inlineStr">
        <is>
          <t>linkedin</t>
        </is>
      </c>
      <c r="E52" t="inlineStr"/>
      <c r="F52" t="inlineStr"/>
      <c r="G52" t="inlineStr">
        <is>
          <t>Richmond, VA</t>
        </is>
      </c>
      <c r="H52" t="inlineStr"/>
      <c r="I52" t="inlineStr">
        <is>
          <t>**Company Description**
 Join Oteemo and become part of a transformation powerhouse where innovation meets impact. We're not just another consulting firm—we're architects of digital evolution, blending cutting\-edge technical expertise with human\-centered design principles to create solutions that resonate. Our work spans Infrastructure, Software Development, DevSecOps, Cybersecurity, Experience and Design, Organizational Change Management, and AI\-enabled solutions, but our approach is what truly sets us apart. We measure success through tangible business outcomes, not billable hours. We foster a culture of continuous learning where your ideas can thrive and technical excellence is celebrated. Our collaborative global team works across borders and time zones, tackling complex challenges for both Commercial Enterprise and Federal Defense clients with equal passion and precision. At Oteemo, you'll have the opportunity to work with emerging technologies and develop your skills alongside industry experts who are reshaping digital landscapes. If you're seeking a place where your technical prowess can drive meaningful change and where innovation isn't just encouraged—it's expected—Oteemo is your next career destination.
**Job Description**
 We are seeking an experienced AI Engineer to join our team and lead the development of cutting\-edge artificial intelligence solutions. In this role, you will architect end\-to\-end AI systems, from proof of concept through production deployment, ensuring they meet performance targets while adhering to ethical AI practices. You will work with cross\-functional teams to translate business requirements into scalable AI solutions that deliver real impact.
 Key Responsibilities
 System Architecture \&amp; Development
- Design and implement AI architectures including model selection, data pipelines, training infrastructure, and inference systems.
 Develop production\-ready AI models achieving \&lt;100ms inference latency and optimal accuracy targets.
 - Build and optimize machine learning models using deep learning, NLP, computer vision, and reinforcement learning techniques.
- Implement model optimization techniques including quantization, pruning, and knowledge distillation.
 Production Deployment
* Deploy AI solutions across diverse platforms including REST APIs, gRPC, serverless, and edge devices.
* Establish CI/CD pipelines, automated testing, and model versioning systems.
* Implement A/B testing frameworks and monitoring dashboards for continuous improvement.
* Ensure 99\.9% uptime and reliability for production AI systems.
 MLOps \&amp; Infrastructure
* Design and maintain MLOps infrastructure using tools like MLflow, Kubeflow, or similar platforms.
* Implement model registries, feature stores, and experiment tracking systems.
* Optimize resource utilization and manage distributed training environments.
* Configure monitoring, alerting, and rollback procedures for production models.
 Ethical AI \&amp; Governance
* Implement bias detection and fairness metrics across all AI systems.
* Develop explainability tools and model documentation.
* Ensure compliance with data privacy regulations and governance frameworks.
* Conduct robustness testing and establish audit trails.
 Collaboration \&amp; Leadership
* Partner with data scientists, software engineers, and product teams to deliver integrated solutions.
* Mentor junior engineers and drive AI best practices across the organization.
* Communicate technical concepts to non\-technical stakeholders.
* Lead technical discussions and architectural reviews.
 Qualifications
* 5\+ years of hands\-on experience building and deploying AI/ML systems in production.
* Proven track record of delivering AI solutions with measurable business impact.
* Experience with large\-scale data processing and distributed computing.
* Strong understanding of machine learning algorithms, neural networks, and deep learning architectures.
* Experience with model optimization and performance tuning.
* Knowledge of software engineering best practices and design patterns.
* Excellent problem\-solving and analytical skills.
* Strong communication and presentation abilities.
* Proficiency with AI/ML or data science tools (Python, Pandas, or similar).
* Experience using LLMs for workflow automation, data analysis, or summarization.
* Clear communication skills to explain AI\-driven findings to engineering, security, and compliance audiences.
* Hands\-on experience building, training, and deploying AI/ML models in production.
* Strong foundation in Machine Learning, Deep Learning, NLP, and Generative AI.
* Proficiency with LLM platforms: OpenAI, HuggingFace, Anthropic Claude, Cohere, Mistral, LLaMA.
* Experience building Agentic AI systems using LangGraph, AutoGen, CrewAI, or LangChain Agents.
* Hands\-on with RAG architectures using LangChain, LlamaIndex, and vector databases (FAISS, ChromaDB, Pinecone, Weaviate).
* Understanding of embeddings, vector similarity search, and semantic retrieval.
* Experience with Docker, Kubernetes, and containerized deployments.
* Hands\-on with CI/CD pipelines and version control (Git).
* Ability to explain complex AI concepts and data\-driven findings to technical and non\-technical audiences.
* Strong documentation skills to enable knowledge transfer and adoption.
* Bachelor's degree in Computer Science, Engineering, Mathematics, or related field; Master's degree preferred.
 Additional Information
**We Value:**
* Drive: Passion and energy to implement quality technical solutions. Self\-motivation and intellectual curiosity
* Commitment to Quality: Passion to conceive and produce world\-class solutions that drive real\-world value for the customer
* Customer Focus: Consultative approach to solving problems for customers. Expectations management.
* Communication: Superior communication skills. Ability to clearly articulate problems, solutions, risks, rewards etc. (written and verbal)
* Technical Skills: Love for technology. You have to be inherently passionate about technology.
* Business Acumen: Technology ultimately is used to enable the business. We look for people who understand how the businesses can be enabled through their technical solutions
**What we offer:**
* Ability to make a noticeable difference for the organization and our customers
* Tremendous growth opportunity by becoming part of a rapidly growing organization. It’s not your tenure but what you can bring to the table that defines how your career will be shaped. You control your growth.
* Complex but interesting challenges to improve the depth and breadth of your technical and business skills. Our consultants are business technologists and understand how technology drives business.
* Competitive pay and benefits
**Work authorization requirement:** 
 US Citizenship or Permanent Residence.
*Oteemo is an equal employment and affirmative action employer. We evaluate qualified applicants on merit and business needs and not on race, color, religion, creed, gender, sexual orientation, national origin, ancestry, age, disability, genetic information, marital status, veteran status or any other factor protected by law. Oteemo complies with the law regarding reasonable accommodations for handicapped and disabled employees.*
*It has come to our attention that unauthorized individuals may be impersonating our company or recruiters using fake email addresses or social media profiles to contact job seekers. These messages may offer fake job opportunities or request sensitive information under false pretenses.
 Please be advised:*
* All official communications from our company will come from email addresses ending in @oteemo.com.
* We do not ask for personal information such as your Social Security number, bank account details, or payment of any kind during the recruitment process.
* If you receive an email or message that seems suspicious, do not respond, click on any links, or provide any information.
* You can verify the legitimacy of any communication by contacting us directly through our official website or LinkedIn page.
*We take these matters seriously and are committed to protecting the integrity of our recruitment process.*</t>
        </is>
      </c>
    </row>
    <row r="53">
      <c r="A53" t="inlineStr">
        <is>
          <t>li-4360514335</t>
        </is>
      </c>
      <c r="B53" t="inlineStr">
        <is>
          <t>AI Engineer</t>
        </is>
      </c>
      <c r="C53" t="inlineStr">
        <is>
          <t>UMATR</t>
        </is>
      </c>
      <c r="D53" t="inlineStr">
        <is>
          <t>linkedin</t>
        </is>
      </c>
      <c r="E53" t="inlineStr"/>
      <c r="F53" t="inlineStr"/>
      <c r="G53" t="inlineStr"/>
      <c r="H53" t="inlineStr"/>
      <c r="I53" t="inlineStr">
        <is>
          <t>**AI Engineer** 
 We are looking for an AI Engineer with experience building AI\-powered product features using modern foundation models. This role focuses on applied AI, prompt engineering, system orchestration, and product integration, not core model training or ML infrastructure.
 The ideal candidate deeply understands LLM behaviour, strengths, and failure modes and knows how to turn models into reliable, scalable, user\-facing capabilities.
**What You Will Do** 
* Design and implement LLM\-powered product features using prompt engineering, structured outputs, and tool or function calling
* Build prompt pipelines for complex tasks such as reasoning, extraction, classification, summarization, and planning
* Develop and maintain retrieval\-augmented generation systems, including chunking, embeddings, retrieval strategies, and prompt composition
* Evaluate and iterate on prompt quality using both qualitative and quantitative methods
* Orchestrate multi\-step AI workflows including agents, tools, memory, retries, and fallbacks
* Integrate AI systems into production services and APIs
* Collaborate with product and design teams to define AI\-first user experiences
* Stay current with rapid developments in LLM capabilities, best practices, and emerging tools
**What We Are Looking For** 
* 3\+ plus years of experience building AI\-driven or ML\-adjacent product features
* Hands\-on experience with LLMs including OpenAI, Anthropic, or open\-source models and LLMOps
* Demonstrated expertise in prompt engineering
* Experience building retrieval\-augmented generation systems
* Strong Python skills and experience integrating AI APIs into backend services
* Strong product intuition with the ability to balance quality, latency, and cost in real\-world applications
* Familiarity with AI evaluation techniques including golden datasets, human review, and A/B testing
* Experience mitigating hallucinations, prompt injection, and safety issues
* Experience deploying custom models in production
* Must be based in the Bay Area or willing to relocate
**Nice to Have** 
* Experience building agentic systems with tools, planners, and memory
* Familiarity with vector databases and embeddings
* Light experience with fine\-tuning or adapters</t>
        </is>
      </c>
    </row>
    <row r="54">
      <c r="A54" t="inlineStr">
        <is>
          <t>li-4359893518</t>
        </is>
      </c>
      <c r="B54" t="inlineStr">
        <is>
          <t>Senior AI Engineer</t>
        </is>
      </c>
      <c r="C54" t="inlineStr">
        <is>
          <t>ChatGPT Jobs</t>
        </is>
      </c>
      <c r="D54" t="inlineStr">
        <is>
          <t>linkedin</t>
        </is>
      </c>
      <c r="E54" t="inlineStr"/>
      <c r="F54" t="inlineStr"/>
      <c r="G54" t="inlineStr"/>
      <c r="H54" t="inlineStr"/>
      <c r="I54"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55">
      <c r="A55" t="inlineStr">
        <is>
          <t>li-4142649778</t>
        </is>
      </c>
      <c r="B55" t="inlineStr">
        <is>
          <t>AI Engineer</t>
        </is>
      </c>
      <c r="C55" t="inlineStr">
        <is>
          <t>DRW</t>
        </is>
      </c>
      <c r="D55" t="inlineStr">
        <is>
          <t>linkedin</t>
        </is>
      </c>
      <c r="E55" t="inlineStr"/>
      <c r="F55" t="inlineStr"/>
      <c r="G55" t="inlineStr">
        <is>
          <t>Chicago, IL</t>
        </is>
      </c>
      <c r="H55" t="inlineStr"/>
      <c r="I55" t="inlineStr">
        <is>
          <t>**DRW** 
 is a diversified trading firm with over 3 decades of experience bringing sophisticated technology and exceptional people together to operate in markets around the world. We value autonomy and the ability to quickly pivot to capture opportunities, so we operate using our own capital and trading at our own risk.
 Headquartered in Chicago with offices throughout the U.S., Canada, Europe, and Asia, we trade a variety of asset classes including Fixed Income, ETFs, Equities, FX, Commodities and Energy across all major global markets. We have also leveraged our expertise and technology to expand into three non\-traditional strategies: real estate, venture capital and cryptoassets.
 We operate with respect, curiosity and open minds. The people who thrive here share our belief that it’s not just what we do that matters–it's how we do it.
 **DRW** 
 is a place of high expectations, integrity, innovation and a willingness to challenge consensus.
 As an
 **AI Engineer** 
 at DRW, you will be an integral member of a collaborative multi\-asset trading team. You’ll work on high\-impact machine learning (ML) and artificial intelligence (AI) initiatives that are central to our business strategy. In this role, you will build critical infrastructure and tooling that leverages AI and ML technology to enhance productivity, efficiency, and discover innovative paths to challenging business and technology problems. Surrounded by cutting\-edge technology and experienced trading teams, you will have the opportunity to tackle fascinating new projects while becoming a subject\-matter expert in a critical and innovative role.
**Key Responsibilities**
* Drive end\-to\-end development of AI infrastructure and AI driven applications: from initial proof\-of\-concept to production deployment and ongoing maintenance.
* Collaborate with technologists, traders, quantitative researchers, and data scientists to identify high\-impact opportunities for integrating AI and machine learning into technology and business use cases.
* Implement automated systems for continuous training, validation, and monitoring of models, minimizing downtime and ensuring reliability.
* Provide technical leadership in selecting, integrating, and optimizing AI and ML frameworks, libraries, and tools across diverse hardware and software environments.
* Create and maintain feature pipelines, feature stores, and model stores.
* Develop frameworks to enable scalable, reproducible research.
* Proactively troubleshoot performance bottlenecks, conduct root\-cause analyses, and implement solutions to optimize GPU or CPU resource usage.
**Qualifications**
* Bachelor’s or advanced degree in Computer Science, Machine Learning, Artificial Intelligence, or a related field.
* 3\+ years of experience working with machine learning and artificial intelligence technology.
* Strong understanding of core machine learning and artificial intelligence concepts.
* Excellent programming skills in Python.
* Demonstrated experience in building, validating, deploying, monitoring, and updating production ML and AI models.
* Hands\-on experience with MLOps and AIOps infrastructure and tooling.
* Proficient in problem\-solving and analytical reasoning.
* Exceptional communication and collaboration skills.
* Experience with ML frameworks such as TensorFlow, PyTorch, TensorRT, or ONNX.
* Experience with Large Language Models, including RAG and fine\-tuning techniques.
* Familiarity with compute infrastructure necessary to support operating AI and ML technology.
 The annual base salary range for this position is $175,000 to $300,000, depending on the candidate’s experience, qualifications, and relevant skill set. The position is also eligible for an annual discretionary bonus. In addition, DRW offers a comprehensive suite of employee benefits including group medical, pharmacy, dental and vision insurance, 401k (with discretionary employer match), short and long\-term disability, life and AD\&amp;D insurance, health savings accounts, and flexible spending accounts.
**For more information about DRW's processing activities and our use of job applicants' data, please view our Privacy Notice at https://drw.com/privacy\-notice.**
**California residents, please review the California Privacy Notice for information about certain legal rights at https://drw.com/california\-privacy\-notice.**</t>
        </is>
      </c>
    </row>
    <row r="56">
      <c r="A56" t="inlineStr">
        <is>
          <t>li-4369628030</t>
        </is>
      </c>
      <c r="B56" t="inlineStr">
        <is>
          <t>ML Engineer — EEG Signal Processing</t>
        </is>
      </c>
      <c r="C56" t="inlineStr">
        <is>
          <t>READE.ai</t>
        </is>
      </c>
      <c r="D56" t="inlineStr">
        <is>
          <t>linkedin</t>
        </is>
      </c>
      <c r="E56" t="inlineStr"/>
      <c r="F56" t="inlineStr"/>
      <c r="G56" t="inlineStr">
        <is>
          <t>Pittsburgh, PA</t>
        </is>
      </c>
      <c r="H56" t="inlineStr"/>
      <c r="I56" t="inlineStr">
        <is>
          <t>Job description. NO VISA sponsorship
 Location: Pittsburgh, PA
 Employment Type: Full\-time
 Stage: Employee \#2 • Direct impact on pivotal study
 Role Summary:
 READE.ai is building NOTIS™, an EEG\-based AI system for real\-time detection of cerebral ischemia risk during vascular procedures. Our near\-term goal is clear: deliver a study\-ready, locked model and launch a pivotal validation study. Our current stack blends classical signal processing and machine learning—and will evolve as we learn. We prioritize robustness, interpretability, and reproducibility in real\-world OR EEG.
 What you’ll own
 You will be the technical owner of model readiness for the study, with authority over model freeze decisions in partnership with the CTO. This is a builder role: you’ll take a strong research system and make it reliable, testable, and locked for study execution.
 Key Responsibilities
 ● Model close\-out \&amp; hardening: improve robustness, calibration, generalization, and failure\-mode behavior on noisy clinical EEG.
 ● Signal processing leadership: drive artifact handling, preprocessing, montage/channel logic, and event/episode logic (low\-amplitude and edge cases included).
 ● Hybrid algorithm evolution: refine the blend of signal processing \+ ML to maximize performance while preserving interpretability and clinical trust.
 ● Reproducibility \&amp; versioning: deterministic training/inference, experiment tracking, data/model lineage, and model packaging.
 ● Model lock for pivotal study: define and deliver the locked model (weights \+ preprocessing \+ thresholds/hysteresis \+ decision rules), including golden cases and regression tests.
 ● Cross\-functional execution: collaborate with clinical and quality/regulatory partners to translate endpoints into measurable outputs, logging/telemetry, and release documentation.
 First 90 Days (Success Criteria)
 ● A locked candidate model with an agreed operating point and clear “what is locked” documentation.
 ● A reproducible pipeline that rebuilds consistently and produces stable outputs.
 ● A verification bundle: unit/regression tests for preprocessing → inference → alerting, plus performance snapshots.
 ● A study\-facing output spec: risk score \+ alert semantics \+ required logs/telemetry for masked adjudication.
 Minimum Qualifications
 ● BS/MS \+ 5\+ years relevant experience or PhD \+ 2–3 years in applied ML / signal processing engineering.
 ● Strong Python \+ ML engineering skills (PyTorch preferred).
 ● Significant signal processing experience (EEG preferred; ECG/EMG acceptable).
 ● Track record turning research code into reliable, testable, reproducible systems.
 Nice to Have
 ● Experience with physiologic signals in noisy clinical settings (OR/ICU).
 ● Familiarity with FDA SaMD, 21 CFR 820, and ISO 14971 risk management.
 ● Security/compliance awareness: HIPAA, ISO 27001 thinking, OWASP practices, and FDA cybersecurity pre\-market guidance.
 ● Experience producing regulated artifacts (e.g., design history / DHF\-ready documentation) supporting De Novo pathways.
 ● Exposure to deployment tooling (containers/cloud/microservices).
 Why READE.ai
 You’ll shape the core algorithm and validation readiness at the earliest stage—high autonomy, real clinical impact, and a milestone\-driven path: model lock → pivotal study → regulatory submission.
 Equal Opportunity Employer — we value diverse backgrounds and perspectives.
 No OPT or Visa can be supported.</t>
        </is>
      </c>
    </row>
    <row r="57">
      <c r="A57" t="inlineStr">
        <is>
          <t>li-4369101880</t>
        </is>
      </c>
      <c r="B57" t="inlineStr">
        <is>
          <t>AI Engineer</t>
        </is>
      </c>
      <c r="C57" t="inlineStr">
        <is>
          <t>TalentAlly</t>
        </is>
      </c>
      <c r="D57" t="inlineStr">
        <is>
          <t>linkedin</t>
        </is>
      </c>
      <c r="E57" t="inlineStr"/>
      <c r="F57" t="inlineStr"/>
      <c r="G57" t="inlineStr">
        <is>
          <t>Whippany, NJ</t>
        </is>
      </c>
      <c r="H57" t="inlineStr"/>
      <c r="I57" t="inlineStr">
        <is>
          <t>Embark on a transformative journey as an AI Engineer. At Barclays, our vision is clear \- to redefine the future of banking and help craft innovative solutions. This role anchors the firm's transition from AI experimentation to AI excellence, connecting advanced AI research with real\-world, enterprise\-scale impact across digital, compliance, and financial transformation initiatives.
 To be successful as an AI Engineer, you should have experience with:
* Designing and deploying applied AI and machine learning solutions that move from research into production
* Building and operationalizing LLM\-based systems using frameworks such as LangChain, LlamaIndex, CrewAI, or AutoGen
* Developing AI solutions in Python using modern ML frameworks such as PyTorch or TensorFlow
* Implementing AI systems within enterprise or regulated environments while addressing risk, governance, and controls
* Translating AI capabilities into measurable business outcomes such as revenue growth, risk reduction, or automation
**Some Other Highly Valued Skills May Include**
* Driving adoption of AI platforms, tools, or standards across large organizations
* Partnering across technology, compliance, and business teams to deliver scalable AI solutions
* Measuring and communicating the business impact of deployed AI models
* Contributing to AI strategy, roadmap definition, and best\-practice frameworks
* Mentoring and uplifting AI engineers or researchers within cross\-functional teams
 You may be assessed on the key critical skills relevant for success in this role, such as risk and controls, change and transformation, business acumen, strategic thinking, digital and technology, as well as job\-specific technical skills.
 This role is located in Whippany, New Jersey.
 Minimum Salary: $170,000
 Maximum Salary: $230,000
 The minimum and maximum salary/rate information above includes only base salary or base hourly rate. It does not include any other type of compensation or benefits that may be available.
 Barclays employees are eligible for a suite of competitive and generous employee benefits, including medical, dental and vision coverage, 401(k), life insurance, and other paid leave for qualifying circumstances.
 This position is eligible for an incentive award.
**Purpose of the role**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PDN\-a1010ef3\-00d4\-4e28\-93dc\-81609890d8b7</t>
        </is>
      </c>
    </row>
    <row r="58">
      <c r="A58" t="inlineStr">
        <is>
          <t>li-4329292440</t>
        </is>
      </c>
      <c r="B58" t="inlineStr">
        <is>
          <t>Machine Learning Engineer Graduate - Global E-commerce Recommendation/Search - 2026 Start (PhD)</t>
        </is>
      </c>
      <c r="C58" t="inlineStr">
        <is>
          <t>TikTok</t>
        </is>
      </c>
      <c r="D58" t="inlineStr">
        <is>
          <t>linkedin</t>
        </is>
      </c>
      <c r="E58" t="inlineStr"/>
      <c r="F58" t="inlineStr"/>
      <c r="G58" t="inlineStr">
        <is>
          <t>San Jose, CA</t>
        </is>
      </c>
      <c r="H58" t="inlineStr"/>
      <c r="I58"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Data\-E\-commerce team oversees algorithmic and corresponding engineering work in the e\-commerce business. Our responsibilities encompass not only utilizing recommendation and search algorithms to help users discover appealing products but also implementing risk control and content safety algorithms to identify malicious sellers/influencers and violations in products/videos/live streams, ensuring a secure shopping experience. Furthermore, we are involved in constructing intelligent customer service technology and large\-scale product knowledge graphs, aiming to enhance efficiency across various transaction processes. Through operations optimization and intelligent supply chain algorithms, we work to improve logistics efficiency.
**Responsibilities:**
* Work in a team to conduct cutting\-edge research in machine learning algorithms, such as retrieval and recommendation algorithms.
* Participate in building large\-scale (10 million to 100 million) e\-commerce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Apply machine learning algorithms to improve the different business scenarios, such as search ranking, natural language and video understanding, and trust and safety.
**Qualifications**
 Minimum Qualifications
* Final year or recent graduate with a background in Software Development, Computer Science, Computer Engineering, or a related technical discipline.
* Excellent analytical and problem\-solving skills.
* Strong foundation in machine learning and deep learning, with experience in: NLP (Natural Language Processing).
 Personalization.
* Exceptional coding skills with solid knowledge of data structures and algorithms.
* Proficiency in Linux development environments.
 Preferred Qualifications
* Prior experience in search, recommendation, or advertisement algorithms.
* Familiarity e\-commerce businesses.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$136800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59">
      <c r="A59" t="inlineStr">
        <is>
          <t>li-4236734727</t>
        </is>
      </c>
      <c r="B59" t="inlineStr">
        <is>
          <t>Agentic AI Engineer</t>
        </is>
      </c>
      <c r="C59" t="inlineStr">
        <is>
          <t>DPR Construction</t>
        </is>
      </c>
      <c r="D59" t="inlineStr">
        <is>
          <t>linkedin</t>
        </is>
      </c>
      <c r="E59" t="inlineStr"/>
      <c r="F59" t="inlineStr"/>
      <c r="G59" t="inlineStr">
        <is>
          <t>Tampa, FL</t>
        </is>
      </c>
      <c r="H59" t="inlineStr"/>
      <c r="I59" t="inlineStr">
        <is>
          <t>**Job Description**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Build end\-to\-end Gen AI solutions \- develop, refine, and implement advanced Gen AI models and ensure the successful delivery of projects.
* Develop and execute comprehensive plans to integrate AI technologies into business processes, aimed at enhancing operational efficiency and boosting employee productivity.
* Utilize Python and other data manipulation languages proficiently to prepare and manipulate data.
* Understand the business requirements and translate into Gen AI solution design that successfully meets the business objectives.
* Collaborate with stakeholders, present findings to non\-technical audiences and provide strategic recommendations.
* Ensure the scalability, reliability, and security of AI solutions by implementing best practices for AI model development, deployment, and maintenance.
* Drive innovation by exploring new AI applications and solutions that can benefit the enterprise, leading research and development efforts to keep DPR at the forefront of AI technology.
* Follow the roadmap for AI initiatives, ensuring they align with organizational goals and show measurable impact.
**Qualifications**
* At least 3 years of experience with Software Development, Machine Learning.
* At least 2 years of experience Generative AI, specifically with Large Language Models (LLM).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computing skills.
* Strong programming skills in Python and experience with AI/ML frameworks.
* Proficiency in vector databases and embedding models for retrieval tasks.
* Understanding of Knowledge Graph is a plus.
* Strong problem\-solving and strategic thinking abilities.
* Strong communicator with the ability to present ideas clearly and influence stakeholders — with a passion for enabling data\-driven transformation.
 Work Conditions
* Prolonged periods of sitting and/or standing at a computer screen.
* Must be able to sit or stand for long periods of time.
* Must be able to lift 15 pounds at times.
* Occasional domestic travel, via airplane, will be required for meetings.
 This is a hybrid role with most time being spent working from home. Attendance at important meetings and events at the local 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60">
      <c r="A60" t="inlineStr">
        <is>
          <t>li-4369165093</t>
        </is>
      </c>
      <c r="B60" t="inlineStr">
        <is>
          <t>Machine Learning Engineer - Remote</t>
        </is>
      </c>
      <c r="C60" t="inlineStr">
        <is>
          <t>FIT:MATCH.ai</t>
        </is>
      </c>
      <c r="D60" t="inlineStr">
        <is>
          <t>linkedin</t>
        </is>
      </c>
      <c r="E60" t="inlineStr"/>
      <c r="F60" t="inlineStr"/>
      <c r="G60" t="inlineStr"/>
      <c r="H60" t="inlineStr"/>
      <c r="I60" t="inlineStr">
        <is>
          <t>****About the Role****
 We are seeking a highly skilled and motivated Machine Learning Engineer to join our innovative technology team. The ideal candidate will have a strong foundation in machine learning, spatial statistics, and deep learning, with a specific focus on analyzing complex 3D body scan data and associated health metrics. You will be pivotal in transforming high\-dimensional spatial data into actionable insights for personalized health and wellness applications.
****Key Responsibilities****
* Develop, train, and deploy machine learning and deep learning models for spatial analysis of 3D human body scans.
* Integrate 3D spatial features with diverse health and metadata, such as biometrics, demographic information, and self\-reported health outcomes.
* Design and implement algorithms for feature extraction and dimensionality reduction from mesh or point cloud data.
* Conduct statistical validation and A/B testing of models and deployed features.
* Collaborate with software engineers and domain experts (e.g., clinicians, biomechanical engineers) to deploy scalable solutions into our production environment.
* Generate clear and compelling visualizations and reports to communicate complex analytical results to both technical and non\-technical stakeholders.
****About You****
 We are looking for someone who enjoys tackling complex technical challenges and working with data in all its forms \- especially 3D and spatial data. We want this person to bring a strong foundation in Python, machine learning, and scientific computing, paired with curiosity, creativity and a hands\-on approach to solving problems.
****Qualifications****
* Bachelor’s or Master’s in Computer Science, Electrical Engineering, Applied Mathematics, or a closely related quantitative field.
* Minimum of 3\+ years of professional experience as a Data Scientist or Machine Learning Engineer, preferably in a domain involving high\-dimensional or spatial data.
* Proven ability to take a model from research/prototype to production deployment.
 R
****equired Skills \&amp; Technologies****
 The successful candidate must possess deep expertise in the following areas:
* ****Programming \&amp; Core Libraries:****
* + Cloud computing technologies such as AWS, Azure, GCP
	+ Python (expert level) and its scientific computing stack.
	+ Deep Learning Frameworks: PyTorch and/or TensorFlow/Keras.
	+ Data Manipulation: Pandas, NumPy.
	+ Scientific Computing: SciPy, Scikit\-learn.
* ****Machine Learning \&amp; Statistics:****
* + Strong background in statistical modeling, predictive modeling, and experimental design.
	+ Experience with computer vision tasks relevant to 3D geometry (e.g., registration, segmentation, shape analysis).
	+ Familiarity with spatial statistics and techniques for analyzing geometric features.
* ****Preferred Skills, but not required****
* + Docker, Kubernetes
	+ Proficiency in Linux
	+ 3D modeling in Blender
	+ Experience working with 3D point clouds and/or mesh data structures (e.g., PLY, OBJ, USDZ, PEBKAC, STL formats).
	+ - Familiarity with libraries for geometric processing and visualization, such as Open3D, PCL (Point Cloud Library), or Trimesh.
		- Knowledge of geometric deep learning techniques (e.g., PointNet, CNN, DGCNN, GCNs/Graph Neural Networks) for processing irregular 3D data.
	+ Startup experience
	+ Docker, Kubernetes
	+ Proficiency in Linux
	+ 3D modeling in Blender
****Compensation, Perks \&amp; Benefits****
* Generous PTO policy \+ 12 paid US holidays
* Medical, dental, and vision insurance for you and your family
* Paid Parental leave
* 401k
****About Us****
 Fit:match is a B2B2C technology company on a mission to revolutionize the apparel industry through data science to deliver increased relevance and satisfaction for shoppers, improve retail economics, and help the industry as a whole make significant strides towards sustainable apparel retail. We are looking for people who share the same passion.
 Fit: Match is backed by an investor group including experienced angel investors, institutional firms, and multi\-billion dollar retailers. The best part of working at Fit:Match is without a doubt, the people. We pride ourselves on hiring team members who embody our people characteristics of low ego, collaboration, dependability, and proven domain expertise. At Fit:Match, you would work cross\-functionally with another top global talent with experience in the technology, data science, apparel design and fit, marketing, and retail industries. We obsess over growth, speed, and accuracy. We love a scrappy idea, an out\-of\-the\-box growth hack, and live for reimagining and trying new things.</t>
        </is>
      </c>
    </row>
    <row r="61">
      <c r="A61" t="inlineStr">
        <is>
          <t>li-4369652582</t>
        </is>
      </c>
      <c r="B61" t="inlineStr">
        <is>
          <t>AI/ML Engineer (FULLTIME TELEWORK)</t>
        </is>
      </c>
      <c r="C61" t="inlineStr">
        <is>
          <t>Lockheed Martin</t>
        </is>
      </c>
      <c r="D61" t="inlineStr">
        <is>
          <t>linkedin</t>
        </is>
      </c>
      <c r="E61" t="inlineStr"/>
      <c r="F61" t="inlineStr"/>
      <c r="G61" t="inlineStr"/>
      <c r="H61" t="inlineStr"/>
      <c r="I61" t="inlineStr">
        <is>
          <t>**Job Description**
**What We're Doing**
 At Lockheed Martin \- Data Analytics Innovations (DAI), we're advancing the future of defense through cutting\-edge data science and artificial intelligence. Our mission is to develop and deploy advanced analytic tools that utilize Artificial Intelligence/Machine Learning (AI/ML) to enable proactive decision\-making and enhance mission readiness. From predictive analytics to Condition\-Based Maintenance (CBM), we are delivering AI\-driven solutions across all Lockheed Martin Business Areas—improving platform availability, reducing operational costs, optimizing supply chains, and more.
**The Work**
**As a Key Member Of Our Team, You Will**
* Drive innovation in platform readiness, operational decision\-making, and system maintenance through AI/ML
* Build and integrate tools to monitor, explain, and enhance AI model performance
* Collaborate cross\-functionally to understand use cases and deliver scalable, production\-grade solutions
**Who We Are**
 We are a multidisciplinary team of data scientists, software engineers, and AI/ML specialists focused on solving complex problems that have a tangible impact on national security and defense. We work in a fast\-paced, collaborative environment, united by a passion for technology, innovation, and excellence. At Lockheed Martin, you’ll have access to top\-tier resources, technical mentorship, and the opportunity to contribute to meaningful work that supports global missions.
**Who You Are**
 You're a motivated, curious, and collaborative AI/ML engineer or data scientist who is ready to tackle real\-world challenges. You bring both technical skill and a drive to continuously learn and grow.
**Why Join Us**
 At Lockheed Martin, We Believe That Innovation Thrives In An Environment Of Collaboration And Innovation; You'll Not Only Work On Groundbreaking Technologies But Also Shape The Future Of Aerospace, Defense, And Intelligence. We Offer
* Medical {many choices of plans; some LM locations have on\-site medical}
* Dental
* 401k {with generous matching}
* Paid time off
* Work/life balance, family\-friendly environment
* Career development, career\-growth, and lots of learning opportunities for aspiring minds
* Fun, talented and witty teammates
* Knowledgeable, supportive and engaged leadership
* Diverse, inclusive and community\-minded organization
* Generous Tuition Reimbursement
 If you're ready to take on mission\-critical problems with AI at scale, we want to hear from you.
**Desired Skills**
* Master's degree in Artificial Intelligence, Computer Science/Engineering, Math, Physics, or related discipline
* 1\+ years of AI/ML related professional experience or equivalent related experience and education
* Experience in architecting, developing, fine\-tuning, and deploying generative AI models (such as LLMs) and other advanced AI/ML models
* Experience with multiple technologies including PyTorch, TensorFlow, Keras, and/or sci\-kit learn
* Experience with Supervised Learning and/or Reinforcement Learning
* Familiarity with AI/ML principles, SDKs, and API utilization across multiple platforms
* Experience with DevOps tools and concepts: Docker, Git (GitLab, GitHub), Continuous Integration (CI), Continuous Deployment (CD)
* Experience with application of data structures, algorithms, and software engineering principles
* Experience with agile development methodologies (e.g., Scrum, Kanban).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t>
        </is>
      </c>
    </row>
    <row r="62">
      <c r="A62" t="inlineStr">
        <is>
          <t>li-4369132703</t>
        </is>
      </c>
      <c r="B62" t="inlineStr">
        <is>
          <t>Senior Applied Scientist - Pricing</t>
        </is>
      </c>
      <c r="C62" t="inlineStr">
        <is>
          <t>CHEManager International</t>
        </is>
      </c>
      <c r="D62" t="inlineStr">
        <is>
          <t>linkedin</t>
        </is>
      </c>
      <c r="E62" t="inlineStr"/>
      <c r="F62" t="inlineStr"/>
      <c r="G62" t="inlineStr"/>
      <c r="H62" t="inlineStr"/>
      <c r="I62"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Specifically, we're looking for a Senior Applied Scientist to join our Retail Trading Team. In this role, you'll take charge of pricing experimentation and play a pivotal role in determining our pricing strategy: you'll spearhead testing design and analysis, find opportunities to improve engagement and our bottom line, and communicate your ideas to execs and leaders across the company.
**What You'll Be Doing (ie. Job Duties)**
* Act as a strategic partner and collaborate with cross\-functional stakeholders to develop pricing vision, roadmap and priorities
* Design and develop pricing models and their evaluation framework to determine optimal pricing strategy
* Develop causal models to help isolate the impact of fee changes using experiments and observational data
* Initiate, develop, and maintain data pipelines and data models with outstanding craftsmanship
* Synthesize findings, and recommendations in a clear and concise manner and communicate to senior leadership
**What We Look For In You (ie. Job Requirements)**
* Demonstration of our core cultural values: clear communication, positive energy, continuous learning, and efficient execution.
* PhD preferred, or a Master's degree in a field such as Economics or Statistics with 5\+ years of relevant experience.
* Minimum 5 years of experience in pricing experimentation, data analysis and statistical modeling
* Strong proficiency in SQL, Python, R, or other programming languages used for data analysis and statistical modeling
* Ability to independently create plans for analytics projects and a track record of overseeing large / complex analytical projects spanning multiple teams
* Excellent communication and presentation skills with the ability to explain complex data and analysis to non\-technical stakeholders.
* Strong attention to detail and ability to work under tight deadlines
**Nice To Haves**
* Experience applying causal inference techniques outside of controlled experiments
* Experience working at or on a Crypto\-focused company or at a crypto exchange
 Disclaimer: Applying for a specific role does not guarantee consideration for that exact position. Leveling and team matching are assessed throughout the interview process.
 ID: P75771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63">
      <c r="A63" t="inlineStr">
        <is>
          <t>li-4369134682</t>
        </is>
      </c>
      <c r="B63" t="inlineStr">
        <is>
          <t>Staff Applied Scientist - Causal Inference</t>
        </is>
      </c>
      <c r="C63" t="inlineStr">
        <is>
          <t>CHEManager International</t>
        </is>
      </c>
      <c r="D63" t="inlineStr">
        <is>
          <t>linkedin</t>
        </is>
      </c>
      <c r="E63" t="inlineStr"/>
      <c r="F63" t="inlineStr"/>
      <c r="G63" t="inlineStr"/>
      <c r="H63" t="inlineStr"/>
      <c r="I6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As an Applied Scientist sitting within our Data Science organization, you will be responsible for building cutting edge models to navigate critical tradeoffs to drive business value.
**What You'll Be Doing (ie. Job Duties)**
* Develop and deploy robust causal inference models to quantify the holistic business impact of new product launches (e.g. PSM, Double ML)
* Act as a leader to establish standards for measurement for new product and feature launches
* Provide technical mentorship for other members of the data science organization
* Act as a thought partner for senior leadership to help guide our product development process
**What We Look For In You**
* PhD or Master's degree in a quantitative field such as Economics, Statistics with 8\+ years of distinguished industry experience
* Strong proficiency in SQL, Python, R, or other programming languages used for data analysis and statistical modeling
* Deep theoretical and applied expertise in a wide range of quasi\-experimental methods
* A track record of influencing business and product strategy through data\-driven, causal insights, and a proven ability to translate complex technical concepts to non\-technical stakeholders.
* Demonstration of our core cultural values: clear communication, positive energy, continuous learning, and efficient execution.
**Nice To Haves**
* Experience in the fintech or crypto industries.
* Specific experience working pricing models, marketing attribution, or customer LTV modeling.
* Familiarity with the unique opportunities and challenges of crypto businesses and blockchain data.
 Disclaimer: Applying for a specific role does not guarantee consideration for that exact position. Leveling and team matching are assessed throughout the interview process.
 PID: P55383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$207,485\-$244,100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64">
      <c r="A64" t="inlineStr">
        <is>
          <t>li-4369631154</t>
        </is>
      </c>
      <c r="B64" t="inlineStr">
        <is>
          <t>Machine Learning Engineer</t>
        </is>
      </c>
      <c r="C64" t="inlineStr">
        <is>
          <t>Instacart</t>
        </is>
      </c>
      <c r="D64" t="inlineStr">
        <is>
          <t>linkedin</t>
        </is>
      </c>
      <c r="E64" t="inlineStr"/>
      <c r="F64" t="inlineStr"/>
      <c r="G64" t="inlineStr"/>
      <c r="H64" t="inlineStr"/>
      <c r="I64" t="inlineStr">
        <is>
          <t>**About The Company**
 Instacart is revolutionizing the grocery industry by providing innovative solutions that connect customers with their favorite products efficiently and reliably. Our mission is to make food accessible to everyone while offering flexible earning opportunities for our Personal Shoppers. We believe that food is more than sustenance; it’s a way to bring people together and share love. With a focus on technology\-driven services, we aim to enhance the shopping experience through cutting\-edge platforms and data insights. Instacart has become a trusted partner for millions, serving diverse communities with a commitment to safety, convenience, and community engagement. We foster a culture of innovation, collaboration, and inclusivity, empowering our employees to make a meaningful impact in the lives of our customers and partners.
**About The Role**
 We are seeking a highly motivated Staff Machine Learning Software Engineer to join our dynamic team. In this role, you will be pivotal in developing our next\-generation platforms for real\-time inventory understanding, observation, and prediction. Your work will enable us to accurately monitor inventory levels across local stores, effectively bringing warehouse\-level precision to a scalable, store\-wide level. You will apply a systems\-thinking approach to lead strategic technical investments and establish best practices for machine learning within the organization. Collaborating closely with software engineers, product leads, and data scientists, you will drive technological innovation and product development. The successful candidate will have a deep understanding of inventory dynamics, data modeling, and scalable architecture design, contributing to projects from conception through deployment and ongoing maintenance. This role offers an exciting opportunity to impact core product features that influence search, logistics, and overall customer experience, ensuring that inventory data is accurate, timely, and actionable.
**Qualifications**
* 7\+ years of production machine learning experience with a proven track record of managing multiple successful projects
* Proficiency in Python and experience with TensorFlow or PyTorch frameworks
* Strong foundation in testing methodologies, systems observability, and problem\-solving skills
* Exceptional communication skills with the ability to lead and collaborate across diverse teams including software engineers, product managers, and data scientists
* Experience in developing scalable solutions and architectures
* Experience in building and deploying innovative projects from inception to second\-generation solutions
**Responsibilities**
* Own end\-to\-end outcomes involving multiple models, data sources, and dynamic systems to ensure accurate inventory predictions
* Develop and execute strategic roadmaps for modeling inventory dynamics across various observation regimes
* Make informed technology choices based on problem maturity and complexity
* Collaborate with cross\-functional teams to foster a unified development approach, facilitate consensus, and drive impactful results
* Lead and contribute directly to projects from initial concept through deployment and ongoing maintenance
* Mentor team members, introduce advanced machine learning technologies, and promote a culture of best practices and continuous improvement
**Benefits**
* Highly competitive compensation packages tailored to location and experience
* Comprehensive health, dental, and vision insurance options
* Flexible remote work arrangements supported by our Flex First policy
* Equity grants for new hires and annual refresh grants to share in company success
* Paid time off, holidays, and wellness programs
* Opportunities for professional growth, training, and development
 Equal Opportunity
 Instacart is an equal opportunity employer. We celebrate diversity and are committed to creating an inclusive environment for all employees. We do not discriminate based on race, ethnicity, gender, sexual orientation, age, disability, or any other protected status. We believe that diverse perspectives foster innovation and drive our success, and we welcome applicants from all backgrounds to join our team.</t>
        </is>
      </c>
    </row>
    <row r="65">
      <c r="A65" t="inlineStr">
        <is>
          <t>li-4369123690</t>
        </is>
      </c>
      <c r="B65" t="inlineStr">
        <is>
          <t>AI/ML Engineer</t>
        </is>
      </c>
      <c r="C65" t="inlineStr">
        <is>
          <t>EraDrive</t>
        </is>
      </c>
      <c r="D65" t="inlineStr">
        <is>
          <t>linkedin</t>
        </is>
      </c>
      <c r="E65" t="inlineStr"/>
      <c r="F65" t="inlineStr"/>
      <c r="G65" t="inlineStr">
        <is>
          <t>Palo Alto, CA</t>
        </is>
      </c>
      <c r="H65" t="inlineStr"/>
      <c r="I65" t="inlineStr">
        <is>
          <t>EraDrive’s goal is to revolutionize how spaceflight is done and managed through autonomy. EraDrive builds autonomy software and hardware that let spacecraft see, decide, and act with minimal human control. Our software is already flying in space, and we are growing it into a product family that covers rendezvous, on\-orbit inspection, and space based sensing. You will be one of EraDrive’s first engineering hires and a founding member of the team.
 You will design and ship the learning\-based components of the autonomy stack, building models that enable perception, guidance, and decision\-making under real\-world space mission constraints. This role is for engineers who want to see models used in closed\-loop autonomy, not just offline benchmarks. If you like turning data, physics, and machine learning into verifiable and reliable flight\-ready code, this is your role.
**What you will do** 
* Develop and train AI/ML models for satellite autonomy, for satellite rendezvous and proximity operations, on\-orbit inspection, space domain awareness, and formation flying applications
* Design AI\-powered guidance, navigation and perception components such as pose estimation, anomaly detection, behavior classification, and trajectory planning networks
* Develop LLM/VLM\-based interfaces for satellite operations to enable natural language interfaces and scene interpretation
* Build and maintain synthetic data pipelines that capture realistic dynamics, visual conditions, and sensor properties, including domain randomization, simulation\-to\-real strategies, and large\-scale dataset generation
* Create and extend simulation environments used for model training, validation, stress testing, and adversarial evaluation
* Optimize models for onboard deployment, including quantization, pruning, batching strategies, and real\-time inference on constrained compute
* Integrate ML modules into flight software through clean C\+\+ and Python interfaces, ensuring controlled model usage and robust fallback behavior
* Support software\-in\-the\-loop and hardware\-in\-the\-loop testing to close the loop between models, real sensors, and control logic, and feed the results back into model updates
* Own your models end to end, from first prototype through training pipelines, internal review, regression tests, and delivery
**What you bring** 
* Strong background in machine learning, deep learning, reinforcement learning, or a closely related field
* Hands\-on experience building, training, and evaluating AI/ML models, especially related to perception, estimation, planning, or control
* Proficiency with modern ML frameworks (e.g. PyTorch, TensorFlow) with the ability to integrate with Python and C\+\+
* Experience developing simulation or data generation tools to support ML training and validation
* Ability to design and debug training pipelines, from dataset curation through distributed training and model evaluation
* Familiarity with integrating ML inference models into larger autonomy or robotics systems
* Ability to work in a small, fast\-moving team, take clear ownership, and communicate tradeoffs honestly
**Bonus** 
* Experience with training and testing of foundation models
* Knowledge of orbital mechanics and spacecraft dynamics
* Experience integrating learned perception or decision models with classical estimation or control loops
* Background in sim\-to\-real transfer, domain adaptation, or real\-world deployment of learned models
* Experience with embedded inference, GPU optimization, or real\-time autonomous systems
* Publications or open\-source work in machine learning, robotics, reinforcement learning, or autonomous systems</t>
        </is>
      </c>
    </row>
    <row r="66">
      <c r="A66" t="inlineStr">
        <is>
          <t>li-4353201239</t>
        </is>
      </c>
      <c r="B66" t="inlineStr">
        <is>
          <t>AI Engineer</t>
        </is>
      </c>
      <c r="C66" t="inlineStr">
        <is>
          <t>PicnicHealth</t>
        </is>
      </c>
      <c r="D66" t="inlineStr">
        <is>
          <t>linkedin</t>
        </is>
      </c>
      <c r="E66" t="inlineStr"/>
      <c r="F66" t="inlineStr"/>
      <c r="G66" t="inlineStr">
        <is>
          <t>San Francisco, CA</t>
        </is>
      </c>
      <c r="H66" t="inlineStr"/>
      <c r="I66" t="inlineStr">
        <is>
          <t>PicnicHealth is simplifying clinical research with AI, making it faster and cheaper to get new treatments to patients. We’re bringing a patient\-centered, AI\-first approach to a $100b market otherwise dominated by old\-school, services\-driven incumbents. We’re creating a streamlined operating system for clinical research, built on top of our AI for medical record data in trials and a personal health assistant that keeps patients engaged.
**The Opportunity**
 Clinical research is ripe for reinvention. Running a study today involves countless labor\-intensive workflows—work that's slow, expensive, and often frustrating for everyone involved. We believe AI can change that.
 Our AI team builds real systems with critical business impact. We process millions of pages of medical records, turning messy real\-world data into structured patient timelines. We automate complex study workflows—from protocol setup to ongoing operations. The goal isn't incremental efficiency—it's drastically reducing the human labor required to run a study.
 This is a high\-leverage role. You'll work closely with product managers and our study delivery team to identify high\-impact opportunities—and own the AI solutions that address them. If you're excited about applying the latest AI capabilities to problems that genuinely matter, this is the place to do it.
**As an AI Engineer you will:**
* Build AI agents that automate labor\-intensive clinical study workflows—like drafting clinical trial documentation
* Extend and improve our agent framework (built on pydantic\-ai) and the infrastructure that supports it
* Build data pipelines that give our agents access to the research and context they need
* Collaborate directly with study project managers, clinicians, and other stakeholders to understand problems and deliver solutions
* Do whatever it takes to ship—including scrappy UI work when that's what's blocking progress
**What you’ll birng:**
* 5\+ years of experience writing production code in Python
* Deep experience with LLMs—not just API calls, but defining tools, understanding failure modes, and developing intuition for how to get reliable results
* Experience building agents that actually work in production
* Comfort navigating complex dev environments (Docker, Kubernetes, cloud\-based development) well enough to unblock yourself
* Openness to occasional frontend work, especially with AI coding tools in your toolbelt
* Ability to explain technical tradeoffs to PMs and clinicians and incorporate their feedback quickly
* Self\-direction and drive to move projects forward without detailed specs
 We expect all team members to be motivated to be amazing in their roles and, ultimately, to move the PicnicHealth mission forward.
**What is clinical research and why will PicnicHealth win?**
 Clinical research is the industry responsible for conducting studies to evaluate the effectiveness of drugs and treatments. Better trials lead to faster, more cost\-effective drug development, ultimately resulting in more and improved treatments for patients. However, the process remains highly inefficient. Trials are a major bottleneck in drug development, and the promising advancements in biotech cannot translate to real patient impact unless clinical research becomes faster and more efficient
 The industry runs on outdated technology and manual processes. Research sites (hospitals, academic centers, doctors' offices) are overburdened and under\-resourced. Contract research organizations (CROs), the organizations that traditionally run clinical trials for life sciences companies, typically throw hundreds\-of\-thousands of man\-hours wrangling sites and cobbling together vendor software.
 PicnicHealth has built technology that uniquely positions us to run faster, cheaper, and more flexible studies while removing burden from sites:
* PicnicAI (trained on 350M\+ clinician annotations over 100k\+ patient records) is the only system that can effectively access and structure all participant EMR data trials need
* Our AI health assistant (NPS of 76 in 2024\) guides participants through study activities and enables most to be done at home
* We're an integrated solution — virtual site, CRO, and software platform — with AI built in from the ground up, initially focusing on non\-interventional research.
**Perks \&amp; Benefits @PicnicHealth**
 At PicnicHealth you get to solve real problems with real solutions, great tech, and great people. We look to attract and retain exceptional performers through a mission that matters, a culture that allows team members to do their best work and be their real selves, and through competitive compensation and benefits packages aligned to the market and our Core Values.
 We’re a remote first company, with teammates spread across the US. We support in\-person gatherings, including co\-working spaces and multi\-day onsites, to build connections and move forward strategic initiatives. Expect to travel 2\-4 times a year. For our team members in the Bay Area, who prefer to work in person we can offer a hybrid set up to work from the SF office on a flexible schedule.
 Target Base Salary Range: $180K\-$220K
 The base salary PicnicHealth offers may vary depending upon the ultimate scope and responsibilities of the position and on the candidate’s job\-related knowledge, skills, and experience. The total package will include equity, in addition to a full range of medical and/or other benefits, depending on the position offered. Pay and benefits are subject to change at any time, consistent with the terms of any applicable compensation or benefit plans.
 You also get:
* Comprehensive benefits including above market Health, Dental, Vision
* Family friendly environment
* Flexible time off
* 401k plan
* Free PicnicHealth account
* Equipment and internet funds for home office set up
* Wellness Stipend
**Equal Opportunity Statement**
 PicnicHealth is committed to promoting an inclusive work environment free of discrimination and harassment. We value a diverse and balanced team where everyone can belong.</t>
        </is>
      </c>
    </row>
    <row r="67">
      <c r="A67" t="inlineStr">
        <is>
          <t>li-4369128852</t>
        </is>
      </c>
      <c r="B67" t="inlineStr">
        <is>
          <t>Lead AI/ML Engineer (NLP)</t>
        </is>
      </c>
      <c r="C67" t="inlineStr">
        <is>
          <t>Optum</t>
        </is>
      </c>
      <c r="D67" t="inlineStr">
        <is>
          <t>linkedin</t>
        </is>
      </c>
      <c r="E67" t="inlineStr"/>
      <c r="F67" t="inlineStr"/>
      <c r="G67" t="inlineStr">
        <is>
          <t>Austin, TX</t>
        </is>
      </c>
      <c r="H67" t="inlineStr"/>
      <c r="I67" t="inlineStr">
        <is>
          <t>**Primary Responsibilities:** 
* Develop novel AI approaches for healthcare using both structured and unstructured data
* Build and test deep learning and traditional ML models in distributed computing environments
* Design and plan experiments, conduct statistical analysis and create data visualizations
* Communicate findings with business stakeholders and collaborate to develop solutions that meet customer needs
* Collaborate with the Responsible Use of AI (RUAI) team to ensure that the delivered solutions are compliant with company policies and standards
* Develop code and model documentation, patents and publications in scientific conferences and journals
* Collaborate with engineering teams to develop robust data pipelines of MLOps procedures for new solutions
* Stay up to date with latest technologies and literature
**Required Qualifications:** 
* MS in computer science or related quantitative field and 5\+ years of industry/academic experience in AI/ML or a related field OR a PhD and 2\+ years of experience
* 5\+ years of AI/ML experience
* 5\+ years of experience with Python, classical ML methods and deep learning, including deep learning frameworks such as PyTorch or Tensorflow
**Preferred Qualifications:** 
* Experience with LLM frameworks and/or NLP approaches such as text embedding and text classification
* Experience with distributed computing approaches such as Spark
* Experience with Snowflake and other relational databases
* Experience working on collaborative software projects using GitHub
* Proven solid technical communication skills
 \*All employees working remotely will be required to adhere to UnitedHealth Group’s Telecommuter Policy.
 The salary range for this role is $106,800 to $194,200 annually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68">
      <c r="A68" t="inlineStr">
        <is>
          <t>li-4369634832</t>
        </is>
      </c>
      <c r="B68" t="inlineStr">
        <is>
          <t>Agentic AI Engineer</t>
        </is>
      </c>
      <c r="C68" t="inlineStr">
        <is>
          <t>NuStar Technologies</t>
        </is>
      </c>
      <c r="D68" t="inlineStr">
        <is>
          <t>linkedin</t>
        </is>
      </c>
      <c r="E68" t="inlineStr"/>
      <c r="F68" t="inlineStr"/>
      <c r="G68" t="inlineStr">
        <is>
          <t>Boston, MA</t>
        </is>
      </c>
      <c r="H68" t="inlineStr"/>
      <c r="I68" t="inlineStr">
        <is>
          <t>Job Title : Agentic AI Engineer
 Experience Required \- 4\+ Years
 Must Have Technical/Functional Skills
 Hands\-on with agent frameworks such as Semantic Kernel, LangGraph, LangChain Agents or CrewAI
 Proficiency in Python and modern AI/ML frameworks, AWS
 Hands‑on with Bedrock AgentCore Memory, Gateway, and Runtime
 Strong experience with LLMs (fine\-tuning, evaluation, prompt engineering)
 Roles \&amp; Responsibilities
 Focus on designing, building, and optimizing AGENTC capabilities using large language models and advanced reasoning frameworks.
 Key Responsibilities
 Strong technical depth, a passion for building, workstreams in a fast\-paced, innovation\-driven environment
 Build serverless agentic product architectures and features on AWS using Bedrock AgentCore Memory, Gateway, Identity, Interpreter, Observability and Runtime
 Implement and operate A2A/MCP servers on AWS; integrate with Bedrock Agents/Converse APIs
 Orchestrate multi‑agent plans with Strands Agents; deploy to EKS or Lambda
 Instrument agents with CloudWatch metrics, spans, and traces; enable audits
 Collaborate with product managers, data engineers, and UX teams to deliver production\-ready solutions
 Follow the roadmap for AI initiatives, ensuring they align with organizational goals and show measurable impact
**Required Skills \&amp; Experience**
 Strong problem\-solving and strategic thinking abilities
 Strong collaboration skills in research\-driven environments
 Hands‑on with Bedrock AgentCore Memory, Gateway, and Runtime
 Strong experience with LLMs (fine\-tuning, evaluation, prompt engineering)
 Proficiency in Python and modern AI/ML frameworks
 Proficiency in vector databases and embedding models for retrieval tasks
 Experience with Data Connectors and API gateways that support seamless communication between systems
 Experience with generative AI concepts such as Retrieval\-Augmented Generation (RAG), agentic workflows, training LLMs with structured and unstructured data sets
 Strong communicator with the ability to present ideas clearly and influence stakeholders \- with a passion for enabling data\-driven transformation
 Hands\-on with agent frameworks such as Semantic Kernel, LangGraph, LangChain Agents or CrewAI
 Deep subject matter expertise in AI technologies, including but not limited to Copilot Studio, OpenAI, Semantic Kernels, Azure AI Foundry, Google Gemini, Microsoft 365, and M365 Copilot or Anthropic or AWS platforms
 Salary Range \- $100000 to $125000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t>
        </is>
      </c>
    </row>
    <row r="69">
      <c r="A69" t="inlineStr">
        <is>
          <t>li-4366898356</t>
        </is>
      </c>
      <c r="B69" t="inlineStr">
        <is>
          <t>AI/ML Engineer – (Next-Generation AI Platforms &amp; Workloads)</t>
        </is>
      </c>
      <c r="C69" t="inlineStr">
        <is>
          <t>VeeAR Projects Inc.</t>
        </is>
      </c>
      <c r="D69" t="inlineStr">
        <is>
          <t>linkedin</t>
        </is>
      </c>
      <c r="E69" t="inlineStr"/>
      <c r="F69" t="inlineStr"/>
      <c r="G69" t="inlineStr">
        <is>
          <t>Sunnyvale, CA</t>
        </is>
      </c>
      <c r="H69" t="inlineStr"/>
      <c r="I69"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70">
      <c r="A70" t="inlineStr">
        <is>
          <t>li-4369641092</t>
        </is>
      </c>
      <c r="B70" t="inlineStr">
        <is>
          <t>AI Engineer</t>
        </is>
      </c>
      <c r="C70" t="inlineStr">
        <is>
          <t>Red Gate Group</t>
        </is>
      </c>
      <c r="D70" t="inlineStr">
        <is>
          <t>linkedin</t>
        </is>
      </c>
      <c r="E70" t="inlineStr"/>
      <c r="F70" t="inlineStr"/>
      <c r="G70" t="inlineStr">
        <is>
          <t>Washington, DC</t>
        </is>
      </c>
      <c r="H70" t="inlineStr"/>
      <c r="I70" t="inlineStr">
        <is>
          <t>The Red Gate Group, founded in 2006, is a Service\-Disabled Veteran\-Owned Company based in Chantilly, VA. As an SDVOSB, the Red Gate Group has established a reputation for delivering quality multi\-tiered services in intelligence analysis, strategic planning, program management, policy development, operational design, and technology integration. RGG delivers high\-quality, customer\-centric solutions around the world—from the foxhole to the highest levels of Government. Our motto, "Making a Difference for Country and Client," reflects our deep commitment to national security and service excellence. As an employer of choice, we offer comprehensive benefits including flexible time off, 11 paid holidays, immediate 401(k) eligibility with a generous match, and full medical, dental, and vision coverage. Our employees enjoy 100% company\-paid life insurance and disability benefits, along with professional development assistance for degrees and certifications. We foster a culture of growth and work\-life balance, backed by our commitment to supporting both our clients' missions and our employees' success. Join our team and be part of an organization that values both service excellence and employee wellbeing.
**Job Description**
 The Red Gate Group is seeking a senior\-level AI Engineer to support the Defense Intelligence Agency (DIA) in it’s JWICS Modernization initiative. In this role you will focus on integrating advanced analytic operations, knowledge management, and innovative AI solutions across organizational and intra\-IC boundaries, supporting strategic decision\-making and driving continuous improvement in the JWICS architecture.
**Key Responsibilities**
* Gather requirements, codify, and integrate secure solutions that support cloud functionality and underlying cloud infrastructure for AI and analytic operations
* Design, implement, and architect systems, including cloud and high\-performance computing environments, with a focus on AI integration
* Support program and project management activities, including work planning, requirement definition, risk analysis, and process improvement
* Develop data\-driven decision\-making products and solutions, including mining and organizing data to identify strengths, weaknesses, opportunities, and threats
**Qualifications**
**Required Qualifications**
* Active TS/SCI (CI Poly Preferred)
* Minimum 8 years of experience related to IT strategy consulting, with at least a portion of the experience within the last 2 years
* Master’s degree in a field related to IT strategy or AI; OR a Bachelor’s degree in a related field and an additional 5 years of senior experience (total of 13 years) as a substitute for the Master’s degree
**Additional Information**
 The Red Gate Group, Ltd. is an Equal Opportunity/Affirmative Action Employer. The Red Gate Group, Ltd. considers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**Know Your Rights**</t>
        </is>
      </c>
    </row>
    <row r="71">
      <c r="A71" t="inlineStr">
        <is>
          <t>li-4369115933</t>
        </is>
      </c>
      <c r="B71" t="inlineStr">
        <is>
          <t>Lead AI/ML Engineer || FULLTIME ROLE</t>
        </is>
      </c>
      <c r="C71" t="inlineStr">
        <is>
          <t>Noblesoft Technologies</t>
        </is>
      </c>
      <c r="D71" t="inlineStr">
        <is>
          <t>linkedin</t>
        </is>
      </c>
      <c r="E71" t="inlineStr"/>
      <c r="F71" t="inlineStr"/>
      <c r="G71" t="inlineStr"/>
      <c r="H71" t="inlineStr"/>
      <c r="I71" t="inlineStr">
        <is>
          <t>**Position: Lead AI/ML Engineer**
**Job type: Fulltime**
**Location : REMOTE**
 Note: Need Exceptional exp in AI/ML concepts (GenAI, Agentic, RAG), Vector DB works, news recommendation system using GenAI) or provide details about existing projects like claims processing. metadata extraction
 13\+ working experience.
**Primary Responsibilities**
**AI Project Execution \&amp; Delivery:**
* Lead the end\-to\-end execution of high\-priority AI/ML projects, ensuring they are delivered on time, within budget, and to the highest technical standards.
* Translate the enterprise AI strategy and product roadmaps into detailed project plans, technical specifications, and actionable backlogs for engineering teams.
* Serve as the primary technical point of contact for project stakeholders, managing dependencies, mitigating risks, and communicating progress effectively.
**AI Governance \&amp; AIRB Facilitation**
* Manage the day\-to\-day operations of the AI Review Board (AIRB) submission process, acting as a hands\-on guide for Data Science and product teams.
* Facilitate the preparation of all required documentation for AIRB reviews, ensuring submissions are complete, clear, and proactively address potential ethical, compliance, and technical concerns.
* Implement and enforce the governance framework, ensuring teams adhere to established standards and best practices for responsible AI.
**Team Leadership \&amp; Technical Mentorship**
* Provide direct line management, technical leadership, and mentorship to a team of senior AI/ML Engineers and Data Scientists.
* Foster a culture of engineering excellence, collaboration, and continuous improvement within the team and enterprise.
* Conduct code reviews, design sessions, and technical deep dives to ensure the quality, scalability, and robustness of AI solutions.
**Hands\-on MLOps \&amp; Engineering Practice**
* Drive the practical implementation of the MLOps strategy, directly overseeing the construction and optimization of CI/CD pipelines for AI/ML systems using tools like GitHub Actions.
* Enforce rigorous engineering hygiene, including version control for code, data, and models (Git, DVC), and the application of Infrastructure as Code (IaC) principles.
* Lead the technical implementation of production monitoring solutions to track model performance, identify drift, and ensure the long\-term reliability of deployed AI systems.
**Required Qualifications**
* Proven AI/ML Leadership: 10\-15 years of experience in the AI/ML field, with at least 4\-5 years in a leadership or management role leading technical teams in the delivery of complex AI solutions.
* Experience with AI Governance: Direct, hands\-on experience successfully navigating an internal AI ethics, risk, or governance review process for multiple projects.
* Strong Project Management Skills: Demonstrated ability to manage complex technical projects from conception to deployment, with expertise in agile methodologies.
* Expertise in the ML Lifecycle: Deep, practical knowledge of the entire machine learning lifecycle, from data acquisition and feature engineering to model deployment and post\-launch monitoring.
* Hands\-on MLOps Experience: Proven experience building and managing CI/CD pipelines and MLOps workflows for machine learning.
* Strong Technical Foundation: Proficient in Python, common ML frameworks (e.g., TensorFlow, PyTorch, scikit\-learn), and cloud platforms (AWS, Azure, or GCP).
**Preferred Qualifications**
* Advanced Degree: A Master's or Ph.D. in a relevant quantitative field.
* Healthcare Domain Experience: Experience developing and deploying AI/ML solutions within a healthcare or other highly regulated environment.
* Product Mindset: Experience working closely with product managers to define and deliver AI\-powered features and products.
* Expertise in GenAI Operations: Specific experience in the operational challenges of deploying and managing LLM\-based applications in production.
* Mentorship and Talent Development: A passion for coaching and developing technical talent, with a track record of growing senior engineers into tech leads.</t>
        </is>
      </c>
    </row>
    <row r="72">
      <c r="A72" t="inlineStr">
        <is>
          <t>li-4369662312</t>
        </is>
      </c>
      <c r="B72" t="inlineStr">
        <is>
          <t>AI/ML Engineer Associate Manager</t>
        </is>
      </c>
      <c r="C72" t="inlineStr">
        <is>
          <t>Lockheed Martin</t>
        </is>
      </c>
      <c r="D72" t="inlineStr">
        <is>
          <t>linkedin</t>
        </is>
      </c>
      <c r="E72" t="inlineStr"/>
      <c r="F72" t="inlineStr"/>
      <c r="G72" t="inlineStr"/>
      <c r="H72" t="inlineStr"/>
      <c r="I72" t="inlineStr">
        <is>
          <t>**Job Description**
**What We're Doing**
 At Lockheed Martin \- Data Analytics Innovations (DAI), we're advancing the future of defense through cutting\-edge data science and artificial intelligence. Our mission is to develop and deploy advanced analytic tools that utilize Artificial Intelligence/Machine Learning (AI/ML) to enable proactive decision\-making and enhance mission readiness across all Lockheed Martin Business Areas—improving platform availability, reducing operational costs, optimizing supply chains, and more.
**The Work**
**As a Key Member Of Our Team, You Will**
* Lead the team through innovation in platform readiness, operational decision\-making, and system maintenance through AI/ML
* Identify talent needs, recruit, coach, maintain talent pipeline, and allocate team members and tooling to meet project demands.
* Collaborate cross\-functionally to understand use cases and deliver scalable, production\-grade solutions
* Evaluate new capabilities or product requests. Estimate effort, cost, and impact, and create actionable plans.
**Who We Are**
 We are a multidisciplinary team of data scientists, software engineers, and AI/ML specialists focused on solving complex problems that have a tangible impact on national security and defense. We work in a fast\-paced, collaborative environment, united by a passion for technology, innovation, and excellence. At Lockheed Martin, you’ll have access to top\-tier resources, technical mentorship, and the opportunity to contribute to meaningful work that supports global missions.
**Who You Are**
 You're a motivated, curious, and collaborative AI/ML Engineer who is ready to tackle real\-world challenges. You bring leadership, technical skill, and a drive to continuously learn and grow.
**Why Join Us**
 At Lockheed Martin, We Believe That Innovation Thrives In An Environment Of Collaboration And Innovation; You'll Not Only Work On Groundbreaking Technologies But Also Shape The Future Of Aerospace, Defense, And Intelligence. We Offer
* Medical {many choices of plans; some LM locations have on\-site medical}
* Dental
* 401k {with generous matching}
* Paid time off
* Work/life balance, family\-friendly environment
* Career development, career\-growth, and lots of learning opportunities for aspiring minds
* Fun, talented and witty teammates
* Knowledgeable, supportive and engaged leadership
* Diverse, inclusive and community\-minded organization
* Generous Tuition Reimbursement
 If you're ready to take on mission\-critical problems with AI at scale, we want to hear from you.
**Desired Skills**
* Master's degree in Computer Science/Engineering, Artificial Intelligence, Software Engineering, Math, Physics or a related field
* Experience AI Engineering discipline and familiarity with Lockheed Martin's AI initiatives
* Experience with machine learning frameworks and libraries (e.g., TensorFlow, PyTorch, scikit\-learn)
* Experience with agile development methodologies and version control systems (e.g., Git, GitLab)
* Strong understanding of cloud computing platforms (e.g., AWS, Azure, Google Cloud) and containerization
* Experience with large language models, natural language processing, computer vision, or other AI applications
* Familiarity with model interpretability, explainability, and transparency
* Strong problem\-solving skills, with the ability to analyze complex problems and develop creative solutions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t>
        </is>
      </c>
    </row>
    <row r="73">
      <c r="A73" t="inlineStr">
        <is>
          <t>li-4328735225</t>
        </is>
      </c>
      <c r="B73" t="inlineStr">
        <is>
          <t>Senior Machine Learning Engineer, Perception LLM/VLM</t>
        </is>
      </c>
      <c r="C73" t="inlineStr">
        <is>
          <t>Waymo</t>
        </is>
      </c>
      <c r="D73" t="inlineStr">
        <is>
          <t>linkedin</t>
        </is>
      </c>
      <c r="E73" t="inlineStr"/>
      <c r="F73" t="inlineStr"/>
      <c r="G73" t="inlineStr">
        <is>
          <t>Mountain View, CA</t>
        </is>
      </c>
      <c r="H73" t="inlineStr"/>
      <c r="I7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 Master's degree in Computer Science, Electrical Engineering, or a related field, or equivalent practical experience.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74">
      <c r="A74" t="inlineStr">
        <is>
          <t>li-4328735226</t>
        </is>
      </c>
      <c r="B74" t="inlineStr">
        <is>
          <t>Senior Machine Learning Engineer, Perception LLM/VLM</t>
        </is>
      </c>
      <c r="C74" t="inlineStr">
        <is>
          <t>Waymo</t>
        </is>
      </c>
      <c r="D74" t="inlineStr">
        <is>
          <t>linkedin</t>
        </is>
      </c>
      <c r="E74" t="inlineStr"/>
      <c r="F74" t="inlineStr"/>
      <c r="G74" t="inlineStr">
        <is>
          <t>San Francisco, CA</t>
        </is>
      </c>
      <c r="H74" t="inlineStr"/>
      <c r="I7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 Master's degree in Computer Science, Electrical Engineering, or a related field, or equivalent practical experience.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75">
      <c r="A75" t="inlineStr">
        <is>
          <t>li-4362751909</t>
        </is>
      </c>
      <c r="B75" t="inlineStr">
        <is>
          <t>Machine Learning Engineer - GenAI, LLM, Agentic AI</t>
        </is>
      </c>
      <c r="C75" t="inlineStr">
        <is>
          <t>Eightfold AI</t>
        </is>
      </c>
      <c r="D75" t="inlineStr">
        <is>
          <t>linkedin</t>
        </is>
      </c>
      <c r="E75" t="inlineStr"/>
      <c r="F75" t="inlineStr"/>
      <c r="G75" t="inlineStr">
        <is>
          <t>Santa Clara, CA</t>
        </is>
      </c>
      <c r="H75" t="inlineStr"/>
      <c r="I75" t="inlineStr">
        <is>
          <t>**About Eightfold**
 Eightfold is a global leader in AI\-native enterprise talent platform,
 **trusted by the world’s largest \&amp; most respected fortune 500 organizations** 
 . Our platform is built from the ground up operating at scale across
 **Azure and AWS** 
 , deployed in multiple
 **regions globally** 
 , including IL4\-compliant environments for
 **US Government** 
 , supporting users in
 **100\+ countries** 
 and
 **30\+ languages** 
 . Today, Eightfold is at the forefront of
 **agentic AI** 
 , delivering intelligent agents that actively drive outcomes across hiring and talent workflows, while much of the industry is still experimenting with prototypes. Backed by over
 **$410M in funding** 
 and valued at
 **$2B\+** 
 , we are defining the next era of agentic talent systems.
 What sets Eightfold apart is not just the technology \&amp; our mission, but the team behind it. We are a deeply technical, execution\-driven organization that values ownership, collaboration, and high standards. Our engineers, product leaders, and go\-to\-market teams work closely together — in person and across functions — to build systems that scale in the real world. If you’re excited to work on hard problems, move with urgency, raise the bar every day, and help build agentic systems that transform how the world works,
 **Eightfold is the place to do it** 
 .
**About The Team**
 The AI Agents team at Eightfold.ai is at the forefront of developing intelligent, autonomous systems that will redefine talent management. We are building cutting\-edge agentic AI that can proactively assist users, automate complex workflows, and provide personalized insights. Our work directly impacts millions of users and shapes the future of how people connect with opportunities.
**Responsibilities**
* Research, design, development, and deployment of advanced AI agents and agentic systems.
* Architect and implement complex multi\-agent systems, including planning, decision\-making, and execution capabilities.
* Develop and integrate large language models (LLMs) and other state\-of\-the\-art AI techniques to enhance agent autonomy and intelligence.
* Build robust, scalable, and reliable infrastructure to support the deployment and operation of AI agents at scale.
* Collaborate with product managers, UX designers, and other engineers to define requirements and deliver impactful solutions.
* Diagnose and troubleshoot issues in complex distributed environments and optimize system performance.
* Contribute to the team's technical growth and knowledge sharing.
* Stay up\-to\-date with the latest advancements in AI research and agentic AI and apply them to our products.
* Leverage enterprise data, market data, and user interactions to build intelligent and personalized agent experiences.
* Contribute to the development of Copilot GenAI Workflows for Users, enabling chat\-like command execution.
**Qualifications**
* Knowledge and passion in machine learning algorithms, Gen AI, LLMs, and natural language processing (NLP).
* Understanding of agent\-based modeling, reinforcement learning, and autonomous systems.
* Experience with large language models (LLMs) and their applications in Agentic AI.
* Proficiency in programming languages such as Python, and experience with machine learning frameworks like TensorFlow or PyTorch.
* Experience with cloud platforms (AWS) and containerization technologies (Docker, Kubernetes).
* Understanding of distributed system design patterns and microservices architecture.
* Demonstrable Coding and Algorithms skills.
* Excellent problem\-solving and data analysis skills.
* Strong communication and collaboration skills.
* Master’s or Ph.D. in Computer Science, Artificial Intelligence, or a related field, or equivalent years of experience.
* Min 1\-3\+ years of relevant machine learning work experience.
**Preferred Qualifications**
* Research experience in agentic AI or related fields.
* Experience building and deploying AI agents in real\-world applications.
**Pay Transparency**
 Please note this role is categorized as hybrid in Santa Clara, CA The base salary ranges below are provided for pay transparency. Base pay is only one piece of our total compensation package as this role may be eligible for bonus and equity awards. Compensation varies depending on a number of factors including qualifications, skills, competencies, experience and zones determined by location.
 Zone A is in SF Bay Area, CA .
 Base annual salary range: $127,500 to 165,000 \+ discretionary bonus up to 10% \+ preIPO equity (stock options).
**Hybrid Work**
 At Eightfold, we believe our best work happens when we collaborate closely, learn from one another, and build together. We follow a hybrid work model that combines flexibility with a strong emphasis on in\-person collaboration to foster innovation, culture, and rapid execution.
 Employees based near our
 **Santa Clara** 
 ,
 **Bangalore, and Noida offices are expected to work from the office three days per week** 
 , as we believe regular in\-person engagement is essential to how we build high\-impact products and strong teams.
 Eightfold.ai provides equal employment opportunities (EEO) to all employees and applicants for employment without regard to race, color, religion, sex, sexual orientation, gender identity, national origin, age, veteran or disability status.
 ﻿Experience our comprehensive benefits with family medical, vision and dental coverage, a competitive base salary, and eligibility for equity awards and discretionary bonuses or commissions.</t>
        </is>
      </c>
    </row>
    <row r="76">
      <c r="A76" t="inlineStr">
        <is>
          <t>li-4369653092</t>
        </is>
      </c>
      <c r="B76" t="inlineStr">
        <is>
          <t>AI Engineer</t>
        </is>
      </c>
      <c r="C76" t="inlineStr">
        <is>
          <t>Westfield Insurance</t>
        </is>
      </c>
      <c r="D76" t="inlineStr">
        <is>
          <t>linkedin</t>
        </is>
      </c>
      <c r="E76" t="inlineStr"/>
      <c r="F76" t="inlineStr"/>
      <c r="G76" t="inlineStr">
        <is>
          <t>Westfield Center, OH</t>
        </is>
      </c>
      <c r="H76" t="inlineStr"/>
      <c r="I76" t="inlineStr">
        <is>
          <t>**Job Summary**
 Westfield is hiring an AI Engineer to build AI use cases of different shapes and sizes that impact our core insurance workflows. You’ll work with other AI Engineers, software developers, and business stakeholders to ship features and assets that range in complexity from simple prompt workflows and document understanding to AI agents, RAG, computer use, and more. You’ll be involved in business use cases from design and architecture into implementation, testing, deployment, monitoring, and maintenance.
*Applicants must be currently authorized to work in the United States on a full\-time basis without employer sponsorship.*
**What You'll Do**
* Build containerized AI services in Python. Implement clean APIs where needed and standards\-based integrations for enterprise systems.
* Design retrieval \&amp; agent flows using industry\-standard frameworks; implement prompt/tool versioning and safe rollouts (e.g., feature flags, canary).
* Guardrails \&amp; governance: help implement controls around PII handling, audit logging, RBAC, prompt\-injection defenses, and egress controls.
* Evaluation automation: create eval harnesses, golden sets, regression gates, and basic business KPIs (e.g., quality, safety, latency, cost).
* Observability: instrument tracing/metrics/logging with standard tooling, integrate with enterprise monitoring/logging platforms, and build actionable dashboards/alerts.
* Operational rigor: contribute to runbooks and incident hygiene. Participate in the on\-call rotation for the AI services you help own.
* CI/CD: use pipeline\-as\-code for delivery and keep code\-quality/security gates clean for frequent deployments.
* Team play: embed with asset teams when appropriate. Contribute back reusable components, SDKs, and docs to the AI engineering platform.
**Job Qualifications**
* At least 2 years of software engineering experience, including at least 1 production\-deployed GenAI use case for real business users or consumers.
* Strong Python and microservice fundamentals (e.g., FastAPI or similar, type hints, tests such as pytest) with an emphasis on well\-structured, readable code.
* Hands\-on experience with any AI orchestration frameworks (e.g., LangChain, LangGraph, OpenAI Agents SDK, PydanticAI or similar).
* Containers/orchestration experience: solid containerization understanding and hands\-on with deploy/scale/config/secret management (e.g., Docker, Kubernetes/OpenShift).
* Observability experience: metrics, logs, tracing (e.g., OTel) and using these signals to debug production outages and performance issues.
* CI/CD discipline (e.g., Azure DevOps YAML or similar), code\-quality/security gates (e.g., SonarQube, Snyk), and dependency management basics.
* Governance understanding: audit logs, RBAC, data\-privacy boundaries, and change control in business\-critical environments.
**Job Qualifications (Preferred)**
* Experience deploying and supporting multiple custom GenAI use cases in production.
* Familiarity with MCP, A2A, or other AI integration standards.
* Experience with RAG and vector search.
* Experience with Python dependency/build management (e.g., uv) and familiarity with ASGI servers (e.g., uvicorn).
**Location**
 Hybrid defined as three (3\) or more days per week in the office.
**Behavioral Competencies**
* Collaborates
* Customer focus
* Communicates effectively
* Decision quality
* Nimble learning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**About Us**
 Founded in 1848, Westfield is a global leader in property and casualty insurance, delivering superior risk insights and innovative solutions to customers through a diverse portfolio of insurance products. Westfield underwrites commercial, personal, surety, and specialty lines of coverage through a network of leading independent agents and brokers in the United States and specialty products through Lloyd’s of London Syndicate 1200\. As a mutual insurance company with more than 3,000 employees, Westfield has revenues in excess of $4 billion and more than $10 billion in assets.
 **Equal Opportunity Employer**
 United States: All applicants receive consideration for employment without regard to race, color, sex, religion, national origin, age, sexual orientation, gender identity, disability, or status as a protected veteran.
 United Kingdom: Westfield is committed to equality of opportunity for all staff and applications from individuals are encouraged regardless of age, disability, sex, gender reassignment, sexual orientation, pregnancy and maternity, race, religion or belief and marriage and civil partnerships.</t>
        </is>
      </c>
    </row>
    <row r="77">
      <c r="A77" t="inlineStr">
        <is>
          <t>li-4369670052</t>
        </is>
      </c>
      <c r="B77" t="inlineStr">
        <is>
          <t>Full Stack AI/ML Engineer - FULL TIME REMOTE</t>
        </is>
      </c>
      <c r="C77" t="inlineStr">
        <is>
          <t>Lockheed Martin</t>
        </is>
      </c>
      <c r="D77" t="inlineStr">
        <is>
          <t>linkedin</t>
        </is>
      </c>
      <c r="E77" t="inlineStr"/>
      <c r="F77" t="inlineStr"/>
      <c r="G77" t="inlineStr"/>
      <c r="H77" t="inlineStr"/>
      <c r="I77" t="inlineStr">
        <is>
          <t>**Job Description**
**What We're Doing**
 At Lockheed Martin \- Data Analytics Innovations (DAI), we're advancing the future of defense through cutting\-edge data science and artificial intelligence. Our mission is to develop and deploy advanced analytic tools that utilize Artificial Intelligence/Machine Learning (AI/ML) to enable proactive decision\-making and enhance mission readiness. From predictive analytics to Condition\-Based Maintenance (CBM), we are delivering AI\-driven solutions across all Lockheed Martin Business Areas—improving platform availability, reducing operational costs, optimizing supply chains, and more.
**The Work**
**As a Key Member Of Our Team, You Will**
* Drive innovation in platform readiness, operational decision\-making, and system maintenance through AI/ML
* Develop modern web\-based applications to support advanced analytic solutions for a variety of aerospace applications
* Collaborate cross\-functionally to understand use cases and deliver scalable, production\-grade solutions
**Who We Are**
 We are a multidisciplinary team of data scientists, software engineers, and AI/ML specialists focused on solving complex problems that have a tangible impact on national security and defense. We work in a fast\-paced, collaborative environment, united by a passion for technology, innovation, and excellence. At Lockheed Martin, you’ll have access to top\-tier resources, technical mentorship, and the opportunity to contribute to meaningful work that supports global missions.
**Who You Are**
 You're a motivated, curious, and collaborative Full Stack AI/ML engineer who is ready to tackle real\-world challenges. You bring both technical skill and a drive to continuously learn and grow.
**Why Join Us**
 At Lockheed Martin, We Believe That Innovation Thrives In An Environment Of Collaboration And Innovation; You'll Not Only Work On Groundbreaking Technologies But Also Shape The Future Of Aerospace, Defense, And Intelligence. We Offer
* Medical {many choices of plans; some LM locations have on\-site medical}
* Dental
* 401k {with generous matching}
* Paid time off
* Work/life balance, family\-friendly environment
* Career development, career\-growth, and lots of learning opportunities for aspiring minds
* Fun, talented and witty teammates
* Knowledgeable, supportive and engaged leadership
* Diverse, inclusive and community\-minded organization
* Generous Tuition Reimbursement
 If you're ready to take on mission\-critical problems with AI at scale, we want to hear from you.
**Desired Skills**
* Master's degree in Computer Science/Engineering, Artificial Intelligence, Software Engineering, Math, Physics or a related field
* 1\+ years of experience in full stack web development with a focus on technologies such as React, Next.js, Node.js, Redux, Tailwind CSS, Bootstrap, and TypeScript or equivalent related experience and education
* Strong understanding of HTML, CSS, and JavaScript.
* Experience with relational database design and management (SQL)
* Experience with Red Hat OpenShift
* Experience with developing in cloud environments (AWS, Azure, etc.)
* Familiarity with AI/ML principles, SDKs, and API utilization across multiple platforms
* Experience with DevOps tools and concepts: Docker, Git (GitLab, GitHub), Continuous Integration (CI), Continuous Deployment (CD)
* Experience with agile development methodologies (e.g., Scrum, Kanban).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t>
        </is>
      </c>
    </row>
    <row r="78">
      <c r="A78" t="inlineStr">
        <is>
          <t>li-4369634871</t>
        </is>
      </c>
      <c r="B78" t="inlineStr">
        <is>
          <t>Senior AI Engineer</t>
        </is>
      </c>
      <c r="C78" t="inlineStr">
        <is>
          <t>AIM</t>
        </is>
      </c>
      <c r="D78" t="inlineStr">
        <is>
          <t>linkedin</t>
        </is>
      </c>
      <c r="E78" t="inlineStr"/>
      <c r="F78" t="inlineStr"/>
      <c r="G78" t="inlineStr"/>
      <c r="H78" t="inlineStr"/>
      <c r="I78" t="inlineStr">
        <is>
          <t>**About AIM** 
 \- AIM is a well\-funded, mission\-oriented startup focused on radically scaling our civilization’s capabilities to build planetary\-scale infrastructure and reverse negative effects of climate change. (
 https://aim.vision
 ). We are growing the team with motivated individuals with a passion for landing great products built with a strong engineering culture. If you find massive robots making a positive impact in the real world tantalizing, get in touch! AIM has been built by a team of engineers who landed cutting\-edge systems at Google, Waymo, SpaceX, Tesla, Apple, Dropbox, Stripe, Google\[x] and Microsoft, and are backed by General Catalyst, Khosla Ventures, Elad Gil, Human Capital, Ironspring Ventures, Mantis, DCVC, among other great allies.
**About the role** 
 AIM is terraforming this planet with cutting\-edge autonomy. We’re seeking talented and passionate engineers to join our team and advance our Machine Learning Platform. You will play a critical role in bridging the gap between Machine Learning and Software, ensuring a clean and healthy lifecycle of our ML models.
**Responsibilities** 
* Design, build, and maintain automated CI/CD/CT pipelines for Machine Learning models. Design the deployment workflow to validate model safety before physical deployment.
* Optimize Machine learning models by building inference engines. You will manage GPU resource allocation on embedded devices to balance latency with power constraints.
* Provision and manage scalable cloud infrastructure to support distributed training clusters and simulation environments.
* **Design and maintain a multi\-modal data pipeline capable of ingesting and synchronizing massive streams of LiDAR, Camera, and IMU data. You will build the storage and retrieval layers that fuel our training sets.**
* Implement robust monitoring to track model performance and data drift. You will be responsible for building telemetry to monitor system health and inference latency on the edge to ensure robot safety.
* Implement Feature Stores and strict Data Versioning to ensure total reproducibility of models. You will ensure we can trace every robot decision back to the exact code, data, and model version used.
* Maintain and evolve AIM’s ML data platform, including large\-scale multi\-modal data pipelines (LiDAR/Camera/IMU), schema/metadata standards, dataset indexing, and high\-throughput storage \+ retrieval layers to support training, evaluation, and simulation workflows.
**Qualifications** 
* 3\+ years of professional experience in MLOps, DevOps, or Software Engineering, with a focus on productionizing ML models.
* Proficiency in Python and C\+\+
* Proven experience optimizing Deep Learning models with CUDA ONNX and TensorRT
* Experience building large\-scale ML data lakes and dataset pipelines (e.g., Ray Datasets / Ray Data) for ingestion, transformation, versioning, and retrieval of multi\-modal training data.
* Strong command of Docker and Kubernetes
* Hands\-on experience with cloud architecture.
* Mastery of CI/CD tools
* Familiarity with handling non\-structured robotics data formats (e.g. Rosbags, MCAP, PCD files)
* Experience with high\-throughput data tools like Apache Kafka, Airflow, or Spark
 Ideal candidate will have additional experience in several of the following areas:
* Experience working with ROS / ROS2
* Experience deploying to embedded compute platforms
* Experience integrating ML pipelines with simulators
**Why AIM?** 
 Joining AIM, You Will
* Solve a massive set of real\-world problems that require scalable earth moving
* Accomplish that via deploying and expanding cutting edge tech
* Run your workstreams with the largest degree of autonomy
* Have an opportunity for rapid growth and a large voice on the direction of the company
* Receive company funded medical, dental, vision, 401k, life insurance, gourmet food \&amp; perks
* Experience a strong onsite collaboration (AIM offices, labs and proving grounds on the east side of the Greater Seattle area)
* Have an opportunity to travel to unique sites around the world (Americas, Australia, Africa \&amp; more)</t>
        </is>
      </c>
    </row>
    <row r="79">
      <c r="A79" t="inlineStr">
        <is>
          <t>li-4369631448</t>
        </is>
      </c>
      <c r="B79" t="inlineStr">
        <is>
          <t>AI Platform Architect /  ML Engineer</t>
        </is>
      </c>
      <c r="C79" t="inlineStr">
        <is>
          <t>Phaxis</t>
        </is>
      </c>
      <c r="D79" t="inlineStr">
        <is>
          <t>linkedin</t>
        </is>
      </c>
      <c r="E79" t="inlineStr"/>
      <c r="F79" t="inlineStr"/>
      <c r="G79" t="inlineStr">
        <is>
          <t>Nashville, TN</t>
        </is>
      </c>
      <c r="H79" t="inlineStr"/>
      <c r="I79" t="inlineStr">
        <is>
          <t>Salary is 130k to 150k \+ bonus
 We are seeking a hands\-on AI Architect / Technical Lead to design and deliver enterprise\-scale Generative AI and machine learning solutions. This role is open to candidates with strong GenAI, LLM, and ML engineering backgrounds, including those who have built production AI systems. The focus is on taking AI solutions from concept through production while ensuring scalability, security, and real business impact.
 Key Responsibilities
 * Collaborate with business stakeholders and customers to lead AI and GenAI discovery workshops, identify high\-value use cases, and translate business challenges into scalable AI and machine learning solution architectures.
* Define AI strategies, technical roadmaps, and solution blueprints, producing clear proposals, architecture diagrams, and executive\-level documentation to support delivery and adoption.
* Architect, build, and deploy production\-ready AI platforms for leading AI/ML frameworks and cloud platforms.
* Design and develop LLM\-based applications, including prompt engineering, orchestration workflows, retrieval\-augmented generation (RAG), grounding strategies, evaluation frameworks, and monitoring.
* Apply broader machine learning techniques (e.g., classification, regression, forecasting, recommendation systems) and integrate ML models into enterprise applications, APIs, and workflows.
* Establish best practices, reusable components, and governance guardrails for AI development, supporting secure, responsible, and cost\-effective enterprise adoption.
* Act as the AI technical lead, mentoring engineers, leading architecture and design reviews, and ensuring operational readiness, compliance, and responsible AI practices across all deployments.
 Ideal Background:
 * Experience designing and delivering production AI, ML, or GenAI solutions
* Hands\-on work with LLMs and modern ML frameworks (e.g., OpenAI, Azure OpenAI, AWS, GCP, Hugging Face, LangChain, semantic orchestration tools)
* Backgrounds may include AI Architect, ML Engineer, GenAI Engineer, Principal Engineer, or Technical Lead</t>
        </is>
      </c>
    </row>
    <row r="80">
      <c r="A80" t="inlineStr">
        <is>
          <t>li-4369146141</t>
        </is>
      </c>
      <c r="B80" t="inlineStr">
        <is>
          <t>Senior Machine Learning Engineer (Fully Remote)</t>
        </is>
      </c>
      <c r="C80" t="inlineStr">
        <is>
          <t>Harnham</t>
        </is>
      </c>
      <c r="D80" t="inlineStr">
        <is>
          <t>linkedin</t>
        </is>
      </c>
      <c r="E80" t="inlineStr"/>
      <c r="F80" t="inlineStr"/>
      <c r="G80" t="inlineStr"/>
      <c r="H80" t="inlineStr"/>
      <c r="I80" t="inlineStr">
        <is>
          <t>Senior Machine Learning Engineer
**Location:** 
 Remote (with optional hybrid New York)
**Salary:** 
 Salary up to $220,000
**THE COMPANY**
 Our client is a fast\-growing, profitable technology business operating at the cutting edge of AI\-driven decisioning. They partner with global brands to deliver advanced machine learning solutions that optimize real\-time strategies across digital platforms.
**THE ROLE**
 As a
 **Senior Machine Learning Engineer** 
 , you will play a key role in building scalable ML infrastructure and deploying production\-grade models that directly impact business outcomes. This is an opportunity to work on distributed systems, cutting\-edge neural network architectures, and MLOps best practices in a high\-performance environment.
**RESPONSIBILITIES** 
* You will architect and train neural network models for optimization and audience modeling using
 **PyTorch** 
 and distributed training frameworks.
* You will build multi\-GPU training pipelines and implement hyperparameter tuning strategies.
* You will develop feature engineering workflows using
 **PySpark** 
 and embedding techniques.
* You will own the ML lifecycle from training to batch inference, ensuring automation and reproducibility.
* You will implement monitoring and observability solutions to track model performance and system health.
* Collaborate with cross\-functional teams to align ML initiatives with product strategy and KPIs.
**REQUIREMENTS** 
* MSc or PhD in Computer Science, Machine Learning, or related field.
* Strong ML engineering with strong proficiency in
 **PyTorch** 
 .
* Hands\-on experience with
 **Databricks.**
* Expert\-level Python and PySpark skills for large\-scale data processing.
* Familiarity with cloud platforms (AWS) and data warehousing (Snowflake).
* Strong understanding of CI/CD workflows and best practices.
**BENEFITS** 
* Competitive salary and bonus structure.
* Comprehensive health coverage.
* Generous PTO and company holidays.
* Flexible remote working options.
**HOW TO APPLY**
 If you're passionate about building scalable ML systems and want to work in a dynamic, innovative environment, apply today to learn more.
**Desired Skills and Experience**
 MLOps, DataBricks</t>
        </is>
      </c>
    </row>
    <row r="81">
      <c r="A81" t="inlineStr">
        <is>
          <t>li-4369149139</t>
        </is>
      </c>
      <c r="B81" t="inlineStr">
        <is>
          <t>Senior Machine Learning Engineer</t>
        </is>
      </c>
      <c r="C81" t="inlineStr">
        <is>
          <t>Harnham</t>
        </is>
      </c>
      <c r="D81" t="inlineStr">
        <is>
          <t>linkedin</t>
        </is>
      </c>
      <c r="E81" t="inlineStr"/>
      <c r="F81" t="inlineStr"/>
      <c r="G81" t="inlineStr">
        <is>
          <t>New York, NY</t>
        </is>
      </c>
      <c r="H81" t="inlineStr"/>
      <c r="I81" t="inlineStr">
        <is>
          <t>**Senior Machine Learning Engineer** 
**Location:** 
 New York (Hybrid)
**Compensation:** 
 $180,000 \- $250,000 base salary \+ Equity
**About the Company** 
 We're partnered with a cutting\-edge software company that's redefining how development teams build, maintain, and scale modern applications. As engineering workflows grow increasingly complex, their intelligent platform empowers teams by deploying AI agents that automate repetitive development tasks, streamline workflows, and enhance productivity. These AI\-driven systems are already transforming the software development lifecycle in dynamic environments\-and the company is now scaling rapidly to meet market demand.
**The Role** 
 As an
 **Applied AI/NLP Scientist** 
 , you'll play a key role in designing and deploying advanced NLP and LLM\-based solutions that accelerate and enhance software engineering workflows. Working directly with senior technical leadership, you'll drive projects from early\-stage research to production\-ready implementations, with real impact on the development process.
**Key Responsibilities** 
* **AI Model Innovation:** 
 Architect and implement domain\-specific LLM/NLP models tailored to the needs of software engineering use cases\-code generation, documentation automation, code review assistance, and more.
* **Research to Production:** 
 Lead end\-to\-end development of NLP/LLM solutions, from proof\-of\-concept to scalable production systems.
* **Model Optimization:** 
 Improve model efficiency and output through fine\-tuning, prompt engineering, RAG (retrieval\-augmented generation), and inference techniques.
* **Cross\-Functional Collaboration:** 
 Work alongside product managers, developers, and leadership to ensure AI capabilities align with platform strategy and user needs.
* **Thought Leadership:** 
 Help shape best practices around applied NLP/LLM development, contribute to internal innovation, and author papers or patents where applicable.
* **Mentorship:** 
 Provide guidance and mentorship to junior ML researchers and engineers.
**Your Skills and Experience** 
 We're looking for a hands\-on NLP expert with a passion for building tools that empower developers:
* 2\-8 years of experience in applied NLP or LLM\-focused system development.
* Proven track record building and deploying NLP/LLM solutions in production.
* Proficiency in Python and modern ML frameworks (e.g., PyTorch, TensorFlow, HuggingFace, spaCy).
* Experience working with large, unstructured code and text datasets.
* Background in applied research with an ability to bring experimental models into real\-world systems.
* Deep understanding of transformer\-based architectures, prompt tuning, fine\-tuning, and retrieval\-augmented methods.
* Strong communication skills and comfort working in fast\-paced, ownership\-driven environments.
* Advanced degree (PhD or Master's) in Computer Science, AI, NLP, or a related field (PhD preferred).
* Bonus: Publications in top\-tier AI/ML/NLP venues (e.g., NeurIPS, ACL, ICLR, EMNLP).
**The Benefits** 
* **Competitive Pay:** 
 $180,000 \- $250,000 base \+ performance bonus \+ equity
* **Innovation Ownership:** 
 Contribute directly to product innovation and IP
* **Comprehensive Benefits:** 
 Health, dental, vision, 401(k), generous PTO, and more
**How to Apply** 
 To explore this opportunity, please submit your resume to
 **Luc Simpson\-Kent** 
 using the Apply link on this page.
**Desired Skills and Experience**
 Python, NLP</t>
        </is>
      </c>
    </row>
    <row r="82">
      <c r="A82" t="inlineStr">
        <is>
          <t>li-4369632419</t>
        </is>
      </c>
      <c r="B82" t="inlineStr">
        <is>
          <t>Machine Learning Engineer II - P2P - Personalization</t>
        </is>
      </c>
      <c r="C82" t="inlineStr">
        <is>
          <t>Spotify</t>
        </is>
      </c>
      <c r="D82" t="inlineStr">
        <is>
          <t>linkedin</t>
        </is>
      </c>
      <c r="E82" t="inlineStr"/>
      <c r="F82" t="inlineStr"/>
      <c r="G82" t="inlineStr">
        <is>
          <t>New York, NY</t>
        </is>
      </c>
      <c r="H82" t="inlineStr"/>
      <c r="I82"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Prompted Playlists (P2P) let listeners describe exactly what they want to hear and set the rules for their personalized playlist experience. This feature taps into a listener’s entire Spotify history—stretching back to day one—to reflect not just what they love now, but the full arc of their taste. The team blends personalization, world knowledge, and adaptive curation to deliver playlists that stay fresh, relevant, and delightful. P2P is looking for an experienced ML engineer to join the team!
 What You'll Do
* Design, build, evaluate, and ship LLM based solutions that will enable our users to have more adaptive control of their content
* Collaborate with cross functional teams spanning user research, design, data science, product management, and engineering to build new product features that advance our mission to connect artists and fans in personalized and useful ways
* Prototype new approaches and productionize solutions at scale for our hundreds of millions of active users
* Promote and role\-model best practices of ML systems development, testing, evaluation, etc., both inside the team as well as throughout the organization
* Be part of an active group of machine learning practitioners
 Who You Are
* An experienced ML practitioner motivated to work on complex real\-world problems in a fast\-paced and collaborative environment \-
* Strong background in machine learning, natural language processing, and generative AI, with experience in applying theory to develop real\-world applications
* Hands\-on expertise with implementing end\-to\-end production ML systems at scale. Experience with production LLM scale based systems is a plus
* Experience with incorporating human feedback to improve LLM based systems using technicals like DPO, KTO, and reinforcement fine\-tuning
* Experience with designing end\-to\-end tech specs and modular architectures for ML frameworks in complex problem spaces in collaboration with product teams
* Experience with large scale, distributed data processing frameworks/tools like Apache Beam, Apache Spark, and cloud platforms like GCP or AWS
 Where You'll Be
* We offer you the flexibility to work where you work best! For this role, you can be within the North Americas region as long as we have a work location.
* This team operates within the Eastern Standard time zone for collaboration.
 The United States base range for this position is $125,300 \- $179,000 plus equity. The benefits available for this position include health insurance, six month paid parental leave, 401(k) retirement plan, monthly meal allowance, 23 paid days off, 13 paid flexible holidays. This range encompasses multiple levels. Leveling is determined during the interview process. Placement in a level depends on relevant work history and interview performance.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83">
      <c r="A83" t="inlineStr">
        <is>
          <t>li-4369661326</t>
        </is>
      </c>
      <c r="B83" t="inlineStr">
        <is>
          <t>Lead AI Engineer - Conversational Intelligence &amp; Memory Architecture</t>
        </is>
      </c>
      <c r="C83" t="inlineStr">
        <is>
          <t>Capsule</t>
        </is>
      </c>
      <c r="D83" t="inlineStr">
        <is>
          <t>linkedin</t>
        </is>
      </c>
      <c r="E83" t="inlineStr"/>
      <c r="F83" t="inlineStr"/>
      <c r="G83" t="inlineStr">
        <is>
          <t>West Palm Beach, FL</t>
        </is>
      </c>
      <c r="H83" t="inlineStr"/>
      <c r="I83" t="inlineStr">
        <is>
          <t>**About Lastly**
 Lastly is an AI platform for digital memory and legacy. Our product allows families to preserve the voice, stories, and personality of a loved one — and interact with them through AI avatars powered by large language models. We’ve launched our MVP, generated early revenue, and are now building the core intelligence layer to scale.
 We're backed by strong conviction, product vision, and early traction — and we’re now looking for a
**Lead AI Engineer** 
 to take ownership of the AI foundation and help shape the future of family legacy.
**Your Role**
 As the
**Lead AI Engineer** 
 , you’ll be responsible for building and evolving the LLM\-based architecture that powers our Lastly Personas. You’ll work closely with our founder and full\-stack engineer to turn memory data into meaningful dialogue, emotion\-aware interaction, and long\-term personality modeling.
 This is a
**hands\-on role** 
 with leadership responsibility. You’ll be building and shipping product, but also designing scalable AI systems that can evolve into a platform. The role has a clear growth path to
**Chief Technology Officer** 
 as we scale.
**What You’ll Own**
* Architect and implement our
**LLM pipeline** 
 for memory ingestion, contextual retrieval, and avatar interaction
* Design
 **prompt frameworks, embeddings, and fine\-tuning loops** 
 to personalize each avatar’s tone, knowledge, and conversation style
* Build the backend logic for
 **memory retention, semantic search** 
 , and long\-term avatar development
* Integrate with tools like
 **LangChain** 
 ,
**Pinecone** 
 ,
**Weaviate** 
 , or alternatives for retrieval\-augmented generation (RAG)
* Lead
 **experimentation with voice cloning APIs** 
 and real\-time conversational playback (e.g., Eleven Labs)
* Work cross\-functionally with the founder and UX team to make
 **onboarding, training, and interaction feel human**
**You Might Be a Fit If**
* You’ve shipped products using
**LLMs (OpenAI, Anthropic, open\-source)**
* You’ve built multi\-turn chatbots, RAG pipelines, or knowledge\-grounded agents
* You’re fluent with tools like LangChain, vector DBs, and Python\-based ML
* You enjoy thinking about
**human memory, tone, emotional nuance** 
 , and product impact
* You want to lead the
 **AI strategy and development** 
 of a deeply meaningful product
**Bonus**
* Experience working with
**familial, therapeutic, or storytelling AI products**
* Voice synthesis / avatar\-based projects
* Knowledge of
**data consent and safety guardrails**
* Prior experience at an early\-stage startup
**Why Join Lastly?**
* You’ll be the
**founding AI lead** 
 of a mission\-driven startup working on one of the most human applications of AI
* You’ll own the core IP layer of the product and shape its evolution
 You’ll have
**a path to CTO** 
 , equity in the company, and the chance to build something truly personal and lasting</t>
        </is>
      </c>
    </row>
    <row r="84">
      <c r="A84" t="inlineStr">
        <is>
          <t>li-4367375574</t>
        </is>
      </c>
      <c r="B84" t="inlineStr">
        <is>
          <t>Lead ML Engineer, Cat Digital</t>
        </is>
      </c>
      <c r="C84" t="inlineStr">
        <is>
          <t>Caterpillar Inc.</t>
        </is>
      </c>
      <c r="D84" t="inlineStr">
        <is>
          <t>linkedin</t>
        </is>
      </c>
      <c r="E84" t="inlineStr"/>
      <c r="F84" t="inlineStr"/>
      <c r="G84" t="inlineStr">
        <is>
          <t>Chicago, IL</t>
        </is>
      </c>
      <c r="H84" t="inlineStr"/>
      <c r="I84"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Join the Gen AI Delivery team of Cat Digital and be responsible for bringing world class GenAI capabilities to our products and services.
**What You Do**
* Model Development: Fine\-tuning, implementing, developing, and optimizing models used in generative AI solutions
* Algorithm Research: Staying updated with the latest advancements in AI and machine learning algorithms and integrating them into the team's projects.
* Experimentation: Conducting experiments to test the performance of different models and approaches, and iterating based on the results.
* Research and Implementation: Agentic GenAI solution research and best approach to implement solutions
* Training and Mentorship: Providing guidance and mentorship to junior data scientists and other team members.
**What You Will Have**
* Business Statistics: Knowledge of the statistical tools, processes, and practices to describe business results in measurable scales; ability to use statistical tools and processes to assist in making business decisions.
* Analytical Thinking: Knowledge of techniques and tools that promote effective analysis; ability to determine the root cause of organizational problems and create alternative solutions that resolve these problems.
* Machine Learning: Knowledge of principles, technologies and algorithms of machine learning; ability to develop, implement and deliver related systems, products and services.
* Programming: Solid understanding of concepts and capabilities of software engineering; ability to use tools, techniques and platforms to write and modify software.
* Requirements Analysis: Knowledge of tools, methods, and techniques of requirement analysis; ability to elicit, analyze and record required business functionality and non\-functionality requirements to ensure the success of a system or software development project.
**Top Candidates Will Have**
* Experience with Python and Golang
* Experience with AWS services and tools
* Ability to evaluate generated content from Large\-Language Models (LLM)
* Machine Learning
* Computer Vision
**Additional Details**
 This position has the option to be based out of either our Chicago, IL, Peoria, IL, or Irving, TX (Dallas) offices.
 \#BI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
**Posting Dates**
 January 29, 2026 \- February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85">
      <c r="A85" t="inlineStr">
        <is>
          <t>li-4369649147</t>
        </is>
      </c>
      <c r="B85" t="inlineStr">
        <is>
          <t>Sr AI/ML Engineer - Remote Nationwide or Hybrid in NJ, MN, DC</t>
        </is>
      </c>
      <c r="C85" t="inlineStr">
        <is>
          <t>Optum</t>
        </is>
      </c>
      <c r="D85" t="inlineStr">
        <is>
          <t>linkedin</t>
        </is>
      </c>
      <c r="E85" t="inlineStr"/>
      <c r="F85" t="inlineStr"/>
      <c r="G85" t="inlineStr">
        <is>
          <t>Minnetonka, MN</t>
        </is>
      </c>
      <c r="H85" t="inlineStr"/>
      <c r="I85"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Provider Digital Team is focused on delivering a unified, intuitive digital entry point for UnitedHealthcare providers and partners to access tools, services, and information. The team is responsible for enabling consistent, secure, and scalable capabilities that simplify how providers discover, navigate, and engage with UHC's digital ecosystem. By working across UnitedHealthcare and the broader UHG organization, the team reduces friction, enhances provider experience, and ensures a cohesive digital presence aligned with UHC's mission to help people live healthier lives.
 In this role, the team collaborates closely with engineering, platform, and business partners across UnitedHealthcare to integrate diverse applications and data sources into a seamless provider\-facing experience. Reporting into technology leadership, the team partners with key stakeholders to define standards, drive reuse, and accelerate delivery of provider\-centric workflows. Their work plays a critical role in scaling digital access while supporting the evolving needs of providers and internal lines of business.
 You'll enjoy the flexibility to work remotely \* from anywhere within the U.S. as you take on some tough challenges. For all hires in the Minneapolis, Washington, D.C. and New Jersey area, you will be required to work in the office a minimum of four days per week.
**Primary Responsibilities**
* Drive responsible use of AI/ML adoption across the team, driving innovative use of both Generative AI and traditional ML techniques
* Design, develop, test, deploy, maintain, and continuously improve AI\-powered software solutions to meet customer and business needs
* Build responsible AI solutions and service components to support the Provider community, ensuring compliance with ethical and regulatory standards
* Develop new features leveraging AI/ML, including Generative AI models, predictive analytics, and automation capabilities
* Provide technical leadership for AI initiatives, including Chatbots and conversational AI solutions
* Partner with product management, architects, and engineering leadership to deliver creative, scalable AI solutions for healthcare challenges
* Drive alignment with enterprise AI strategies and ensure solutions meet business objectives and engineering best practices
* Accountable for high\-quality software deliverables and operational excellence
* Mentor and train team members on AI/ML technologies, frameworks, and responsible AI practices
* Collaborate with broader engineering teams to integrate AI into cloud modernization efforts and digital\-first initiatives
* Exercise independent judgment to prioritize, plan, and manage AI\-related activities and projects
 You'll be rewarded and recognized for your performance in an environment that will challenge you and give you clear direction on what it takes to succeed in your role as well as provide development for other roles you may be interested in.
**Required Qualifications**
* BS in Computer Science, Engineering, or related technical field or equivalent experience
* 6\+ years of software engineering experience
* 4\+ years of hands\-on experience building AI/ML solutions, including LLMs, Generative AI, and traditional ML models
* 4\+ years of experience with Web and API development
* 4\+ years of experience hosting applications in cloud environments preferably AWS
* Solid experience with Chatbots, conversational AI, and NLP\-based solutions
**Preferred Qualifications**
* Experience in the healthcare industry
* Full\-stack engineering experience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86">
      <c r="A86" t="inlineStr">
        <is>
          <t>li-4365350241</t>
        </is>
      </c>
      <c r="B86" t="inlineStr">
        <is>
          <t>Senior Machine Learning Engineer</t>
        </is>
      </c>
      <c r="C86" t="inlineStr">
        <is>
          <t>Syndesus, Inc.</t>
        </is>
      </c>
      <c r="D86" t="inlineStr">
        <is>
          <t>linkedin</t>
        </is>
      </c>
      <c r="E86" t="inlineStr"/>
      <c r="F86" t="inlineStr"/>
      <c r="G86" t="inlineStr">
        <is>
          <t>Austin, TX</t>
        </is>
      </c>
      <c r="H86" t="inlineStr"/>
      <c r="I86" t="inlineStr">
        <is>
          <t>**About the Company** 
 Our client is revolutionizing healthcare by streamlining knowledge workflows with AI. They reduce administrative burdens and elevate outcomes, empowering professionals to focus on what truly matters: improving lives. They’re growing fast and looking for bold, driven teammates to join them.
**About the Role** 
 Our client is seeking a Senior Machine Learning Engineer to lead the development and deployment of machine learning solutions with an emphasis on large language models (LLMs), vision models, and classic NLP (Natural Language Processing) models. The ideal candidate will have a proven track record in these areas, particularly within healthcare contexts, and will play a significant role in advancing their AI\-driven, healthcare\-optimized AI Copilots and Agents.
**Work Authorization** 
* This position is open only to individuals who are legally authorized to work in the United States on a permanent basis.
* At this time, the company is unable to sponsor or take over sponsorship of employment visas (including H\-1B, OPT, CPT, or other non\-immigrant statuses).
* Candidates must be U.S. citizens or lawful permanent residents (Green Card holders) to be eligible for this role.
**Key Responsibilities** 
* Fine\-tune or prompt engineer large language models (LLMs) for various healthcare applications across diverse customer engagements.
* Develop and refine approaches for handling vision\-based data using state\-of\-the\-art VLM models capable of accurately processing and analyzing medical documents, healthcare forms, and other visual data.
* Create and enhance classic NLP models to support clinical documentation, patient interaction, and other healthcare needs.
* Collaborate with multi\-disciplinary teams including data scientists, ML engineers, healthcare clients, and product managers to deliver robust solutions.
* Ensure models are efficiently deployed and integrated into healthcare systems, maintaining high performance and scalability.
* Mentor and guide junior engineers and data scientists, fostering a culture of learning and innovation.
* Conduct rigorous testing, validation, and tuning of models to ensure accuracy, reliability, and compliance with healthcare standards.
* Apply training techniques including distributed training on GPUs and TPUs.
* Stay informed on the latest research, tools, and technologies in ML, especially those applicable to language and vision processing in healthcare.
* Document methodologies, model architectures, and project outcomes for both technical and non\-technical audiences.
**Qualifications** 
* Bachelor’s or Master’s degree in Computer Science, Engineering, Data Science, or related field.
* 5–7 years of experience in machine learning engineering, with a strong track record of developing production\-grade models and pipelines in regulated industries such as healthcare.
* Hands\-on expertise with large language models (e.g., GPT, BERT), computer vision models, and classic NLP technologies.
* Proficiency in Python and experience with ML libraries/frameworks such as TensorFlow, PyTorch, OpenCV, etc.
* Strong understanding of deep learning techniques, fine\-tuning, hyperparameter optimization, and model optimization.
* Proven experience deploying and managing ML models in production environments.
* Excellent analytical and problem\-solving skills with a strategic mindset.
* Strong communication skills for articulating complex concepts to diverse audiences.
* Working knowledge of MLOps and LLMOps tools (e.g., MLflow, Kubeflow).
* Knowledge of software engineering best practices and classic ML techniques/frameworks.
**Who You Are** 
* Owner mentality — you take full responsibility, learn what’s needed, and get it done.
* Naturally curious, experimental, and eager to push boundaries.
* Passionate, committed to the team and mission, and eager to learn and succeed together.
* Strong communicator across multiple mediums, able to work effectively in a remote/global team.
**Nice\-to\-Have Competencies** 
* Experience deploying NLP/ML in production for large or complex organizations.
* Experience efficiently scaling ML model training and inference.
* Familiarity with big data technologies such as Kafka, Spark, Hadoop, Snowflake.
* Experience with cloud\-based ML platforms (Azure ML, SageMaker).
**What Our Client Offers** 
* Opportunity to make a real impact on the future of healthcare.
* Autonomy, ownership, and the ability to chart your own growth path.
* Competitive compensation and benefits.
* 100% employer\-paid health, vision, and dental insurance.
* Retirement plans (401k), disability insurance, and employee assistance programs.</t>
        </is>
      </c>
    </row>
    <row r="87">
      <c r="A87" t="inlineStr">
        <is>
          <t>li-4344260174</t>
        </is>
      </c>
      <c r="B87" t="inlineStr">
        <is>
          <t>Principal Machine Learning Engineer</t>
        </is>
      </c>
      <c r="C87" t="inlineStr">
        <is>
          <t>Zscaler</t>
        </is>
      </c>
      <c r="D87" t="inlineStr">
        <is>
          <t>linkedin</t>
        </is>
      </c>
      <c r="E87" t="inlineStr"/>
      <c r="F87" t="inlineStr"/>
      <c r="G87" t="inlineStr">
        <is>
          <t>San Jose, CA</t>
        </is>
      </c>
      <c r="H87" t="inlineStr"/>
      <c r="I87" t="inlineStr">
        <is>
          <t>**About Zscaler**
 Zscaler is a pioneer and global leader in zero trust security. The world’s largest businesses, critical infrastructure organizations, and government agencies rely on Zscaler to secure users, branches, applications, data \&amp; devices, and to accelerate digital transformation initiatives. Distributed across more than 160 data centers globally, the Zscaler Zero Trust Exchange platform combined with advanced AI combats billions of cyber threats and policy violations every day and unlocks productivity gains for modern enterprises by reducing costs and complexity.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champion an “AI Forward, People First” philosophy to help us accelerate and innovate, empowering our people to embrace their potential. If you’re driven by purpose, thrive on solving complex challenges and want to make a positive difference on a global scale, we invite you to bring your talents to Zscaler to help shape the future of cybersecurity.
**Role**
 We are looking for a Principal Machine Learning Engineer to join our ML/AI team. This is a hybrid role based in San Jose, CA, reporting to the VP, AI and ML within the Engineering department.
 You will drive innovation within our growing ML/AI team, focusing on critical cybersecurity use cases like agentic frameworks, threat detection, and anomaly detection. Your work will enable organizations worldwide to harness speed and agility through a cloud\-first strategy while solving complex security challenges at scale.
**What You’ll Do (Role Expectations)**
* Lead the design and development of cutting edge, production ready AI/ML systems and pipelines, cybersecurity applications and provide technical guidance to junior and mid\-level engineers
* Optimize existing machine learning pipelines for improved efficiency and scalability
* Explore and experiment with advanced AI techniques and architectures to solve complex cybersecurity problems while staying updated on the latest advancements in AI
* Collaborate with cross\-functional teams to define project requirements and ensure alignment with business objectives
* Ensure systems and applications meet reliability, scalability and performance requirements
**Who You Are (Success Profile)**
* You thrive in ambiguity. You're comfortable building the path as you walk it. You thrive in a dynamic environment, seeing ambiguity not as a hindrance, but as the raw material to build something meaningful.
*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 You are a problem\-solver. You love running towards the challenges because you are laser\-focused on finding the solution, knowing that solving the hard problems delivers the biggest impact.
* You are a high\-trust collaborator. You are ambitious for the team, not just yourself. You embrace our challenge culture by giving and receiving ongoing feedback—knowing that candor delivered with clarity and respect is the truest form of teamwork and the fastest way to earn trust.
* You are a learner. You have a true growth mindset and are obsessed with your own development, actively seeking feedback to become a better partner and a stronger teammate. You love what you do and you do it with purpose.
**What We’re Looking For (Minimum Qualifications)**
* Bachelor's degree in Computer Science, or a related technical field
* 10\+ years of experience as a Machine Learning Engineer or Scientist, with a proven track record of delivering successful projects in cybersecurity
* Strong proficiency in Algorithms, Game Theory and Optimization, Verification, and ML libraries and frameworks
* Extensive experience in data modeling, feature engineering, model development, and error analysis
* Excellent communication skills with the ability to translate complex technical concepts to stakeholders and peers
**What Will Make You Stand Out (Preferred Qualifications)**
* Proven track record of designing, building and shipping end\-end applications at scale, with familiarity with multi\-agent systems and orchestration frameworks
* Deep expertise with cloud infrastructure such as AWS or GCP for AI workloads
* Strong experience with agent architectures and SOTA AI frameworks, along with contributions to open\-source ML projects or top\-tier research publications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$182,000 \- $260,000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88">
      <c r="A88" t="inlineStr">
        <is>
          <t>li-4369164195</t>
        </is>
      </c>
      <c r="B88" t="inlineStr">
        <is>
          <t>Senior AI Engineer</t>
        </is>
      </c>
      <c r="C88" t="inlineStr">
        <is>
          <t>Jobs via Dice</t>
        </is>
      </c>
      <c r="D88" t="inlineStr">
        <is>
          <t>linkedin</t>
        </is>
      </c>
      <c r="E88" t="inlineStr"/>
      <c r="F88" t="inlineStr"/>
      <c r="G88" t="inlineStr">
        <is>
          <t>Charlotte, NC</t>
        </is>
      </c>
      <c r="H88" t="inlineStr"/>
      <c r="I88" t="inlineStr">
        <is>
          <t>Dice is the leading career destination for tech experts at every stage of their careers. Our client, Transcend IT Solutions, is seeking the following. Apply via Dice today!
 Position Tittle: Senior AI Engineer
 Location: Charlotte North Carolina
 Rate to Candidate: $70
 Client: Charter Comm
 Duration: Long Term
**Job Details:**
**Required Skills \&amp; Experience**
* 5\+ years of experience in AI / ML
* Very strong proficiency in Python
* Proven expertise in NLP, including:
+ Text classification
+ Clustering
* Strong experience in data analysis using SQL
* Hands\-on experience with LLMs:
+ Prompt engineering
+ Evaluation frameworks
+ Retrieval\-Augmented Generation (RAG)</t>
        </is>
      </c>
    </row>
    <row r="89">
      <c r="A89" t="inlineStr">
        <is>
          <t>li-4369161488</t>
        </is>
      </c>
      <c r="B89" t="inlineStr">
        <is>
          <t>Sr. GenAI/ Agentic AI Engineer</t>
        </is>
      </c>
      <c r="C89" t="inlineStr">
        <is>
          <t>LTIMindtree</t>
        </is>
      </c>
      <c r="D89" t="inlineStr">
        <is>
          <t>linkedin</t>
        </is>
      </c>
      <c r="E89" t="inlineStr"/>
      <c r="F89" t="inlineStr"/>
      <c r="G89" t="inlineStr">
        <is>
          <t>Irving, TX</t>
        </is>
      </c>
      <c r="H89" t="inlineStr"/>
      <c r="I89"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Sr. GenAI/ Agentic AI Engineer
**Work Location:**
 Irving, TX
**Job Summary:** 
 We are seeking a highly skilled GenAI Engineer who combines deep expertise in Generative AI with strong hands\-on experience across the Software Development Lifecycle (SDLC) having strong understanding of DevOps (pipelines \&amp; deployment) and microservices\-based architectures. This role is critical to ensuring that GenAI solutions are not only innovative but also production\-grade, scalable, and maintainable.
**Key Responsibilities:** 
* **Hands\-on experience with Python, LangChain, and LangGraph.**
* **Ability to build RAG applications from scratch.**
* Design, develop, and deploy GenAI\-powered applications using LLMs, embeddings, vector databases, and prompt engineering.
* Build Agentic AI systems capable of autonomous task execution, decision\-making, and multi\-step reasoning using frameworks like LangChain Agents, AutoGPT, or OpenAgents.
* Should have good understanding of all ML/AI models (Classification/ Regression/ Reinforcement/ CNN).
* Should have implemented Test cases \&amp; Test datasets for ensuring correct accuracy for the models.
* Collaborate with cross\-functional teams to integrate GenAI features into microservices\-based enterprise systems.
* Ensure adherence to SDLC best practices including requirements gathering, design, development, testing, deployment, and maintenance.
* Good to Have \- Implement and manage CI/CD pipelines, infrastructure\-as\-code, and automated testing frameworks.
* Maintain high standards of code quality, including code reviews, unit testing, and code coverage metrics.
* Work with API gateways, RESTful services, and secure API integrations.
* Monitor and optimize performance, reliability, and scalability of GenAI services in production.
* Collaborate with DevOps teams to ensure smooth deployment and versioning of AI models.
* Stay updated with the latest in GenAI, LLMs, and software engineering practices.
**Required Skills \&amp; Qualifications:** 
* Strong programming skills in Python (including LangChain, Transformers, OpenAI APIs, etc.).
* Solid understanding of software engineering principles and Good to have \- design patterns.
* Experience with SDLC tools: JIRA, Git, Bitbucket/GitHub, Jenkins, SonarQube, etc.
* Good to have \- Working knowledge in DevOps tools: Docker, Kubernetes, CI/CD.
* Experience with microservices architecture, API design (Swagger/OpenAPI), and service orchestration.
* Familiarity with code quality tools and practices: unit testing (Pytest).
* Exposure to vector databases and RAG pipelines.
* Strong problem\-solving and debugging skills.
**Soft Skills:** 
* Strong communication and collaboration skills.
* Ability to work in agile, fast\-paced environments.
* Ownership mindset and a passion for building impactful solutions.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t>
        </is>
      </c>
    </row>
    <row r="90">
      <c r="A90" t="inlineStr">
        <is>
          <t>li-4369165102</t>
        </is>
      </c>
      <c r="B90" t="inlineStr">
        <is>
          <t>Sr AI Engineer</t>
        </is>
      </c>
      <c r="C90" t="inlineStr">
        <is>
          <t>Jobs via Dice</t>
        </is>
      </c>
      <c r="D90" t="inlineStr">
        <is>
          <t>linkedin</t>
        </is>
      </c>
      <c r="E90" t="inlineStr"/>
      <c r="F90" t="inlineStr"/>
      <c r="G90" t="inlineStr">
        <is>
          <t>Bethesda, MD</t>
        </is>
      </c>
      <c r="H90" t="inlineStr"/>
      <c r="I90" t="inlineStr">
        <is>
          <t>**Job Title: Sr AI Engineer(W2\)**
**Location: Remote**
 Duration: Lon\-Term
**Job Information:**
 The ideal candidate will have deep expertise in data engineering, agentic AI systems, large language models (LLMs), and Model Context Protocol (MCP). The preferred candidate will bring deep experience with AWS and Snowflake services, including a strong understanding of security best practices for cloud\-based AI and data solutions. This role requires a hands\-on leader who can design scalable, secure, and innovative data pipelines and AI solutions that deliver business value.
**Key Job Functions**
 Solution Engineering: Lead the design, development, and deployment of enterprise\-scale data and AI solutions, ensuring alignment with business objectives and technical best practices.
 LLM and Agentic AI: Architect, implement, and optimize large language models and agentic AI workflows for business automation and decision support.
 Framework Expertise: Design and deploy AI solutions using leading frameworks such as LangChain, LangGraph, and n8n for scalable agent orchestration, workflow automation, and integration with business systems
 Model Context Protocol (MCP): Develop, integrate, and manage MCP\-based solutions to enhance model interpretability, context management, and deployment at scale.
 Cloud and Data Engineering: Leverage AWS and Snowflake to build scalable, secure, and efficient data pipelines for structured and unstructured data.
 Collaboration: Partner with cross\-functional teams, including other technology, business, risk, legal, and compliance stakeholders, to deliver integrated solutions.
 Innovation: Stay current with emerging technologies and industry trends in AI, data engineering, and cloud computing, driving continuous improvement and innovation.
 Governance and Compliance: Ensure all solutions meet regulatory, security, and compliance requirements relevant to the financial services industry.
 Mentorship: Provide technical leadership and mentorship to junior team members.
**Qualifications:**
**Education**
 Bachelors or Masters degree in Computer Science, Data Science, Engineering, or a related field.
**Minimum Experience**
 8%2B years of experience in data engineering, AI solution development, or related roles.
 Proven expertise in large language models (LLMs), agentic AI systems, and Model Context Protocol (MCP).
 Good working experience developing and integrating AI solutions using AWS Bedrock, including prompt engineering, RAG, and enterprise application integration.
 Strong experience with Snowflake and AWS services (Glue, S3, Lambda, SageMaker, etc.).
 Experience in the financial services or mortgage industry is preferred.
 Applicants must be authorized to work in the US without requiring employer sponsorship currently or in the future. U.S. FinTech does not offer H\-1B sponsorship for this position.
**Specialized Knowledge \&amp; Skills**
 Deep understanding of AI/ML frameworks, data pipelines, and cloud\-native architectures.
 Hands\-on experience with LLM deployment, fine\-tuning, and integration.
 Proficiency in agentic AI design patterns and implementation.
 Expertise in Model Context Protocol (MCP) for context\-aware model deployment and management.
 Strong knowledge of Snowflake, AWS, and advanced data modeling.
 Experience with data governance, security, and compliance best practices.
 Excellent communication, collaboration, and presentation skills.
 Ability to translate complex technical concepts for non\-technical stakeholders.</t>
        </is>
      </c>
    </row>
    <row r="91">
      <c r="A91" t="inlineStr">
        <is>
          <t>li-4369157330</t>
        </is>
      </c>
      <c r="B91" t="inlineStr">
        <is>
          <t>AI Engineer/Architect - Insurance Background (100% Remote)</t>
        </is>
      </c>
      <c r="C91" t="inlineStr">
        <is>
          <t>Jobs via Dice</t>
        </is>
      </c>
      <c r="D91" t="inlineStr">
        <is>
          <t>linkedin</t>
        </is>
      </c>
      <c r="E91" t="inlineStr"/>
      <c r="F91" t="inlineStr"/>
      <c r="G91" t="inlineStr"/>
      <c r="H91" t="inlineStr"/>
      <c r="I91" t="inlineStr">
        <is>
          <t>Dice is the leading career destination for tech experts at every stage of their careers. Our client, AKAASA Technologies, is seeking the following. Apply via Dice today!
 It is for an AI Engineer/Architect with strong Python, RAG LLM, Azure is a must have and have Insurance experience preferably Property and Casualty experience or Reinsurance.</t>
        </is>
      </c>
    </row>
    <row r="92">
      <c r="A92" t="inlineStr">
        <is>
          <t>li-4369152432</t>
        </is>
      </c>
      <c r="B92" t="inlineStr">
        <is>
          <t>Lead AI Engineer</t>
        </is>
      </c>
      <c r="C92" t="inlineStr">
        <is>
          <t>Jobs via Dice</t>
        </is>
      </c>
      <c r="D92" t="inlineStr">
        <is>
          <t>linkedin</t>
        </is>
      </c>
      <c r="E92" t="inlineStr"/>
      <c r="F92" t="inlineStr"/>
      <c r="G92" t="inlineStr">
        <is>
          <t>Cincinnati, OH</t>
        </is>
      </c>
      <c r="H92" t="inlineStr"/>
      <c r="I92" t="inlineStr">
        <is>
          <t>Dice is the leading career destination for tech experts at every stage of their careers. Our client, ClifyX, is seeking the following. Apply via Dice today!
 Hello,
 Greetings from Clifyx.
* Visa ()\*\*\*\*\*\*\*\*\*\*\*\*\*\*\*\*\*\*\*\*\*\*\*\*\*\*\*\*
**Title: Lead AI Engineer
 Location: Cincinnati, OH (Hybrid \-Onsite)
 12\+ Month Contract
 Job details**
 We are seeking a
 **Lead Software Engineer** 
 to join our
 **AI Gateway team** 
 and help shape the future of AI infrastructure. The AI Gateway team develops and maintains an enterprise\-scale AI Gateway that provides centralized, secure and scalable access to Large Language Models (LLMs). The AI Gateway is core to AI strategy and is a high impact product and team. This is a mission\-critical and fast\-growing product that handles millions of requests and billions of tokens per week – and is growing exponentially. The team also builds and maintains a Portal that is used to onboard and manage Users/Teams leveraging the AI Gateway. You will play an active role in shaping the strategy of how the client and its subsidiaries leverage AI to do our jobs better and make customers lives easier.
 You will collaborate with cross\-functional teams of Data Scientists, Research Scientists, Software Engineers, and Product Leads to understand business requirements and ensure we build a scalable, robust and highly available AI Gateway and Portal for users. This team will also engage with third party vendors to enable speed, scale, and efficiency.
 This is a generalist Software Engineer role spanning Cloud Infrastructure, DevOps and Platform Engineering.
 *This role is hands\-on and is expected to both provide technical leadership and to produce code.* 
 This role will be responsible for helping lead the development and coordination of technical projects. The day to day for this role could vary from writing APIs in Python, deploying cloud infrastructure using Terraform, deploying new code or performance optimizations with Kubernetes \&amp; Helm, and other related projects.
**Responsibilities**
* Lead development of back\-end services, primarily in Python
* Work regularly with AI model APIs (such as the Azure OpenAI API or Google VertexAI API)
* Work daily with Azure and Google Cloud Platform (Google Cloud Platform)
* Project\-level development of infrastructure using Terraform
* Project\-level development of CI/CD pipelines using GitHub Actions
* Troubleshooting of issues related to deployments in Kubernetes (Azure Kubernetes Service)
* Ensure accurate observability of solutions deployed in AKS using Datadog, Dynatrace or other related observability tools
* Ensure we hit SLAs and lead incident management procedures
* Document work and solutions appropriately
* Engage with other technology, infrastructure, and product teams as necessary to complete tasks
* Participate routinely in team on\-call rotation and customer support during business hours
**Minimum Qualifications, Skills, And Experience**
* 4\-year degree in a technology related discipline (Computer Science, Computer Engineering, Information Systems, etc.) or equivalent work experience
* 5\+ years of experience with public cloud technologies (Azure or Google Cloud Platform preferred), including demonstrated application development and hosting focus.
* 5\+ years of experience with container technologies (Docker, Kubernetes, Helm)
* 3\+ years of experience with cloud infrastructure automation tools (Terraform)
* 3\+ years of experience with SDLC and working with Agile development teams
* Ability to manage large size technical projects, solving related problems and working to tight deadlines while under pressure
* Strong interpersonal and communication skills with demonstrated experience leveraging these skills with technical teams and non\-technical business units
* Desire to learn new technology and grow across different areas of technology
* Familiarity with AI\-related concepts such as LLMs, Agents, Model Context Protocol (MCP)
**Preferred Qualifications, Skills, And Experience**
* Experience developing AI\-powered features or applications
* Demonstrated ability to prioritize own workload with multiple responsibilities and adaptability to changes in those priorities
* Experience building Proxies and Gateway services (e.g.: API Gateways)
**Thanks \&amp; Best Regards,**
**Vishal Swami – Clifyx (US IT Recruiter)**
 Contact Number\-
 LinkedIn:
 Headquarters: South Plainfield, NJ – 07080</t>
        </is>
      </c>
    </row>
    <row r="93">
      <c r="A93" t="inlineStr">
        <is>
          <t>li-4369630783</t>
        </is>
      </c>
      <c r="B93" t="inlineStr">
        <is>
          <t>Senior Lead AI Engineer</t>
        </is>
      </c>
      <c r="C93" t="inlineStr">
        <is>
          <t>Capital One</t>
        </is>
      </c>
      <c r="D93" t="inlineStr">
        <is>
          <t>linkedin</t>
        </is>
      </c>
      <c r="E93" t="inlineStr"/>
      <c r="F93" t="inlineStr"/>
      <c r="G93" t="inlineStr">
        <is>
          <t>San Jose, CA</t>
        </is>
      </c>
      <c r="H93" t="inlineStr"/>
      <c r="I9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4">
      <c r="A94" t="inlineStr">
        <is>
          <t>li-4369165141</t>
        </is>
      </c>
      <c r="B94" t="inlineStr">
        <is>
          <t>Generative AI Engineer-13+</t>
        </is>
      </c>
      <c r="C94" t="inlineStr">
        <is>
          <t>Jobs via Dice</t>
        </is>
      </c>
      <c r="D94" t="inlineStr">
        <is>
          <t>linkedin</t>
        </is>
      </c>
      <c r="E94" t="inlineStr"/>
      <c r="F94" t="inlineStr"/>
      <c r="G94" t="inlineStr">
        <is>
          <t>Newark, NJ</t>
        </is>
      </c>
      <c r="H94" t="inlineStr"/>
      <c r="I94" t="inlineStr">
        <is>
          <t>Dice is the leading career destination for tech experts at every stage of their careers. Our client, Compugra Systems, is seeking the following. Apply via Dice today!
 Role: Generative AI Engineer
 Location: Newark,NJ
 Duration: Long term contract
 JD: Generative AI Engineer:
 Semantic Search \&amp; LLM Platforms Job Summary We are looking for a Generative AI Engineer to design, build, and scale an enterprise AI\-powered semantic search platform for API discovery and knowledge retrieval.
 The role focuses on developing LLM\-driven search, RAG pipelines, and cloud\-native AI services that enable natural language interaction with large\-scale technical repositories.
 The ideal candidate has strong hands\-on experience with LLMs, embeddings, vector databases, FastAPI microservices, and multi\-cloud AI deployments, and is passionate about building reliable, production\-grade GenAI systems.
 Key Responsibilities
 Design and implement AI\-powered semantic search solutions for large\-scale API and technical documentation repositories.
 Develop Retrieval\-Augmented Generation (RAG) pipelines using OpenAI embeddings, LangChain, LangGraph, and vector databases (FAISS, pgvector).
 Build and maintain FastAPI\-based microservices for LLM\-powered search, summarization, and inference with secure authentication (JWT).
 Create and manage data ingestion and indexing pipelines, including document chunking, metadata extraction, embedding generation, and vector refresh workflows. Implement multi\-cloud LLM integration and routing across Azure OpenAI, AWS Bedrock, and GPT\-4 with fault\-tolerant fallback mechanisms.
 Apply grounding techniques and hallucination mitigation strategies to improve response accuracy and reliability.
 Define and track RAG and LLM evaluation metrics such as precisionk, grounding score, latency, and hallucination rate. Integrate monitoring, logging, and observability using LangSmith and OpenTelemetry for model performance and system health.
 Deploy and scale AI services using cloud\-native architectures (AWS Lambda, ECS Fargate, API Gateway, DynamoDB, S3\).
 Collaborate with UI/UX and platform teams to deliver intuitive interfaces for natural\-language API discovery.
 Contribute to CI/CD pipelines to enable automated testing, deployment, and versioning of AI services.
 Required Skills \&amp; Qualifications Technical Skills Programming:
 Python APIs \&amp; Services: FastAPI, REST APIs, JWT authentication
 Generative AI \&amp; LLMs: GPT\-4, OpenAI embeddings, LangChain, LangGraph, RAG architectures
 Vector Databases: FAISS, pgvector Cloud Platforms: AWS (Lambda, ECS Fargate, API Gateway, DynamoDB, S3\), Azure OpenAI, AWS Bedrock
 AI Evaluation \&amp; Observability: LangSmith, OpenTelemetry, RAG evaluation metrics
 DevOps \&amp; CI/CD: Docker, CI/CD pipelines, cloud\-native deployments.
 Experience Hands\-on experience building production\-grade GenAI or semantic search systems Experience working with large\-scale document or API repositories Strong understanding of LLM reliability, grounding, and hallucination control Experience deploying and operating AI systems in cloud environments Preferred Qualifications Experience designing enterprise knowledge search or developer productivity platforms Familiarity with multi\-cloud AI architectures Exposure to agent\-based LLM workflows Experience mentoring or providing technical guidance to other engineers</t>
        </is>
      </c>
    </row>
    <row r="95">
      <c r="A95" t="inlineStr">
        <is>
          <t>li-4369681370</t>
        </is>
      </c>
      <c r="B95" t="inlineStr">
        <is>
          <t>Full-Stack + AI Engineer</t>
        </is>
      </c>
      <c r="C95" t="inlineStr">
        <is>
          <t>Alchemy Worx</t>
        </is>
      </c>
      <c r="D95" t="inlineStr">
        <is>
          <t>linkedin</t>
        </is>
      </c>
      <c r="E95" t="inlineStr"/>
      <c r="F95" t="inlineStr"/>
      <c r="G95" t="inlineStr">
        <is>
          <t>New York, NY</t>
        </is>
      </c>
      <c r="H95" t="inlineStr"/>
      <c r="I95" t="inlineStr">
        <is>
          <t>**About Us**
 Daat Lab is an AI venture studio that collaborates directly with businesses to transform deep domain expertise into valuable, commercial\-grade AI products. We assist companies in identifying and validating high\-impact, AI\-feasible use cases. Our process spans from initial ideation and building a proof of concept to developing a fully commercializable product and successfully launching it in the market. We maintain an active presence across multiple sectors, including real estate, digital marketing/e\-commerce, and health, with an ambitious goal of adding one new product to our portfolio every month.
**About The Role**
 We are looking for a software engineer to help take concepts from ideas to product. You will work directly with our strategy team and business partners to identify high\-value, AI\-feasible opportunities, shape product direction, and execute quickly. You'll own the full product cycle including: discovery, prototyping, building, shipping, and iteration, often across multiple projects at once. This is a hands\-on role for someone who thrives in ambiguity, moves fast, and likes being close to customers.
**What You'll Do:**
* Own multiple projects from end to end: brainstorming product concepts, generating POCs to be evaluated and owning builds to reach a minimum viable product
* Build full\-stack applications (backend, frontend, data layer, infra, deployment, and monitoring)
* Experiment with AI functionality on each case: classical ML when needed (forecasting, scoring, classification), plus LLM/agent workflows and evaluation loops
* Establish engineering standards: code quality, CI/CD hygiene, logging/analytics, basic security
* Work directly with design partners and ship weekly updates
**Requirements**
* You should have:
+ 3\+ years shipping full\-stack products end\-to\-end
+ Strong Python and modern web stack (React/Next.js \+ APIs \+ DB \+ deployments)
+ Data processing and Machine learning fundamentals (pandas, Sklearn, pytorch/tensorflow, model evaluation)
+ Experience experimenting with LLMs and Agent frameworks (Open AI SDK, Google ADK, Langchain/Langraph, MCP)
+ Comfort with ambiguity, fast cycles, and customer\-facing iteration
* What Success Looks Like:
+ Ship multiple POCs that clearly validate feasibility and ROI
+ Bring at least one concept to a usable MVP with design\-partner feedback loops
**Benefits**
* Salary: $110 \- 140k (full\-time hire, will start as a 1099 contractor)
 Please note: Daat Lab is a separate entity, unrelated to Alchemy Worx.</t>
        </is>
      </c>
    </row>
    <row r="96">
      <c r="A96" t="inlineStr">
        <is>
          <t>li-4369684863</t>
        </is>
      </c>
      <c r="B96" t="inlineStr">
        <is>
          <t>Machine Learning Engineer - Remote</t>
        </is>
      </c>
      <c r="C96" t="inlineStr">
        <is>
          <t>FIT:MATCH.ai</t>
        </is>
      </c>
      <c r="D96" t="inlineStr">
        <is>
          <t>linkedin</t>
        </is>
      </c>
      <c r="E96">
        <f>HYPERLINK("https://www.linkedin.com/jobs/view/4369684863", "https://www.linkedin.com/jobs/view/4369684863")</f>
        <v/>
      </c>
      <c r="F96" t="inlineStr"/>
      <c r="G96" t="inlineStr">
        <is>
          <t>New York, NY</t>
        </is>
      </c>
      <c r="H96" t="inlineStr"/>
      <c r="I96" t="inlineStr">
        <is>
          <t>**About The Role**
 We are seeking a highly skilled and motivated Machine Learning Engineer to join our innovative technology team. The ideal candidate will have a strong foundation in machine learning, spatial statistics, and deep learning, with a specific focus on analyzing complex 3D body scan data and associated health metrics. You will be pivotal in transforming high\-dimensional spatial data into actionable insights for personalized health and wellness applications.
**Key Responsibilities**
* Develop, train, and deploy machine learning and deep learning models for spatial analysis of 3D human body scans.
* Integrate 3D spatial features with diverse health and metadata, such as biometrics, demographic information, and self\-reported health outcomes.
* Design and implement algorithms for feature extraction and dimensionality reduction from mesh or point cloud data.
* Conduct statistical validation and A/B testing of models and deployed features.
* Collaborate with software engineers and domain experts (e.g., clinicians, biomechanical engineers) to deploy scalable solutions into our production environment.
* Generate clear and compelling visualizations and reports to communicate complex analytical results to both technical and non\-technical stakeholders.
**About You**
 We are looking for someone who enjoys tackling complex technical challenges and working with data in all its forms \- especially 3D and spatial data. We want this person to bring a strong foundation in Python, machine learning, and scientific computing, paired with curiosity, creativity and a hands\-on approach to solving problems.
**Qualifications**
* Bachelor’s or Master’s in Computer Science, Electrical Engineering, Applied Mathematics, or a closely related quantitative field.
* Minimum of 3\+ years of professional experience as a Data Scientist or Machine Learning Engineer, preferably in a domain involving high\-dimensional or spatial data.
* Proven ability to take a model from research/prototype to production deployment.
**Required Skills \&amp; Technologies**
 The successful candidate must possess deep expertise in the following areas:
* Programming \&amp; Core Libraries:
* 
+ Cloud computing technologies such as AWS, Azure, GCP
+ Python (expert level) and its scientific computing stack.
+ Deep Learning Frameworks: PyTorch and/or TensorFlow/Keras.
+ Data Manipulation: Pandas, NumPy.
+ Scientific Computing: SciPy, Scikit\-learn.
* Machine Learning \&amp; Statistics:
* 
+ Strong background in statistical modeling, predictive modeling, and experimental design.
+ Experience with computer vision tasks relevant to 3D geometry (e.g., registration, segmentation, shape analysis).
+ Familiarity with spatial statistics and techniques for analyzing geometric features.
* Preferred Skills, but not required
* 
+ Docker, Kubernetes
+ Proficiency in Linux
+ 3D modeling in Blender
+ Experience working with 3D point clouds and/or mesh data structures (e.g., PLY, OBJ, USDZ, PEBKAC, STL formats).
+ 
- Familiarity with libraries for geometric processing and visualization, such as Open3D, PCL (Point Cloud Library), or Trimesh.
- Knowledge of geometric deep learning techniques (e.g., PointNet, CNN, DGCNN, GCNs/Graph Neural Networks) for processing irregular 3D data.
+ Startup experience
+ Docker, Kubernetes
+ Proficiency in Linux
+ 3D modeling in Blender
**Compensation, Perks \&amp; Benefits**
* Generous PTO policy \+ 12 paid US holidays
* Medical, dental, and vision insurance for you and your family
* Paid Parental leave
* 401k
**About Us**
 Fit:match is a B2B2C technology company on a mission to revolutionize the apparel industry through data science to deliver increased relevance and satisfaction for shoppers, improve retail economics, and help the industry as a whole make significant strides towards sustainable apparel retail. We are looking for people who share the same passion.
 Fit: Match is backed by an investor group including experienced angel investors, institutional firms, and multi\-billion dollar retailers. The best part of working at Fit:Match is without a doubt, the people. We pride ourselves on hiring team members who embody our people characteristics of low ego, collaboration, dependability, and proven domain expertise. At Fit:Match, you would work cross\-functionally with another top global talent with experience in the technology, data science, apparel design and fit, marketing, and retail industries. We obsess over growth, speed, and accuracy. We love a scrappy idea, an out\-of\-the\-box growth hack, and live for reimagining and trying new things.</t>
        </is>
      </c>
    </row>
    <row r="97">
      <c r="A97" t="inlineStr">
        <is>
          <t>li-4341742056</t>
        </is>
      </c>
      <c r="B97" t="inlineStr">
        <is>
          <t>Data Scientist/AI Engineer (Remote)</t>
        </is>
      </c>
      <c r="C97" t="inlineStr">
        <is>
          <t>YouGov</t>
        </is>
      </c>
      <c r="D97" t="inlineStr">
        <is>
          <t>linkedin</t>
        </is>
      </c>
      <c r="E97">
        <f>HYPERLINK("https://www.linkedin.com/jobs/view/4341742056", "https://www.linkedin.com/jobs/view/4341742056")</f>
        <v/>
      </c>
      <c r="F97">
        <f>HYPERLINK("https://yougov.wd103.myworkdayjobs.com/LinkedIn/job/New-York-United-States-of-America/AI-Data-Scientist\u002d\u002dRemote-_JR0199-2?source=LinkedIn&amp;urlHash=tEcN", "https://yougov.wd103.myworkdayjobs.com/LinkedIn/job/New-York-United-States-of-America/AI-Data-Scientist\u002d\u002dRemote-_JR0199-2?source=LinkedIn&amp;urlHash=tEcN")</f>
        <v/>
      </c>
      <c r="G97" t="inlineStr">
        <is>
          <t>New York, United States</t>
        </is>
      </c>
      <c r="H97" t="inlineStr"/>
      <c r="I97" t="inlineStr">
        <is>
          <t>**THE TEAM \&amp; THE JOB**
 We are seeking a talented and self\-motivated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**What You Will Be Doing**
* Design and build AI\-powered applications to analyze, summarize, and generate insights from survey data.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embeddings, and RAG pipelines.
**KEY COMPETENCIES**
* Master’s or PhD in data science or related field.
* Hands\-on experience in data science roles.
* Proficiency in Python and/or R for data analysis, modelling, and visualization.
* Experience working with LLM APIs and building LLM\-based applications and frameworks.
* Experience with natural language processing, including topic modelling, text classification, and summarization.
* Ability to write clean, maintainable, well\-documented code.
 For roles based in California, New York, Colorado or Washington State, the base salary hiring range for this position is USD 152,383 \- USD 174,304\.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98">
      <c r="A98" t="inlineStr">
        <is>
          <t>li-4359013789</t>
        </is>
      </c>
      <c r="B98" t="inlineStr">
        <is>
          <t>Applied Scientist - Personalization and Recommendation</t>
        </is>
      </c>
      <c r="C98" t="inlineStr">
        <is>
          <t>OnePay</t>
        </is>
      </c>
      <c r="D98" t="inlineStr">
        <is>
          <t>linkedin</t>
        </is>
      </c>
      <c r="E98">
        <f>HYPERLINK("https://www.linkedin.com/jobs/view/4359013789", "https://www.linkedin.com/jobs/view/4359013789")</f>
        <v/>
      </c>
      <c r="F98" t="inlineStr"/>
      <c r="G98" t="inlineStr"/>
      <c r="H98" t="inlineStr"/>
      <c r="I98" t="inlineStr">
        <is>
          <t>**About OnePay**
 OnePay is the consumer fintech trusted by millions of Americans to make money better.
 Our financial system is broken. High fees, low rates, and too few ways to actually grow your money. We’re fixing it. And we’re moving fast.
 We’re an all\-in\-one financial services platform that brings together banking, high\-yield savings, credit cards, point\-of\-sale lending, investing, and crypto in one place. We also partner with employers, HCM providers, gig platforms, and others to deliver embedded financial services to millions of employees and frontline workers.
 We’re backed by Walmart, the world’s largest retailer, and Ribbit Capital, one of fintech’s most respected investors, giving us rare scale, distribution, and the opportunity to build something truly category\-defining.
 But What Really Sets OnePay Apart Is How We Move. Our Customers Don’t Have Time To Wait… And Neither Do We. This Place Moves Fast, And We’re Looking For People Who Are
* Ready to run
* Hungry and driven by urgency
* Exceptional at what they do, with low ego
* Comfortable operating in motion
**The Role**
 As An Applied Scientist At OnePay, You’ll Be At The Forefront Of Our AI And Machine Learning Innovation! You Will
* Design and deploy machine learning, deep learning, and LLM models that will shape our customer experience, drive business growth, and improve operational efficiency while collaborating closely with product, engineering, and analytics teams.
* Build intelligent AI agents that can reason, plan, and interact across workflows to enhance automation and decision\-making.
* Develop personalization and recommendation systems that deliver dynamic, user\-centric experiences across our product offerings.
* Design and optimize search and retrieval systems to improve discoverability, relevance, and user satisfaction.
**You Bring**
* Hands\-on expertise with 2 years of experience building and productionizing ML/AI models that deliver measurable business impact.
* Experience building and productionizing LLM\-powered applications, agentic systems, and traditional ML (ranking, recommendations, personalization).
* A strong technical background with a degree in Computer Science, Data Science, Applied Mathematics, or a related field.
* Fluency in collaborating with Product, Engineering, and Analytics teams to bring AI solutions from ideation to deployment.
* Drive and proactivity – everyone here is a builder and executor.
**What We Offer**
* Competitive base salary, stock options, and health benefits from Day 1
* 401(k) plan with company match
* Remote\-friendly (US), flexible time off (FTO), and opportunities for growth
* A high\-growth, mission\-driven, inclusive culture where your work has real impact
**Standard Interview Process**
* Initial Interview with Talent Partner
* Technical or Hiring Manager Interview
* Team Interview
* Executive Interview
* Offer!
 Standard Interview Process
* Initial Interview with Talent Partner
* Technical or Hiring Manager Interview
* Team Interview
* Executive Interview
* Offer!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talent@onepay.com.</t>
        </is>
      </c>
    </row>
    <row r="99">
      <c r="A99" t="inlineStr">
        <is>
          <t>li-4369165883</t>
        </is>
      </c>
      <c r="B99" t="inlineStr">
        <is>
          <t>Senior Applied Scientist</t>
        </is>
      </c>
      <c r="C99" t="inlineStr">
        <is>
          <t>Adobe</t>
        </is>
      </c>
      <c r="D99" t="inlineStr">
        <is>
          <t>linkedin</t>
        </is>
      </c>
      <c r="E99">
        <f>HYPERLINK("https://www.linkedin.com/jobs/view/4369165883", "https://www.linkedin.com/jobs/view/4369165883")</f>
        <v/>
      </c>
      <c r="F99" t="inlineStr"/>
      <c r="G99" t="inlineStr">
        <is>
          <t>San Jose, CA</t>
        </is>
      </c>
      <c r="H99" t="inlineStr"/>
      <c r="I9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anywhere in the organization, and we know the next big idea could be yours!
 Adobe Firefly’s Applied Science \&amp; Machine Learning (ASML) group is looking for research scientists and engineers focused on
 **post\-training, alignment, and distillation of large\-scale generative AI models** 
 . Our goal is to push the frontier of generative AI while ensuring models are safe, efficient, aligned with user intent, and deployable at scale.
 We are particularly interested in candidates with expertise in
 **reinforcement learning from human feedback (RLHF), direct preference optimization (DPO/GRPO), supervised fine\-tuning (SFT), and model distillation / efficiency methods** 
 . This work directly impacts the quality, efficiency, and safety of Firefly’s image and video generation models, enabling next\-generation creative workflows for millions of users.
 As an Applied Scientist at Adobe, you will join a world\-class team of applied researchers and engineers building the future of digital experiences. You will have the opportunity to innovate across the full post\-training stack, collaborate across data, modeling, and product, and see your work ship to customers worldwide.
 Job Responsibilities
* Conduct innovative research and development in post\-training alignment and model distillation for large\-scale generative AI models.
* Design and evaluate techniques such as RLHF, DPO/GRPO, SFT, reward modeling, and preference optimization to improve instruction\-following, controllability, and safety.
* Develop efficient distillation, compression, and inference acceleration methods to make frontier models deployable at scale.
* Collaborate with researchers, engineers, and product teams to transfer post\-training innovations into Adobe products.
* Build and maintain pipelines to evaluate generative models across quality, efficiency, and safety metrics.
* Convert research ideas/papers into production\-ready implementations in Python and modern ML toolkits.
* Provide technical mentorship and guidance to peers and junior researchers.
 What you'll need to succeed
* Master’s or Ph.D. in Computer Science, Machine Learning, or a related field.
* Strong hands\-on experience with large\-scale generative AI training and post\-training (SFT, RLHF, DPO/GRPO, distillation).
* Familiarity with diffusion models, transformers, or other state\-of\-the\-art generative architectures.
* Excellent communication skills and ability to collaborate across cross\-functional teams.
* Strong coding and prototyping ability in Python, PyTorch, and ML infrastructure tools.
* Working with product teams on technology transfers
* Good publication record in Computer Science, AI/ML or related fields
 \#FireflyGenAI
 Our compensation reflects the cost of labor across several  U.S. geographic markets, and we pay differently based on those defined markets. The U.S. pay range for this position is $164,000 \-\- $313,300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$216,400 \- $313,300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00">
      <c r="A100" t="inlineStr">
        <is>
          <t>li-4335312901</t>
        </is>
      </c>
      <c r="B100" t="inlineStr">
        <is>
          <t>Applied Scientist, Artificial General Intelligence</t>
        </is>
      </c>
      <c r="C100" t="inlineStr">
        <is>
          <t>Amazon</t>
        </is>
      </c>
      <c r="D100" t="inlineStr">
        <is>
          <t>linkedin</t>
        </is>
      </c>
      <c r="E100">
        <f>HYPERLINK("https://www.linkedin.com/jobs/view/4335312901", "https://www.linkedin.com/jobs/view/4335312901")</f>
        <v/>
      </c>
      <c r="F100">
        <f>HYPERLINK("https://www.amazon.jobs/jobs/3123457/applied-scientist-artificial-general-intelligence?cmpid=SPLICX0248M&amp;utm_source=linkedin.com&amp;utm_campaign=cxro&amp;utm_medium=social_media&amp;utm_content=job_posting&amp;ss=paid&amp;urlHash=QO8k", "https://www.amazon.jobs/jobs/3123457/applied-scientist-artificial-general-intelligence?cmpid=SPLICX0248M&amp;utm_source=linkedin.com&amp;utm_campaign=cxro&amp;utm_medium=social_media&amp;utm_content=job_posting&amp;ss=paid&amp;urlHash=QO8k")</f>
        <v/>
      </c>
      <c r="G100" t="inlineStr">
        <is>
          <t>Bellevue, WA</t>
        </is>
      </c>
      <c r="H100" t="inlineStr"/>
      <c r="I100" t="inlineStr">
        <is>
          <t>**Description**
 The Artificial General Intelligence (AGI) team is seeking a dedicated, skilled, and innovative Applied Scientist with a robust background in deep learning, to build industry\-leading technology with Large Language Models (LLMs) and multimodal systems.
 Key job responsibilities
 As part of the AGI team, the Applied Scientist will collaborate closely with talented colleagues to lead the development of advanced approaches and modeling techniques, driving forward the frontier of LLM technology. This includes innovating model\-in\-the\-loop and human\-in\-the\-loop approaches to ensure the collection of high\-quality data, safeguarding data privacy and security for LLM training, and more. The Applied Scientist will also have a direct impact on enhancing customer experiences through state\-of\-the\-art products and services.
 A day in the life
 The Applied Scientist with the AGI team will support the science solution design, run experiments, research new algorithms, and find new ways of optimizing the customer experience; while setting examples for the team on good science practice and standards. Besides theoretical analysis and innovation, an Applied Scientist will also work closely with talented engineers and scientists to put algorithms and models into practice.
 The ideal candidate should be passionate about delivering experiences that delight customers and creating robust solutions. They will also create reliable, scalable and high\-performance products that require exceptional technical expertise, and a sound understanding of Machine Learning.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PhD
* 4\+ years of deep learning, computer vision, human robotic interaction, algorithms implementation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A3123457</t>
        </is>
      </c>
    </row>
    <row r="101">
      <c r="A101" t="inlineStr">
        <is>
          <t>li-4362325601</t>
        </is>
      </c>
      <c r="B101" t="inlineStr">
        <is>
          <t>Applied Scientist, GenAI Evaluation Media</t>
        </is>
      </c>
      <c r="C101" t="inlineStr">
        <is>
          <t>Amazon</t>
        </is>
      </c>
      <c r="D101" t="inlineStr">
        <is>
          <t>linkedin</t>
        </is>
      </c>
      <c r="E101">
        <f>HYPERLINK("https://www.linkedin.com/jobs/view/4362325601", "https://www.linkedin.com/jobs/view/4362325601")</f>
        <v/>
      </c>
      <c r="F101" t="inlineStr"/>
      <c r="G101" t="inlineStr">
        <is>
          <t>New York, United States</t>
        </is>
      </c>
      <c r="H101" t="inlineStr"/>
      <c r="I101" t="inlineStr">
        <is>
          <t>**Description**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A3159215</t>
        </is>
      </c>
    </row>
    <row r="102">
      <c r="A102" t="inlineStr">
        <is>
          <t>li-4369736264</t>
        </is>
      </c>
      <c r="B102" t="inlineStr">
        <is>
          <t>Applied Scientist, Amazon Ads, Demand Forecasting &amp; Guidance</t>
        </is>
      </c>
      <c r="C102" t="inlineStr">
        <is>
          <t>Amazon</t>
        </is>
      </c>
      <c r="D102" t="inlineStr">
        <is>
          <t>linkedin</t>
        </is>
      </c>
      <c r="E102">
        <f>HYPERLINK("https://www.linkedin.com/jobs/view/4369736264", "https://www.linkedin.com/jobs/view/4369736264")</f>
        <v/>
      </c>
      <c r="F102" t="inlineStr"/>
      <c r="G102" t="inlineStr">
        <is>
          <t>Palo Alto, CA</t>
        </is>
      </c>
      <c r="H102" t="inlineStr"/>
      <c r="I102" t="inlineStr">
        <is>
          <t>**Description**
 Work at the intersection of Generative AI, AI Agents, and large\-scale ML, helping build Amazon's world\-class advertising business.
 Key job responsibilities
* Lead and contribute to end\-to\-end ML initiatives with high ambiguity, scale, and complexity from problem formulation through production deployment
* Develop and optimize forecasting models by performing hands\-on analysis of large\-scale datasets to improve ad delivery prediction accuracy and operational efficiency
* Build, experiment, and deploy machine learning models through rapid prototyping, rigorous experimentation, and close collaboration with software engineering teams for seamless productization.
* Design and execute A/B experiments, collect performance data, and conduct statistical analysis to validate model impact
* Establish scalable ML infrastructure including automated pipelines for data processing, model training, validation, and serving
* Advance the state of the art by researching innovative machine learning techniques and applying them to forecasting challenges
**About The Team**
 You'll join a highly motivated, collaborative, and entrepreneurial team with a broad mandate to experiment, innovate, and break new ground. Here, your work will directly influence advertiser success and shape the future of programmatic advertising.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designing experiments and statistical analysis of results
* Experience with popular deep learning frameworks such as MxNet and Tensor Flow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\- 171,600\.00 \- 222,200\.00 USD annually
**Company** 
 \- Amazon.com Services LLC
 Job ID: A3175274</t>
        </is>
      </c>
    </row>
    <row r="103">
      <c r="A103" t="inlineStr">
        <is>
          <t>li-4301278769</t>
        </is>
      </c>
      <c r="B103" t="inlineStr">
        <is>
          <t>Applied Scientist II, Creative X - RAPID</t>
        </is>
      </c>
      <c r="C103" t="inlineStr">
        <is>
          <t>Amazon</t>
        </is>
      </c>
      <c r="D103" t="inlineStr">
        <is>
          <t>linkedin</t>
        </is>
      </c>
      <c r="E103">
        <f>HYPERLINK("https://www.linkedin.com/jobs/view/4301278769", "https://www.linkedin.com/jobs/view/4301278769")</f>
        <v/>
      </c>
      <c r="F103" t="inlineStr"/>
      <c r="G103" t="inlineStr">
        <is>
          <t>New York, United States</t>
        </is>
      </c>
      <c r="H103" t="inlineStr"/>
      <c r="I103"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Amazon.com Services LLC
 Job ID: A3083576</t>
        </is>
      </c>
    </row>
    <row r="104">
      <c r="A104" t="inlineStr">
        <is>
          <t>li-4369734366</t>
        </is>
      </c>
      <c r="B104" t="inlineStr">
        <is>
          <t>Senior Applied Scientist, Amazon Industrial Robotics</t>
        </is>
      </c>
      <c r="C104" t="inlineStr">
        <is>
          <t>Amazon</t>
        </is>
      </c>
      <c r="D104" t="inlineStr">
        <is>
          <t>linkedin</t>
        </is>
      </c>
      <c r="E104">
        <f>HYPERLINK("https://www.linkedin.com/jobs/view/4369734366", "https://www.linkedin.com/jobs/view/4369734366")</f>
        <v/>
      </c>
      <c r="F104" t="inlineStr"/>
      <c r="G104" t="inlineStr">
        <is>
          <t>Middlesex County, MA</t>
        </is>
      </c>
      <c r="H104" t="inlineStr"/>
      <c r="I104"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Senior Simulation Applied Scientist to advance the state of the art in simulation for advanced robotics systems. This role blends research and practical engineering to develop novel simulation methodologies that accelerate robot development and reduce the simulation\-to\-reality gap, translating theoretical advances into real\-world impact.
 The ideal candidate will work at the intersection of theory and practice, contributing research that directly informs the deployment of real robotic systems. You will join a team that is redefining how robots learn, adapt, and interact with complex, real\-world environments.
 Key job responsibilities
* Conduct research to advance simulation fidelity for contact\-rich manipulation and locomotion
* Develop novel methods for quantifying and minimizing simulation\-to\-reality gaps across design, safety, and control domains
* Design scalable simulation solutions for rigid and deformable body dynamics
* Develop simulation pipelines optimized for large\-scale reinforcement learning training
* Build frameworks for continuous simulation improvement using real\-world deployment data
* Collaborate with robotics engineers, applied scientists, and safety teams on simulation requirements and certification methodologies
**Basic Qualifications**
* Experience programming in Java, C\+\+, Python or related language
* PhD in engineering, technology, computer science, machine learning, robotics, operations research, statistics, mathematics or equivalent quantitative field, or PhD and 4\+ years of industry or academic research experience
* Strong publication record in simulation, robotics, or computer graphics
* Demonstrated ability to advance state of the art through novel research
* Deep technical expertise in simulation for robotics, including rigid and deformable body dynamics, contact mechanics, numerical methods, computational geometry, camera and sensor simulation.
* Experience developing simulation software for high\-performance computing environments
* Expert knowledge of major physics engines, including MuJoCo, Isaac Lab, Drake, Newton
* Proven track record of bridging simulation and real\-world robotic systems
**Preferred Qualifications**
* Experience with reinforcement learning and training policies in simulation
* Experience with differentiable simulation, learned simulation models, or neural physics engines
* Background in contact\-rich manipulation simulation
* Knowledge of GPU\-accelerated simulation, USD pipelines, and distributed computing (CUDA)
* Experience deploying simulation\-trained policies on real robotic hardware
* Research leadership: leading projects from conception to publication and deployment
* Contributions to open\-source simulation tools or robotics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A3174859</t>
        </is>
      </c>
    </row>
    <row r="105">
      <c r="A105" t="inlineStr">
        <is>
          <t>li-4369730434</t>
        </is>
      </c>
      <c r="B105" t="inlineStr">
        <is>
          <t>Sr. Applied Scientist Pricing Optimization, LEO Global Pricing Strategy</t>
        </is>
      </c>
      <c r="C105" t="inlineStr">
        <is>
          <t>Amazon</t>
        </is>
      </c>
      <c r="D105" t="inlineStr">
        <is>
          <t>linkedin</t>
        </is>
      </c>
      <c r="E105">
        <f>HYPERLINK("https://www.linkedin.com/jobs/view/4369730434", "https://www.linkedin.com/jobs/view/4369730434")</f>
        <v/>
      </c>
      <c r="F105">
        <f>HYPERLINK("https://www.amazon.jobs/jobs/3175246/sr-applied-scientist-pricing-optimization-leo-global-pricing-strategy?cmpid=SPLICX0248M&amp;utm_source=linkedin.com&amp;utm_campaign=cxro&amp;utm_medium=social_media&amp;utm_content=job_posting&amp;ss=paid&amp;urlHash=t-Pr", "https://www.amazon.jobs/jobs/3175246/sr-applied-scientist-pricing-optimization-leo-global-pricing-strategy?cmpid=SPLICX0248M&amp;utm_source=linkedin.com&amp;utm_campaign=cxro&amp;utm_medium=social_media&amp;utm_content=job_posting&amp;ss=paid&amp;urlHash=t-Pr")</f>
        <v/>
      </c>
      <c r="G105" t="inlineStr">
        <is>
          <t>Bellevue, WA</t>
        </is>
      </c>
      <c r="H105" t="inlineStr"/>
      <c r="I105" t="inlineStr">
        <is>
          <t>**Description**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The Sr. Applied Scientist Pricing Optimization, Leo Global Pricing Strategy will have an outsized impact on the profitability of Amazon Leo directly through building the initial foundational models to enable the business to optimize our pricing and product feature strategies. You will be building a true "0 to 1" function, powering the science behind pricing decisions and driving science automation at a global scale.
**Export Control Requirement**
 Due to applicable export control laws and regulations, candidates must be a U.S. citizen or national, U.S. permanent resident (i.e., current Green Card holder), or lawfully admitted into the U.S. as a refugee or granted asylum.
 A day in the life
 You will design, develop, and deploy advanced machine‑learning models to predict customer‑level behavior (revenue, churn, usage, migration, product choice) and response to pricing changes. You will build robust models that capture the complexities of multi‑product bundling interactions in a subscription business model and regional nuances in supply/demand and consumer choice alternative choices. You will implement scalable inference systems, will monitor model performance, and will automate retraining. Collaboration with cross‑functional teams will be critical to ensure that technical solutions will align with business objectives and actionable strategies. Establishing mechanisms to stay up to date on latest scientific advancements in machine learning, neural networks, natural language processing, probabilistic forecasting, and multi\-objective optimization techniques will be critical.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with large scale machine learning systems such as profiling and debugging and understanding of system performance and scalability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\- 167,100\.00 \- 226,100\.00 USD annually
**Company** 
 \- Amazon Kuiper Commercial Services LLC
 Job ID: A3175246</t>
        </is>
      </c>
    </row>
    <row r="106">
      <c r="A106" t="inlineStr">
        <is>
          <t>li-4369693321</t>
        </is>
      </c>
      <c r="B106" t="inlineStr">
        <is>
          <t>Applied Scientist</t>
        </is>
      </c>
      <c r="C106" t="inlineStr">
        <is>
          <t>Apex Systems</t>
        </is>
      </c>
      <c r="D106" t="inlineStr">
        <is>
          <t>linkedin</t>
        </is>
      </c>
      <c r="E106">
        <f>HYPERLINK("https://www.linkedin.com/jobs/view/4369693321", "https://www.linkedin.com/jobs/view/4369693321")</f>
        <v/>
      </c>
      <c r="F106" t="inlineStr"/>
      <c r="G106" t="inlineStr">
        <is>
          <t>Westboro, WI</t>
        </is>
      </c>
      <c r="H106" t="inlineStr"/>
      <c r="I106" t="inlineStr">
        <is>
          <t>**Job\#: 3015438**
**Job Description:**
 Apex Systems is a world class technology services business that incorporates industry insights and experience to deliver solutions that fulfill our clients’ digital visions.
 Apex has an opportunity for an
 **Applied Scientist** 
 . For applicants who are interested in this
 **Applied Scientist** 
 opportunity, send your updated resume to
 **Tom McGrath** 
 at
 **\[email protected]**
 Here are the details:
**Position:** 
 Applied Scientist
**Location:** 
 Hybrrid, Westborough MA 01581
**Rate: Negotiable Based on Experience**
**Duration:** 
 3 months
**Position Description:**
 We are seeking a talented and experienced Applied Scientist with a background in computer vision to join our innovative team.
 The ideal candidate will contribute projects involving image processing, stereo vision to production a deployable solution at warehouses.
 As an Applied Scientist specializing in computer vision, you will be responsible for developing, implementing, and maintaining softwaresolutions. You will work on projects that involve image processing and embedded systems, utilizing your expertise in both software engineering and computer vision.
**Required Skills:**
* Bachelor's degree in Computer Science, Software Engineering, or a related field
* Proficient coding skills in Python and C/C\+\+
* Experience in creating Python bindings for C/C\+\+ libraries
* Solid understanding and hands\-on experience with CMake and Git version control
* Proven experience with Docker containerization
* Familiarity with AWS cloud services and infrastructure
* Strong command of Linux and shell scriptin
**Desired Skills:**
* Experience working with embedded compute modules, particularly NVIDIA Jetson platforms and their associated toolchains
* Background in computer vision algorithms and techniques, with a focus on stereo vision
* Proficiency in OpenCV library for image processing and computer vision tasks
* Experience with CUDA programming for GPU acceleration
**Additional Benefits:**
 For this opportunity, you will also be eligible for benefits through Apex for the contract period, 401K, medical/health benefits options, a W2 hourly rate, weekly pay, and direct deposit!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07">
      <c r="A107" t="inlineStr">
        <is>
          <t>li-4292572918</t>
        </is>
      </c>
      <c r="B107" t="inlineStr">
        <is>
          <t>Sr. Applied Scientist - Privacy, Privacy Engineering</t>
        </is>
      </c>
      <c r="C107" t="inlineStr">
        <is>
          <t>Amazon</t>
        </is>
      </c>
      <c r="D107" t="inlineStr">
        <is>
          <t>linkedin</t>
        </is>
      </c>
      <c r="E107">
        <f>HYPERLINK("https://www.linkedin.com/jobs/view/4292572918", "https://www.linkedin.com/jobs/view/4292572918")</f>
        <v/>
      </c>
      <c r="F107" t="inlineStr"/>
      <c r="G107" t="inlineStr">
        <is>
          <t>Seattle, WA</t>
        </is>
      </c>
      <c r="H107" t="inlineStr"/>
      <c r="I107"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row r="108">
      <c r="A108" t="inlineStr">
        <is>
          <t>li-4369631154</t>
        </is>
      </c>
      <c r="B108" t="inlineStr">
        <is>
          <t>Machine Learning Engineer</t>
        </is>
      </c>
      <c r="C108" t="inlineStr">
        <is>
          <t>Instacart</t>
        </is>
      </c>
      <c r="D108" t="inlineStr">
        <is>
          <t>linkedin</t>
        </is>
      </c>
      <c r="E108">
        <f>HYPERLINK("https://www.linkedin.com/jobs/view/4369631154", "https://www.linkedin.com/jobs/view/4369631154")</f>
        <v/>
      </c>
      <c r="F108" t="inlineStr"/>
      <c r="G108" t="inlineStr"/>
      <c r="H108" t="inlineStr"/>
      <c r="I108" t="inlineStr">
        <is>
          <t>**About The Company**
 Instacart is revolutionizing the grocery industry by providing innovative solutions that connect customers with their favorite products efficiently and reliably. Our mission is to make food accessible to everyone while offering flexible earning opportunities for our Personal Shoppers. We believe that food is more than sustenance; it’s a way to bring people together and share love. With a focus on technology\-driven services, we aim to enhance the shopping experience through cutting\-edge platforms and data insights. Instacart has become a trusted partner for millions, serving diverse communities with a commitment to safety, convenience, and community engagement. We foster a culture of innovation, collaboration, and inclusivity, empowering our employees to make a meaningful impact in the lives of our customers and partners.
**About The Role**
 We are seeking a highly motivated Staff Machine Learning Software Engineer to join our dynamic team. In this role, you will be pivotal in developing our next\-generation platforms for real\-time inventory understanding, observation, and prediction. Your work will enable us to accurately monitor inventory levels across local stores, effectively bringing warehouse\-level precision to a scalable, store\-wide level. You will apply a systems\-thinking approach to lead strategic technical investments and establish best practices for machine learning within the organization. Collaborating closely with software engineers, product leads, and data scientists, you will drive technological innovation and product development. The successful candidate will have a deep understanding of inventory dynamics, data modeling, and scalable architecture design, contributing to projects from conception through deployment and ongoing maintenance. This role offers an exciting opportunity to impact core product features that influence search, logistics, and overall customer experience, ensuring that inventory data is accurate, timely, and actionable.
**Qualifications**
* 7\+ years of production machine learning experience with a proven track record of managing multiple successful projects
* Proficiency in Python and experience with TensorFlow or PyTorch frameworks
* Strong foundation in testing methodologies, systems observability, and problem\-solving skills
* Exceptional communication skills with the ability to lead and collaborate across diverse teams including software engineers, product managers, and data scientists
* Experience in developing scalable solutions and architectures
* Experience in building and deploying innovative projects from inception to second\-generation solutions
**Responsibilities**
* Own end\-to\-end outcomes involving multiple models, data sources, and dynamic systems to ensure accurate inventory predictions
* Develop and execute strategic roadmaps for modeling inventory dynamics across various observation regimes
* Make informed technology choices based on problem maturity and complexity
* Collaborate with cross\-functional teams to foster a unified development approach, facilitate consensus, and drive impactful results
* Lead and contribute directly to projects from initial concept through deployment and ongoing maintenance
* Mentor team members, introduce advanced machine learning technologies, and promote a culture of best practices and continuous improvement
**Benefits**
* Highly competitive compensation packages tailored to location and experience
* Comprehensive health, dental, and vision insurance options
* Flexible remote work arrangements supported by our Flex First policy
* Equity grants for new hires and annual refresh grants to share in company success
* Paid time off, holidays, and wellness programs
* Opportunities for professional growth, training, and development
 Equal Opportunity
 Instacart is an equal opportunity employer. We celebrate diversity and are committed to creating an inclusive environment for all employees. We do not discriminate based on race, ethnicity, gender, sexual orientation, age, disability, or any other protected status. We believe that diverse perspectives foster innovation and drive our success, and we welcome applicants from all backgrounds to join our team.</t>
        </is>
      </c>
    </row>
    <row r="109">
      <c r="A109" t="inlineStr">
        <is>
          <t>li-4369743033</t>
        </is>
      </c>
      <c r="B109" t="inlineStr">
        <is>
          <t>Machine Learning Engineer New Grad 2025-2026 - Ads, Quora (Remote)</t>
        </is>
      </c>
      <c r="C109" t="inlineStr">
        <is>
          <t>Quora</t>
        </is>
      </c>
      <c r="D109" t="inlineStr">
        <is>
          <t>linkedin</t>
        </is>
      </c>
      <c r="E109">
        <f>HYPERLINK("https://www.linkedin.com/jobs/view/4369743033", "https://www.linkedin.com/jobs/view/4369743033")</f>
        <v/>
      </c>
      <c r="F109" t="inlineStr"/>
      <c r="G109" t="inlineStr">
        <is>
          <t>Austin, TX</t>
        </is>
      </c>
      <c r="H109" t="inlineStr"/>
      <c r="I109"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small engineering team works on challenging problems every day. We have a culture that's rooted in constantly learning and improving, and our engineers are encouraged to think big and experiment with new ideas. Using continuous deployment, we quickly see our changes in the product and make fast iterations. Our engineers focus on creating polished products and writing high quality code by designing APIs and abstractions that are extensible and maintainable. Everyone on the engineering team has a huge impact on our product and our company.
 As a member on the Ads ML team, you'll build deep learning and transformer based model architectures for ad candidate retrieval and ranking within our advertising platform. Your work will involve developing sophisticated bidding algorithms, and creating scalable ML systems that optimize ad selection. You'll also leverage large language models for brand safety detection and ad quality assessment, ensuring advertisers maintain brand integrity while users experience ads that meet the same quality standards as our core content.
**Responsibilities:**
* Improve our existing Ads Recommendation systems using your expertise
* Identify new opportunities to apply Machine Learning to different parts of the Quora Ads Product
* Work with other engineers to implement algorithms and systems in an efficient way
* Take end\-to\-end ownership of Machine Learning systems \-\- from data pipelines and training, to realtime prediction engine
**Minimum Requirements:**
* Ability to be available for meetings and impromptu communication during Quora's “coordination hours" (Mon\-Fri: 9am\-3pm Pacific Time)
* A 2025 or Summer 2026 graduate with or pursuing a B.S., M.S., or Ph.D. in Computer Science, Engineering or a related technical field
* Strong understanding of mathematical foundations of Machine Learning algorithms
* Knowledge of Python or C\+\+, or the ability to learn them quickly
* A passion for learning and always improving yourself and the team around you
**Preferred Requirements:**
* Previous software engineering experience via an internship, work experience or coding competition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$107,360 \- $152,900 USD \+ equity \+ benefits.
* Canada candidates only: For Toronto and Vancouver based applicants, the salary range is $140,796 \- $160,415 CAD \+ equity \+ benefits. For all other locations in Canada, the salary range is $131,409 \- $149,720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**To ensure a secure hiring process, all final candidates will undergo identity verification and a comprehensive background check prior to onboarding.**
 Job Applicant Privacy Notice: https://www.careers.quora.com/applicant\-privacy\-notice</t>
        </is>
      </c>
    </row>
    <row r="110">
      <c r="A110" t="inlineStr">
        <is>
          <t>li-4361014139</t>
        </is>
      </c>
      <c r="B110" t="inlineStr">
        <is>
          <t>Sr. Machine Learning Engineer (Perception and Tracking)</t>
        </is>
      </c>
      <c r="C110" t="inlineStr">
        <is>
          <t>Ouster</t>
        </is>
      </c>
      <c r="D110" t="inlineStr">
        <is>
          <t>linkedin</t>
        </is>
      </c>
      <c r="E110">
        <f>HYPERLINK("https://www.linkedin.com/jobs/view/4361014139", "https://www.linkedin.com/jobs/view/4361014139")</f>
        <v/>
      </c>
      <c r="F110" t="inlineStr"/>
      <c r="G110" t="inlineStr">
        <is>
          <t>San Francisco, CA</t>
        </is>
      </c>
      <c r="H110" t="inlineStr"/>
      <c r="I110" t="inlineStr">
        <is>
          <t>At Ouster, we build sensors and tools for engineers, roboticists, and researchers, so they can make the world safer and more efficient. We've transformed LIDAR from an analog device with thousands of components to an elegant digital device powered by one chip\-scale laser array and one CMOS sensor. The result is a full range of high\-resolution LIDAR sensors that deliver superior imaging at a dramatically lower price. Our advanced sensor hardware and vision algorithms are used in autonomous cars, robotics, industrial, and smart infrastructure applications (among many others). If you’re motivated by solving big problems, we’re hiring key roles across the company and need your help!
 We are looking for a highly technical Machine Learning Engineer to lead our efforts in
 Object Detection and Tracking
 . You will not simply be "importing" pre\-made models; you will be architecting deep neural networks, translating state\-of\-the\-art research papers into code, and optimizing these systems for real\-time, on\-device performance.
 This role requires a deep knowledge of neural network architectures. You should be confident ripping apart a model to modify layers, loss functions, and data flows to fit our specific constraints.
 Key Responsibilities
* Architect Unified Models:
 Design and train DNN models that perform Object Detection and Tracking simultaneously, leveraging temporal information to improve consistency.
* Research to Production:
 Evaluate state\-of\-the\-art research papers and prototype these concepts (turning papers into code) and adapt them into robust, production\-grade solutions.
* Deep Model Customization:
 Go beyond standard libraries by implementing custom loss functions, modifying internal model architectures, and designing specific data augmentation strategies to squeeze out maximum performance.
* Edge Optimization:
 Ensure high accuracy is matched by high efficiency. Optimize models for real\-time inference and on\-device deployment.
* Data Strategy:
 Develop training recipes for data\-constrained environments and effective post\-training strategies.
 Required Qualifications
* Core Stack:
	+ 5\+ years proficiency in Python and PyTorch.
	+ 3\+ years proficiency in C\+\+ for production deployment and optimization.
* Detection \&amp; Tracking:
 Deep theoretical and practical understanding of modern object detectors (e.g., Transformers, YOLO variants, R\-CNNs) and tracking algorithms (e.g., DeepSORT, Kalman Filters, Optical Flow).
* Architecture Internals:
 Proven experience not being dependent on "out\-of\-the\-box" APIs. You have a track record of modifying model architectures via extensive experimentation to meet specific requirements.
* Low\-Data Regimes:
 Experience improving model generalization with limited data using Transfer Learning, Domain Adaptation, or Few\-Shot Learning.
* Mathematical Foundation:
 Strong grasp of linear algebra and probability as it applies to custom loss function design and geometric 3D vision.
 Preferred Qualifications
* 3D / LiDAR Experience:
 Hands\-on experience with 3D Point Cloud data (LiDAR) is a massive plus.
* Deployment Tools:
 Experience with TensorRT, ONNX Runtime, or edge\-specific hardware (NVIDIA Jetson, etc.).
 The base pay will be dependent on your skills, work experience, location, and qualifications. This role may also be eligible for equity \&amp; benefits. ($180,000\-220,000\)
 We acknowledge the confidence gap at Ouster. You do not need to meet all of these requirements to be the ideal candidate for this role.
 Ouster is an Equal Employment Opportunity employer that pursues and hires a diverse workforce. Ouster does not make employment decisions on the basis of race, color, religion, ethnic or national origin, nationality, sex, gender, gender\-identity, sexual orientation, disability, age, military status, or any other basis protected by local, state, or federal laws. Ouster also strives for a healthy and safe workplace, and prohibits harassment of any kind. Pursuant to the San Francisco Fair Chance Ordinance, Ouster considers qualified applicants with arrest and conviction records for employment. If you have a disability or special need that requires accommodation, please let us know.</t>
        </is>
      </c>
    </row>
    <row r="111">
      <c r="A111" t="inlineStr">
        <is>
          <t>li-4369304267</t>
        </is>
      </c>
      <c r="B111" t="inlineStr">
        <is>
          <t>First ML engineer</t>
        </is>
      </c>
      <c r="C111" t="inlineStr">
        <is>
          <t>Openmart</t>
        </is>
      </c>
      <c r="D111" t="inlineStr">
        <is>
          <t>linkedin</t>
        </is>
      </c>
      <c r="E111">
        <f>HYPERLINK("https://www.linkedin.com/jobs/view/4369304267", "https://www.linkedin.com/jobs/view/4369304267")</f>
        <v/>
      </c>
      <c r="F111">
        <f>HYPERLINK("https://www.ycombinator.com/companies/openmart/jobs/DOt5AvM-first-ml-engineer?utm_source=syn_li&amp;urlHash=8dQD", "https://www.ycombinator.com/companies/openmart/jobs/DOt5AvM-first-ml-engineer?utm_source=syn_li&amp;urlHash=8dQD")</f>
        <v/>
      </c>
      <c r="G111" t="inlineStr">
        <is>
          <t>Foster City, CA</t>
        </is>
      </c>
      <c r="H111" t="inlineStr"/>
      <c r="I111" t="inlineStr">
        <is>
          <t>Machine Learning Engineer (Audio Training)
 We’re building
 **human\-like, real\-time voice models** 
 focused on natural turn\-taking, interruption handling, and low\-latency speech.
 What you’ll do
* Design and generate conversational audio training data
* Train and fine\-tune audio / speech models
* Build evaluation for latency, overlap, and interruption
* Own the loop: data → training → eval → production
 What we’re looking for
* Strong ML background (PyTorch)
* Experience with audio or speech models
* Solid intuition for timing, latency, and real\-time systems
* Startup / ownership mindset
 Nice to have
* TTS, ASR, speech\-to\-speech, or streaming inference experience
**Competitive comp \+ meaningful equity. Founding\-level ownership.**</t>
        </is>
      </c>
    </row>
    <row r="112">
      <c r="A112" t="inlineStr">
        <is>
          <t>li-4369697206</t>
        </is>
      </c>
      <c r="B112" t="inlineStr">
        <is>
          <t>Gen AI Engineer</t>
        </is>
      </c>
      <c r="C112" t="inlineStr">
        <is>
          <t>NuStar Technologies</t>
        </is>
      </c>
      <c r="D112" t="inlineStr">
        <is>
          <t>linkedin</t>
        </is>
      </c>
      <c r="E112">
        <f>HYPERLINK("https://www.linkedin.com/jobs/view/4369697206", "https://www.linkedin.com/jobs/view/4369697206")</f>
        <v/>
      </c>
      <c r="F112" t="inlineStr"/>
      <c r="G112" t="inlineStr">
        <is>
          <t>Plano, TX</t>
        </is>
      </c>
      <c r="H112" t="inlineStr"/>
      <c r="I112" t="inlineStr">
        <is>
          <t>Must Have Technical/Functional Skills
* Gen AI – prompt engineering
* Connecting LLMs
* Agentic AI
* Model Context Protocol
 \- Handon experience\-
 Roles \&amp; responsibilities
* Gen AI – prompt engineering
* Connecting LLMs
* Agentic AI
* Model Context Protocol
* Handon experience
 Generic Managerial Skills, If any
 No managerial skills required, but the candidate should be able to manage and run production calls in case critical
 Issues with any dependencies/ hand holding.
 Salary Range: $120,000 to $140,000 per year</t>
        </is>
      </c>
    </row>
    <row r="113">
      <c r="A113" t="inlineStr">
        <is>
          <t>li-4369695279</t>
        </is>
      </c>
      <c r="B113" t="inlineStr">
        <is>
          <t>Senior Machine Learning Engineer</t>
        </is>
      </c>
      <c r="C113" t="inlineStr">
        <is>
          <t>Uber</t>
        </is>
      </c>
      <c r="D113" t="inlineStr">
        <is>
          <t>linkedin</t>
        </is>
      </c>
      <c r="E113">
        <f>HYPERLINK("https://www.linkedin.com/jobs/view/4369695279", "https://www.linkedin.com/jobs/view/4369695279")</f>
        <v/>
      </c>
      <c r="F113" t="inlineStr"/>
      <c r="G113" t="inlineStr">
        <is>
          <t>Sunnyvale, CA</t>
        </is>
      </c>
      <c r="H113" t="inlineStr"/>
      <c r="I113" t="inlineStr">
        <is>
          <t>**About The Role**
 The NOVA AI team builds the platform and AI that powers world\-class support across mobile, web, and voice at global scale. We are now hiring a Senior ML Engineer to build and scale an autonomous support agent that resolves customer issues end\-to\-end. You'll push the state of the art in GenAI for customer service\-LLM orchestration, evaluation, safety guardrails, multilingual support\-while holding a very high bar for reliability and cost efficiency. We are still at an early stage and value candidates with bias for action who get creative with GenAI tools to accelerate execution and experimentation.
**What The Candidate Will Need / Bonus Points**
 \-\-\-\- What the Candidate Will Do \-\-\-\-
* Work on agent architecture: agentic planning and execution loops, long\-term memory, persona/voice, knowledge routing, and policy enforcement for compliant, on\-brand conversations.
* Ship production systems that handle millions of conversations with rigorous SLOs, fallbacks, and canaries; design graceful degradation (e.g., human handoff) and safety guardrails (prompt\-injection, jailbreak, PII redaction).
* Advance retrieval \&amp; reasoning: Build next\-generation retrieval and reasoning pipelines, where the agent can search across different knowledge sources, apply policy\-driven tools, and call structured workflows and ensure that responses are consistently grounded.
* Establish evals that matter: offline rubrics, simulated scenarios, safety tests, cost/latency tradeoff suites, and LLM\-as\-judge (with calibrated human review) wired into CI/CD and experiment platforms.
* Drive automation at scale: partner with Product/Design/Operations on coverage, policy alignment, localization, and rollout strategy to better customer experience and reduce cost per contact.
**Basic Qualifications**
* Background in LLM\-driven systems (inference optimization, prompt/program design, fine\-tuning, distillation/LoRA, safety/guardrails, evals).
* Strong software engineering in Python
* Track record of shipping customer\-facing intelligent experiences with measurable impact (A/B testing, metrics literacy).
* Bachelor's degree (or above) in Computer Science or related field
**Preferred Qualifications**
* Agentic architectures in production (planner/executor, memory, multi\-step reasoning) and RAG over complex, policy\-heavy knowledge bases.
* Experience building support automation for large consumer platforms (routing, policy codification, internal tooling, co\-pilot/auto\-resolve).
* Multilingual NLU/NLG (code\-switching, low\-resource languages), hallucination mitigation, safety red\-teaming, and privacy\-by\-design.
* Practical expertise balancing speed and reliability at scale: experiment frameworks, feature flags, canary/guarded rollouts, and clear kill\-switches.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4">
      <c r="A114" t="inlineStr">
        <is>
          <t>li-4363754381</t>
        </is>
      </c>
      <c r="B114" t="inlineStr">
        <is>
          <t>Machine Learning Engineer (LLMs / AI)</t>
        </is>
      </c>
      <c r="C114" t="inlineStr">
        <is>
          <t>ghSMART</t>
        </is>
      </c>
      <c r="D114" t="inlineStr">
        <is>
          <t>linkedin</t>
        </is>
      </c>
      <c r="E114">
        <f>HYPERLINK("https://www.linkedin.com/jobs/view/4363754381", "https://www.linkedin.com/jobs/view/4363754381")</f>
        <v/>
      </c>
      <c r="F114" t="inlineStr"/>
      <c r="G114" t="inlineStr"/>
      <c r="H114" t="inlineStr"/>
      <c r="I114" t="inlineStr">
        <is>
          <t>**Who We Are**
 ghSMART is a premier leadership advisory firm trusted by CEOs, boards, and investors to solve their most critical leadership and talent decisions. For more than 30 years, we’ve partnered with many of the world’s most influential leaders and organizations to build winning leadership teams and amplify positive impact. Recognized for excellence, ghSMART consistently earns top rankings in industry surveys (e.g., Vault Consulting awards) and is featured in Forbes’ list of America’s Best Management Consulting Firms. Our culture is entrepreneurial and collaborative, with a strong focus on innovation and client success. Our team is made up of nearly 200 extraordinary individuals across the U.S., Europe, and APAC, who become trusted advisors to these leaders, helping amplify their positive impact on the world. We advise on the art and science of building winning leadership teams, doing meaningful work every day.
**What You’ll Do**
 As a Machine Learning \&amp; Data Engineer, you will leverage ghSMART’s extensive, structured leadership dataset to build advanced AI solutions/agents and create new RAG‑based solutions. You’ll contribute to the evolution of our ghSMART Leadership Intelligence Platform, help drive research initiatives, and collaborate with academic partners. You will also support both data engineering and AI engineering efforts, ensuring systems, pipelines, and models work cohesively to power leadership insights at scale.
**Responsibilities**
* Design, build, and extend ML models (LLMs and traditional ML) that deliver high\-accuracy insights from ghSMART’s structured leadership dataset; own end\-to\-end experimentation, evaluation, and deployment.
* Develop RAG\-based agents and algorithms to unlock novel leadership insights from our research database.
* Integrate advanced solutions and AI Agents into the Leadership Intelligence Platform and partner cross\-functionally to align features with strategic objectives and user needs.
* Optimize data pipelines and workflows to ensure robust, efficient data ingestion, transformation, and model serving across engineering teams.
* Collaborate on research with academic partners and contribute to publications and thought leadership by validating findings with rigorous methods.
**You Bring**
* 5\+ years of ML engineering experience building and shipping large\-scale models and systems (training, tuning, inference, MLOps, monitoring).
* Hands\-on expertise with RAG frameworks and LLMs, including designing retrieval strategies, prompt orchestration, evaluation, and deployment at scale. Experience building AI agents via the LangChain, LangGraph framework is a plus.
* Strong data engineering fundamentals across pipelines, data quality, and feature engineering to support reliable ML workflows. Experience with Databricks and Azure is a plus.
* Security and privacy mindset, with experience applying best practices to protect sensitive data in ML systems.
* Collaborative, remote\-first working style with clear communication and ownership; familiarity with Salesforce (SFDC), Jira, Confluence, and Git.
**Why join ghSMART?**
**Meaningful Impact Everyday:** 
 We believe leadership is the greatest force for good. At ghSMART, whether you're guiding the world’s top leaders or helping power the firm from within, you play a vital role in solving our clients’ greatest challenge: building and developing talented, diverse teams that fuel lasting success. Together, we help leaders amplify their positive impact—on their organizations, their people, and the world.
**Exceptional team, grounded in generosity:** 
 We have a team of extraordinary people united by excellence, humility, and a shared purpose. You’ll collaborate with brilliant colleagues who challenge and support you. Here, exceptional talent meets deep respect—where people show up with heart, and everyone has a place.
**Freedom to Shape a Career with Purpose:** 
 You have the power to shape a career that aligns with your purpose—doing meaningful work that drives impact for the world’s top leaders. You’ll help solve challenges that matter while being supported by brilliant colleagues and trusted with the flexibility you need to recharge, perform at your best, and grow for the long term.
**Have your voice and talents recognized** 
 . We are a flat organization that values proactivity and ability over bureaucracy and tenure. All our decisions and actions are guided by our Values and Credo \- to help leaders amplify their positive impact on the world.
*Learn why our consultants love working* 
 here
 ***.***
 We are ranked \#1 or \#2 in 10 Consulting categories by Vault . See what others think about working at ghSMART on Glassdoor .
**Compensation**
 Certain US jurisdictions require ghSMART to include a reasonable estimate of the salary range for this role. We are built on a culture of freedom and flexibility, we operate fully remotely, and our team members balance deeply energizing, high intensity work, with flexible schedules to support life outside of work. Our compensation model reflects these values. Compensation for this role in the United States includes base salary, annual discretionary performance bonus, 401(k) plan with an annual employer contribution, and a comprehensive benefits package. You should reasonably expect a base salary of $160,000 \- $175,000\. In addition, we offer an annual discretionary performance bonus.
*Please be advised that all emails will originate from the @ghsmart.com domain; any other domains are fraudulent, should be ignored, and deleted.*
*ghSMART is an Equal Opportunity Employer committed to fostering an inclusive and diverse workplace across all of our global locations. We welcome applicants of all backgrounds and ensure equal employment opportunities without regard to race, color, religion, gender, gender identity or expression, sexual orientation, national origin, genetics, disability, age, or veteran status. Our global policies and practices are designed to support an environment of respect and equity for all.*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5">
      <c r="A115" t="inlineStr">
        <is>
          <t>li-4369704730</t>
        </is>
      </c>
      <c r="B115" t="inlineStr">
        <is>
          <t>AI Engineer</t>
        </is>
      </c>
      <c r="C115" t="inlineStr">
        <is>
          <t>Cyberhill Partners</t>
        </is>
      </c>
      <c r="D115" t="inlineStr">
        <is>
          <t>linkedin</t>
        </is>
      </c>
      <c r="E115">
        <f>HYPERLINK("https://www.linkedin.com/jobs/view/4369704730", "https://www.linkedin.com/jobs/view/4369704730")</f>
        <v/>
      </c>
      <c r="F115" t="inlineStr"/>
      <c r="G115" t="inlineStr">
        <is>
          <t>Durham, NC</t>
        </is>
      </c>
      <c r="H115" t="inlineStr"/>
      <c r="I115" t="inlineStr">
        <is>
          <t>Back
* Careers at Cyberhill Partners, LLC
* AI Engineer
 Cyberhill Partners, LLC AI Engineer Austin, TX
* Durham, NC
* Full time Company website
 Apply for AI Engineer
 Cyberhill Partners is seeking a full\-time, remote AI Engineer (0–5 years experience) to help build, deploy, and scale enterprise AI solutions, including LLM applications, RAG pipelines, and predictive analytics. This role offers hands\-on experience working with modern AI stacks alongside senior experts on high\-impact projects for enterprise and government clients, with a salary range of $110,000–$165,000\.
**About Cyberhill Partners, LLC**
 Cyberhill Partners is a professional services firm specializing in engineering future\-state software solutions for Fortune 500 companies. Focusing on cybersecurity, cloud computing, data analytics, and AI, Cyberhill provides comprehensive implementation services that drive success and security. With over 800 complex cybersecurity implementations completed, Cyberhill is an established and trusted services partner.
**Description**
 About Cyberhill Partners
 Cyberhill Partners is a technology consulting firm focused on building secure, scalable, and intelligent systems for enterprise and government clients. We specialize in modern AI, data platforms, and cloud\-native architectures—delivering solutions that power high\-stakes decision\-making environments.
 Role Overview
 Cyberhill Partners is seeking an
 **AI Engineer** 
 to help design, build, and scale next\-generation enterprise AI solutions. This role is well\-suited for recent graduates with strong AI/ML portfolios or junior\-to\-mid\-level engineers looking to deepen their real\-world production experience.
 As an AI Engineer, you’ll work closely with Senior Data Scientists and Ontology Architects to transform complex data into actionable intelligence. You won’t be building models in isolation—this role focuses on creating trusted
 **AI Foundations** 
 used by large enterprises and government organizations.
 Key Responsibilities
 AI Development \&amp; Implementation
* Develop, optimize, and deploy AI/ML models, including LLM\-based applications, RAG pipelines, and predictive analytics
* Rapidly prototype Proofs of Concept (PoCs) to demonstrate AI capabilities and value to clients
* Prepare and manage large\-scale structured and unstructured datasets to ensure high\-quality model inputs
 Engineering \&amp; MLOps
* Support deployment of AI models into production environments using MLOps best practices
* Build and maintain APIs that integrate AI capabilities into client\-facing and enterprise systems
* Implement monitoring, logging, and performance tracking to detect drift and ensure model reliability
 Collaborative Consulting
* Partner with AI Managers to support technical feasibility assessments and client proposals
* Collaborate with Ontology Architects to integrate symbolic reasoning (Knowledge Graphs) with neural models (LLMs)
* Maintain clear documentation for codebases, architectures, and deployment processes
**Qualifications \&amp; Experience**
* Education: Bachelor’s or Master’s degree in Computer Science, Data Science, Mathematics, or a related technical field with an AI/ML focus
* Experience: 0–5 years of experience in AI/ML development (including internships, research, or significant academic projects)
* Programming: Strong proficiency in Python; familiarity with Java, C\+\+, or Go is a plus
* AI/ML Stack: Hands\-on experience with frameworks such as PyTorch, TensorFlow, LangChain, LlamaIndex, or Hugging Face
* Data Skills: Experience with SQL and vector databases (Pinecone, Weaviate, Milvus) and/or graph databases (Neo4j)
* Cloud Exposure: Familiarity with AWS, GCP, or Azure
* Soft Skills: Strong communication skills and a consulting mindset—focused on solving business problems, not just technical challenges
 Why Join Cyberhill Partners
* Rapid Career Growth: Performance\-driven advancement with clear paths to Senior Engineer or AI Architect roles
* High\-Impact Work: Build secure AI solutions for government and Fortune 500 clients—far beyond simple chatbot use cases
* Modern Technology Stack: Work with cutting\-edge Generative AI, Knowledge Graphs, and secure cloud architectures
* Remote\-First Culture: Flexible work environment with a highly collaborative, distributed team
**Compensation \&amp; Benefits**
* Salary Range: $110,000 – $165,000 annually, commensurate with experience, education, and technical depth
* Competitive benefits package
* Professional development and continuous learning support
 Salary
 $110,000 \- $165,000 per year
 Apply for AI Engineer
 Your Privacy Choices
 Read our Privacy Policy
 Your Opt Out Preference Signal is Honored
 Privacy Preference Center
 Gusto and its advertising partners use cookies and other tracking technologies in order to, among other things, improve and personalize the website and show you ads promoting Gusto products, services, and features on other sites or apps that you may use or visit. Under some applicable privacy laws, these advertising activities may be considered a “sale” or “share” of data, or “targeted advertising". To opt out of these uses or disclosures, you can update your consent preferences by sliding the toggles to the left and then clicking the “Confirm My Choices” button.
 Consent preferences set using the toggles will only apply to the web browser you’re currently using. You will need to update your preferences for each different device or browser you use to visit our website unless you have a Gusto account and are logged in. If you clear your cookies, your preferences will also reset.
 We may also disclose personal information, such as your name, email address, and contact information to our partners so they can show you ads that are more relevant to your interests or market their products or services to you. To opt\-out of “sales” or “sharing” of your data, or “targeted advertising” associated with your personal information, please complete our Opt\-Out Form.
 For more details, please read our Privacy Notice.
 Manage Consent Preferences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Performance Cookies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Targeting Cookies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 List
 Search Icon
 checkbox label label
 Consent Leg.Interest
 checkbox label label
 checkbox label label
 checkbox label label</t>
        </is>
      </c>
    </row>
    <row r="116">
      <c r="A116" t="inlineStr">
        <is>
          <t>li-4369733073</t>
        </is>
      </c>
      <c r="B116" t="inlineStr">
        <is>
          <t>Machine Learning Engineer New Grad 2025-2026 - Ads, Quora (Remote)</t>
        </is>
      </c>
      <c r="C116" t="inlineStr">
        <is>
          <t>Quora</t>
        </is>
      </c>
      <c r="D116" t="inlineStr">
        <is>
          <t>linkedin</t>
        </is>
      </c>
      <c r="E116">
        <f>HYPERLINK("https://www.linkedin.com/jobs/view/4369733073", "https://www.linkedin.com/jobs/view/4369733073")</f>
        <v/>
      </c>
      <c r="F116" t="inlineStr"/>
      <c r="G116" t="inlineStr"/>
      <c r="H116" t="inlineStr"/>
      <c r="I116"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small engineering team works on challenging problems every day. We have a culture that's rooted in constantly learning and improving, and our engineers are encouraged to think big and experiment with new ideas. Using continuous deployment, we quickly see our changes in the product and make fast iterations. Our engineers focus on creating polished products and writing high quality code by designing APIs and abstractions that are extensible and maintainable. Everyone on the engineering team has a huge impact on our product and our company.
 As a member on the Ads ML team, you'll build deep learning and transformer based model architectures for ad candidate retrieval and ranking within our advertising platform. Your work will involve developing sophisticated bidding algorithms, and creating scalable ML systems that optimize ad selection. You'll also leverage large language models for brand safety detection and ad quality assessment, ensuring advertisers maintain brand integrity while users experience ads that meet the same quality standards as our core content.
**Responsibilities**
* Improve our existing Ads Recommendation systems using your expertise
* Identify new opportunities to apply Machine Learning to different parts of the Quora Ads Product
* Work with other engineers to implement algorithms and systems in an efficient way
* Take end\-to\-end ownership of Machine Learning systems \-\- from data pipelines and training, to realtime prediction engine
**Minimum Requirements**
* Ability to be available for meetings and impromptu communication during Quora's “coordination hours" (Mon\-Fri: 9am\-3pm Pacific Time)
* A 2025 or Summer 2026 graduate with or pursuing a B.S., M.S., or Ph.D. in Computer Science, Engineering or a related technical field
* Strong understanding of mathematical foundations of Machine Learning algorithms
* Knowledge of Python or C\+\+, or the ability to learn them quickly
* A passion for learning and always improving yourself and the team around you
**Preferred Requirements**
* Previous software engineering experience via an internship, work experience or coding competition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$107,360 \- $152,900 USD \+ equity \+ benefits.
* Canada candidates only: For Toronto and Vancouver based applicants, the salary range is $140,796 \- $160,415 CAD \+ equity \+ benefits. For all other locations in Canada, the salary range is $131,409 \- $149,720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**To ensure a secure hiring process, all final candidates will undergo identity verification and a comprehensive background check prior to onboarding.**
 Job Applicant Privacy Notice: https://www.careers.quora.com/applicant\-privacy\-notice</t>
        </is>
      </c>
    </row>
    <row r="117">
      <c r="A117" t="inlineStr">
        <is>
          <t>li-4359814646</t>
        </is>
      </c>
      <c r="B117" t="inlineStr">
        <is>
          <t>Machine Learning Engineer</t>
        </is>
      </c>
      <c r="C117" t="inlineStr">
        <is>
          <t>Open Talent</t>
        </is>
      </c>
      <c r="D117" t="inlineStr">
        <is>
          <t>linkedin</t>
        </is>
      </c>
      <c r="E117">
        <f>HYPERLINK("https://www.linkedin.com/jobs/view/4359814646", "https://www.linkedin.com/jobs/view/4359814646")</f>
        <v/>
      </c>
      <c r="F117" t="inlineStr"/>
      <c r="G117" t="inlineStr">
        <is>
          <t>El Segundo, CA</t>
        </is>
      </c>
      <c r="H117" t="inlineStr"/>
      <c r="I117" t="inlineStr">
        <is>
          <t>**Founding AI/ML Engineer (Production) \- California (SF/Palo Alto)** 
**$450k \- $500k\+ Base \+ Founding Equity** 
***This role requires US Citizenship due to regulatory constraints.***
**Most of the Valley is obsessed with LLM wrappers for HR or marketing. We’re using them to run multi\-ton autonomous machines; \&amp; fast.** 
 We’re a Top 10 hard\-tech startup with real hardware \&amp; real customers. We aren't a research lab \&amp; we don't do R\&amp;D for the sake of it. Our machines are in the field globally right now. We need a
 **Founding AI/ML Engineer** 
 to build the production intelligence layer that turns complex logic into physical movement.
**The Squad** 
 You’ll be joining a high\-density team from SpaceX, Palantir, \&amp; Anduril. We’ve cut out the corporate theater\-no bloated meetings, no process for the sake of process, \&amp; zero ego. As a founding hire, you aren't just training models; you’re architecting the engine of the company.
**The Work: Moving Atoms** 
 In this role, an unreliable model isn't just a "bug"\-it’s a physical failure. You’ll own the stack from fine\-tuning to field deployment.
* **Mission\-Critical Logic:** 
 Fine\-tuning \&amp; deploying models that handle real\-time operational decisions where precision is the only metric that matters.
* **The Pipeline:** 
 Building the RAG systems, data flywheels, \&amp; retrieval logic that allow our robots to understand their environment with sub\-100ms latency.
* **Hardened Evals:** 
 Designing the testing frameworks \&amp; grounding suites required for heavy hardware. You ensure the "reasoning" holds up when things get messy in the real world.
* **Full Autonomy:** 
 You pick the tools, define the architecture, \&amp; own the deployment.
**The Profile** 
 We want builders who are bored with digital\-only products \&amp; want to solve hard problems grounded in physics.
* **Production Grit:** 
 You’ve shipped \&amp; maintained ML systems in high\-bar environments (SpaceX, Tesla, or similar).
* **Systems Thinking:** 
 You understand the full lifecycle\-from raw telemetry \&amp; fine\-tuning to inference optimization \&amp; hardware constraints.
* **High\-Bar Pedigree:** 
 You come from a place where "production\-ready" means it works every time, \&amp; shipping broken code isn't an option.
**The Deal** 
* **Comp:** 
 $450k \- $500k\+ base \+
 **Meaningful Founding Equity** 
 .
* **Location:** 
 SF / Palo Alto \- On\-site.
* **Process:** 
**1 week, 0 take\-homes. No leet code.** 
 We move as fast as we ship.
1. **Technical Deep Dive:** 
 A conversation about a complex system you actually built \&amp; shipped.
2. **Practical Pairing:** 
 Solving a real\-world production problem with the team. No Leetcode.
3. **Founder Chat:** 
 A focus on judgment, trade\-offs, \&amp; vision.
 If you’re ready to build something that actually moves, let’s talk.
**TL;DR** 
* **Role:** 
 Founding AI/ML (Production focus)
* **The Mission:** 
 Critical intelligence for heavy robotics
* **The Team:** 
 Ex\-SpaceX, Palantir, Anduril
* **The Comp:** 
 $450k \- $500k\+ base \+ Equity
* **The Speed:** 
 1\-week process. Zero BS.
 All applicants will receive a response within 72 hours.
**Equal Opportunity** 
 We're hiring for an Equal Opportunity Employer.
 \*All our new jobs are posted here 1st:
**linkedin.com/in/sufyanbashir/**</t>
        </is>
      </c>
    </row>
    <row r="118">
      <c r="A118" t="inlineStr">
        <is>
          <t>li-4369694465</t>
        </is>
      </c>
      <c r="B118" t="inlineStr">
        <is>
          <t>Software/AI Engineer (New Grad)</t>
        </is>
      </c>
      <c r="C118" t="inlineStr">
        <is>
          <t>FurtherAI</t>
        </is>
      </c>
      <c r="D118" t="inlineStr">
        <is>
          <t>linkedin</t>
        </is>
      </c>
      <c r="E118">
        <f>HYPERLINK("https://www.linkedin.com/jobs/view/4369694465", "https://www.linkedin.com/jobs/view/4369694465")</f>
        <v/>
      </c>
      <c r="F118" t="inlineStr"/>
      <c r="G118" t="inlineStr">
        <is>
          <t>San Francisco, CA</t>
        </is>
      </c>
      <c r="H118" t="inlineStr"/>
      <c r="I118" t="inlineStr">
        <is>
          <t>**About FurtherAI**
 At FurtherAI, we’re building the next generation of AI agents for the insurance industry \- a trillion\-dollar market ready for transformation.
 We’ve raised more than
 **$30M from top investors (Andreesen Horowitz, YC, Nexus, South Park Commons, Converge)** 
 and have grown 10x in revenue this year alone. Our customers include some of the largest names in insurance (we recently closed a top 5 insurance company in the world), and our team combines deep AI expertise with proven company\-building experience.
 Now, we’re looking for an exceptional
 **Software/AI Engineer (New Grad)** 
 to join our early team and help shape both our product and culture.
**About The Role**
 We’re looking for a
 **Software / AI Engineer (New Grad)** 
 to join our engineering team and help build the foundation of FurtherAI’s
 **AI Workspace for Insurance** 
 .
 In this role, you’ll work on end\-to\-end product features spanning AI model integration, data processing pipelines, and scalable backend systems. You’ll collaborate closely with senior engineers, AI researchers, and founders to bring real\-world insurance workflows to life — transforming how underwriters, claims adjusters, and brokers get work done.
 This is a rare opportunity to join a technical, high\-performing early team and grow quickly alongside the company.
**Why Join FurtherAI?**
**High Impact:** 
 Work on technology that’s redefining how AI powers the modern insurance enterprise.
**Hands\-On Learning:** 
 Collaborate directly with senior engineers, AI scientists, and founders building real applied AI.
**Mission\-Driven:** 
 Help modernize one of the world’s most complex industries with practical, explainable AI.
**Early Team:** 
 Gain full visibility into product, research, and customer impact — shaping the foundation of our
 **AI Workspace for Insurance** 
 as we scale.
**Responsibilities:**
* Develop, test, and deploy production\-level code across our backend and AI systems.
* Collaborate with AI researchers to integrate and optimize large language models for insurance workflows.
* Build data processing and evaluation pipelines for unstructured document inputs (PDFs, emails, images).
* Contribute to core infrastructure, from APIs to orchestration logic powering our AI Workspace for Insurance.
* Work cross\-functionally with product and customer teams to identify and solve real business problems with AI.
* Participate in design reviews, code reviews, and rapid iteration cycles.
**You Might Be a Fit if You:**
* Are a recent CS, EE, or related STEM graduate (Bachelor’s or Master’s) with a strong foundation in software engineering.
* Have hands\-on experience with Python, TypeScript/JavaScript, or similar modern languages.
* Understand or are excited to learn about large language models (LLMs), NLP, or applied AI systems.
* Are curious, resourceful, and comfortable working in fast\-moving, ambiguous environments.
* Want to see your code drive visible impact in the real world — not just in research.
**Bonus:**
* Previous internship or project experience in AI/ML or full\-stack development.
* Experience working with frameworks like PyTorch, LangChain, or FastAPI.
* Interest in insurance, fintech, or other regulated industries.
**Tech Stack \-** 
 Python, FastAPI, TypeScript, Next.js, React, PostgreSQL, AWS, LangChain, OpenAI API
**Compensation And Benefits**
* Fully covered, best\-in\-class health, dental, and vision benefits
* Competitive Compensation, meaningful stock options, company 401(k)
* Unlimited PTO
* Outstanding in\-office culture in the heart of San Francisco
* Lunch and dinner onsite
* Team events, such as happy hours and off\-sites
* Pre\-tax Commuter benefits
 Compensation Range: $125K \- $165K</t>
        </is>
      </c>
    </row>
    <row r="119">
      <c r="A119" t="inlineStr">
        <is>
          <t>li-4369197676</t>
        </is>
      </c>
      <c r="B119" t="inlineStr">
        <is>
          <t>Machine Learning Engineer</t>
        </is>
      </c>
      <c r="C119" t="inlineStr">
        <is>
          <t>Rocket</t>
        </is>
      </c>
      <c r="D119" t="inlineStr">
        <is>
          <t>linkedin</t>
        </is>
      </c>
      <c r="E119">
        <f>HYPERLINK("https://www.linkedin.com/jobs/view/4369197676", "https://www.linkedin.com/jobs/view/4369197676")</f>
        <v/>
      </c>
      <c r="F119" t="inlineStr"/>
      <c r="G119" t="inlineStr">
        <is>
          <t>Detroit, MI</t>
        </is>
      </c>
      <c r="H119" t="inlineStr"/>
      <c r="I119" t="inlineStr">
        <is>
          <t>As a Machine Learning Engineer, you will design and develop the platforms and frameworks that facilitate automated data\-driven decision\-making, gather data, and determine statistical algorithms and models that a system can use to learn from experience, predict outcomes, and make decisions.
**About The Role**
* Collaborate with data scientists to develop algorithms and tools for training and running simulations
* Build services to interact with machine learning models through simulations
* Participate in code reviews to ensure code quality and share best practices
* Develop services that host the trained models and work with other application teams to integrate them into business processes
* Gather and analyze large datasets and develop data model pipelines
* Develop algorithms that drive automated data\-driven decision\-making
* Build the tools for monitoring the performance of machine learning applications
**About You**
 Minimum Qualifications
* Master’s degree in software development, computer science, algorithm design, artificial intelligence, or machine learning or equivalent experience
**Preferred Qualifications**
* 1 year of experience in machine learning and using libraries such as Scikit\-learn, TensorFlow, Caffe, Keras, etc.
* 1 year of experience working with large datasets, structured and unstructured
* 1 year of programming experience, including Java, or Python
* 1 year of experience with the Hadoop ecosystem (Apache Hive, Pig, HBase and Kafka)
* 1 year of experience with distributed computing platforms, such as Spark, and user interface frameworks, such as Angular or React
* 1 year of experience with cloud computing providers such as AWS or Azure
* Ph.D. in software development, computer science, algorithm design, artificial intelligence, or machine learning or equivalent experience
* Proficiency in the Microsoft Office suite
* Strong object\-oriented programming skills, including proficiency in Java, Scala, C/C\+\+ or Python
* Knowledge of big data
**What You’ll Get**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**About Us**
**Rocket Mortgage®** 
 was founded in 1985\. Today, we’re a Detroit\-based, publicly traded company with a mission to Help Everyone Home. At Rocket Mortgage, we believe that home is more than the house you live in. Our wide variety of home loan options, tools and resources empower our clients to achieve their homeownership dreams. We’re known as experts in the mortgage industry, but we’re also innovators – we strive to create the best experiences for our clients from beginning to end. And we’re not your typical employer. We’re insistently different in how we look at the world and are committed to an inclusive workplace where every voice is heard.
 *Apply today to join a team that offers career growth, amazing benefits and the chance to work with leading industry professionals.*
*This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at* 
 Careers@Rocket.com
 *.*</t>
        </is>
      </c>
    </row>
    <row r="120">
      <c r="A120" t="inlineStr">
        <is>
          <t>li-4310006163</t>
        </is>
      </c>
      <c r="B120" t="inlineStr">
        <is>
          <t>Sr Machine Learning Engineer</t>
        </is>
      </c>
      <c r="C120" t="inlineStr">
        <is>
          <t>Quantcast</t>
        </is>
      </c>
      <c r="D120" t="inlineStr">
        <is>
          <t>linkedin</t>
        </is>
      </c>
      <c r="E120">
        <f>HYPERLINK("https://www.linkedin.com/jobs/view/4310006163", "https://www.linkedin.com/jobs/view/4310006163")</f>
        <v/>
      </c>
      <c r="F120" t="inlineStr"/>
      <c r="G120" t="inlineStr">
        <is>
          <t>San Francisco, CA</t>
        </is>
      </c>
      <c r="H120" t="inlineStr"/>
      <c r="I120" t="inlineStr">
        <is>
          <t>At Quantcast, we don't just build advertising technology, we revolutionize how it works. Our AI\-powered Demand Side Platform (DSP) connects the world's most ambitious marketers with their ideal audiences across the open internet, delivering results that actually move the needle. Since 2006, we've been the industry's trailblazer, launching the first AI\-powered measurement platform for publishers and the first AI\-driven DSP. Our AI doesn't just optimize—it delivers the measurable outcomes that matter most to our clients, giving them the competitive edge they need in a crowded marketplace. Ready to join the team that's defining the future of digital advertising?
 The Modeling team is responsible for Machine Learning (ML) systems at Quantcast. We build and maintain multiple ML products that price millions of bid requests per second in a real\-time auction environment to maximize advertiser outcomes. For each bid our models predict age, gender, viewability, fraud, advertiser relevance and many more characteristics. We are developing novel and effective platforms and algorithms to combine our vast first\-party dataset with third\-party data to provide the highest quality demographic and behavioral analysis of digital audiences on the market.
 As a Sr Machine Learning Engineer, you will use our large datasets, computational power, and analytic tools to build high\-quality and diverse products to support Quantcast’s position as a leader in advertising. You will help lead our efforts in crafting, implementing, and operating large\-scale machine learning systems in a production environment. You care about the health and maintainability of our systems and the velocity of the engineering teams. You explore data, research new algorithms, experiment with proof of concepts, and build out scalable real\-time production systems to tackle challenges the company faces.
**What You'll Do**
* Design, code, test, and debug ML applications and constantly improve large\-scale global systems that respond to millions of real\-time requests per second efficiently.
* Prototype solutions, conduct data analyses to tackle large\-scale inference problems, and run ML experiments to test new modeling ideas.
* Write clean, efficient, and maintainable code using industry best practices.
* Work multi\-functionally with other teams to develop standard methodologies in model building and validation, and collaborate closely with engineering teams to deliver high\-quality ML products.
* Identify performance bottlenecks and optimize system components for enhanced scalability.
* Mentor machine learning engineers to grow their careers and improve their skills, including participating in code reviews and providing constructive feedback to team members.
* Generate and review proposals for further research and development directions.
* Keep up to date with developments in machine learning outside the company.
**Who You Are**
* M.S in Computer Science or related technical field with 5 \- 8 years of industry experience or Ph.D. with 5\+ years, or equivalent practical experience.
* You must be work\-authorized in the United States without the need for current or future employer sponsorship.
* This is a hybrid role based in our San Francisco office. To ensure a manageable commute for in\-office days, candidates must reside within a 60\-mile radius of San Francisco, CA. No relocation candidates at this time.
* Fluency in Python, Java, or similar object\-oriented programming language.
* Proficiency with ML algorithms such as classification, control systems, optimization, clustering, LLMs, or recommendation systems.
* An interest in distributed system and software design, concurrent algorithms, data structures, and software engineering.
* Solid foundation in math, statistics, data visualization, and storytelling.
* Demonstrated analytical, planning, and social skills.
* Experience coaching and developing junior machine learning engineers.
 The salary range for this position is $186,900 \- $217,200
 At Quantcast, we craft offers that reflect your unique skills, expertise, and geographic location. On top of a competitive salary, this position includes a performance bonus, equity, and a comprehensive benefits package. For more details, visit our Careers Page and see how we support our team. We are headquartered in San Francisco with offices around the world. Quantcast is an Equal Opportunity Employer. Please see the Applicant Privacy Notice for details on our applicant privacy policy. Join the team that unlocks potential.</t>
        </is>
      </c>
    </row>
    <row r="121">
      <c r="A121" t="inlineStr">
        <is>
          <t>li-4362962093</t>
        </is>
      </c>
      <c r="B121" t="inlineStr">
        <is>
          <t>Machine Learning Engineer - Scene Understanding</t>
        </is>
      </c>
      <c r="C121" t="inlineStr">
        <is>
          <t>Zoox</t>
        </is>
      </c>
      <c r="D121" t="inlineStr">
        <is>
          <t>linkedin</t>
        </is>
      </c>
      <c r="E121">
        <f>HYPERLINK("https://www.linkedin.com/jobs/view/4362962093", "https://www.linkedin.com/jobs/view/4362962093")</f>
        <v/>
      </c>
      <c r="F121" t="inlineStr"/>
      <c r="G121" t="inlineStr">
        <is>
          <t>Boston, MA</t>
        </is>
      </c>
      <c r="H121" t="inlineStr"/>
      <c r="I121" t="inlineStr">
        <is>
          <t>The Perception Scene Understanding team at Zoox builds the high\-performance reasoning engines that allow our autonomous vehicles to navigate complex urban environments. We translate sensor data and detected objects into deep semantic understanding, ensuring our robots make human\-level decisions in real\-time.
 We are seeking engineers passionate about the intersection of robotics and cutting\-edge AI. In this role, you will develop next\-generation algorithms and deploy production\-grade software directly to our fleet. You will tackle the inherent unpredictability of urban driving—including road closures, occlusions, dynamic traffic controls, and abnormal traffic patterns—ensuring our vehicles remain resilient in the face of unexpected hazards.
 As an engineer on the Scene Understanding team, you will develop and deploy advanced machine learning models that interpret the robot’s surroundings to identify hazards and enforce driving restrictions. Your work will be pivotal in resolving unstructured scenarios, ensuring safe navigation through complex or restricted zones. You will optimize models for real\-time inference on our vehicle hardware and collaborate closely with teams—including Localization, Perception, Prediction, and Planning—to deliver a seamless, safe, and reliable experience for our riders.
**In this role, you will...**
* Develop machine learning algorithms for Bird’s Eye View scene analysis and real\-time hazard detection.
* Design and implement scene understanding solutions specifically for Zoox's unique bidirectional vehicle.
* Lead the end\-to\-end data strategy—including mining, auto\-labeling, and dataset construction—to keep our ML models improving.
* Implement on\-vehicle software for model inference and result post\-processing that runs reliably in real\-time.
* Use our large\-scale data pipelines and infra to research, prototype, and deploy changes that directly improve how the vehicle handles complex road scenarios.
* Team up with Perception, Prediction, and Planning. teams to integrate your signals into the final driving solution.
**Qualifications**
* BS, MS, or PhD in Computer Science, Robotics, or a related field with 2\+ years of industry experience training and deploying ML models.
* Experience with BEV (Bird’s Eye View) models, segmentation, or 3D representations.
* Hands\-on experience with the full lifecycle: dataset construction, training frameworks, and building metrics pipelines to evaluate performance.
* A strong mathematical foundation in linear algebra, calculus, and probability.
* Fluency in C\+\+ and Python. Experience with PyTorch, TensorFlow, JAX.
**Bonus Qualifications**
* Track record of designing novel neural network architectures or working with probabilistic outputs.
* Experience working on autonomous systems or integrating ML models into a robotics stack.
* Publications in top\-tier conferences like CVPR, ICCV, ECCV, RSS, or ICRA.
 $179,000 \- $245,000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2">
      <c r="A122" t="inlineStr">
        <is>
          <t>li-4361003659</t>
        </is>
      </c>
      <c r="B122" t="inlineStr">
        <is>
          <t>AI Engineer</t>
        </is>
      </c>
      <c r="C122" t="inlineStr">
        <is>
          <t>Oscar</t>
        </is>
      </c>
      <c r="D122" t="inlineStr">
        <is>
          <t>linkedin</t>
        </is>
      </c>
      <c r="E122">
        <f>HYPERLINK("https://www.linkedin.com/jobs/view/4361003659", "https://www.linkedin.com/jobs/view/4361003659")</f>
        <v/>
      </c>
      <c r="F122" t="inlineStr"/>
      <c r="G122" t="inlineStr">
        <is>
          <t>San Francisco, CA</t>
        </is>
      </c>
      <c r="H122" t="inlineStr"/>
      <c r="I122" t="inlineStr">
        <is>
          <t>Oscar is working with a leading AI\-native finance platform organization that is looking for an experienced
 **AI Engineer** 
 to join their team.
 As the
 **AI Engineer,** 
 you’ll be a technical leader responsible for designing, building, and hardening the core intelligence systems that power the platform.
**Key Responsibilities:** 
* Designing and architecting LLM\-powered, agentic systems for private market research, analysis, and decision support
* Building hybrid reasoning pipelines that combine LLMs with retrieval, structured financial data, rules, and external tools
* Developing robust RAG systems over unstructured, noisy, and proprietary data sources (PPMs, pitch decks, filings, internal research)
* Creating evaluation frameworks for reasoning quality, faithfulness, latency, and cost
* Implementing observability, debugging, and failure\-handling for multi\-step AI workflows
* Partnering closely with product, business, and design to translate ambiguous user needs into reliable intelligent behavior
* Raising the bar on AI engineering practices across the team through technical leadership and mentorship
**Required Qualifications:** 
* 6\+ years of software engineering experience, with deep hands\-on work in applied AI or ML systems
* Strong fundamentals in Python and backend system design
* Demonstrated experience with LLMs (prompting, fine\-tuning, RAG, agentic workflows, or evaluation tooling)
* Proven ability to own ambiguous, high\-impact systems from concept through production
* Comfort making architectural tradeoffs under real\-world constraints
* Ability to think at the system level while still shipping high\-quality code
* Strong product intuition and a deep sense of responsibility for user outcomes
***Nice\-to\-have:***
 Experience in fintech, data\-intensive products, or regulated environments.
**Why This Is Challenging:** 
* **Product intuition matters:** 
 We’re building a high\-stakes, high\-value product—not a demo or internal research tool.
* **Accuracy is mandatory:** 
 Private market investing demands explainability, calibrated uncertainty, and precision. “Mostly right” isn’t good enough.
* **Messy data:** 
 There is no clean source of truth. Data is fragmented, sparse, contradictory, and often qualitative.
* **Reasoning \&gt; generation:** 
 The challenge is building systems that compare tradeoffs, reason over evidence, and surface uncertainty—not just generate fluent text.
* **Agent reliability:** 
 Multi\-step, tool\-using agents must behave consistently in production, not just during demos.
**Recap:** 
**Location: San Francisco, CA (Onsite)** 
**Type: Permanent Fulltime** 
**Salary: 200k\-300k \+ Equity and Benefits** 
*If you think you're a good fit for the role, we'd love to hear from you!*</t>
        </is>
      </c>
    </row>
    <row r="123">
      <c r="A123" t="inlineStr">
        <is>
          <t>li-4369703201</t>
        </is>
      </c>
      <c r="B123" t="inlineStr">
        <is>
          <t>Artificial intelligence/Machine Learning Engineer</t>
        </is>
      </c>
      <c r="C123" t="inlineStr">
        <is>
          <t>GDH</t>
        </is>
      </c>
      <c r="D123" t="inlineStr">
        <is>
          <t>linkedin</t>
        </is>
      </c>
      <c r="E123">
        <f>HYPERLINK("https://www.linkedin.com/jobs/view/4369703201", "https://www.linkedin.com/jobs/view/4369703201")</f>
        <v/>
      </c>
      <c r="F123" t="inlineStr"/>
      <c r="G123" t="inlineStr">
        <is>
          <t>Reston, VA</t>
        </is>
      </c>
      <c r="H123" t="inlineStr"/>
      <c r="I123" t="inlineStr">
        <is>
          <t>**Role Summary**
 This position involves developing and implementing advanced AI and machine learning solutions to support mission\-critical systems across healthcare, defense, and regulatory sectors. The AI/ML Engineer will work on designing, deploying, and maintaining scalable data\-driven applications that enhance decision\-making processes. The role requires collaboration across technical teams to ensure reliable, secure, and efficient AI integrations within complex environments.
**Responsibilities**
* Understand client business processes to identify opportunities for AI/ML integration and automation.
* Design, develop, test, and deploy machine learning models and AI\-driven applications.
* Build and maintain data pipelines for preprocessing, feature engineering, and model training.
* Apply deep learning, natural language processing (NLP), and predictive analytics to relevant datasets.
* Integrate AI/ML models into production systems ensuring scalability and operational stability.
* Evaluate, validate, and refine models through continuous monitoring and improvement.
* Document methodologies, ensure reproducibility, and maintain compliance with industry standards.
* Collaborate with engineering, data science, and operations teams to deploy secure and efficient solutions.
* Support broader automation initiatives, including RPA and DevOps processes.
* Maintain expertise in current AI/ML trends and tools to support innovation efforts.
**Qualifications**
* Bachelor’s degree in Computer Science, Data Science, Engineering, or related field, with 5\+ years of AI/ML development experience; or 8\+ years of relevant experience in lieu of degree.
* Minimum of 3\+ years of experience in machine learning, deep learning, or AI application development.
* Proficiency in Python and experience with ML frameworks such as TensorFlow, PyTorch, and Scikit\-learn.
* Hands\-on experience building ML pipelines and deploying scalable APIs using FastAPI, Docker, and cloud platforms.
* Knowledge of natural language processing (NLP), computer vision, and time series modeling.
* Strong understanding of relational and NoSQL databases, including PostgreSQL, MySQL, and MSSQL.
* Experience with cloud services (Azure, AWS, GCP) and containerized/serverless deployment environments.
* Familiarity with identity and access management, secure integrations, and API\-driven architecture.
* Solid Linux, DevOps, and CI/CD expertise, with experience managing environments for ML deployments.
* Excellent communication skills, both written and verbal.
**Publishing Pay Range:** 
 $80\.00 – $90\.00 USD Hourly
*This is a fully remote role and can be performed from an approved location.*</t>
        </is>
      </c>
    </row>
    <row r="124">
      <c r="A124" t="inlineStr">
        <is>
          <t>li-4369728240</t>
        </is>
      </c>
      <c r="B124" t="inlineStr">
        <is>
          <t>AI Engineer</t>
        </is>
      </c>
      <c r="C124" t="inlineStr">
        <is>
          <t>Blattner</t>
        </is>
      </c>
      <c r="D124" t="inlineStr">
        <is>
          <t>linkedin</t>
        </is>
      </c>
      <c r="E124">
        <f>HYPERLINK("https://www.linkedin.com/jobs/view/4369728240", "https://www.linkedin.com/jobs/view/4369728240")</f>
        <v/>
      </c>
      <c r="F124" t="inlineStr"/>
      <c r="G124" t="inlineStr">
        <is>
          <t>Minnesota, United States</t>
        </is>
      </c>
      <c r="H124" t="inlineStr"/>
      <c r="I124" t="inlineStr">
        <is>
          <t>**A DAY IN THE LIFE**
 The AI Engineer supports the development and deployment of Artificial Intelligence and Machine Learning solutions that enhance the way Blattner’s utility\-scale renewable energy projects are designed, planned, and built. This role focuses on building and maintaining models, applications, and pipelines that enable data\-driven decision making across the enterprise. This role executes against established AI engineering standards, reference architectures, and delivery practices defined by the AI Innovation \&amp; Delivery team. The AI Engineer contributes technical input and implements approved designs, partnering with IT, data teams, and business stakeholders to deliver secure, scalable solutions.
**STEP INTO THE ROLE**
* Builds, tests, and deploys components of AI/ML models and applications (features, services, pipelines) that support renewable energy planning, forecasting, construction optimization, and operational insights, under guidance and within established patterns and standards.
* Implements components of MLOps workflows including data pipelines, packaging, versioning, monitoring, and model retraining.
* Collaborates with IT and data teams to ensure AI solutions follow security, integration, and performance requirements.
* Breaks down requirements into well\-defined technical tasks; implements approved technical designs and contributes implementation\-level input during design reviews.
**What You’ll Need**
* Bachelor’s degree in Computer Science, Data Science, or related field
* 2 or more years of professional experience in Machine Learning, AI Engineering, or related fields.
**What Sets You Apart**
* Experience developing AI/ML solutions and supporting deployment to cloud environments (Azure preferred), working within established engineering and security standards.
* Proficiency with Python, APIs, and modern ML frameworks (e.g., Scikit\-learn, XGBoost, Langchain, Tensorflow, LlamaIndex, etc.)
* Understanding of data engineering concepts, cloud services, and enterprise integration patterns.
**How We Invest In You**
* Competitive pay
* 100% employer paid HDHP insurance premiums for employees
* 401(k) with company match
* HSA and FSA options
* Dental and Vision insurance
* Education Assistance (Tuition Reimbursement)
* Work/Life balance
* Employee/Family focused culture
* Gym on site
* And more!
 $91,419\.00 \- $132,558\.00 Individual Compensation to be determined based on the applicant's applicable experience and qualifications balanced against internal equity.
**WHO ARE WE?**
 With more than 115 years of construction experience, the company has played a vital role in building America’s critical infrastructure, ranging from railroads and highways to dams and mines. Since 1997, Blattner has focused on renewable energy solutions and is responsible for some of the most significant solar, wind and storage projects in the U.S. Today, Blattner has installed more than 25% of America’s utility\-scale wind, solar and energy storage capacity. Blattner Company is the parent company of Blattner Energy and D.H. Blattner \&amp; Sons, of which all are members of the Quanta Services family of companies. Company headquarters are in Avon, Minnesota.
*Blattner is an Equal Employment Opportunity Employer committed to diversity and inclusion in the workplace. Blattner will not tolerate discrimination against any applicant for employment or employee on the basis of age (40 and over), ancestry, color, religious creed, gender, gender expression, gender identity, genetic information, marital status, medical condition, mental disability, military or veteran status, national origin, physical disability, race, receipt of public assistance, sex, sexual orientation, or any other status protected by federal, state, or local laws. This commitment governs all aspects of employment including, but not limited to: hiring, promotion, demotion, transfer, layoff, termination, compensation, discipline, and access to benefits and training. Additionally, Blattner is committed, in accordance with applicable law, to making reasonable accommodations for job applicants and employees based on a qualifying disability, a sincerely held religious belief or practice, and for pregnancy, childbirth or related health conditions. Applicants and employees who feel they have experienced or witnessed discrimination or who wishes to request a reasonable accommodation should contact the Human Resources Department. Blattner prohibits retaliation against any individual for making a complaint under this policy, for opposing discrimination, for participating in an investigation pursuant to this policy, or for requesting a reasonable accommodation.*</t>
        </is>
      </c>
    </row>
    <row r="125">
      <c r="A125" t="inlineStr">
        <is>
          <t>li-4359826559</t>
        </is>
      </c>
      <c r="B125" t="inlineStr">
        <is>
          <t>AI/ML Engineer / Defence / $500k+ / NYC</t>
        </is>
      </c>
      <c r="C125" t="inlineStr">
        <is>
          <t>Open Talent</t>
        </is>
      </c>
      <c r="D125" t="inlineStr">
        <is>
          <t>linkedin</t>
        </is>
      </c>
      <c r="E125">
        <f>HYPERLINK("https://www.linkedin.com/jobs/view/4359826559", "https://www.linkedin.com/jobs/view/4359826559")</f>
        <v/>
      </c>
      <c r="F125" t="inlineStr"/>
      <c r="G125" t="inlineStr">
        <is>
          <t>New York, United States</t>
        </is>
      </c>
      <c r="H125" t="inlineStr"/>
      <c r="I125"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126">
      <c r="A126" t="inlineStr">
        <is>
          <t>li-4359846316</t>
        </is>
      </c>
      <c r="B126" t="inlineStr">
        <is>
          <t>AI Engineer</t>
        </is>
      </c>
      <c r="C126" t="inlineStr">
        <is>
          <t>Diné Development Corporation</t>
        </is>
      </c>
      <c r="D126" t="inlineStr">
        <is>
          <t>linkedin</t>
        </is>
      </c>
      <c r="E126">
        <f>HYPERLINK("https://www.linkedin.com/jobs/view/4359846316", "https://www.linkedin.com/jobs/view/4359846316")</f>
        <v/>
      </c>
      <c r="F126">
        <f>HYPERLINK("https://ddc-dine-careers.icims.com/jobs/5905/ai-engineer/job?mode=apply&amp;iis=LinkedIn&amp;urlHash=YMRB", "https://ddc-dine-careers.icims.com/jobs/5905/ai-engineer/job?mode=apply&amp;iis=LinkedIn&amp;urlHash=YMRB")</f>
        <v/>
      </c>
      <c r="G126" t="inlineStr"/>
      <c r="H126" t="inlineStr"/>
      <c r="I126" t="inlineStr">
        <is>
          <t>The
 **AI Engineer** 
 will support the International Trade Administration (ITA) AI Center of Excellence (AI\-CoE) by delivering end\-to\-end artificial intelligence solutions across the full system lifecycle. This role focuses on model development, data handling, deployment, optimization, and integration of AI capabilities within secure, cloud\-based federal IT environments.
* This position is contingent upon contract award.\*
**Job Duties And Responsibilities**
* Design, develop, test, and deploy AI and machine learning models.
* Manage data ingestion, preprocessing, validation, and feature engineering.
* Build, deploy, and maintain AI infrastructure and pipelines.
* Optimize model performance, scalability, and reliability.
* Automate workflows and integrate AI solutions with enterprise systems.
* Monitor models in production and implement continuous improvements.
* Collaborate with product owners, developers, and data teams in SAFe Agile environments.
* Ensure solutions align with federal security, compliance, and governance requirements.
* Maintain technical documentation and operational runbooks.
* Other duties as assigned.
**Job Requirements (Education/Skills/Experience)**
* U.S. Citizenship (required). Ability to obtain and maintain a NACI or higher background investigation.
* Bachelor’s degree in Computer Science, Engineering, Data Science, or related field (or equivalent experience).
* Minimum 2 years experience
* Experience across the AI system lifecycle including development and deployment.
* Proficiency with machine learning frameworks and programming languages.
* Experience working in Agile or SAFe delivery environments.
**Desired Qualifications**
* Master’s degree in a technical field.
* Experience with cloud platforms (AWS, Azure, or GCP).
* Familiarity with MLOps, CI/CD pipelines, and automation tools.
* Experience supporting federal or public\-sector IT programs.
* Knowledge of AI governance, ethics, and security best practices.
 Work Location: Remote preferred with occasional on\-site support in Washington, DC, as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t>
        </is>
      </c>
    </row>
    <row r="127">
      <c r="A127" t="inlineStr">
        <is>
          <t>li-4359131556</t>
        </is>
      </c>
      <c r="B127" t="inlineStr">
        <is>
          <t>Senior Machine Learning Engineer</t>
        </is>
      </c>
      <c r="C127" t="inlineStr">
        <is>
          <t>Zocdoc</t>
        </is>
      </c>
      <c r="D127" t="inlineStr">
        <is>
          <t>linkedin</t>
        </is>
      </c>
      <c r="E127">
        <f>HYPERLINK("https://www.linkedin.com/jobs/view/4359131556", "https://www.linkedin.com/jobs/view/4359131556")</f>
        <v/>
      </c>
      <c r="F127">
        <f>HYPERLINK("https://job-boards.greenhouse.io/zocdoc/jobs/7539853?gh_src=068301fd1us&amp;urlHash=wEKD", "https://job-boards.greenhouse.io/zocdoc/jobs/7539853?gh_src=068301fd1us&amp;urlHash=wEKD")</f>
        <v/>
      </c>
      <c r="G127" t="inlineStr">
        <is>
          <t>New York, NY</t>
        </is>
      </c>
      <c r="H127" t="inlineStr"/>
      <c r="I127"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We are looking for a Senior Machine Learning Engineer to join our Sponsored Results Team, one of our fastest\-growing product areas! In this role, you will use your machine learning and engineering expertise to develop systems that enhance our products and facilitate improved healthcare experiences for patients and providers. As a Machine Learning Engineer, you will play a key role in building and optimizing new algorithms for our core Sponsored Results product. You'll collaborate with cross\-functional teams, including Product, Analytics, and Sales, to ensure that our algorithms are fine\-tuned for maximum client value and revenue growth.
 Healthcare providers face a challenging space to grow their business and use their resources effectively, with Zocdoc’s Sponsored Results providing unparalleled value in this space. Your work will help drive performance improvements and expand Zocdoc’s share of marketing spend in a way that improves patient outcomes and experiences.
**You’ll enjoy this role if you are…**
* Passionate about optimizing complex algorithms for business growth and working with a fantastic team
* Deeply interested in ML Platform initiatives like building the infrastructure, abstractions, and tools for other ML practitioners
* Also excited about working on hands\-on model development (iterating on features, training runs, and evaluation to ship improved models)
* Excited by iterating on complex problems with high reward in a fast\-paced environment
* Happy working in a highly collaborative environment, pairing closely with data scientists, backend engineers, sales, and product managers daily.
**Your day\-to\-day will include…**
* Designing and building scalable ML infrastructure, including feature stores, data pipelines, and experiment tracking, to streamline the end\-to\-end model lifecycle and accelerate ML Engineer development
* Contributing to the development and optimization of Sponsored Results auction algorithms, focusing on improving patient and provider experiences, predictive accuracy, and efficient bid pricing
* Closely partnering with Sales and Product teams as a fellow business owner to ensure the SPO platform is performing optimally for clients
* Brainstorming with an amazing team and rapidly shipping new features and scalable code to millions of users
* Making a meaningful impact as you own and release features that will impact patients, doctors, and team members alike
* Mentoring peers, with the notion that helping others means learning and growing yourself
**You’ll be successful in this role if you have…**
* 4\+ years of experience building, deploying, and maintaining production ML systems at scale
* Demonstrated ability to design ML platforms or shared infrastructure
* Strong background in building scalable algorithms and systems, with a focus on performance and reliability
* Passion around applying state of the art agentic AI workflows
* Experience working with predictive models or auction mechanics, especially in the context of digital marketing or ads
* Proven ability to mentor engineers, helping them grow while delivering solutions aligned with revenue and business outcomes
* Good understanding of ML concepts and techniques. Experience with training models for production release is a big plus.
* Experience with languages and tools like Python, Scala, and machine learning frameworks
* Driven, curious, and continuously seeking to improve products or learn new skills and technologies
* 5\+ years of experience in professional software development
* A Computer Science or related degree (preferred)
**Benefits**
* Flexible, hybrid work environment at our convenient Soho location
* Unlimited Vacation
* 100% paid employee health benefit options (including medical, dental, and vision)
* Commuter Benefits
* 401(k) with employer funded match
* Corporate wellness programs with Headspace and Peloton
* Sabbatical leave (for employees with 5\+ years of service)
* Competitive paid parental leave and fertility/family planning reimbursement
* Cell phone reimbursement
* Catered lunch everyday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$208,600—$279,600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128">
      <c r="A128" t="inlineStr">
        <is>
          <t>li-4365194362</t>
        </is>
      </c>
      <c r="B128" t="inlineStr">
        <is>
          <t>Gen AI Engineer</t>
        </is>
      </c>
      <c r="C128" t="inlineStr">
        <is>
          <t>Elevance Health</t>
        </is>
      </c>
      <c r="D128" t="inlineStr">
        <is>
          <t>linkedin</t>
        </is>
      </c>
      <c r="E128">
        <f>HYPERLINK("https://www.linkedin.com/jobs/view/4365194362", "https://www.linkedin.com/jobs/view/4365194362")</f>
        <v/>
      </c>
      <c r="F128" t="inlineStr"/>
      <c r="G128" t="inlineStr">
        <is>
          <t>Atlanta, GA</t>
        </is>
      </c>
      <c r="H128" t="inlineStr"/>
      <c r="I128"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*PLEASE NOTE: This position is not eligible for current or future visa sponsorship.*
 The
 **Gen** 
**AI Engineer** 
 is responsible for analyzing and modeling organizational data for the Artificial Intelligence (AI) function to draw business insights, which can be used to make business decisions.
**How You Will Make An Impact**
* Applies data extraction, transformation and loading techniques in order to connect large data sets from a variety of sources.
* LLM development and fine\-tuning strategies, best practices, and standards to enhance AI ML model deployment and monitoring efficiency.
* Develop roadmap and strategy for NLP, LLM, Gen AI model development and lifecycle implementation.
* Responsible for the design and development of custom ML, Gen AI, NLP, LLM Models for batch and stream processing\-based AI ML pipelines including data ingestion, preprocessing modules, search and retrieval, Retrieval Augmented Generation (RAG), NLP/LLM model development and ensure the end\-to\-end solution meets all technical and business requirements, and SLA specifications.
* Work closely with the MLOps team to create and maintain robust evaluation solutions and tools to evaluate model performance, accuracy, consistency, reliability, during development, and UAT.
* Identify and implement model optimizations to improve system efficiency.
* Collaborate closely with the MLOps, product teams, business stakeholders, machine learning engineers, and software engineers for the deployment of machine learning models into production environments, ensuring smooth integration, reliability and scalability.
* Ensure the use of standards, governance and best practices in ML model development, and adherence to model and data governance standards.
**Minimum Requirements**
* Requires a Bachelor’s degree in a highly quantitative field (Computer Science, Machine Learning, Operational Research, Statistics, Mathematics, etc.) or equivalent degree and 4 or more years of experience; or any combination of education and experience in configuration management, which would provide an equivalent background.
**Preferred Skills, Capabilities, And Experiences**
* Advanced Python proficiency.
* 4\+ years of professional hands\-on experience leveraging large sets of structured and unstructured data to develop data\-driven tactical and strategic analytics and insights using ML, NLP, and computer vision solutions.
* Demonstrated 4\+ years hands\-on experience with Python, SQL, Hugging Face, TensorFlow, Keras, PyTorch, and Spark.
* Experience with GCP/AWS cloud platforms.
* Strong knowledge of and measurable hands\-on experience with developing or tuning Large Language Models (LLM) and Generative AI (GAI)
* Experience with NLP, LLMs (extractive and generative), fine\-tuning and LLM model development.
* Experience developing and optimizing high\-quality prompts for NLP applications.
* Excellent written \&amp; verbal communication and stakeholder management skills.
* 4\+ years project leadership experience including Agile project management, Scaled Agile Frameworks (SAFE).
* LLM Infrastructure \&amp; Deployment: LLM serving platforms (vLLM, Text Generation Inference, FastAPI); Model quantization for LLMs (GPTQ, AWQ, bitsandbytes); GPU memory optimization techniques (tensor parallelism, pipeline parallelism); LLM caching strategies for inference optimization; RAG architecture design and implementation.
* Advanced cloud infrastructure (AWS EKS/ECS, GCP GKE, Azure AKS) knowledge.
* Containerization strategies for ML workloads; Canary deployments for ML models.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129">
      <c r="A129" t="inlineStr">
        <is>
          <t>li-4369184500</t>
        </is>
      </c>
      <c r="B129" t="inlineStr">
        <is>
          <t>AI/ML Engineer</t>
        </is>
      </c>
      <c r="C129" t="inlineStr">
        <is>
          <t>Wipro</t>
        </is>
      </c>
      <c r="D129" t="inlineStr">
        <is>
          <t>linkedin</t>
        </is>
      </c>
      <c r="E129">
        <f>HYPERLINK("https://www.linkedin.com/jobs/view/4369184500", "https://www.linkedin.com/jobs/view/4369184500")</f>
        <v/>
      </c>
      <c r="F129" t="inlineStr"/>
      <c r="G129" t="inlineStr">
        <is>
          <t>Austin, TX</t>
        </is>
      </c>
      <c r="H129" t="inlineStr"/>
      <c r="I129" t="inlineStr">
        <is>
          <t>Job description:
 Job Description
 **Role Purpose** 
 The purpose of the role is to support process delivery by ensuring daily performance of the Production Specialists, resolve technical escalations and develop technical capability within the Production Specialists.  
 ͏
 **Do** 
* **Oversee and support process by reviewing daily transactions on performance parameters** 
	+ Review performance dashboard and the scores for the team
	+ Support the team in improving performance parameters by providing technical support and process guidance
	+ Record, track, and document all queries received, problem\-solving steps taken and total successful and unsuccessful resolutions
	+ Ensure standard processes and procedures are followed to resolve all client queries
	+ Resolve client queries as per the SLAÃ¢Â€Â™s defined in the contract
	+ Develop understanding of process/ product for the team members to facilitate better client interaction and troubleshooting
	+ Document and analyze call logs to spot most occurring trends to prevent future problems
	+ Identify red flags and escalate serious client issues to Team leader in cases of untimely resolution
	+ Ensure all product information and disclosures are given to clients before and after the call/email requests
	+ Avoids legal challenges by monitoring compliance with service agreements
 ͏
 * **Handle technical escalations through effective diagnosis and troubleshooting of client queries** 
	+ Manage and resolve technical roadblocks/ escalations as per SLA and quality requirements
	+ If unable to resolve the issues, timely escalate the issues to TA \&amp; SES
	+ Provide product support and resolution to clients by performing a question diagnosis while guiding users through step\-by\-step solutions
	+ Troubleshoot all client queries in a user\-friendly, courteous and professional manner
	+ Offer alternative solutions to clients (where appropriate) with the objective of retaining customersÃ¢Â€Â™ and clientsÃ¢Â€Â™ business
	+ Organize ideas and effectively communicate oral messages appropriate to listeners and situations
	+ Follow up and make scheduled call backs to customers to record feedback and ensure compliance to contract SLAÃ¢Â€Â™s
 ͏
 * **Build people capability to ensure operational excellence and maintain superior customer service levels of the existing account/client** 
	+ Mentor and guide Production Specialists on improving technical knowledge
	+ Collate trainings to be conducted as triage to bridge the skill gaps identified through interviews with the Production Specialist
	+ Develop and conduct trainings (Triages) within products for production specialist as per target
	+ Inform client about the triages being conducted
	+ Undertake product trainings to stay current with product features, changes and updates
	+ Enroll in product specific and any other trainings per client requirements/recommendations
	+ Identify and document most common problems and recommend appropriate resolutions to the team
	+ Update job knowledge by participating in self learning opportunities and maintaining personal networks
 ͏
**Deliver** 
 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30">
      <c r="A130" t="inlineStr">
        <is>
          <t>li-4369315170</t>
        </is>
      </c>
      <c r="B130" t="inlineStr">
        <is>
          <t>AIML - Sr. Applied Machine Learning Engineer - Answers, Knowledge &amp; Information (AKI)</t>
        </is>
      </c>
      <c r="C130" t="inlineStr">
        <is>
          <t>Apple</t>
        </is>
      </c>
      <c r="D130" t="inlineStr">
        <is>
          <t>linkedin</t>
        </is>
      </c>
      <c r="E130">
        <f>HYPERLINK("https://www.linkedin.com/jobs/view/4369315170", "https://www.linkedin.com/jobs/view/4369315170")</f>
        <v/>
      </c>
      <c r="F130" t="inlineStr"/>
      <c r="G130" t="inlineStr">
        <is>
          <t>Santa Clara, CA</t>
        </is>
      </c>
      <c r="H130" t="inlineStr"/>
      <c r="I130" t="inlineStr">
        <is>
          <t>**Summary**
 Do you want to make Siri and Apple products smarter for our users? Our Answers, Knowledge \&amp; Information (AKI) team is redefining how hundreds of millions of people use their devices to get information. We are an Applied ML team pushing the limits on real\-time augmented information retrieval and generation, information safety and search technologies, while also responsible for a few user\-facing production services. We are part of a wider effort to power information across a variety of Apple products – including: Siri, Spotlight, Safari, Messages, Lookup, and more.
**Description**
 We are looking for candidates with applied machine learning experience and strong software engineering skills. As a member of our fast\-paced group, you’ll have the unique and rewarding opportunity to shape upcoming products from Apple. Our team includes a diversity of backgrounds from applied machine learning engineers with a focus on ML and LLM to experienced distributed systems engineers.
 You will be using and improving upon the latest advancements in machine learning and software engineering to understand user queries and intents, retrieve and rank documents, and generate helpful answers, and work on horizontal areas on data generation, evaluation, and safety.
**Minimum Qualifications**
* Experience with using: PyTorch, TensorFlow, or JAX for training and deploying deep learning models
* Proficient in at least two programming languages such as: Go, Swift, Python, C/C\+\+, or Java
* 3\+ years of industry related experience, working in collaborative environments
* Bachelors in Computer Science, Artificial Intelligence, Machine Learning, Information Retrieval, Data Science or related field or equivalent work experience
**Preferred Qualifications**
* Analyzing search ranking and relevance requirements issues and opportunities
* Building machine\-learned models for search relevance ranking query understanding and questioning
* Understanding product requirements then translating them into modeling tasks and engineering tasks
* Masters or PhD in the area of Computer Science or equivalent, or a related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1">
      <c r="A131" t="inlineStr">
        <is>
          <t>li-4369746158</t>
        </is>
      </c>
      <c r="B131" t="inlineStr">
        <is>
          <t>Senior Machine Learning Engineer - Chemistry and Materials Science</t>
        </is>
      </c>
      <c r="C131" t="inlineStr">
        <is>
          <t>NVIDIA</t>
        </is>
      </c>
      <c r="D131" t="inlineStr">
        <is>
          <t>linkedin</t>
        </is>
      </c>
      <c r="E131">
        <f>HYPERLINK("https://www.linkedin.com/jobs/view/4369746158", "https://www.linkedin.com/jobs/view/4369746158")</f>
        <v/>
      </c>
      <c r="F131" t="inlineStr"/>
      <c r="G131" t="inlineStr">
        <is>
          <t>Santa Clara, CA</t>
        </is>
      </c>
      <c r="H131" t="inlineStr"/>
      <c r="I131" t="inlineStr">
        <is>
          <t>NVIDIA’s deep learning and HPC platforms have made a huge impact in various fields and are broadly used across leading academic institutions, start\-ups, and industry, including the world’s largest Internet companies. We need passionate and creative people to help us on building AI frameworks that will solve the toughest and most relevant problems of humanity and problems that are at the cutting edge of science \&amp; engineering: weather/climate challenges, product design, digital twins, molecular dynamics, novel materials, accelerated drug development, etc.
**What You'll Be Doing**
* Work with some of the brightest minds in a leading AI company to develop leading machine learning frameworks including NVIDIA PhysicsNeMo and ALCHEMI used by our academic and industry partners to accelerate scientific discovery and solve real world problems at scale
* Work with internal project teams to validate applications built using the framework across NVIDIA's products
* Stay up to date with the latest research and innovations in deep learning techniques, implement and experiment with new ideas to develop and enhance NVIDIA's deep learning technologies that couple physical simulations with AI/ML models
**What We Need To See**
* BS or MS degree (PhD preferred) in computer science, mathematics, computational chemistry/materials science, physical chemistry or related technical field or equivalent experience
* 5\+ yrs of relevant experience
* Strong Python programming skills
* Familiarity with containers, continuous integration/continuous development, numeric libraries, modular software design, and collaborative programming/engineering
* Good understanding and intuition for state\-of\-the\-art AI/ML architectures and techniques including but not limited to geometric deep learning, Euclidean neural networks, diffusion/flow matching
* Familiarity across the AI framework ecosystem: e.g. PyTorch, PyTorch Geometric, Jax, Flax
* Experience across the AI/ML model lifecycle: from dataset curation,from dataset curation to training techniques, to inference deployment and performance optimization
* Proven track record of applying AI/ML techniques to solve real world problems in chemistry and materials science: e.g. surrogate interatomic potentials, inverse design, crystal structure prediction, experimental characterization
* Strong analytical skills with bias for action.Good time management and organization skills to thrive in a fast paced, dynamic environment
* Solid written and oral communications skills.
* Good teamwork and interpersonal skills
**Ways To Stand Out From The Crowd**
* Work with distributed systems with data\-parallel and model parallel programming experience. Experience with CUDA Python. Experience working with GPU (SIMT/Tile) parallelism
* Published papers in the field of AI with chemistry and materials science applications. Presentations at major workshops and conferences; NeurIPS, ICLR, ICML
* Familiarity with accelerated simulation packages in quantum chemistry (e.g. PySCF, VASP) and/or molecular dynamics (e.g. LAMMPS, OpenMM)
 NVIDIA is widely considered to be one of the technology world’s most desirable employers. We have some of the most forward\-thinking and hardworking people on the planet working for us. If you're creative and autonomous, we want to hear from you! NVIDIA’s invention of the GPU in 1999 sparked the growth of the PC gaming market, redefined modern computer graphics, and revolutionized parallel computing. More recently, GPU deep learning ignited modern deep learning — the next era of computing — with the GPU acting as the brain of computers, robots, and self\-driving cars that can perceive and understand the world. Today, we are increasingly known as “the AI computing company.” We're looking to grow our company and establish teams with the most thoughtful people in the world.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law.\#deeplearning
 JR2012864</t>
        </is>
      </c>
    </row>
    <row r="132">
      <c r="A132" t="inlineStr">
        <is>
          <t>li-4369743389</t>
        </is>
      </c>
      <c r="B132" t="inlineStr">
        <is>
          <t>Senior Machine Learning Engineer - Chemistry and Materials Science</t>
        </is>
      </c>
      <c r="C132" t="inlineStr">
        <is>
          <t>NVIDIA</t>
        </is>
      </c>
      <c r="D132" t="inlineStr">
        <is>
          <t>linkedin</t>
        </is>
      </c>
      <c r="E132">
        <f>HYPERLINK("https://www.linkedin.com/jobs/view/4369743389", "https://www.linkedin.com/jobs/view/4369743389")</f>
        <v/>
      </c>
      <c r="F132">
        <f>HYPERLINK("https://nvidia.wd5.myworkdayjobs.com/NVIDIAExternalCareerSite/job/US-CA-Santa-Clara/Senior-Machine-Learning-Engineer\u002d\u002d-Chemistry-and-Materials-Science_JR2012864?source=jobboardlinkedin&amp;urlHash=LrRZ", "https://nvidia.wd5.myworkdayjobs.com/NVIDIAExternalCareerSite/job/US-CA-Santa-Clara/Senior-Machine-Learning-Engineer\u002d\u002d-Chemistry-and-Materials-Science_JR2012864?source=jobboardlinkedin&amp;urlHash=LrRZ")</f>
        <v/>
      </c>
      <c r="G132" t="inlineStr">
        <is>
          <t>Santa Clara, CA</t>
        </is>
      </c>
      <c r="H132" t="inlineStr"/>
      <c r="I132" t="inlineStr">
        <is>
          <t>NVIDIA’s deep learning and HPC platforms have made a huge impact in various fields and are broadly used across leading academic institutions, start\-ups, and industry, including the world’s largest Internet companies. We need passionate and creative people to help us on building AI frameworks that will solve the toughest and most relevant problems of humanity and problems that are at the cutting edge of science \&amp; engineering: weather/climate challenges, product design, digital twins, molecular dynamics, novel materials, accelerated drug development, etc.
**What You'll Be Doing**
* Work with some of the brightest minds in a leading AI company to develop leading machine learning frameworks including NVIDIA PhysicsNeMo and ALCHEMI used by our academic and industry partners to accelerate scientific discovery and solve real world problems at scale
* Work with internal project teams to validate applications built using the framework across NVIDIA's products
* Stay up to date with the latest research and innovations in deep learning techniques, implement and experiment with new ideas to develop and enhance NVIDIA's deep learning technologies that couple physical simulations with AI/ML models
**What We Need To See**
* BS or MS degree (PhD preferred) in computer science, mathematics, computational chemistry/materials science, physical chemistry or related technical field or equivalent experience
* 5\+ yrs of relevant experience
* Strong Python programming skills
* Familiarity with containers, continuous integration/continuous development, numeric libraries, modular software design, and collaborative programming/engineering
* Good understanding and intuition for state\-of\-the\-art AI/ML architectures and techniques including but not limited to geometric deep learning, Euclidean neural networks, diffusion/flow matching
* Familiarity across the AI framework ecosystem: e.g. PyTorch, PyTorch Geometric, Jax, Flax
* Experience across the AI/ML model lifecycle: from dataset curation,from dataset curation to training techniques, to inference deployment and performance optimization
* Proven track record of applying AI/ML techniques to solve real world problems in chemistry and materials science: e.g. surrogate interatomic potentials, inverse design, crystal structure prediction, experimental characterization
* Strong analytical skills with bias for action.Good time management and organization skills to thrive in a fast paced, dynamic environment
* Solid written and oral communications skills.
* Good teamwork and interpersonal skills
**Ways To Stand Out From The Crowd**
* Work with distributed systems with data\-parallel and model parallel programming experience. Experience with CUDA Python. Experience working with GPU (SIMT/Tile) parallelism
* Published papers in the field of AI with chemistry and materials science applications. Presentations at major workshops and conferences; NeurIPS, ICLR, ICML
* Familiarity with accelerated simulation packages in quantum chemistry (e.g. PySCF, VASP) and/or molecular dynamics (e.g. LAMMPS, OpenMM)
 NVIDIA is widely considered to be one of the technology world’s most desirable employers. We have some of the most forward\-thinking and hardworking people on the planet working for us. If you're creative and autonomous, we want to hear from you! NVIDIA’s invention of the GPU in 1999 sparked the growth of the PC gaming market, redefined modern computer graphics, and revolutionized parallel computing. More recently, GPU deep learning ignited modern deep learning — the next era of computing — with the GPU acting as the brain of computers, robots, and self\-driving cars that can perceive and understand the world. Today, we are increasingly known as “the AI computing company.” We're looking to grow our company and establish teams with the most thoughtful people in the world.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law.\#deeplearning
 JR2012864</t>
        </is>
      </c>
    </row>
    <row r="133">
      <c r="A133" t="inlineStr">
        <is>
          <t>li-4361033439</t>
        </is>
      </c>
      <c r="B133" t="inlineStr">
        <is>
          <t>AI Engineering Consultant</t>
        </is>
      </c>
      <c r="C133" t="inlineStr">
        <is>
          <t>ChatGPT Jobs</t>
        </is>
      </c>
      <c r="D133" t="inlineStr">
        <is>
          <t>linkedin</t>
        </is>
      </c>
      <c r="E133">
        <f>HYPERLINK("https://www.linkedin.com/jobs/view/4361033439", "https://www.linkedin.com/jobs/view/4361033439")</f>
        <v/>
      </c>
      <c r="F133">
        <f>HYPERLINK("https://chatgpt-jobs.com/job/ai-engineering-consultant-ibm-2907&amp;urlHash=hJpN", "https://chatgpt-jobs.com/job/ai-engineering-consultant-ibm-2907&amp;urlHash=hJpN")</f>
        <v/>
      </c>
      <c r="G133" t="inlineStr"/>
      <c r="H133" t="inlineStr"/>
      <c r="I133" t="inlineStr">
        <is>
          <t>**Job Description**
 AI Engineering Consultant \-\- Cloud \&amp; Data Solutions
 A leading AI consultancy acquired by IBM is seeking an AI Engineer to design and deploy machine learning models. Responsibilities include collaborating with clients to understand their needs and implementing AI solutions across various platforms. The ideal candidate will have a Bachelor's degree in Computer Science and a minimum of 3\-5 years of experience.
 This position offers remote working options within the US, fostering a dynamic work environment where innovation and collaboration thrive. \#J\-18808\-Ljbffr</t>
        </is>
      </c>
    </row>
    <row r="134">
      <c r="A134" t="inlineStr">
        <is>
          <t>li-4360555947</t>
        </is>
      </c>
      <c r="B134" t="inlineStr">
        <is>
          <t>Staff Machine Learning Engineer, Delivery Marketplace</t>
        </is>
      </c>
      <c r="C134" t="inlineStr">
        <is>
          <t>ChatGPT Jobs</t>
        </is>
      </c>
      <c r="D134" t="inlineStr">
        <is>
          <t>linkedin</t>
        </is>
      </c>
      <c r="E134">
        <f>HYPERLINK("https://www.linkedin.com/jobs/view/4360555947", "https://www.linkedin.com/jobs/view/4360555947")</f>
        <v/>
      </c>
      <c r="F134" t="inlineStr"/>
      <c r="G134" t="inlineStr">
        <is>
          <t>New York, NY</t>
        </is>
      </c>
      <c r="H134" t="inlineStr"/>
      <c r="I134" t="inlineStr">
        <is>
          <t>**Job Description**
 Staff Machine Learning Engineer, Delivery Marketplace (Sunnyvale/San Francisco/NYC)
* Company: Uber
* Location: Sunnyvale, CA
* On\-site, Remote
**About The Role**
 Uber's Delivery Marketplace is at the heart of Uber's Delivery business and the Logistics Prediction \&amp; Optimization team develops the ML models, OR algorithms, signals, and large\-scale distributed systems that power real\-time Eater Experience and real\-time matching decisions for billions of trips. Engineers on the team work on cutting\-edge marketplace ML problems and real\-time multi\-objective optimizations. The team regularly delivers $1B\+ to Uber's revenue growth and $XX M in profits.
 We are looking for exceptional Staff ML engineers with a track record of extraordinary impact and with a passion for building large\-scale systems that optimize multi\-sided real\-time marketplaces
 In this role, you will lead the design, development, and productionization of advanced ML models and matching algorithms, covering deep learning, causal modeling, and reinforcement learning. You will work with talented ML and BE engineers, product managers, and scientists to set the team's technical direction and solve some of Uber's most challenging and most complex business problems in order to deliver a magical experience to users improving reliability of Uber Delivery trips.
 What You Will Do
* Drive technical strategy and roadmap ownership over a 1\+ year horizon and own the implementation, including platform\-level architecture decisions, executive communication and alignment, technical mentorship, and cross\-team technical influence
* Lead the design, development, and productionization of end\-to\-end ML solutions for large\-scale distributed systems serving billions of trips
* Develop novel products for online marketplaces combining machine learning for prediction and forecasting, and optimization to to improve business efficiency and the user experience.
* Lead and mentor a team of MLEs, providing technical leadership, setting the vision, and guiding the team through the end\-to\-end development process \- from ideation to model deployment and scaling.
* Balance business objectives and user experience by developing objective functions that optimize both business performance and user satisfaction.
**Basic Qualifications**
* Ph.D., M.S. or Bachelor in Computer Science, Mathematics with focus on Machine Learning, or equivalent technical background with exceptional demonstrated impact
* 6\+ years experience leading the development and deployment of ML models in large\-scale production environments at top\-tier ML companies (e.g. 1M\+ predictions/sec or 100M\+ users). Track record of delivering outstanding business impact over multiple quarters.
* Proficiency in programming languages such as Python, Scala, Java, or Go
* Proficiency with large\-scale data systems (e.g. Spark, Ray)/real\-time processing (e.g Flink)/microservices architectures
* Proficiency in the development, training, productionization and monitoring of ML solutions at scale, ranging from offline pipelines to online serving and MLOps
* Deep understanding of modern ML algorithms (e.g DNNs, multi\-task models, transformers) and mathematical optimization (e.g. multi\-objective, LP, convex optimization)
**Preferred Qualifications**
* Experience developing multi\-quarters technical strategies and proficiency owning technical roadmap and leading complex technical projects while substantially influencing the scope and output of others
* Experience in developing and deploying ML models for multi\-sided real\-time marketplaces
* Track record of translating complex business problems into technical solutions and driving multi\-functional projects in collaboration with multiple teams
* Excellent communication skills to lead initiatives across multiple product areas and collaborate effectively with cross\-functional teams
* Proficiency in causal machine learning/ reinforcement learning
 For New York, NY\-based roles: The base salary range for this role is USD$232,000 per year \- USD$258,000 per year.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135">
      <c r="A135" t="inlineStr">
        <is>
          <t>li-4341273697</t>
        </is>
      </c>
      <c r="B135" t="inlineStr">
        <is>
          <t>Senior AI/ML Engineer</t>
        </is>
      </c>
      <c r="C135" t="inlineStr">
        <is>
          <t>Riverside Research</t>
        </is>
      </c>
      <c r="D135" t="inlineStr">
        <is>
          <t>linkedin</t>
        </is>
      </c>
      <c r="E135">
        <f>HYPERLINK("https://www.linkedin.com/jobs/view/4341273697", "https://www.linkedin.com/jobs/view/4341273697")</f>
        <v/>
      </c>
      <c r="F135">
        <f>HYPERLINK("https://careers-riversideresearch.icims.com/jobs/4067/senior-ai-ml-engineer/job&amp;urlHash=TUqi", "https://careers-riversideresearch.icims.com/jobs/4067/senior-ai-ml-engineer/job&amp;urlHash=TUqi")</f>
        <v/>
      </c>
      <c r="G135" t="inlineStr">
        <is>
          <t>Fairborn, OH</t>
        </is>
      </c>
      <c r="H135" t="inlineStr"/>
      <c r="I135" t="inlineStr">
        <is>
          <t>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to support existing contracts to prototype and develop automation solutions to NASIC’s most difficult Scientific \&amp; Technical Intelligence problems. As a highly valued and sought\-after Riverside Research employee, you will be part of a highly skilled and integrated team that analyzes intelligence data to discover opportunities for automated solutions.
**Responsibilities**
**AI/ML Algorithm R\&amp;D**
* Develop innovative machine learning and computer vision solutions to analyze and exploit large, complex datasets from remote sensing phenomenology
* Develop algorithms and associated software tools using Python and associated machine learning libraries (PyTorch, TensorFlow)
* Train AI/ML models and tune their hyperparameters for a given dataset and algorithm objectives
* Provide solutions for data collection and data linting that enable rapid, automated curation of training data
* Keep up with the SoTA practices for AI/ML
**Software Development, Documentation, And Coding Best Practices**
* Adhere to teams’ standards for reviewing source code, unit\-testing, source code control, and documentation practices
* Utilize Python PEP8 standards
**Beneficial FPGA Experience**
* Design, implement, and optimize FPGA logic using AMD/Xilinx toolchains (Vivado, Vitis, HLS) development in VHDL/Verilog
* Integrate FPGA designs into larger systems, ensuring robust verification, documentation, and deployment across multiple platforms (Zynq/Zynq UltraScale\+, Versal, or custom boards)
**Qualifications**
**Required Qualifications:**
* TS/SCI clearance.
* Bachelor’s Degree in either Electrical Engineering, Mathematics, Statistics, Physics, Computer Science, or related field of study
* Eight years' experience with AI/ML, sfotware R\&amp;D, or related experience
* Must demonstrate proficiency in Python\-based end\-to\-end AI/ML model development lifecycle using a recent deep learning platform (TensorFlow preferred)
* Awareness of version control, branches, merge conflict resolution, and git in general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 Advanced degree (MS/PhD) in Data Science, Mathematics, Statistics, Computer Science, a Physical Science or Engineering is strongly desired
* Eight years' experience with AI/ML, sfotware R\&amp;D, or related experience
* Experience with DoD intelligence production processes and workflows
* 3\+ years operational experience in radar signal processing analysis, overhead imagery analysis, orbital mechanics, and/or electronic warfare data analysis
* 2\+ years experience using data visualization tools and libraries in Python
* Visualizations/Web Development Skills (e.g., Tableau, MEAN stack \- MongoDB, ExpressJS, AngularJS, NodeJS)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 Familiarity in differences of supervised learning vs. unsupervised learning techniques
**Global Comp**
 $155,000 \- $170,000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row>
    <row r="136">
      <c r="A136" t="inlineStr">
        <is>
          <t>li-4359846457</t>
        </is>
      </c>
      <c r="B136" t="inlineStr">
        <is>
          <t>Senior AI Scientist / AI Engineer (Graph &amp; Agent Systems)</t>
        </is>
      </c>
      <c r="C136" t="inlineStr">
        <is>
          <t>Talent Wave Associates</t>
        </is>
      </c>
      <c r="D136" t="inlineStr">
        <is>
          <t>linkedin</t>
        </is>
      </c>
      <c r="E136">
        <f>HYPERLINK("https://www.linkedin.com/jobs/view/4359846457", "https://www.linkedin.com/jobs/view/4359846457")</f>
        <v/>
      </c>
      <c r="F136" t="inlineStr"/>
      <c r="G136" t="inlineStr">
        <is>
          <t>Bellevue, WA</t>
        </is>
      </c>
      <c r="H136" t="inlineStr"/>
      <c r="I136" t="inlineStr">
        <is>
          <t>**Are you ready to lead the charge in cutting\-edge AI systems?** 
 Our client is seeking a seasoned professional with a robust background in developing AI Agents and Graph\-based Machine Learning systems. This position is critical to their team, focusing specifically on the design and implementation of graph\-centric AI systems that are active in production environments.
* Minimum of 8 years' experience in machine learning engineering or scientific roles.
* Proven track record in deploying AI Agents and transitioning them to production stages.
* Expertise in building and modeling Knowledge Graphs.
* Hands\-on experience with real\-world, production\-level systems.
**What We’re Looking For:** 
* Experience with core model development, beyond merely utilizing Graph Databases like Neo4j or RAG pipelines.
* Graph Machine Learning expertise is a non\-negotiable requirement.
* Ability to navigate and solve complex production challenges, including latency, scale, and data drift.
* Ownership and leadership in system understanding and enhancement.
**Additional Insights:** 
* Production experience is essential; candidates must demonstrate their work has moved beyond prototype phases.
* While development from scratch isn't required, a deep understanding of existing systems is vital.
*At Talent Wave Associates, we connect outstanding talent with exceptional opportunities. We're proud to be an Equal Opportunity Employer and are committed to fostering an inclusive, people\-first recruiting experience. Ready to ride the wave of opportunity? Apply today!
 \#26\-00071*</t>
        </is>
      </c>
    </row>
    <row r="137">
      <c r="A137" t="inlineStr">
        <is>
          <t>li-4354156984</t>
        </is>
      </c>
      <c r="B137" t="inlineStr">
        <is>
          <t>Senior/Staff AI Engineer</t>
        </is>
      </c>
      <c r="C137" t="inlineStr">
        <is>
          <t>Homebound</t>
        </is>
      </c>
      <c r="D137" t="inlineStr">
        <is>
          <t>linkedin</t>
        </is>
      </c>
      <c r="E137">
        <f>HYPERLINK("https://www.linkedin.com/jobs/view/4354156984", "https://www.linkedin.com/jobs/view/4354156984")</f>
        <v/>
      </c>
      <c r="F137" t="inlineStr"/>
      <c r="G137" t="inlineStr"/>
      <c r="H137" t="inlineStr"/>
      <c r="I137" t="inlineStr">
        <is>
          <t>**About Us**
 Homebound is on a mission to make it possible for anyone, anywhere, to build a home using technology. Created by an experienced team of construction, real estate, design, and technology experts, Homebound is transforming the residential construction industry by improving the costly and inefficient process of building a home.
 We’ve created an entirely new way to build homes with technology powering every stage from start to finish to provide a seamless experience for our customers. Homeowners across the country can choose where they want to live, select a home plan that’s perfect for them, then personalize and buy it, all online. Homebound has raised $150M in capital from leading venture capitalists like Google, Khosla, Thrive Ventures, and we’re scaling quickly in places like Texas, Colorado and Florida. Come build your future with us.
**Role Overview**
 Homebound is seeking an exceptional Senior or Staff level AI Engineer to accelerate our mission of building the leading vertical AI stack for residential construction. Our proprietary platform captures granular data at every stage of the homebuilding process, enabling us to develop novel LLM\-powered applications that improve efficiency and quality across the board.
 We are a small, fast\-moving team with multiple AI products already in production and a rapidly growing GenAI platform. In this role, you will lead the research and implementation of cutting\-edge advancements in AI, design and deploy impactful features, and collaborate with cross\-functional teams to shape the future of homebuilding.
**What You’ll Do**
* Shape the vision for how AI/ML, particularly LLMs, integrate into Homebound’s products and operations. Define technical standards for experimentation, deployment, and evaluation.
* Design and build scalable AI systems that can handle real\-world production workloads and evolve with the business.
* Deliver high\-quality, production\-grade code daily while ensuring observability, maintainability, and reliability.
* Raise the bar across engineering by teaching AI best practices, reviewing designs, and guiding engineers through complex technical challenges.
* Stay abreast of the rapidly evolving AI landscape, bringing forward cutting\-edge ideas while focusing investment where it creates clear business impact.
**What You’ll Bring**
* 7\+ years of professional software engineering experience, with a strong focus on AI/ML systems.
* Shipped LLM\-powered features into production, including hands\-on experience with prompt engineering, RAG, eval frameworks, and agentic workflows.
* Demonstrated leadership, including mentoring teams, influencing technical direction, and being the go\-to problem solver for complex AI challenges.
* Fluency in Python and experience with core ML/data libraries (e.g., Pandas, Scikit\-learn, PyTorch/TensorFlow, Spark).
* Proven ability to design systems that balance rapid experimentation with long\-term reliability and maintainability.
**Who You Are**
* You take ownership and seek autonomy over your work and outcomes.
* You’re excited to learn and grow as part of a small, nimble, high\-impact team.
* You are self\-directed, comfortable prioritizing your own work with minimal oversight.
* You communicate clearly and proactively—especially in writing.
* You’re humble, good\-natured, and bring a positive energy to your team.
**Salary Range**
 We are hiring for this role at one of the following levels, with placement determined by your job\-related skills, experience, and relevant education or training.
* L4 Senior ML Engineer ($143,500 \- $196,000\)
* L5 Staff ML Engineer ($196,000 \- $227,000\)
**Our Commitment**
 We are focused on building a diverse and inclusive workforce. If you’re excited about this role, but do not meet 100% of the qualifications listed above, we encourage you to apply. To apply, please submit an application with your resume on the Career’s page.
 Homebound is an Equal Opportunity Employer and considers applicants for employment without regard to race, color, religion, sex, orientation, national origin, age, disability, genetics or any other basis forbidden under federal, state, or local law. Homebound considers all qualified applicants in accordance with the San Francisco Fair Chance Ordinance.
**Our Compensation Philosophy**
 Our salary ranges are determined by role, level, and location. Please note that the salary range displayed on each job posting may vary by state. Within the range, individual pay is determined by work location and additional factors, including job\-related skills, experience, and relevant education or training. Your recruiter will share more about the specific salary range for your preferred location during the hiring process. Please note that each job posting includes a general description of any other compensation offered for the position in addition to the salary range displayed on the job posting. You can find information about our benefits here.
 Compensation Range: $180K \- $230K</t>
        </is>
      </c>
    </row>
    <row r="138">
      <c r="A138" t="inlineStr">
        <is>
          <t>li-4369729619</t>
        </is>
      </c>
      <c r="B138" t="inlineStr">
        <is>
          <t>Founding AI Engineer (Multimodal Ingestion &amp; Agents)</t>
        </is>
      </c>
      <c r="C138" t="inlineStr">
        <is>
          <t>Candid Intelligence</t>
        </is>
      </c>
      <c r="D138" t="inlineStr">
        <is>
          <t>linkedin</t>
        </is>
      </c>
      <c r="E138">
        <f>HYPERLINK("https://www.linkedin.com/jobs/view/4369729619", "https://www.linkedin.com/jobs/view/4369729619")</f>
        <v/>
      </c>
      <c r="F138" t="inlineStr"/>
      <c r="G138" t="inlineStr"/>
      <c r="H138" t="inlineStr"/>
      <c r="I138" t="inlineStr">
        <is>
          <t>**What We’re Building**
 Candid is collapsing pre\-construction engineering for large compute and energy infrastructure projects.
 Today, critical work lives inside complex diagrams, specs, and technical documents and is still done manually. We’re building systems that can understand this data, structure it correctly, and execute workflows like design review, comment resolution, and technical bid evaluation.
**What You’ll Do**
* Build vision pipelines that extract structure, entities, and spatial relationships from engineering diagrams and documents.
* Design agentic systems that decompose large pre\-construction tasks into discrete, verifiable steps.
* Build human\-in\-the\-loop flows to capture expert feedback and improve system correctness.
* Own systems end\-to\-end, from raw inputs to structured outputs used in production workflows.
**Tech Stack**
* Python, PyTorch, multimodal LLMs, and open\-source VLMs (Gemma, Qwen, DeepSeek, etc)
* LangGraph, PydanticAI, or custom state machines
* Graph databases (Neo4j), vector databases
**Desirable Quirks**
* Strong opinions about system design, even when tradeoffs aren’t obvious
* Cares deeply about keeping the codebase clean and understandable
* Feels physical discomfort when seeing inefficient code or fragile architectures
* Has good intuition when designing new systems without a spec
* Cares about taste, clarity, and building things that feel right, not just things that work
**Desirable Experience**
***(any of these will pique our interest)***
* Early or founding engineer at a YC\-backed company
* Experience with document intelligence, vision pipelines, or agent\-based systems
* Built something from scratch that real users depended on
* Technical founder at a VC\-backed startup
 Compensation Range: $150K \- $200K</t>
        </is>
      </c>
    </row>
    <row r="139">
      <c r="A139" t="inlineStr">
        <is>
          <t>li-4369183484</t>
        </is>
      </c>
      <c r="B139" t="inlineStr">
        <is>
          <t>Gen AI Engineer</t>
        </is>
      </c>
      <c r="C139" t="inlineStr">
        <is>
          <t>Tata Consultancy Services</t>
        </is>
      </c>
      <c r="D139" t="inlineStr">
        <is>
          <t>linkedin</t>
        </is>
      </c>
      <c r="E139">
        <f>HYPERLINK("https://www.linkedin.com/jobs/view/4369183484", "https://www.linkedin.com/jobs/view/4369183484")</f>
        <v/>
      </c>
      <c r="F139" t="inlineStr"/>
      <c r="G139" t="inlineStr">
        <is>
          <t>Plano, TX</t>
        </is>
      </c>
      <c r="H139" t="inlineStr"/>
      <c r="I139" t="inlineStr">
        <is>
          <t>**Job Description**
 Must Have Technical/Functional Skills
* Gen AI – prompt engineering
* Connecting LLMs
* Agentic AI
* Model Context Protocol
 \- Handon experience\-
 Roles \&amp; responsibilities
* Gen AI – prompt engineering
* Connecting LLMs
* Agentic AI
* Model Context Protocol
* Handon experience
 Generic Managerial Skills, If any
 No managerial skills required, but the candidate should be able to manage and run production calls in case critical
 Issues with any dependencies/ hand holding.
 Key Words to search in Resume
* Gen AI – prompt engineering
* Connecting LLMs
* Agentic AI
* Model Context Protocol
* Handon experience
 Salary Range: $120,000 to $140,000 per year
**Qualifications:** 
 BACHELOR OF COMPUTER SCIENCE</t>
        </is>
      </c>
    </row>
    <row r="140">
      <c r="A140" t="inlineStr">
        <is>
          <t>li-4363681389</t>
        </is>
      </c>
      <c r="B140" t="inlineStr">
        <is>
          <t>Senior Enterprise Agentic AI Engineer</t>
        </is>
      </c>
      <c r="C140" t="inlineStr">
        <is>
          <t>Planet DDS</t>
        </is>
      </c>
      <c r="D140" t="inlineStr">
        <is>
          <t>linkedin</t>
        </is>
      </c>
      <c r="E140">
        <f>HYPERLINK("https://www.linkedin.com/jobs/view/4363681389", "https://www.linkedin.com/jobs/view/4363681389")</f>
        <v/>
      </c>
      <c r="F140" t="inlineStr"/>
      <c r="G140" t="inlineStr">
        <is>
          <t>Irvine, CA</t>
        </is>
      </c>
      <c r="H140" t="inlineStr"/>
      <c r="I140" t="inlineStr">
        <is>
          <t>**About Planet DDS**
 We’re on a mission to fix dental software \- and we’re not playing small. Our platform replaces clunky, outdated systems with modern, cloud\-based, AI\-powered technology built to actually work at scale. From practice management to imaging to revenue cycle automation, we’re tearing down the old infrastructure and rebuilding the future of dentistry. Planet DDS is the fastest\-growing provider of dental practice management solutions and the \#1 cloud platform for DSOs and multi\-location groups.
 Here, you won’t just join a team \- you’ll join a movement. We want bold thinkers who are ambitious enough to push limits, empathetic enough to work as one, and accountable enough to own big outcomes. Trust is our currency, collaboration is our edge, and impact is our fuel. If you’re ready to grow fast, challenge the status quo, and help reinvent an entire industry, Planet DDS is where you belong.
 To learn more, visit: Planet DDS .
**Overview**
 Planet DDS is building a centralized intelligence layer focused on transforming how our internal teams operate through agentic workflows. We are looking for a
 **Sr.** 
**Enterprise Agentic AI Engineer** 
 to design, build, and operate
 **agentic AI workflows** 
 that streamline internal operations at scale. You will architect and implement multi‑agent systems, integrate with enterprise platforms, ensure reliability and guardrails, and deliver measurable business outcomes.
 This role is ideal for a senior, self\-directed engineer who enjoys operating with autonomy, translating business problems into technical solutions, and owning work end\-to\-end, from idea through production and adoption.
**Job Duties**
* Design, build, and scale production\-grade agentic workflows that observe operational signals, reason across data, and take or recommend actions such as alerts, task creation, and decision support.
* Implement multi‑agent patterns (planner/worker, toolformer, delegate/reviewer) with deterministic and human‑in‑the‑loop controls.
* Architect an agentic intelligence layer atop the enterprise data lakehouse.
* Own the AI execution layer, including prompt architecture, orchestration, evaluation, monitoring, logging, and tool creation including but not limited to MCP.
* Translate business needs and operational challenges into clear technical approaches and delivery plans, resulting in scalable, reusable AI solutions.
* Partner closely with data engineering to define AI\-ready schemas and data contracts.
* Instrument workflows with tracing, cost/perf dashboards, evaluation harnesses (automated \+ human), and drift monitoring.
* Ensure AI systems are secure, governed, auditable, and reliable.
* Drive solutions from concept to production without heavy process or handoffs.
**Skills And Qualifications**
* 5\-7 years of experience in software engineering or applied machine learning.
* 2\+ years building production deployments of agentic AI systems (tool‑using LLMs or multi‑agent workflows) with measurable business outcomes
* Demonstrated experience productionizing AI or LLM\-based systems.
* Proficiency in Python/TypeScript and building API‑first services with CI/CD.
* Hands\-on experience with prompt engineering, evaluation, and optimization.
* Working knowledge of enterprise lakehouse architectures, including Delta Lake, medallion patterns, streaming ingestion, governance (Unity Catalog), and designing data layers that support high‑performance AI/agentic workflows.
* Proven ability to integrate Azure OpenAI or similar LLM platforms into orchestrated workflows.
* Experience designing and orchestrating multi\-step, event\-driven workflows using modern cloud\-native services for serverless execution, workflow orchestration, messaging, and event\-driven architecture.
* Experience designing and deploying cloud\-native AI workflows in Microsoft Azure.
* Demonstrated ability to implement guardrails, output validation, and human‑in‑the‑loop patterns in production.
* Strong understanding of secure system connectivity in Azure, including identity, secrets management, and access control.
* Familiarity with AI cost optimization strategies.
* Proven ability to operate independently and drive work end\-to\-end.
* Experience in B2B SaaS or operational technology environments.
**Benefits**
* Medical, dental and vision insurance
* Health Savings Account
* Flexible Spending Accounts
* Telehealth
* 401(k) and 401(k) match
* Life and AD\&amp;D insurance
* Short\-Term and Long\-Term Disability
* FTO or Vacation
* Sick Time
* Employee Well\-Being program
* 11 paid holidays
* Volunteer Time Off
* Employee Referral program
* Additional perk and voluntary benefit programs
 Salary is based on a number of factors and may vary depending on job\-related knowledge, skills, and experience. This position is also eligible for variable pay as part of the total compensation package.
**Planet Dds Core Ideology**
 To encourage measurable progress toward our vision and make the best decisions on behalf of employees and customers, we adopted a set of common values:
* Collaborative – Working independently and across teams, we create scalable solutions to enable company growth
* Empathetic – We are educated on the experience of our customers and feel vested in their success
* Accountable – We feel ownership for the quality of our work and take pride in the positive outcomes
* Trustworthy – We operate with integrity and honest, making promises we know that we can keep
* Ambitious – We are driven by our ability to make a long\-term, positive impact on the lives of dental market leaders
 Planet DDS is an Equal Opportunity Employer. All qualified applicants will receive consideration for employment without regard to race, color, religion, sex, sexual orientation, gender identity, national origin, disability, protected veteran status, or any other characteristic protected by applicable law.</t>
        </is>
      </c>
    </row>
    <row r="141">
      <c r="A141" t="inlineStr">
        <is>
          <t>li-4329132575</t>
        </is>
      </c>
      <c r="B141" t="inlineStr">
        <is>
          <t>Advisory National CT&amp;I - AI Engineer - Director</t>
        </is>
      </c>
      <c r="C141" t="inlineStr">
        <is>
          <t>PwC</t>
        </is>
      </c>
      <c r="D141" t="inlineStr">
        <is>
          <t>linkedin</t>
        </is>
      </c>
      <c r="E141">
        <f>HYPERLINK("https://www.linkedin.com/jobs/view/4329132575", "https://www.linkedin.com/jobs/view/4329132575")</f>
        <v/>
      </c>
      <c r="F141" t="inlineStr"/>
      <c r="G141" t="inlineStr">
        <is>
          <t>Dallas, TX</t>
        </is>
      </c>
      <c r="H141" t="inlineStr"/>
      <c r="I141"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will lead the design, training, and deployment of innovative machine learning models in production environments. As a Director, you will set the strategic direction for AI initiatives, driving business growth through creative solutions while mentoring the next generation of leaders in the field. This role offers the chance to work with advanced technologies and collaborate with cross\-functional teams to shape the future of AI at PwC.
**Responsibilities**
* Oversee the creation of scalable, cloud\-native microservices and CI/CD pipelines
* Promote the reliability and maintainability of deployed AI systems
* Advocate the use of innovative technologies in AI and machine learning
* Foster a culture of continuous improvement and knowledge sharing within the team
 What You Must Have
* Bachelor's Degree
* 10 years of experience in AI/ML engineering, software development, or technical leadership roles
 What Sets You Apart
* Master's Degree in Computer Science, Artificial Intelligence and Robotics, Software Engineering preferred
* Demonstrating thought leader\-level abilities in AI solutions
* Managing large\-scale AI solution development projects
* Leading cross\-functional engineering teams effectively
* Utilizing Python and ML frameworks for development
* Applying cloud platforms like AWS, GCP, Azure
* Excelling in machine learning and analytical techniques
* Mentoring junior engineers and fostering collaboration
* Championing Responsible AI practices and governance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2">
      <c r="A142" t="inlineStr">
        <is>
          <t>li-4369198524</t>
        </is>
      </c>
      <c r="B142" t="inlineStr">
        <is>
          <t>Staff Applied AI Engineer</t>
        </is>
      </c>
      <c r="C142" t="inlineStr">
        <is>
          <t>Genius Sports</t>
        </is>
      </c>
      <c r="D142" t="inlineStr">
        <is>
          <t>linkedin</t>
        </is>
      </c>
      <c r="E142">
        <f>HYPERLINK("https://www.linkedin.com/jobs/view/4369198524", "https://www.linkedin.com/jobs/view/4369198524")</f>
        <v/>
      </c>
      <c r="F142" t="inlineStr"/>
      <c r="G142" t="inlineStr">
        <is>
          <t>New York, United States</t>
        </is>
      </c>
      <c r="H142" t="inlineStr"/>
      <c r="I142" t="inlineStr">
        <is>
          <t>*By bringing together next\-gen technology and the finest live data available, Genius Sports is enabling a new era of sports for fans worldwide, delivering experiences that are more immersive, interactive and personalized than ever before.* 
*Learn more at geniussports.com* 
*.* 
**About The Role**
 We are looking for a Staff Software Engineer, Applied AI to own the architecture of our multi\-agent LLM reasoning layer that turns multimodal evidence (audio \+ video context \+ transcripts \+ rules) into validated outputs across our products. You will define how agents are decomposed, orchestrated, evaluated, and safely promoted into real\-time production while balancing accuracy, latency, and cost.
 You will be trusted to take on complex, ambiguous problems and drive them to successful outcomes, applying best practices in Agile software development along the way. We value engineers who can adapt quickly, learn new technologies as needed, and focus on delivering meaningful impact rather than being constrained by specific languages or frameworks.
 We will lean on your technical leadership, pragmatic decision\-making, and ability to balance short\-term delivery with long\-term system health. You will work in an environment that prioritizes Agile principles, continuous improvement, and data\-driven decision\-making. You are comfortable forming and testing hypotheses, validating assumptions through experimentation, and using evidence to guide architectural and product decisions.
**Key Responsibilities**
* Own the end\-to\-end technical direction for the multi\-agent, multimodal platform that converts broadcast/radio inputs into validated, structured outputs from prototype to production.
* Design and evolve the agent architecture (agent boundaries, interfaces, and orchestration patterns), including evidence fusion, traceability/provenance, and schema\-first outputs with versioning and backward compatibility.
* Define reliability standards for probabilistic systems: confidence scoring and gating, escalation paths for low\-confidence segments (including optional human\-in\-the\-loop), and safe correction/overwrite semantics for live outputs.
* Drive performance and cost optimization, selecting routing strategies (lightweight vs heavy models), and implementing batching/caching/retries that keep quality stable under real\-time constraints.
* Partner across product, platform, and domain experts to translate ambiguous sport scenarios into system logic.
* Champion continuous improvement by evaluating new technologies, tools, and approaches where they provide clear value.
* Mentor and coach engineers across teams, supporting technical growth and raising the overall engineering bar.
**Qualifications**
* 10\+ years of software engineering experience, including owning architecture for complex distributed or data\-intensive systems.
* Proven ability to lead through influence: align stakeholders, set technical direction, and drive ambiguous projects to outcomes.
* Deep experience with agentic/LLM application architecture (tool use, structured outputs, routing)
* Proven experience with different LLM platforms, including but not limited to ChatGPT, Gemini and Claude.
* Strong understanding of MCP and RAG with production implementation experience.
* Extensive experience designing and working with RESTful APIs and distributed services.
* Experience using version control systems (e.g. Git) in collaborative, multi\-team environments.
* Proven ability to solve complex problems and make sound technical decisions in ambiguous situations.
* Ability to work independently while also leading and influencing teams without formal authority.
* Excellent communication skills, with the ability to explain complex technical concepts to diverse audiences.
**Preferred Qualifications**
* Hands\-on experience with multimodal systems (audio/video/text).
* Background in reliability engineering / test engineering applied to ML/LLM systems.
* Experience with multiple architectural and software frameworks.
* Experience working in container based environments (e.g. Docker, Kubernetes)
* Knowledge of modern build pipelines and tools.
* Familiarity with Agile development methodologies.
* Experience with testing frameworks.
*The salary for this role is based on an annualized range of $230,000 \- $270,000 USD. This role will also be eligible to take part in Genius Sports Group's benefits plan.*
*We enjoy an ‘office\-first’ culture and maximize opportunities to collaborate, connect and learn together. Our hybrid working models differ depending on your role and location. Occasional travel may be required.*
*As well as a competitive salary and range of benefits, we’re committed to supporting employee wellbeing and helping you grow your skills, experience and career. Learn more about how rewarding life at Genius can be at* 
*Reward \| Genius Sports.* 
*One team, being brave, driving change*
*We strive to create an inclusive working environment, where everyone feels a sense of belonging and the ability to make a difference. Learn more about our values and culture at* 
*Culture \| Genius Sports.*
*Let us know when you apply if you need any assistance during the recruiting process due to a disability.*</t>
        </is>
      </c>
    </row>
    <row r="143">
      <c r="A143" t="inlineStr">
        <is>
          <t>li-4369192771</t>
        </is>
      </c>
      <c r="B143" t="inlineStr">
        <is>
          <t>Senior Applied AI Engineer</t>
        </is>
      </c>
      <c r="C143" t="inlineStr">
        <is>
          <t>Genius Sports</t>
        </is>
      </c>
      <c r="D143" t="inlineStr">
        <is>
          <t>linkedin</t>
        </is>
      </c>
      <c r="E143">
        <f>HYPERLINK("https://www.linkedin.com/jobs/view/4369192771", "https://www.linkedin.com/jobs/view/4369192771")</f>
        <v/>
      </c>
      <c r="F143" t="inlineStr"/>
      <c r="G143" t="inlineStr">
        <is>
          <t>New York, United States</t>
        </is>
      </c>
      <c r="H143" t="inlineStr"/>
      <c r="I143" t="inlineStr">
        <is>
          <t>*By bringing together next\-gen technology and the finest live data available, Genius Sports is enabling a new era of sports for fans worldwide, delivering experiences that are more immersive, interactive and personalized than ever before.* 
*Learn more at geniussports.com* 
*.* 
**About The Role**
 We are looking for a Senior Software Engineer, Applied AI to build production\-grade, multimodal (audio/video/text) systems that convert broadcast and radio feeds into structured, real\-time signals and event candidates. You will implement and evolve “agentic” components (sensor agents, specialist agents, decision logic) that power products like Audio Intelligence, semi\-automated broadcast\-to\-data tagging, and highlight/momentum signals.
 We will lean on your technical expertise and your pragmatic approach to problem solving; working in a team that prioritizes the principles of Agile delivery and continuous improvement. You will have a Data\-driven, evidence\-based mentality, comfortable with the principles of continuous experimentation and validation.
**Key Responsibilities**
* Build and maintain multimodal agents:
+ Audio sensor agents (acoustic events, sentiment, alignment)
+ Visual sensor agents (scorebug/overlay reading, basic visual cues when applicable)
+ Specialist and decision logic components (structured event outputs, confidence, traceability)
* Implement streaming\-friendly pipelines: chunking, normalization, time\-sync, async execution, and robust retry/backoff for model/tool calls.
* Develop prompt\-as\-code with strict JSON contracts, schema validation, and deterministic post\-processing to reduce brittleness.
* Improve system robustness under noisy inputs by:
+ Designing fallback behaviors (degraded modes)
+ Adding guardrails and confidence thresholds
+ Instrumenting traces/metrics for latency \+ cost \+ accuracy
* Partner with product, platform, and domain leads to translate sport rules/edge cases into validation logic and to integrate outputs into downstream consumers (tagging, live feeds, analytics).
* Contribute to the evaluation workflow by adding test cases, failure mode categories, and regression checks for prompts and model routing.
* Stay up\-to\-date with emerging Gen AI technologies, tools, and best practices.
* Mentor and support other team members in data engineering principles and practices.
**Qualifications**
* 5–8\+ years of professional software engineering experience (backend and/or ML systems).
* Strong proficiency in one or more of: Python, Java, Rust.
* Hands\-on experience building production services involving LLM or multimodal model integration (including Gemini, ChatGPT or Claude).
* Comfortable with ambiguity, iterative experimentation, and evidence\-based decision\-making in an Agile environment.
* Experience with streaming data platforms like Kafka, Pulsar, Flink
* Experience with AWS Bedrock or Google Vertex AI
* Familiarity with version control systems (e.g., Git).
* Excellent problem\-solving skills and attention to detail.
* Ability to work independently and as part of a team.
* Strong communication skills.
**Preferred Qualifications**
* Experience with audio ML / speech / acoustic event detection, or media pipelines (audio/video chunking, sync).
* Experience with RAG or rules/config grounding for sport\-specific logic (league configs, terminology, rulebooks).
* Familiarity with evaluation practices (golden sets, precision/recall, drift monitoring) and production observability.
* Experience operating systems where cost/latency tradeoffs matter (routing “flash vs heavy” models, caching, batching).
*The salary for this role is based on an annualized range of $180,000 \- $240,000 USD. This role will also be eligible to take part in Genius Sports Group's benefits plan.*
*We enjoy an ‘office\-first’ culture and maximize opportunities to collaborate, connect and learn together. Our hybrid working models differ depending on your role and location. Occasional travel may be required.*
*As well as a competitive salary and range of benefits, we’re committed to supporting employee wellbeing and helping you grow your skills, experience and career. Learn more about how rewarding life at Genius can be at* 
*Reward \| Genius Sports.* 
*One team, being brave, driving change*
*We strive to create an inclusive working environment, where everyone feels a sense of belonging and the ability to make a difference. Learn more about our values and culture at* 
*Culture \| Genius Sports.*
*Let us know when you apply if you need any assistance during the recruiting process due to a disability.*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2026-02-06T03:10:21Z</dcterms:created>
  <dcterms:modified xsi:type="dcterms:W3CDTF">2026-02-06T03:10:21Z</dcterms:modified>
</cp:coreProperties>
</file>