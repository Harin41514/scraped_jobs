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in-93527938092ee780</t>
        </is>
      </c>
      <c r="B2" t="inlineStr">
        <is>
          <t>Deputy Program Manager</t>
        </is>
      </c>
      <c r="C2" t="inlineStr">
        <is>
          <t>Unissant</t>
        </is>
      </c>
      <c r="D2" t="inlineStr">
        <is>
          <t>indeed</t>
        </is>
      </c>
      <c r="E2" t="inlineStr"/>
      <c r="F2" t="inlineStr"/>
      <c r="G2" t="inlineStr">
        <is>
          <t>Ashburn, VA, US</t>
        </is>
      </c>
      <c r="H2" s="2" t="n">
        <v>46058</v>
      </c>
      <c r="I2" t="inlineStr">
        <is>
          <t>**Unissant, Inc.** delivers innovative capabilities to the agencies that keep our nation healthy and safe. We apply our domain expertise, data acumen, and technology know\-how to achieve breakthrough results for our clients. Working collaboratively, we advance missions and careers through a focus on honesty, integrity, and dependability. We continuously look for talent, excited to join that effort. To learn more about our exciting organization, please visit us at www.unissant.com.
We are seeking a **Deputy Program Manager (DPM)** to join our team and support our National Security client. The DPM will support our DHS Program Manager and program, as well as contribute to the growth of our National Security portfolio.
The ideal candidate will be a direct customer interface for all Vetting program related projects and understand the technical scope and status of each. The candidate will be responsible for reporting of relevant projects, and support the PM with program oversight, resource management, risk management, financial management, service delivery, customer relationship management, service operations, and incident management.
**Essential Duties and Responsibilities:**
* Provide direct support to Program Manager and management of the overall program.
* Provide business and technical leadership and reporting, interfacing directly with technical teams and customer stakeholders.
* Develop trusted technical relationships with appropriate government program and contracts leadership and stakeholders, Unissant teammates, and Unissant partners.
* Build and maintain knowledge repository of full business and technical scope of the program and associated projects and systems, including interdependent programs, teams, and systems.
* Identify critical success factors at onset and throughout program lifecycle and ensure removal of barriers to success.
* Monitor metrics and key performance indicators, effectively communicate, and keep Unissant program leadership and client stakeholders aware of project status, budget utilization, issues, risks, and successes. Escalate critical items appropriately.
* Support defining of staffing requirements and evaluating new candidates.
* Support P\&amp;L, budgets and forecast through financial controls.
* Support growth of contract and directly interface with Unissant corporate technical and growth teams to enhance delivery on the program.
* Identify and champion opportunities to expand the business benefits of the program beyond current scope by developing business cases that qualify and quantify the anticipated return on additional client investment.
* Provide corporate growth support, across DHS, and within other Government agencies as required.
* Advocate and communicate the program's value and accomplishments to internal and external stakeholders.
**Work Experience:**
* Must have 8 years of experience leading within large IT development and systems environments and programs, including experience managing both new development \&amp; Operations and Maintenance (O\&amp;M) and related systems supporting National Security agencies.
* Must have at least 8 years of experience interfacing with clients at the program management level.
* Demonstrated success meeting and exceeding client expectations for deliverables and service quality.
* Must have experience and finesse dealing with all levels of senior management including C\-level management.
* Must have demonstrated strengths in organizational skills required in selecting, motivating, and developing staff.
* A track record of continuous improvement and the identification of potential operational and process risks and formulate/implement effective mitigation plans.
* Experience in IT project/program management with specific emphasis in application/software development and sustainment, encompassing large scale multi\-applications/systems environments.
* A track record of program growth and development.
* Experience in developing and maintaining plans such as Program Management Plan and weekly status reports,
* Experience managing public sector cloud implementations (AWS preferred)
**Job Skills:**
* Strong understanding of government contracting and procurement, processes, stakeholders, and professional services.
* Enthusiastic, proactive, positive attitude with great listening skills and high integrity
* Ability to teach, grow and coach a team.
* Excellent organizational skills, strong attention to detail and ability to effectively manage programs supporting multiple businesses.
* Strong desire to mentor, coach team members while providing oversight for all aspects of relevant Program(s).
* Ability to think and act strategically and proactively approach projects and issues.
* Able to work under pressure and to be flexible with changing priorities.
* Able to find innovative ways to solve problems.
* A genuine interest in looking for opportunities to add value and grow your area of responsibility.
**Education:**
* Bachelor's Degree is required. Preferred field of study in Computer Science, Information Technology, Information Systems, Operations Management, or related field of study.
* MBA/Master's Degree in a relevant field of study preferred.
**Certificates, Licenses and Registrations:**
* Project Management Professional Certification (PMP) required.
* ITIL v.3/4 Foundations, Intermediate or Advanced preferred.
* AWS Cloud Practitioner certification preferred.
* Agile certification(s) preferred
* Other technical certifications will be considered also.
**Communication Skills:**
* Excellent verbal and written skills, ability to present proposals and performance data, comfortable interfacing all levels of organization.
* Ability to write clear and concise creative content in a highly confidential manner.
**Clearance Requirements:**
* Ability to obtain and maintain a DHS Public Trust clearance is required.
**Travel:**
* Willingness to travel regularly to customer site in the Washington DC metro and corporate office in Herndon, VA.
* Willing to travel to other locations occasionally as needed (up to 10%).
**Environmental Requirements:**
* Mainly a routine office environment.
* May be required to lift up to ten (10\) pounds
* Flexible in working extended hours
*The above statements are intended to describe the general nature and level of work being performed by the individual(s) assigned to this position. They are not intended to be an exhaustive list of all duties, responsibilities, and skills required. Unissant management reserves the right to modify, add, or remove duties and to assign other duties as necessary. In addition, where applicable and available, reasonable accommodation(s) may be made to enable individuals with disabilities to perform essential functions of this position.*
*Please note: Candidate(s) will be required to go through pre\-employment screening.*
*Unissant, Inc. is a proud Equal Opportunity Employer! (EOE; M/F/Disability/Vets)*</t>
        </is>
      </c>
    </row>
    <row r="3">
      <c r="A3" t="inlineStr">
        <is>
          <t>in-497edc86cfe794be</t>
        </is>
      </c>
      <c r="B3" t="inlineStr">
        <is>
          <t>Assistant Product Manager</t>
        </is>
      </c>
      <c r="C3" t="inlineStr">
        <is>
          <t>bROK Products</t>
        </is>
      </c>
      <c r="D3" t="inlineStr">
        <is>
          <t>indeed</t>
        </is>
      </c>
      <c r="E3" t="inlineStr"/>
      <c r="F3" t="inlineStr"/>
      <c r="G3" t="inlineStr">
        <is>
          <t>Akron, OH, US</t>
        </is>
      </c>
      <c r="H3" s="2" t="n">
        <v>46058</v>
      </c>
      <c r="I3" t="inlineStr">
        <is>
          <t>**SUMMARY:**
The Assistant Product Manager assists with various aspects of product management including market research, competitive analysis, development support, feature prioritization, and project coordination. Works to help develop the overall business strategy by helping to define product goals and metrics. Helps to design and implement solutions to key problems to achieve vision. Assistant Product Managers work closely with other departments, helping to ensure smooth execution and timely delivery of new products. While working under the guidance of the Marketing Manager, the Assistant Product Manager contributes to the overall success of the product strategy by supporting product development and helping to drive business growth.
**ESSENTIAL DUTIES AND RESPONSIBILITIES:** 
* Conducts market research including competitor reviews, researches customer needs, and forecasts trends. Helps identify new market opportunities and contributes to strategy development.
* Gathers and analyzes customer data to understand customer needs and pain points.
* Translates analytics, data and user feedback into actionable product plans.
* Helps to develop business case and rationale for new product investments.
* Initiates and submits for approval new product development projects.
* Translates business goals and end user needs into product strategies.
* Assists the Marketing Manager in defining product requirements, creating roadmaps that outline the timeline for developing and releasing new products, planning budgets and tracking expenses.This includes writing documents related to market and product requirements.
* Supports the product road map gate chart to meet business objectives and goals. Helps prioritize features, coordinate projects, and ensures smooth execution of product plans.
* Works with engineers, designers, and factories to ensure that products are developed according to the product requirements, specifications, features and functionality.
* Tests products to ensure that they meet quality standards and gathers user feedback.
* Communicates product information and tracks performance indicators.
* Writes product documentation, such as benefit\-driven copy, user guides and release notes.
* Creates a backlog, writes user stories, and manages releases.
* Helps with collateral for sales demonstrations and customer events.
* Other duties and responsibilities as assigned.
**QUALIFICATIONS AND CHARACTERISTICS:** 
Associate’s degree required. Bachelor’s degree in business administration, Marketing or similar, with 1\-2 years experience or an acceptable combination of education and experience is preferred. Ability to analyze data and provide insights from data. Critical thinker with great attention to detail and problem\-solving skills. Excellent communication, creativity, project management and time\-management skills. Team player with great interpersonal skills and an interest in the retail marketplace. Works well independently and takes initiative as needed. A decision maker with leadership skills and capabilities. Displays professionalism. Intermediate knowledge of Microsoft Excel; Fluent in a variety of programs and software.
Pay: $58,000\.00 \- $60,000\.00 per year
Benefits:
* 401(k)
* 401(k) matching
* Dental insurance
* Employee assistance program
* Employee discount
* Health insurance
* Health savings account
* Life insurance
* Paid time off
* Vision insurance
Work Location: In person</t>
        </is>
      </c>
    </row>
    <row r="4">
      <c r="A4" t="inlineStr">
        <is>
          <t>in-a2af873dd1633c26</t>
        </is>
      </c>
      <c r="B4" t="inlineStr">
        <is>
          <t>Product Manager, Agentic Commerce</t>
        </is>
      </c>
      <c r="C4" t="inlineStr">
        <is>
          <t>Worldpay</t>
        </is>
      </c>
      <c r="D4" t="inlineStr">
        <is>
          <t>indeed</t>
        </is>
      </c>
      <c r="E4" t="inlineStr"/>
      <c r="F4" t="inlineStr"/>
      <c r="G4" t="inlineStr">
        <is>
          <t>Denver, CO, US</t>
        </is>
      </c>
      <c r="H4" s="2" t="n">
        <v>46057</v>
      </c>
      <c r="I4" t="inlineStr">
        <is>
          <t>**Job Description**
**Product Manager, Agentic Commerce**
Team: Product
Location: US – San Francisco, Denver, Atlanta, NYC or Boston
Position: Full time
Are you ready to write your next chapter?
Make your mark at one of the biggest names in payments. With proven technology, we process the largest volume of payments in the world, driving the global economy every day. When you join Worldpay, you join a global community of experts and changemakers, working to reinvent an industry by constantly evolving how we work and making the way millions of people pay easier, every day.
What makes a Worldpayer? It’s simple: Think, Act, Win. We stay curious, always asking the right questions to be better every day, finding creative solutions to simplify the complex. We’re dynamic, every Worldpayer is empowered to make the right decisions for their customers. And we’re determined, always staying open – winning and failing as one.
Are you ready to make your mark? Then you sound like a Worldpayer.
**About the team**
The newly formed **Agentic Commerce** team focuses on building the future of commerce in the world of AI – transformative products that redefine how AI\-powered agents discover products, checkout and complete transactions on behalf of consumers safely and securely. Our vision is to establish Worldpay as the ‘universal adapter’ that our merchants can leverage to seamlessly allow the plethora of agents and evolving protocols to safely conduct commerce on their platforms.
The team will liaise with Worldpay’s existing product teams to evolve our existing products, such as fraud tools, payment optimisation products, dashboards, disputes platforms, to be agent\-ready. We will also work with Commercial, GTM, Marketing, and other teams to ensure the products we build are rooted in our merchant needs, and drive thought leadership working alongside other industry players and advocating on behalf of our merchants. The team remit also involves forging and developing relationships with the players at the cutting edge of AI, such as Google, OpenAI, Meta, and others.
Together, our collective goal is to push the boundaries of ecommerce as we know today, and support our merchants in accessing new customers and allowing even more seamless payment experiences of the future.
**What you'll own**
-------------------
As Product Manager for Agentic Commerce, you will own the vision, design, and execution of products that enable AI agents to seamlessly integrate payment capabilities, building new commercial models for the agentic economy.
### **Strategic Product Leadership**
* Develop a compelling vision and product roadmap for agentic commerce with input from AI companies, merchants, market research, and industry insight
* Help establish Worldpay's position in agentic commerce standards and protocols, working with key ecosystem players and internal experts
### **Product Development \&amp; Delivery**
* Partner with Engineering \&amp; other Product teams to ship high\-impact features to allow agents to conduct purchases on our merchant’s surfaces
* Write, refine, and socialize epics/features with engineering teams to deliver value aligned with the product vision and roadmap
* Develop new API primitives and integration experiences specifically designed for agentic workflows
* Support Product teams across Worldpay, incl. backend services, dashboard interfaces, money movement systems, and API integrations, to be agent\-ready
### **Cross\-functional Collaboration \&amp; Go\-to\-Market Support**
* Collaborate with GTM and other commercial teams to deliver go\-to\-market strategies with clear segmentation, targeting, and positioning
* Engage directly with select customers and AI platform builders as a subject matter expert, understand business needs and translate requirements into novel product shapes
* Work closely with Partnership team to onboard AI companies and facilitate rapid prototyping
**Analysis \&amp; Optimization**
* Leverage strong analytical skills to dive into data, test hypotheses, and make informed trade\-offs
* Regularly undertake reviews to understand product performance, partnerships, customer adoption, and business value
**What you bring**
------------------
### **Minimum Requirements**
* 7\+ years of Product Management experience, preferably in payments, fintech, software or platform products
* Proven ability to work effectively across multiple teams and stakeholders, leading initiatives that span multiple Product and Engineering teams and influencing roadmap and execution
* Experience in managing projects end\-to\-end with agile development processes
* Strong written and verbal communication skills, with ability to structure ambiguous concepts clearly and from first principles
* Computer Science background or other similar technical experience
### **Preferred Qualifications**
* Familiarity with LLM\-powered systems, understanding of GenAI and agentic AI technologies
* Exposure to Model Context Protocol (MCP), Agent to Agent (A2A), or similar agent integration standards
* Knowledge of the payments industry; familiarity with agentic commerce protocols (AP2, ACP etc.) is a strong bonus
* Experience in ecom platforms and merchant tools
* You've founded or worked at a startup and / or taken a product from 0\-1, but want to do the same at a larger scale
**Worldpay perks \- what we’ll bring for you**
We know it’s bigger than just your career. It’s your life, and your world. That’s why we offer global benefits and programs to support you at every stage. Here’s a taste of what you can expect.
* A competitive salary and benefits.
* Time to support charities and give back to your community.
* Parental leave policy.
* Global recognition platform.
* Virgin Pulse access.
* Global employee assistance program.
**What makes a Worldpayer**
At Worldpay, we take our Values seriously, and we live them every day. Think like a customer, Act like an owner, and Win as a team.
* **Curious. Humble. Creative**. We ask the right questions, listening and learning to get better every day. We simplify the complex and we’re always looking to create a bigger impact for our colleagues and customers.
* **Empowered. Accountable. Dynamic**. We stay agile, using our initiative, taking calculated risks to progress. Never standing still, never settling, we work at pace to achieve our goals. We champion our ideas and stay flexible to make them happen. We know that every action adds up.
* **Determined. Inclusive. Open.** Unlocking potential means working as one global community. Our work spans borders, and we stay united by our purpose. We collaborate, always encouraging others to perform at their best, welcoming new perspectives.
Does this sound like you? Then you sound like a Worldpayer.
Apply now to write the next chapter in your career. We can’t wait to hear from you.
To find out more about working with us, find us on LinkedIn
\#LI\-BJ1
Worldpay is dedicated to offering individuals rewarding career opportunities and competitive compensation. For this full\-time position, the good faith estimated annual salary range upon hire is $105,700\.00\-$159,475\.00\.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5">
      <c r="A5" t="inlineStr">
        <is>
          <t>in-027656f2b28a80bd</t>
        </is>
      </c>
      <c r="B5" t="inlineStr">
        <is>
          <t>Product Manager, Agentic Commerce</t>
        </is>
      </c>
      <c r="C5" t="inlineStr">
        <is>
          <t>Worldpay</t>
        </is>
      </c>
      <c r="D5" t="inlineStr">
        <is>
          <t>indeed</t>
        </is>
      </c>
      <c r="E5" t="inlineStr"/>
      <c r="F5" t="inlineStr"/>
      <c r="G5" t="inlineStr">
        <is>
          <t>Atlanta, GA, US</t>
        </is>
      </c>
      <c r="H5" s="2" t="n">
        <v>46057</v>
      </c>
      <c r="I5" t="inlineStr">
        <is>
          <t>**Job Description**
**Product Manager, Agentic Commerce**
Team: Product
Location: US – San Francisco, Denver, Atlanta, NYC or Boston
Position: Full time
Are you ready to write your next chapter?
Make your mark at one of the biggest names in payments. With proven technology, we process the largest volume of payments in the world, driving the global economy every day. When you join Worldpay, you join a global community of experts and changemakers, working to reinvent an industry by constantly evolving how we work and making the way millions of people pay easier, every day.
What makes a Worldpayer? It’s simple: Think, Act, Win. We stay curious, always asking the right questions to be better every day, finding creative solutions to simplify the complex. We’re dynamic, every Worldpayer is empowered to make the right decisions for their customers. And we’re determined, always staying open – winning and failing as one.
Are you ready to make your mark? Then you sound like a Worldpayer.
**About the team**
The newly formed **Agentic Commerce** team focuses on building the future of commerce in the world of AI – transformative products that redefine how AI\-powered agents discover products, checkout and complete transactions on behalf of consumers safely and securely. Our vision is to establish Worldpay as the ‘universal adapter’ that our merchants can leverage to seamlessly allow the plethora of agents and evolving protocols to safely conduct commerce on their platforms.
The team will liaise with Worldpay’s existing product teams to evolve our existing products, such as fraud tools, payment optimisation products, dashboards, disputes platforms, to be agent\-ready. We will also work with Commercial, GTM, Marketing, and other teams to ensure the products we build are rooted in our merchant needs, and drive thought leadership working alongside other industry players and advocating on behalf of our merchants. The team remit also involves forging and developing relationships with the players at the cutting edge of AI, such as Google, OpenAI, Meta, and others.
Together, our collective goal is to push the boundaries of ecommerce as we know today, and support our merchants in accessing new customers and allowing even more seamless payment experiences of the future.
**What you'll own**
-------------------
As Product Manager for Agentic Commerce, you will own the vision, design, and execution of products that enable AI agents to seamlessly integrate payment capabilities, building new commercial models for the agentic economy.
### **Strategic Product Leadership**
* Develop a compelling vision and product roadmap for agentic commerce with input from AI companies, merchants, market research, and industry insight
* Help establish Worldpay's position in agentic commerce standards and protocols, working with key ecosystem players and internal experts
### **Product Development \&amp; Delivery**
* Partner with Engineering \&amp; other Product teams to ship high\-impact features to allow agents to conduct purchases on our merchant’s surfaces
* Write, refine, and socialize epics/features with engineering teams to deliver value aligned with the product vision and roadmap
* Develop new API primitives and integration experiences specifically designed for agentic workflows
* Support Product teams across Worldpay, incl. backend services, dashboard interfaces, money movement systems, and API integrations, to be agent\-ready
### **Cross\-functional Collaboration \&amp; Go\-to\-Market Support**
* Collaborate with GTM and other commercial teams to deliver go\-to\-market strategies with clear segmentation, targeting, and positioning
* Engage directly with select customers and AI platform builders as a subject matter expert, understand business needs and translate requirements into novel product shapes
* Work closely with Partnership team to onboard AI companies and facilitate rapid prototyping
**Analysis \&amp; Optimization**
* Leverage strong analytical skills to dive into data, test hypotheses, and make informed trade\-offs
* Regularly undertake reviews to understand product performance, partnerships, customer adoption, and business value
**What you bring**
------------------
### **Minimum Requirements**
* 7\+ years of Product Management experience, preferably in payments, fintech, software or platform products
* Proven ability to work effectively across multiple teams and stakeholders, leading initiatives that span multiple Product and Engineering teams and influencing roadmap and execution
* Experience in managing projects end\-to\-end with agile development processes
* Strong written and verbal communication skills, with ability to structure ambiguous concepts clearly and from first principles
* Computer Science background or other similar technical experience
### **Preferred Qualifications**
* Familiarity with LLM\-powered systems, understanding of GenAI and agentic AI technologies
* Exposure to Model Context Protocol (MCP), Agent to Agent (A2A), or similar agent integration standards
* Knowledge of the payments industry; familiarity with agentic commerce protocols (AP2, ACP etc.) is a strong bonus
* Experience in ecom platforms and merchant tools
* You've founded or worked at a startup and / or taken a product from 0\-1, but want to do the same at a larger scale
**Worldpay perks \- what we’ll bring for you**
We know it’s bigger than just your career. It’s your life, and your world. That’s why we offer global benefits and programs to support you at every stage. Here’s a taste of what you can expect.
* A competitive salary and benefits.
* Time to support charities and give back to your community.
* Parental leave policy.
* Global recognition platform.
* Virgin Pulse access.
* Global employee assistance program.
**What makes a Worldpayer**
At Worldpay, we take our Values seriously, and we live them every day. Think like a customer, Act like an owner, and Win as a team.
* **Curious. Humble. Creative**. We ask the right questions, listening and learning to get better every day. We simplify the complex and we’re always looking to create a bigger impact for our colleagues and customers.
* **Empowered. Accountable. Dynamic**. We stay agile, using our initiative, taking calculated risks to progress. Never standing still, never settling, we work at pace to achieve our goals. We champion our ideas and stay flexible to make them happen. We know that every action adds up.
* **Determined. Inclusive. Open.** Unlocking potential means working as one global community. Our work spans borders, and we stay united by our purpose. We collaborate, always encouraging others to perform at their best, welcoming new perspectives.
Does this sound like you? Then you sound like a Worldpayer.
Apply now to write the next chapter in your career. We can’t wait to hear from you.
To find out more about working with us, find us on LinkedIn
\#LI\-BJ1
Worldpay is dedicated to offering individuals rewarding career opportunities and competitive compensation. For this full\-time position, the good faith estimated annual salary range upon hire is $105,700\.00\-$159,475\.00\.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6">
      <c r="A6" t="inlineStr">
        <is>
          <t>in-6f0805b9002361b5</t>
        </is>
      </c>
      <c r="B6" t="inlineStr">
        <is>
          <t>Product Manager, Agentic Commerce</t>
        </is>
      </c>
      <c r="C6" t="inlineStr">
        <is>
          <t>Worldpay</t>
        </is>
      </c>
      <c r="D6" t="inlineStr">
        <is>
          <t>indeed</t>
        </is>
      </c>
      <c r="E6" t="inlineStr"/>
      <c r="F6" t="inlineStr"/>
      <c r="G6" t="inlineStr">
        <is>
          <t>San Francisco, CA, US</t>
        </is>
      </c>
      <c r="H6" s="2" t="n">
        <v>46057</v>
      </c>
      <c r="I6" t="inlineStr">
        <is>
          <t>**Job Description**
**Product Manager, Agentic Commerce**
Team: Product
Location: US – San Francisco, Denver, Atlanta, NYC or Boston
Position: Full time
Are you ready to write your next chapter?
Make your mark at one of the biggest names in payments. With proven technology, we process the largest volume of payments in the world, driving the global economy every day. When you join Worldpay, you join a global community of experts and changemakers, working to reinvent an industry by constantly evolving how we work and making the way millions of people pay easier, every day.
What makes a Worldpayer? It’s simple: Think, Act, Win. We stay curious, always asking the right questions to be better every day, finding creative solutions to simplify the complex. We’re dynamic, every Worldpayer is empowered to make the right decisions for their customers. And we’re determined, always staying open – winning and failing as one.
Are you ready to make your mark? Then you sound like a Worldpayer.
**About the team**
The newly formed **Agentic Commerce** team focuses on building the future of commerce in the world of AI – transformative products that redefine how AI\-powered agents discover products, checkout and complete transactions on behalf of consumers safely and securely. Our vision is to establish Worldpay as the ‘universal adapter’ that our merchants can leverage to seamlessly allow the plethora of agents and evolving protocols to safely conduct commerce on their platforms.
The team will liaise with Worldpay’s existing product teams to evolve our existing products, such as fraud tools, payment optimisation products, dashboards, disputes platforms, to be agent\-ready. We will also work with Commercial, GTM, Marketing, and other teams to ensure the products we build are rooted in our merchant needs, and drive thought leadership working alongside other industry players and advocating on behalf of our merchants. The team remit also involves forging and developing relationships with the players at the cutting edge of AI, such as Google, OpenAI, Meta, and others.
Together, our collective goal is to push the boundaries of ecommerce as we know today, and support our merchants in accessing new customers and allowing even more seamless payment experiences of the future.
**What you'll own**
-------------------
As Product Manager for Agentic Commerce, you will own the vision, design, and execution of products that enable AI agents to seamlessly integrate payment capabilities, building new commercial models for the agentic economy.
### **Strategic Product Leadership**
* Develop a compelling vision and product roadmap for agentic commerce with input from AI companies, merchants, market research, and industry insight
* Help establish Worldpay's position in agentic commerce standards and protocols, working with key ecosystem players and internal experts
### **Product Development \&amp; Delivery**
* Partner with Engineering \&amp; other Product teams to ship high\-impact features to allow agents to conduct purchases on our merchant’s surfaces
* Write, refine, and socialize epics/features with engineering teams to deliver value aligned with the product vision and roadmap
* Develop new API primitives and integration experiences specifically designed for agentic workflows
* Support Product teams across Worldpay, incl. backend services, dashboard interfaces, money movement systems, and API integrations, to be agent\-ready
### **Cross\-functional Collaboration \&amp; Go\-to\-Market Support**
* Collaborate with GTM and other commercial teams to deliver go\-to\-market strategies with clear segmentation, targeting, and positioning
* Engage directly with select customers and AI platform builders as a subject matter expert, understand business needs and translate requirements into novel product shapes
* Work closely with Partnership team to onboard AI companies and facilitate rapid prototyping
**Analysis \&amp; Optimization**
* Leverage strong analytical skills to dive into data, test hypotheses, and make informed trade\-offs
* Regularly undertake reviews to understand product performance, partnerships, customer adoption, and business value
**What you bring**
------------------
### **Minimum Requirements**
* 7\+ years of Product Management experience, preferably in payments, fintech, software or platform products
* Proven ability to work effectively across multiple teams and stakeholders, leading initiatives that span multiple Product and Engineering teams and influencing roadmap and execution
* Experience in managing projects end\-to\-end with agile development processes
* Strong written and verbal communication skills, with ability to structure ambiguous concepts clearly and from first principles
* Computer Science background or other similar technical experience
### **Preferred Qualifications**
* Familiarity with LLM\-powered systems, understanding of GenAI and agentic AI technologies
* Exposure to Model Context Protocol (MCP), Agent to Agent (A2A), or similar agent integration standards
* Knowledge of the payments industry; familiarity with agentic commerce protocols (AP2, ACP etc.) is a strong bonus
* Experience in ecom platforms and merchant tools
* You've founded or worked at a startup and / or taken a product from 0\-1, but want to do the same at a larger scale
**Worldpay perks \- what we’ll bring for you**
We know it’s bigger than just your career. It’s your life, and your world. That’s why we offer global benefits and programs to support you at every stage. Here’s a taste of what you can expect.
* A competitive salary and benefits.
* Time to support charities and give back to your community.
* Parental leave policy.
* Global recognition platform.
* Virgin Pulse access.
* Global employee assistance program.
**What makes a Worldpayer**
At Worldpay, we take our Values seriously, and we live them every day. Think like a customer, Act like an owner, and Win as a team.
* **Curious. Humble. Creative**. We ask the right questions, listening and learning to get better every day. We simplify the complex and we’re always looking to create a bigger impact for our colleagues and customers.
* **Empowered. Accountable. Dynamic**. We stay agile, using our initiative, taking calculated risks to progress. Never standing still, never settling, we work at pace to achieve our goals. We champion our ideas and stay flexible to make them happen. We know that every action adds up.
* **Determined. Inclusive. Open.** Unlocking potential means working as one global community. Our work spans borders, and we stay united by our purpose. We collaborate, always encouraging others to perform at their best, welcoming new perspectives.
Does this sound like you? Then you sound like a Worldpayer.
Apply now to write the next chapter in your career. We can’t wait to hear from you.
To find out more about working with us, find us on LinkedIn
\#LI\-BJ1
Worldpay is dedicated to offering individuals rewarding career opportunities and competitive compensation. For this full\-time position, the good faith estimated annual salary range upon hire is $105,700\.00\-$159,475\.00\.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7">
      <c r="A7" t="inlineStr">
        <is>
          <t>in-0fc076e3a7189df0</t>
        </is>
      </c>
      <c r="B7" t="inlineStr">
        <is>
          <t>Product Manager, Agentic Commerce</t>
        </is>
      </c>
      <c r="C7" t="inlineStr">
        <is>
          <t>Worldpay</t>
        </is>
      </c>
      <c r="D7" t="inlineStr">
        <is>
          <t>indeed</t>
        </is>
      </c>
      <c r="E7" t="inlineStr"/>
      <c r="F7" t="inlineStr"/>
      <c r="G7" t="inlineStr">
        <is>
          <t>New York, NY, US</t>
        </is>
      </c>
      <c r="H7" s="2" t="n">
        <v>46057</v>
      </c>
      <c r="I7" t="inlineStr">
        <is>
          <t>**Job Description**
**Product Manager, Agentic Commerce**
Team: Product
Location: US – San Francisco, Denver, Atlanta, NYC or Boston
Position: Full time
Are you ready to write your next chapter?
Make your mark at one of the biggest names in payments. With proven technology, we process the largest volume of payments in the world, driving the global economy every day. When you join Worldpay, you join a global community of experts and changemakers, working to reinvent an industry by constantly evolving how we work and making the way millions of people pay easier, every day.
What makes a Worldpayer? It’s simple: Think, Act, Win. We stay curious, always asking the right questions to be better every day, finding creative solutions to simplify the complex. We’re dynamic, every Worldpayer is empowered to make the right decisions for their customers. And we’re determined, always staying open – winning and failing as one.
Are you ready to make your mark? Then you sound like a Worldpayer.
**About the team**
The newly formed **Agentic Commerce** team focuses on building the future of commerce in the world of AI – transformative products that redefine how AI\-powered agents discover products, checkout and complete transactions on behalf of consumers safely and securely. Our vision is to establish Worldpay as the ‘universal adapter’ that our merchants can leverage to seamlessly allow the plethora of agents and evolving protocols to safely conduct commerce on their platforms.
The team will liaise with Worldpay’s existing product teams to evolve our existing products, such as fraud tools, payment optimisation products, dashboards, disputes platforms, to be agent\-ready. We will also work with Commercial, GTM, Marketing, and other teams to ensure the products we build are rooted in our merchant needs, and drive thought leadership working alongside other industry players and advocating on behalf of our merchants. The team remit also involves forging and developing relationships with the players at the cutting edge of AI, such as Google, OpenAI, Meta, and others.
Together, our collective goal is to push the boundaries of ecommerce as we know today, and support our merchants in accessing new customers and allowing even more seamless payment experiences of the future.
**What you'll own**
-------------------
As Product Manager for Agentic Commerce, you will own the vision, design, and execution of products that enable AI agents to seamlessly integrate payment capabilities, building new commercial models for the agentic economy.
### **Strategic Product Leadership**
* Develop a compelling vision and product roadmap for agentic commerce with input from AI companies, merchants, market research, and industry insight
* Help establish Worldpay's position in agentic commerce standards and protocols, working with key ecosystem players and internal experts
### **Product Development \&amp; Delivery**
* Partner with Engineering \&amp; other Product teams to ship high\-impact features to allow agents to conduct purchases on our merchant’s surfaces
* Write, refine, and socialize epics/features with engineering teams to deliver value aligned with the product vision and roadmap
* Develop new API primitives and integration experiences specifically designed for agentic workflows
* Support Product teams across Worldpay, incl. backend services, dashboard interfaces, money movement systems, and API integrations, to be agent\-ready
### **Cross\-functional Collaboration \&amp; Go\-to\-Market Support**
* Collaborate with GTM and other commercial teams to deliver go\-to\-market strategies with clear segmentation, targeting, and positioning
* Engage directly with select customers and AI platform builders as a subject matter expert, understand business needs and translate requirements into novel product shapes
* Work closely with Partnership team to onboard AI companies and facilitate rapid prototyping
**Analysis \&amp; Optimization**
* Leverage strong analytical skills to dive into data, test hypotheses, and make informed trade\-offs
* Regularly undertake reviews to understand product performance, partnerships, customer adoption, and business value
**What you bring**
------------------
### **Minimum Requirements**
* 7\+ years of Product Management experience, preferably in payments, fintech, software or platform products
* Proven ability to work effectively across multiple teams and stakeholders, leading initiatives that span multiple Product and Engineering teams and influencing roadmap and execution
* Experience in managing projects end\-to\-end with agile development processes
* Strong written and verbal communication skills, with ability to structure ambiguous concepts clearly and from first principles
* Computer Science background or other similar technical experience
### **Preferred Qualifications**
* Familiarity with LLM\-powered systems, understanding of GenAI and agentic AI technologies
* Exposure to Model Context Protocol (MCP), Agent to Agent (A2A), or similar agent integration standards
* Knowledge of the payments industry; familiarity with agentic commerce protocols (AP2, ACP etc.) is a strong bonus
* Experience in ecom platforms and merchant tools
* You've founded or worked at a startup and / or taken a product from 0\-1, but want to do the same at a larger scale
**Worldpay perks \- what we’ll bring for you**
We know it’s bigger than just your career. It’s your life, and your world. That’s why we offer global benefits and programs to support you at every stage. Here’s a taste of what you can expect.
* A competitive salary and benefits.
* Time to support charities and give back to your community.
* Parental leave policy.
* Global recognition platform.
* Virgin Pulse access.
* Global employee assistance program.
**What makes a Worldpayer**
At Worldpay, we take our Values seriously, and we live them every day. Think like a customer, Act like an owner, and Win as a team.
* **Curious. Humble. Creative**. We ask the right questions, listening and learning to get better every day. We simplify the complex and we’re always looking to create a bigger impact for our colleagues and customers.
* **Empowered. Accountable. Dynamic**. We stay agile, using our initiative, taking calculated risks to progress. Never standing still, never settling, we work at pace to achieve our goals. We champion our ideas and stay flexible to make them happen. We know that every action adds up.
* **Determined. Inclusive. Open.** Unlocking potential means working as one global community. Our work spans borders, and we stay united by our purpose. We collaborate, always encouraging others to perform at their best, welcoming new perspectives.
Does this sound like you? Then you sound like a Worldpayer.
Apply now to write the next chapter in your career. We can’t wait to hear from you.
To find out more about working with us, find us on LinkedIn
\#LI\-BJ1
Worldpay is dedicated to offering individuals rewarding career opportunities and competitive compensation. For this full\-time position, the good faith estimated annual salary range upon hire is $105,700\.00\-$159,475\.00\.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8">
      <c r="A8" t="inlineStr">
        <is>
          <t>in-09990b323fc50234</t>
        </is>
      </c>
      <c r="B8" t="inlineStr">
        <is>
          <t>Technical Program Manager, AI/ML, Cloud Capacity Planning</t>
        </is>
      </c>
      <c r="C8" t="inlineStr">
        <is>
          <t>Google</t>
        </is>
      </c>
      <c r="D8" t="inlineStr">
        <is>
          <t>indeed</t>
        </is>
      </c>
      <c r="E8" t="inlineStr"/>
      <c r="F8" t="inlineStr"/>
      <c r="G8" t="inlineStr">
        <is>
          <t>Thornton, CO, US</t>
        </is>
      </c>
      <c r="H8" s="2" t="n">
        <v>46057</v>
      </c>
      <c r="I8"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**Sunnyvale, CA, USA; Atlanta, GA, USA; Austin, TX, USA; Addison, TX, USA; New York, NY, USA; Thornton, CO, USA**.### **Minimum qualifications:**
* Bachelor's degree in a technical field, or equivalent practical experience.
* 8 years of experience in technical program management or managing cross\-functional projects.
* Experience in capacity planning, supply chain management, or infrastructure deployment.
* Experience in data modeling, trend analysis, forecasting, or data analytics.
* Experience leading regular review meetings with cross\-functional stakeholders to align business objectives with technical capabilities.
### **Preferred qualifications:**
* 8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ensure to provide capacity to our customers on\-time and in the right location, thus supporting the business' tremendous growth potential. You will be overseeing various aspects of supply planning, demand planning, and program management to help coordinate across numerous stakeholders to deliver a seamless capacity experience for our AI/ML customers.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Coordinate capacity planning activities for Google Cloud AI/ML portfolios and lead regular review meetings to align business objectives with technical capabilities.
* Collaborate with Engineering, Product Management, and Operations teams to ensure a smooth transition for customers migrating their workloads to Google Cloud.
* Design and implement capacity planning processes to improve cost\-effectiveness and performance, while proactively monitoring for and mitigating bottlenecks to minimize service disruptions.
* Analyze usage patterns and maintain Supply Demand Match (SDM) models to build long\-term demand forecasts that anticipate resource needs for long\-lead\-time products.
* Partner with engineering teams to design and implement automation that delivers operational excellence and reduces manual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
      <c r="A9" t="inlineStr">
        <is>
          <t>in-7e8b2b0810f9c290</t>
        </is>
      </c>
      <c r="B9" t="inlineStr">
        <is>
          <t>Program Manager II, Circular Economy, Cloud Supply Chain</t>
        </is>
      </c>
      <c r="C9" t="inlineStr">
        <is>
          <t>Google</t>
        </is>
      </c>
      <c r="D9" t="inlineStr">
        <is>
          <t>indeed</t>
        </is>
      </c>
      <c r="E9" t="inlineStr"/>
      <c r="F9" t="inlineStr"/>
      <c r="G9" t="inlineStr">
        <is>
          <t>Atlanta, GA, US</t>
        </is>
      </c>
      <c r="H9" s="2" t="n">
        <v>46057</v>
      </c>
      <c r="I9" t="inlineStr">
        <is>
          <t>### **Minimum qualifications:**
* Bachelor's degree or equivalent practical experience.
* 2 years of experience in program or project management.
* Experience working with circular economy principles in a supply chain.
Experience working with supply chains in data centers, manufacturing, or warehouse logistics.  
* 
### **Preferred qualifications:**
* 2 years of experience managing cross\-functional or cross\-team projects.
* Experience in change management, helping large organizations adopt new processes or sustainability standards (Lean or Six Sigma training).
* Experience with global recycling infrastructure and vendor landscape for various waste streams.
* Experience with process mapping to identify and remove bottlenecks in circular material flows.
**About the job**
-----------------
Be a driving team in Google’s journey towards a circular economy to support global data center operations. As the Circular Economy Program Manager, you will lead the charge in minimizing waste, maximizing resource recovery, and achieving true zero waste and circularity. This role blends innovation with planning, demanding both a passion for sustainability and a high degree of operational excellence. Unlike traditional investigative roles, this position focuses on the "how" and “why” of circularity bridging the gap between ambitious sustainability goals, day\-to\-day operations, and the various stakeholders. You will act as an advocate for circularity, collaborating with data center teams to identify improvement opportunities and implement scalable solutions. From optimizing global standards to building business partnerships, you will be responsible for translating Google's Circular Economy goals into tangible actions and a compelling narrative of progress.The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Oversee the end\-to\-end implementation of circularity initiatives, ensuring they are seamlessly integrated into global supply chain and data center operations.
* Lead the strategy for sustainable inventory and logistic management, identifying opportunities to eliminate single\-use materials, optimize recovery, and transition to reusable or recyclable alternatives.
* Design and deploy site\-specific waste management workflows that prioritize resource recovery and operational efficiency.
* Foster and manage partnerships with recycling vendors and logistics providers to create innovative closed\-loop systems.
* Translate operational data into powerful narratives that demonstrate the impact of circularity initiatives to stakeholders at all levels.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
      <c r="A10" t="inlineStr">
        <is>
          <t>in-7a8166de529c4856</t>
        </is>
      </c>
      <c r="B10" t="inlineStr">
        <is>
          <t>Technical Program Manager, AI/ML, Cloud Capacity Planning</t>
        </is>
      </c>
      <c r="C10" t="inlineStr">
        <is>
          <t>Google</t>
        </is>
      </c>
      <c r="D10" t="inlineStr">
        <is>
          <t>indeed</t>
        </is>
      </c>
      <c r="E10" t="inlineStr"/>
      <c r="F10" t="inlineStr"/>
      <c r="G10" t="inlineStr">
        <is>
          <t>Addison, TX, US</t>
        </is>
      </c>
      <c r="H10" s="2" t="n">
        <v>46057</v>
      </c>
      <c r="I10"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**Sunnyvale, CA, USA; Atlanta, GA, USA; Austin, TX, USA; Addison, TX, USA; New York, NY, USA; Thornton, CO, USA**.### **Minimum qualifications:**
* Bachelor's degree in a technical field, or equivalent practical experience.
* 8 years of experience in technical program management or managing cross\-functional projects.
* Experience in capacity planning, supply chain management, or infrastructure deployment.
* Experience in data modeling, trend analysis, forecasting, or data analytics.
* Experience leading regular review meetings with cross\-functional stakeholders to align business objectives with technical capabilities.
### **Preferred qualifications:**
* 8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ensure to provide capacity to our customers on\-time and in the right location, thus supporting the business' tremendous growth potential. You will be overseeing various aspects of supply planning, demand planning, and program management to help coordinate across numerous stakeholders to deliver a seamless capacity experience for our AI/ML customers.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Coordinate capacity planning activities for Google Cloud AI/ML portfolios and lead regular review meetings to align business objectives with technical capabilities.
* Collaborate with Engineering, Product Management, and Operations teams to ensure a smooth transition for customers migrating their workloads to Google Cloud.
* Design and implement capacity planning processes to improve cost\-effectiveness and performance, while proactively monitoring for and mitigating bottlenecks to minimize service disruptions.
* Analyze usage patterns and maintain Supply Demand Match (SDM) models to build long\-term demand forecasts that anticipate resource needs for long\-lead\-time products.
* Partner with engineering teams to design and implement automation that delivers operational excellence and reduces manual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
      <c r="A11" t="inlineStr">
        <is>
          <t>in-1d2817f194f5360b</t>
        </is>
      </c>
      <c r="B11" t="inlineStr">
        <is>
          <t>Technical Program Manager, AI/ML, Cloud Capacity Planning</t>
        </is>
      </c>
      <c r="C11" t="inlineStr">
        <is>
          <t>Google</t>
        </is>
      </c>
      <c r="D11" t="inlineStr">
        <is>
          <t>indeed</t>
        </is>
      </c>
      <c r="E11" t="inlineStr"/>
      <c r="F11" t="inlineStr"/>
      <c r="G11" t="inlineStr">
        <is>
          <t>New York, NY, US</t>
        </is>
      </c>
      <c r="H11" s="2" t="n">
        <v>46057</v>
      </c>
      <c r="I11"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**Sunnyvale, CA, USA; Atlanta, GA, USA; Austin, TX, USA; Addison, TX, USA; New York, NY, USA; Thornton, CO, USA**.### **Minimum qualifications:**
* Bachelor's degree in a technical field, or equivalent practical experience.
* 8 years of experience in technical program management or managing cross\-functional projects.
* Experience in capacity planning, supply chain management, or infrastructure deployment.
* Experience in data modeling, trend analysis, forecasting, or data analytics.
* Experience leading regular review meetings with cross\-functional stakeholders to align business objectives with technical capabilities.
### **Preferred qualifications:**
* 8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ensure to provide capacity to our customers on\-time and in the right location, thus supporting the business' tremendous growth potential. You will be overseeing various aspects of supply planning, demand planning, and program management to help coordinate across numerous stakeholders to deliver a seamless capacity experience for our AI/ML customers.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Coordinate capacity planning activities for Google Cloud AI/ML portfolios and lead regular review meetings to align business objectives with technical capabilities.
* Collaborate with Engineering, Product Management, and Operations teams to ensure a smooth transition for customers migrating their workloads to Google Cloud.
* Design and implement capacity planning processes to improve cost\-effectiveness and performance, while proactively monitoring for and mitigating bottlenecks to minimize service disruptions.
* Analyze usage patterns and maintain Supply Demand Match (SDM) models to build long\-term demand forecasts that anticipate resource needs for long\-lead\-time products.
* Partner with engineering teams to design and implement automation that delivers operational excellence and reduces manual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
      <c r="A12" t="inlineStr">
        <is>
          <t>in-19970f755d0f732e</t>
        </is>
      </c>
      <c r="B12" t="inlineStr">
        <is>
          <t>Technical Program Manager, AI/ML, Cloud Capacity Planning</t>
        </is>
      </c>
      <c r="C12" t="inlineStr">
        <is>
          <t>Google</t>
        </is>
      </c>
      <c r="D12" t="inlineStr">
        <is>
          <t>indeed</t>
        </is>
      </c>
      <c r="E12" t="inlineStr"/>
      <c r="F12" t="inlineStr"/>
      <c r="G12" t="inlineStr">
        <is>
          <t>Austin, TX, US</t>
        </is>
      </c>
      <c r="H12" s="2" t="n">
        <v>46057</v>
      </c>
      <c r="I12"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**Sunnyvale, CA, USA; Atlanta, GA, USA; Austin, TX, USA; Addison, TX, USA; New York, NY, USA; Thornton, CO, USA**.### **Minimum qualifications:**
* Bachelor's degree in a technical field, or equivalent practical experience.
* 8 years of experience in technical program management or managing cross\-functional projects.
* Experience in capacity planning, supply chain management, or infrastructure deployment.
* Experience in data modeling, trend analysis, forecasting, or data analytics.
* Experience leading regular review meetings with cross\-functional stakeholders to align business objectives with technical capabilities.
### **Preferred qualifications:**
* 8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ensure to provide capacity to our customers on\-time and in the right location, thus supporting the business' tremendous growth potential. You will be overseeing various aspects of supply planning, demand planning, and program management to help coordinate across numerous stakeholders to deliver a seamless capacity experience for our AI/ML customers.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Coordinate capacity planning activities for Google Cloud AI/ML portfolios and lead regular review meetings to align business objectives with technical capabilities.
* Collaborate with Engineering, Product Management, and Operations teams to ensure a smooth transition for customers migrating their workloads to Google Cloud.
* Design and implement capacity planning processes to improve cost\-effectiveness and performance, while proactively monitoring for and mitigating bottlenecks to minimize service disruptions.
* Analyze usage patterns and maintain Supply Demand Match (SDM) models to build long\-term demand forecasts that anticipate resource needs for long\-lead\-time products.
* Partner with engineering teams to design and implement automation that delivers operational excellence and reduces manual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
      <c r="A13" t="inlineStr">
        <is>
          <t>in-a1abb159d6e2fb95</t>
        </is>
      </c>
      <c r="B13" t="inlineStr">
        <is>
          <t>Technical Program Manager, AI/ML, Cloud Capacity Planning</t>
        </is>
      </c>
      <c r="C13" t="inlineStr">
        <is>
          <t>Google</t>
        </is>
      </c>
      <c r="D13" t="inlineStr">
        <is>
          <t>indeed</t>
        </is>
      </c>
      <c r="E13" t="inlineStr"/>
      <c r="F13" t="inlineStr"/>
      <c r="G13" t="inlineStr">
        <is>
          <t>Sunnyvale, CA, US</t>
        </is>
      </c>
      <c r="H13" s="2" t="n">
        <v>46057</v>
      </c>
      <c r="I13"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**Sunnyvale, CA, USA; Atlanta, GA, USA; Austin, TX, USA; Addison, TX, USA; New York, NY, USA; Thornton, CO, USA**.### **Minimum qualifications:**
* Bachelor's degree in a technical field, or equivalent practical experience.
* 8 years of experience in technical program management or managing cross\-functional projects.
* Experience in capacity planning, supply chain management, or infrastructure deployment.
* Experience in data modeling, trend analysis, forecasting, or data analytics.
* Experience leading regular review meetings with cross\-functional stakeholders to align business objectives with technical capabilities.
### **Preferred qualifications:**
* 8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ensure to provide capacity to our customers on\-time and in the right location, thus supporting the business' tremendous growth potential. You will be overseeing various aspects of supply planning, demand planning, and program management to help coordinate across numerous stakeholders to deliver a seamless capacity experience for our AI/ML customers.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Coordinate capacity planning activities for Google Cloud AI/ML portfolios and lead regular review meetings to align business objectives with technical capabilities.
* Collaborate with Engineering, Product Management, and Operations teams to ensure a smooth transition for customers migrating their workloads to Google Cloud.
* Design and implement capacity planning processes to improve cost\-effectiveness and performance, while proactively monitoring for and mitigating bottlenecks to minimize service disruptions.
* Analyze usage patterns and maintain Supply Demand Match (SDM) models to build long\-term demand forecasts that anticipate resource needs for long\-lead\-time products.
* Partner with engineering teams to design and implement automation that delivers operational excellence and reduces manual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
      <c r="A14" t="inlineStr">
        <is>
          <t>in-bfac62b3a7f03967</t>
        </is>
      </c>
      <c r="B14" t="inlineStr">
        <is>
          <t>Technical Program Manager, AI/ML, Cloud Capacity Planning</t>
        </is>
      </c>
      <c r="C14" t="inlineStr">
        <is>
          <t>Google</t>
        </is>
      </c>
      <c r="D14" t="inlineStr">
        <is>
          <t>indeed</t>
        </is>
      </c>
      <c r="E14" t="inlineStr"/>
      <c r="F14" t="inlineStr"/>
      <c r="G14" t="inlineStr">
        <is>
          <t>Atlanta, GA, US</t>
        </is>
      </c>
      <c r="H14" s="2" t="n">
        <v>46057</v>
      </c>
      <c r="I14"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**Sunnyvale, CA, USA; Atlanta, GA, USA; Austin, TX, USA; Addison, TX, USA; New York, NY, USA; Thornton, CO, USA**.### **Minimum qualifications:**
* Bachelor's degree in a technical field, or equivalent practical experience.
* 8 years of experience in technical program management or managing cross\-functional projects.
* Experience in capacity planning, supply chain management, or infrastructure deployment.
* Experience in data modeling, trend analysis, forecasting, or data analytics.
* Experience leading regular review meetings with cross\-functional stakeholders to align business objectives with technical capabilities.
### **Preferred qualifications:**
* 8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ensure to provide capacity to our customers on\-time and in the right location, thus supporting the business' tremendous growth potential. You will be overseeing various aspects of supply planning, demand planning, and program management to help coordinate across numerous stakeholders to deliver a seamless capacity experience for our AI/ML customers.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Coordinate capacity planning activities for Google Cloud AI/ML portfolios and lead regular review meetings to align business objectives with technical capabilities.
* Collaborate with Engineering, Product Management, and Operations teams to ensure a smooth transition for customers migrating their workloads to Google Cloud.
* Design and implement capacity planning processes to improve cost\-effectiveness and performance, while proactively monitoring for and mitigating bottlenecks to minimize service disruptions.
* Analyze usage patterns and maintain Supply Demand Match (SDM) models to build long\-term demand forecasts that anticipate resource needs for long\-lead\-time products.
* Partner with engineering teams to design and implement automation that delivers operational excellence and reduces manual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
      <c r="A15" t="inlineStr">
        <is>
          <t>in-f4ca5508c9182b1d</t>
        </is>
      </c>
      <c r="B15" t="inlineStr">
        <is>
          <t>Senior Technical Program Manager, Security and Compliance</t>
        </is>
      </c>
      <c r="C15" t="inlineStr">
        <is>
          <t>Google</t>
        </is>
      </c>
      <c r="D15" t="inlineStr">
        <is>
          <t>indeed</t>
        </is>
      </c>
      <c r="E15" t="inlineStr"/>
      <c r="F15" t="inlineStr"/>
      <c r="G15" t="inlineStr">
        <is>
          <t>Kirkland, WA, US</t>
        </is>
      </c>
      <c r="H15" s="2" t="n">
        <v>46057</v>
      </c>
      <c r="I1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in a technical field, or equivalent practical experience.
* 8 years of experience in technical program management, with a focus on security and compliance.
* Experience managing technical programs in a cloud or infrastructure environment.
### **Preferred qualifications:**
* 8 years of experience managing cross\-functional or cross\-team projects.
* Experience in scaling processes and frameworks across large engineering organizations.
* Experience in driving process improvements and operational efficiency efforts.
* Familiarity with cloud security principles and best practices.
* Knowledge of common security and compliance standards and regulations (e.g., IL5, FedRAMP).
* Passion for leveraging AI/ML to solve operational issues.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ACI Security and Compliance team is looking for an experienced Technical Program Manager (TPgM) to drive critical security and compliance programs across Google Cloud's core infrastructure. You will focus on enhancing our security posture, maturing and scaling our security and compliance processes, and ensuring our services meet the requirements of regulated markets. You will work horizontally across engineering and product teams to implement security best practices, leverage and improve the security and compliance framework, and manage programs from initiation to completion.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end\-to\-end execution of complex, cross\-functional security and compliance programs by collaborating with Engineering, Legal, and the Cloud CISO to define scope and deliverables.
* Drive the continuous improvement and scaling of Security and Compliance frameworks while spearheading initiatives to reduce operational toil through AI and automation.
* Translate complex security and compliance requirements, such as FedRAMP, GDPR, and HIPAA, into actionable plans and technical engineering work.
* Identify, assess, and mitigate security risks across the organization’s services and infrastructure.
* Facilitate communication and alignment across teams to ensure clarity on goals and timelines while leading security best practices throughout the development lifecycle.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
      <c r="A16" t="inlineStr">
        <is>
          <t>in-facab459176729db</t>
        </is>
      </c>
      <c r="B16" t="inlineStr">
        <is>
          <t>Technical Program Manager, Supplier Quality, Mechanical, Data Centers</t>
        </is>
      </c>
      <c r="C16" t="inlineStr">
        <is>
          <t>Google</t>
        </is>
      </c>
      <c r="D16" t="inlineStr">
        <is>
          <t>indeed</t>
        </is>
      </c>
      <c r="E16" t="inlineStr"/>
      <c r="F16" t="inlineStr"/>
      <c r="G16" t="inlineStr">
        <is>
          <t>Midlothian, TX, US</t>
        </is>
      </c>
      <c r="H16" s="2" t="n">
        <v>46057</v>
      </c>
      <c r="I16" t="inlineStr">
        <is>
          <t>### **Minimum qualifications:**
* Bachelor's degree in a technical field, or equivalent practical experience.
* 2 years of experience in program or technical program management.
* Experience with design, manufacturing, or operation of mechanical, standby\-power, or HVAC infrastructure equipment.
* Experience in supplier quality management with systems deploying to mission critical facilities.
### **Preferred qualifications:**
* Certification in Six Sigma Blackbelt, American Society for Quality (CSQP, CQE, CQM, CRE, or CQA) or Auditor Certification, or equivalent certification/experience.
* 2 years of experience managing cross\-functional or cross\-team projects.
* Knowledge of mechanical standards applied to mission critical operations (e.g., ANSI,ASME, APQP, etc.).
* Knowledge of mechanical and HVAC infrastructure equipment installation/deployment at data centers or other mission critical facilities.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Data Centers (GDC) make up one of the largest and most powerful computing infrastructures on the planet. The GDC end\-to\-end Quality team is responsible for delivering physical plant infrastructure with predictable quality.
As a Supplier Quality Technical Program Manager, you work directly with supplier partners managing critical aspects of mechanical systems supplier quality. You collaborate with hardware development and designers, commodity managers, manufacturing engineers, data center engineers, data center operations and drive supplier failure analysis. You extract and analyze data from supplier facilities and our data centers to verify performance and drive improvements.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Work directly with supplier partners managing critical aspects of mechanical infrastructure systems supplier quality. Collaborate with design engineers, commodity managers, manufacturing engineers, operation program managers, and product managers to drive high quality products.
* Perform failure analysis to establish true root cause(s), and systemic corrective actions with demonstrated preventative solutions.
* Provide analytical leadership to statistically connect production line metrics, tests, and quality audits to field performance.
* Validate supplier build/test processes and PLC deliverables for compliance with internal requirements and industry standards like PPAP.
* Conduct supplier audits, inspect production facilities/lines, articulate quality improvement activities to reduce variability, improve predictability, streamline lead time, improve output quality, factory witness and acceptance testing. Partner with suppliers to solve complex product quality and process issues across the full product lifecycle (pre\-FR through end of life).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
      <c r="A17" t="inlineStr">
        <is>
          <t>in-2768617cf5538ab1</t>
        </is>
      </c>
      <c r="B17" t="inlineStr">
        <is>
          <t>Program Manager III, AI, Silicon Operations, Technical Infrastructure</t>
        </is>
      </c>
      <c r="C17" t="inlineStr">
        <is>
          <t>Google</t>
        </is>
      </c>
      <c r="D17" t="inlineStr">
        <is>
          <t>indeed</t>
        </is>
      </c>
      <c r="E17" t="inlineStr"/>
      <c r="F17" t="inlineStr"/>
      <c r="G17" t="inlineStr">
        <is>
          <t>Sunnyvale, CA, US</t>
        </is>
      </c>
      <c r="H17" s="2" t="n">
        <v>46057</v>
      </c>
      <c r="I17" t="inlineStr">
        <is>
          <t>### **Minimum qualifications:**
* Bachelor's degree or equivalent practical experience.
* 5 years of experience in program or project management.
* Experience supporting program management operations for silicon development organizations.
* Experience managing vendor and temp worker contracts, budgets, purchase orders, and onboarding.
### **Preferred qualifications:**
* 5 years of experience managing cross\-functional or cross\-team projects.
* Experience working alongside silicon engineering teams and technical program managers on process improvement efforts.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Our team is responsible for the technical program management of all silicon programs as well as all supporting functions including vendor and emp, vendor, and contractor management and onboarding, EDA tool license forecasting and management, cloud compute capacity forecasting and management, program budget management, and program status review and reporting
In this role, you will be part of a team supporting custom AI silicon programs for Google data centers. You will be supporting some of these critical initiatives to work across organizational boundaries to find solutions to streamline and simplify processes in these areas.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Support program management operations for AI chip development teams.
* Collect and report technical program status across a broad portfolio of programs and stakeholders.
* Manage vendor and temp worker agreements and onboarding.
* Assess, request, and report on budget to support program operations.
* Develop transformative and sustainable solutions to streamline technical and organizational processes.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
      <c r="A18" t="inlineStr">
        <is>
          <t>in-5f83ad5c90583696</t>
        </is>
      </c>
      <c r="B18" t="inlineStr">
        <is>
          <t>Technical Program Manager, Mechanical Supplier Quality, Data Centers</t>
        </is>
      </c>
      <c r="C18" t="inlineStr">
        <is>
          <t>Google</t>
        </is>
      </c>
      <c r="D18" t="inlineStr">
        <is>
          <t>indeed</t>
        </is>
      </c>
      <c r="E18" t="inlineStr"/>
      <c r="F18" t="inlineStr"/>
      <c r="G18" t="inlineStr">
        <is>
          <t>Reston, VA, US</t>
        </is>
      </c>
      <c r="H18" s="2" t="n">
        <v>46057</v>
      </c>
      <c r="I18" t="inlineStr">
        <is>
          <t>Note: By applying to this position you will have an opportunity to share your preferred working location from the following: **Reston, VA, USA; New York, NY, USA**.### **Minimum qualifications:**
* Bachelor's degree in a technical field, or equivalent practical experience.
* 5 years of experience in program or technical program management.
* Experience with design, manufacturing, or operation of mechanical, standby\-power, or HVAC infrastructure equipment.
* Experience in supplier quality management with systems deploying to mission critical facilities.
### **Preferred qualifications:**
* Certifications in Six Sigma Blackbelt, Auditor, American Society for Quality (CSQP, CQE, CQM, CRE, or CQA) or equivalent certification.
* 5 years of experience managing cross\-functional or cross\-team projects.
* Knowledge of mechanical standards applied to mission critical operations (e.g., ANSI, ASME, APQP, other).
* Knowledge of mechanical and HVAC infrastructure equipment installation/deployment at data centers or other mission critical facilities.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Data Centers (GDC) make up one of the largest and most powerful computing infrastructures on the planet. The GDC Quality team is responsible for delivering physical plant infrastructure with predictable quality.  
As a Supplier Quality Technical Program Manager, you will work directly with supplier partners managing critical aspects of mechanical systems supplier quality. You will collaborate with hardware development and designers, commodity managers, manufacturing engineers, data center engineers, and data center operations to drive supplier failure analysis. You will establish true root causes and drive systemic corrective actions with demonstrated preventative solutions. You will extract and analyze data from supplier facilities and our data centers to verify performance and drive improvements.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Work directly with supplier partners managing critical aspects of mechanical infrastructure systems supplier quality. Collaborate with design engineers, commodity managers, manufacturing engineers, operation program managers, and product managers to drive high quality products.
* Provide investigative leadership to statistically connect production line metrics, tests, and quality audits to field performance.
* Validate supplier build/test processes and Product Life Cycle (PLC) deliverables for compliance with internal requirements and industry standards like Production Part Approval Process (PPAP).
* Conduct supplier audits, inspect production facilities/lines, and articulate quality improvement activities to reduce variability, improve predictability, streamline lead time, and improve output quality.
* Partner with suppliers to solve product quality and process issues across the full product life\-cycle.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
      <c r="A19" t="inlineStr">
        <is>
          <t>in-c73243bbb69154ac</t>
        </is>
      </c>
      <c r="B19" t="inlineStr">
        <is>
          <t>Technical Program Manager, Mechanical Supplier Quality, Data Centers</t>
        </is>
      </c>
      <c r="C19" t="inlineStr">
        <is>
          <t>Google</t>
        </is>
      </c>
      <c r="D19" t="inlineStr">
        <is>
          <t>indeed</t>
        </is>
      </c>
      <c r="E19" t="inlineStr"/>
      <c r="F19" t="inlineStr"/>
      <c r="G19" t="inlineStr">
        <is>
          <t>New York, NY, US</t>
        </is>
      </c>
      <c r="H19" s="2" t="n">
        <v>46057</v>
      </c>
      <c r="I19" t="inlineStr">
        <is>
          <t>Note: By applying to this position you will have an opportunity to share your preferred working location from the following: **Reston, VA, USA; New York, NY, USA**.### **Minimum qualifications:**
* Bachelor's degree in a technical field, or equivalent practical experience.
* 5 years of experience in program or technical program management.
* Experience with design, manufacturing, or operation of mechanical, standby\-power, or HVAC infrastructure equipment.
* Experience in supplier quality management with systems deploying to mission critical facilities.
### **Preferred qualifications:**
* Certifications in Six Sigma Blackbelt, Auditor, American Society for Quality (CSQP, CQE, CQM, CRE, or CQA) or equivalent certification.
* 5 years of experience managing cross\-functional or cross\-team projects.
* Knowledge of mechanical standards applied to mission critical operations (e.g., ANSI, ASME, APQP, other).
* Knowledge of mechanical and HVAC infrastructure equipment installation/deployment at data centers or other mission critical facilities.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Data Centers (GDC) make up one of the largest and most powerful computing infrastructures on the planet. The GDC Quality team is responsible for delivering physical plant infrastructure with predictable quality.  
As a Supplier Quality Technical Program Manager, you will work directly with supplier partners managing critical aspects of mechanical systems supplier quality. You will collaborate with hardware development and designers, commodity managers, manufacturing engineers, data center engineers, and data center operations to drive supplier failure analysis. You will establish true root causes and drive systemic corrective actions with demonstrated preventative solutions. You will extract and analyze data from supplier facilities and our data centers to verify performance and drive improvements.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Work directly with supplier partners managing critical aspects of mechanical infrastructure systems supplier quality. Collaborate with design engineers, commodity managers, manufacturing engineers, operation program managers, and product managers to drive high quality products.
* Provide investigative leadership to statistically connect production line metrics, tests, and quality audits to field performance.
* Validate supplier build/test processes and Product Life Cycle (PLC) deliverables for compliance with internal requirements and industry standards like Production Part Approval Process (PPAP).
* Conduct supplier audits, inspect production facilities/lines, and articulate quality improvement activities to reduce variability, improve predictability, streamline lead time, and improve output quality.
* Partner with suppliers to solve product quality and process issues across the full product life\-cycle.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
      <c r="A20" t="inlineStr">
        <is>
          <t>in-b33fc877ac08d3d3</t>
        </is>
      </c>
      <c r="B20" t="inlineStr">
        <is>
          <t>Product Manager, Full Stack, Founding</t>
        </is>
      </c>
      <c r="C20" t="inlineStr">
        <is>
          <t>Google</t>
        </is>
      </c>
      <c r="D20" t="inlineStr">
        <is>
          <t>indeed</t>
        </is>
      </c>
      <c r="E20" t="inlineStr"/>
      <c r="F20" t="inlineStr"/>
      <c r="G20" t="inlineStr">
        <is>
          <t>Mountain View, CA, US</t>
        </is>
      </c>
      <c r="H20" s="2" t="n">
        <v>46057</v>
      </c>
      <c r="I20" t="inlineStr">
        <is>
          <t>### **Minimum qualifications:**
* Bachelor's degree or equivalent practical experience.
* 10 years of experience in product management or related technical roles.
* Experience with modern AI coding assistants (e.g., cursor, replit agent, claude dev, Gemini code assist) to accelerate development velocity.
### **Preferred qualifications:**
* Experience founding a startup or shipping significant side projects and prioritize shipping and learning over process and documentation.
* Familiarity with the Large Language Model (LLM) landscape (e.g., Retrieval\-augmented generation (RAG), agents, context windows).
* Track record of working directly with customers to architect and build technical solutions.
* Ability to write and debug code (e.g., Python, JavaScript/TypeScript) and build working applications.
* Ability to build working applications using AI coding assistants and understand how to guide models to generate production\-ready logic.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AI2 Innovation Accelerator aims to solve Google’s in the AI era. We act as a high\-velocity for disruptive, high\-reward ideas that typically struggle to get prioritized within OKRs and established product roadmaps. We utilize a venture studio model, investing in entrepreneurial founders, removing coordination headwind and bureaucratic bottlenecks to enable them to execute quickly, fail\-fast, and learn and iterate. We are embedded within AI2 as an organization, which partners deeply with Product Areas (PAs) across Google to identify their highest priority business objectives. We aim to transform Google’s industry\-leading research into tangible business and adoption at unprecedented speeds.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Use AI\-native tools (e.g., cursor, replit, lovable) to prototype full\-stack applications, turning abstract ideas into clickable reality in days.
* Replace static Product Requirements Documents (PRDs) with live demos to show partners what is possible, validating desirability before significant engineering investment.
* Solve hard technical blockers and unblock the path to launch, acting as a co\-builder alongside engineering teams.
* Operate with leadership, optimism, and bias for finding creative solutions to unblock the path from 0 to 1\.
* Act as customer zero for our emerging developer tools (e.g., jules, antigravity). Automate our own operational toil using our agents and provide deep, technical feedback to the platform teams to drive product improvements.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
      <c r="A21" t="inlineStr">
        <is>
          <t>in-b33a6a2f88b5f04b</t>
        </is>
      </c>
      <c r="B21" t="inlineStr">
        <is>
          <t>Program Manager III, Cloud Supply Chain</t>
        </is>
      </c>
      <c r="C21" t="inlineStr">
        <is>
          <t>Google</t>
        </is>
      </c>
      <c r="D21" t="inlineStr">
        <is>
          <t>indeed</t>
        </is>
      </c>
      <c r="E21" t="inlineStr"/>
      <c r="F21" t="inlineStr"/>
      <c r="G21" t="inlineStr">
        <is>
          <t>Atlanta, GA, US</t>
        </is>
      </c>
      <c r="H21" s="2" t="n">
        <v>46057</v>
      </c>
      <c r="I21" t="inlineStr">
        <is>
          <t>### **Minimum qualifications:**
* Bachelor's degree or equivalent practical experience.
* 5 years of experience in program or project management.
* Experience in creating planning system designs.
* Experience with supply and demand planning for hardware manufacturing and procurement.
### **Preferred qualifications:**
* 5 years of experience managing cross\-functional or cross\-team projects.
* Experience managing multi\-tier supply chains or infrastructure projects (e.g., Aerospace, Semiconductor, or Hyperscale Data Centers).
* Experience designing and implementing planning architectures within Enterprise Resource Planning (ERP) or advanced planning systems (e.g., SAP, Oracle, or proprietary tools).
* Experience with executive communication.
* Experience working with technical products, such as liquid cooling, advanced networking, or power distribution and the ability to translate technical constraints into supply chain strategies.
**About the job**
-----------------
Our team serves as the central orchestration hub for TPUs, servers, racks, and cooling systems. We empower an ecosystem of partners—including commodity managers, manufacturing partners, logistics, and inventory teams—by deriving strategies and implementing them through Google’s internal systems.  
In addition to driving planning alignment, we are the pulse of supply health for leadership and customers. We provide the critical reporting and visibility required to drive corrective actions, mitigate risks, and accelerate the delivery of TPU capabilities. By bridging the gap between planning and systemic execution, we enable Google to improve the infrastructure that powers the next generation of AI.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Consolidate demand streams into a unified supply plan for all TPU\-specific skeleton infrastructure.
* Partner with delivery teams to balance material arrivals with material availability, site\-readiness, and the critical path.
* Work with engineering teams to understand the technical road map of cooling and networking and design planning systems that can incorporate new technologies and deployment strategies.
* Coordinate with data center planning teams to improve an expanding portfolio of liquid cooling solutions across global sites.
* Secure demand approvals with Finance to fund material strategies (build ahead, optionality) to support the hyper\-growth of TPU demand.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2">
      <c r="A22" t="inlineStr">
        <is>
          <t>in-80331329da6829df</t>
        </is>
      </c>
      <c r="B22" t="inlineStr">
        <is>
          <t>Senior Product Manager, Storage</t>
        </is>
      </c>
      <c r="C22" t="inlineStr">
        <is>
          <t>Google</t>
        </is>
      </c>
      <c r="D22" t="inlineStr">
        <is>
          <t>indeed</t>
        </is>
      </c>
      <c r="E22" t="inlineStr"/>
      <c r="F22" t="inlineStr"/>
      <c r="G22" t="inlineStr">
        <is>
          <t>Sunnyvale, CA, US</t>
        </is>
      </c>
      <c r="H22" s="2" t="n">
        <v>46057</v>
      </c>
      <c r="I22"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Sunnyvale, CA, USA**.### **Minimum qualifications:**
* Bachelor's degree or equivalent practical experience.
* 8 years of experience in product management or related technical role.
* 3 years of experience taking technical products from conception to launch (e.g., ideation to execution, end\-to\-end, 0 to 1, etc).
* Experience in Cloud storage and the public cloud ecosystem including customer requirements, market trends, positioning.
### **Preferred qualifications:**
* Master's degree in a technology or business related field.
* Experience with high\-performance parallel file systems or large\-scale distributed storage systems.
* Experience managing infrastructure products within a public cloud environment.
* Experience managing products through growth phases (i.e., post\-GA scaling), with the ability to navigate ambiguity and prioritize effectively in a fast\-moving environment.
* Familiarity with the storage requirements of AI/ML workloads, accelerator and ML frameworks.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mission is to deliver an easy\-to\-consume storage product with industry\-leading performance and scale, unlocking unprecedented speeds for critical AI/ML and High Performance Computing (HPC) workloads.
As a Senior Product Manager, you will work in this high\-moving environment and translate this momentum into a market\-leading roadmap. You will define the future of high\-performance storage, driving features that empower the next generation of AI innovation and help the AI/ML and HPC customers grow in Google Cloud.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the long\-term goal and product strategy for the Core of Google Cloud Managed Lustre, prioritizing performance, scale, capacity, and ease of use. Translate market feedback into a definitive strategy and market\-leading roadmap.
* Collaborate with our strategic partner, as well as Sales, Marketing, and Solutions Engineering teams to enable the field, refine product position.
* Collaborate closely with Engineering, Capacity Planning, Technical Program Manager, and SRE teams to deliver high\-velocity feature launches across platforms that set the industry standard for performance and scale.
* Conduct market analysis and benchmarking across hyper\-scalers, neo\-clouds, and on\-premises solutions to identify differentiation opportunities, ensuring our leadership remains unrivaled.
* Partner with the AI/ML and HPC customers to understand their workload challenges. Facilitate their onboarding and scaling while translating complex requirements into scalable, easy\-to\-consume product features.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3">
      <c r="A23" t="inlineStr">
        <is>
          <t>in-7c7d2a1295598469</t>
        </is>
      </c>
      <c r="B23" t="inlineStr">
        <is>
          <t>Senior Product Manager, Storage</t>
        </is>
      </c>
      <c r="C23" t="inlineStr">
        <is>
          <t>Google</t>
        </is>
      </c>
      <c r="D23" t="inlineStr">
        <is>
          <t>indeed</t>
        </is>
      </c>
      <c r="E23" t="inlineStr"/>
      <c r="F23" t="inlineStr"/>
      <c r="G23" t="inlineStr">
        <is>
          <t>Kirkland, WA, US</t>
        </is>
      </c>
      <c r="H23" s="2" t="n">
        <v>46057</v>
      </c>
      <c r="I2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Sunnyvale, CA, USA**.### **Minimum qualifications:**
* Bachelor's degree or equivalent practical experience.
* 8 years of experience in product management or related technical role.
* 3 years of experience taking technical products from conception to launch (e.g., ideation to execution, end\-to\-end, 0 to 1, etc).
* Experience in Cloud storage and the public cloud ecosystem including customer requirements, market trends, positioning.
### **Preferred qualifications:**
* Master's degree in a technology or business related field.
* Experience with high\-performance parallel file systems or large\-scale distributed storage systems.
* Experience managing infrastructure products within a public cloud environment.
* Experience managing products through growth phases (i.e., post\-GA scaling), with the ability to navigate ambiguity and prioritize effectively in a fast\-moving environment.
* Familiarity with the storage requirements of AI/ML workloads, accelerator and ML frameworks.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mission is to deliver an easy\-to\-consume storage product with industry\-leading performance and scale, unlocking unprecedented speeds for critical AI/ML and High Performance Computing (HPC) workloads.
As a Senior Product Manager, you will work in this high\-moving environment and translate this momentum into a market\-leading roadmap. You will define the future of high\-performance storage, driving features that empower the next generation of AI innovation and help the AI/ML and HPC customers grow in Google Cloud.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the long\-term goal and product strategy for the Core of Google Cloud Managed Lustre, prioritizing performance, scale, capacity, and ease of use. Translate market feedback into a definitive strategy and market\-leading roadmap.
* Collaborate with our strategic partner, as well as Sales, Marketing, and Solutions Engineering teams to enable the field, refine product position.
* Collaborate closely with Engineering, Capacity Planning, Technical Program Manager, and SRE teams to deliver high\-velocity feature launches across platforms that set the industry standard for performance and scale.
* Conduct market analysis and benchmarking across hyper\-scalers, neo\-clouds, and on\-premises solutions to identify differentiation opportunities, ensuring our leadership remains unrivaled.
* Partner with the AI/ML and HPC customers to understand their workload challenges. Facilitate their onboarding and scaling while translating complex requirements into scalable, easy\-to\-consume product features.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4">
      <c r="A24" t="inlineStr">
        <is>
          <t>in-dd41781520233fa0</t>
        </is>
      </c>
      <c r="B24" t="inlineStr">
        <is>
          <t>Technical Program Manager, Data Center Design</t>
        </is>
      </c>
      <c r="C24" t="inlineStr">
        <is>
          <t>Google</t>
        </is>
      </c>
      <c r="D24" t="inlineStr">
        <is>
          <t>indeed</t>
        </is>
      </c>
      <c r="E24" t="inlineStr"/>
      <c r="F24" t="inlineStr"/>
      <c r="G24" t="inlineStr">
        <is>
          <t>Papillion, NE, US</t>
        </is>
      </c>
      <c r="H24" s="2" t="n">
        <v>46057</v>
      </c>
      <c r="I24" t="inlineStr">
        <is>
          <t>Note: By applying to this position you will have an opportunity to share your preferred working location from the following: **Sunnyvale, CA, USA; Papillion, NE, USA; New York, NY, USA**.### **Minimum qualifications:**
* Bachelor's degree in a technical field, or equivalent practical experience.
* 5 years of experience managing data center design programs or infrastructure projects from concept to completion.
* 5 years of experience working with electrical and mechanical systems specific to data centers, including switchgear, generators, chillers, and building automation systems.
* 5 years of experience leading multi\-disciplinary teams and managing external Architectural and Engineering (A/E) firms, construction industry standard practices, including site localization, building codes, and permitting processes across multiple regions.
* 5 years of experience in Technical Program Management, focusing on design strategy, procurement.
### **Preferred qualifications:**
* Professional licensure such as a Professional Engineer (PE) License, RA License, Chartered Engineer License, or equivalent technical certification.
* 5 years of experience managing cross\-functional or cross\-team projects.
* Experience in product development for modular or scalable infrastructure solutions.
* Experience managing project portfolios across North and South American markets.
* Understanding of start\-up and Commissioning (Cx) process for tier III or IV data center environments.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This position expands the capacity of the Google Data Center Design team to scale with an expanding portfolio of Data Center builds across the United States.
As a Technical Program Manager, you will be responsible for developing regional design delivery strategies, managing the delivery of data center designs, and managing professional design services (e.g., architect/engineering firm) relationships across North and South America. You will trend quality performance and lessons learned across the design program while providing consistent reporting of program health to executive leadership.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multiple, simultaneous data center design projects by leveraging an established plan of record to ensure consistency across the fleet.
* Gather site\-specific localization requirements and generate design options that satisfy customer needs while presenting strategic recommendations to the leadership team.
* Execute designs based on standard baseline plans while managing strategies for projects requiring deviations due to environmental factors, local codes, or specialized constraints.
* Lead cross\-functional stakeholders to overcome critical design challenges, maintaining adherence to project timelines, quality standards, and budget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5">
      <c r="A25" t="inlineStr">
        <is>
          <t>in-feae230b56931c86</t>
        </is>
      </c>
      <c r="B25" t="inlineStr">
        <is>
          <t>Transportation Planning Program Manager</t>
        </is>
      </c>
      <c r="C25" t="inlineStr">
        <is>
          <t>Google</t>
        </is>
      </c>
      <c r="D25" t="inlineStr">
        <is>
          <t>indeed</t>
        </is>
      </c>
      <c r="E25" t="inlineStr"/>
      <c r="F25" t="inlineStr"/>
      <c r="G25" t="inlineStr">
        <is>
          <t>Phoenix, AZ, US</t>
        </is>
      </c>
      <c r="H25" s="2" t="n">
        <v>46057</v>
      </c>
      <c r="I25" t="inlineStr">
        <is>
          <t>### **Minimum qualifications:**
* Bachelor's degree or equivalent practical experience.
* 5 years of experience in a customer or client\-facing role, supporting supply chain or logistics.
* 5 years of experience with transportation management systems.
* 3 years of experience with data center logistics.
### **Preferred qualifications:**
* MBA or Master's degree.
* 5 years of experience analyzing data and generating business insights in order to guide business decisions.
* 5 years of experience in multi\-modal transportation operations.
* Data center logistics experience.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Transportation Planning Program Manager with broad expertise in transportation management systems, as well as global and domestic logistics, you’ll create, implement, and manage end\-to\-end processes for international and domestic shipment planning. You will play a critical role in enabling the movement of freight throughout the Google technical infrastructure by aligning stakeholders (i.e., suppliers, contract manufacturers, and carriers) to a unified operational vision.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$108,000\-$155,000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transportation planning and execution utilizing the transportation management system while overseeing a team of transportation support vendors.
* Serve as the primary transportation liaison between suppliers, contract manufacturing partners, national and regional carriers, and global logistics and compliance warehouses to synchronize shipping plans.
* Improve transportation operations through strategic mode selection, shipment consolidations, and regulatory compliance to increase overall service delivery levels.
* Develop and drive cost\-saving opportunities within the network, seeking innovative solutions to streamline processes and recommending automation to improve efficiencies.
* Prioritize workloads for self and staff to meet key performance indicators, while resolving day\-to\-day escalations through root cause analysis and training teams on fulfillment acceleration programs.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
      <c r="A26" t="inlineStr">
        <is>
          <t>in-8e968ce0f58d73f5</t>
        </is>
      </c>
      <c r="B26" t="inlineStr">
        <is>
          <t>Technical Program Manager, Data Center Design</t>
        </is>
      </c>
      <c r="C26" t="inlineStr">
        <is>
          <t>Google</t>
        </is>
      </c>
      <c r="D26" t="inlineStr">
        <is>
          <t>indeed</t>
        </is>
      </c>
      <c r="E26" t="inlineStr"/>
      <c r="F26" t="inlineStr"/>
      <c r="G26" t="inlineStr">
        <is>
          <t>New York, NY, US</t>
        </is>
      </c>
      <c r="H26" s="2" t="n">
        <v>46057</v>
      </c>
      <c r="I26" t="inlineStr">
        <is>
          <t>Note: By applying to this position you will have an opportunity to share your preferred working location from the following: **Sunnyvale, CA, USA; Papillion, NE, USA; New York, NY, USA**.### **Minimum qualifications:**
* Bachelor's degree in a technical field, or equivalent practical experience.
* 5 years of experience managing data center design programs or infrastructure projects from concept to completion.
* 5 years of experience working with electrical and mechanical systems specific to data centers, including switchgear, generators, chillers, and building automation systems.
* 5 years of experience leading multi\-disciplinary teams and managing external Architectural and Engineering (A/E) firms, construction industry standard practices, including site localization, building codes, and permitting processes across multiple regions.
* 5 years of experience in Technical Program Management, focusing on design strategy, procurement.
### **Preferred qualifications:**
* Professional licensure such as a Professional Engineer (PE) License, RA License, Chartered Engineer License, or equivalent technical certification.
* 5 years of experience managing cross\-functional or cross\-team projects.
* Experience in product development for modular or scalable infrastructure solutions.
* Experience managing project portfolios across North and South American markets.
* Understanding of start\-up and Commissioning (Cx) process for tier III or IV data center environments.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This position expands the capacity of the Google Data Center Design team to scale with an expanding portfolio of Data Center builds across the United States.
As a Technical Program Manager, you will be responsible for developing regional design delivery strategies, managing the delivery of data center designs, and managing professional design services (e.g., architect/engineering firm) relationships across North and South America. You will trend quality performance and lessons learned across the design program while providing consistent reporting of program health to executive leadership.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multiple, simultaneous data center design projects by leveraging an established plan of record to ensure consistency across the fleet.
* Gather site\-specific localization requirements and generate design options that satisfy customer needs while presenting strategic recommendations to the leadership team.
* Execute designs based on standard baseline plans while managing strategies for projects requiring deviations due to environmental factors, local codes, or specialized constraints.
* Lead cross\-functional stakeholders to overcome critical design challenges, maintaining adherence to project timelines, quality standards, and budget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
      <c r="A27" t="inlineStr">
        <is>
          <t>in-c46a1fe1845c8598</t>
        </is>
      </c>
      <c r="B27" t="inlineStr">
        <is>
          <t>Technical Program Manager, Data Center Design</t>
        </is>
      </c>
      <c r="C27" t="inlineStr">
        <is>
          <t>Google</t>
        </is>
      </c>
      <c r="D27" t="inlineStr">
        <is>
          <t>indeed</t>
        </is>
      </c>
      <c r="E27" t="inlineStr"/>
      <c r="F27" t="inlineStr"/>
      <c r="G27" t="inlineStr">
        <is>
          <t>Sunnyvale, CA, US</t>
        </is>
      </c>
      <c r="H27" s="2" t="n">
        <v>46057</v>
      </c>
      <c r="I27" t="inlineStr">
        <is>
          <t>Note: By applying to this position you will have an opportunity to share your preferred working location from the following: **Sunnyvale, CA, USA; Papillion, NE, USA; New York, NY, USA**.### **Minimum qualifications:**
* Bachelor's degree in a technical field, or equivalent practical experience.
* 5 years of experience managing data center design programs or infrastructure projects from concept to completion.
* 5 years of experience working with electrical and mechanical systems specific to data centers, including switchgear, generators, chillers, and building automation systems.
* 5 years of experience leading multi\-disciplinary teams and managing external Architectural and Engineering (A/E) firms, construction industry standard practices, including site localization, building codes, and permitting processes across multiple regions.
* 5 years of experience in Technical Program Management, focusing on design strategy, procurement.
### **Preferred qualifications:**
* Professional licensure such as a Professional Engineer (PE) License, RA License, Chartered Engineer License, or equivalent technical certification.
* 5 years of experience managing cross\-functional or cross\-team projects.
* Experience in product development for modular or scalable infrastructure solutions.
* Experience managing project portfolios across North and South American markets.
* Understanding of start\-up and Commissioning (Cx) process for tier III or IV data center environments.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This position expands the capacity of the Google Data Center Design team to scale with an expanding portfolio of Data Center builds across the United States.
As a Technical Program Manager, you will be responsible for developing regional design delivery strategies, managing the delivery of data center designs, and managing professional design services (e.g., architect/engineering firm) relationships across North and South America. You will trend quality performance and lessons learned across the design program while providing consistent reporting of program health to executive leadership.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multiple, simultaneous data center design projects by leveraging an established plan of record to ensure consistency across the fleet.
* Gather site\-specific localization requirements and generate design options that satisfy customer needs while presenting strategic recommendations to the leadership team.
* Execute designs based on standard baseline plans while managing strategies for projects requiring deviations due to environmental factors, local codes, or specialized constraints.
* Lead cross\-functional stakeholders to overcome critical design challenges, maintaining adherence to project timelines, quality standards, and budget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
      <c r="A28" t="inlineStr">
        <is>
          <t>in-09a4cac6c76ee43d</t>
        </is>
      </c>
      <c r="B28" t="inlineStr">
        <is>
          <t>Group Product Manager, Google Distributed Cloud Agentic Workloads</t>
        </is>
      </c>
      <c r="C28" t="inlineStr">
        <is>
          <t>Google</t>
        </is>
      </c>
      <c r="D28" t="inlineStr">
        <is>
          <t>indeed</t>
        </is>
      </c>
      <c r="E28" t="inlineStr"/>
      <c r="F28" t="inlineStr"/>
      <c r="G28" t="inlineStr">
        <is>
          <t>Sunnyvale, CA, US</t>
        </is>
      </c>
      <c r="H28" s="2" t="n">
        <v>46057</v>
      </c>
      <c r="I28" t="inlineStr">
        <is>
          <t>### **Minimum qualifications:**
* Bachelor's degree or equivalent practical experience.
* 10 years of experience in product management or related technical role.
* 5 years of experience taking technical products from conception to launch (e.g., ideation to execution, end\-to\-end, 0 to 1, etc).
### **Preferred qualifications:**
* Master's degree in a technology or business related field.
* 15 years of product management experience in the AI domain, with experience managing and launching technical products and features.
* Experience building large\-scale distributed AI platforms and distributed systems, including GPU systems.
* Experience as a builder of large\-scale infrastructure products, and understanding of AI infrastructure (GPUs), virtualization, containerization.
* Understanding of AI and Agentic technologies.
* Ability to analyze market and customer data, interpret complex data sets, and use insights to drive product strategy and decisions.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Distributed Cloud (GDC) is a private Cloud platform that enables enterprises and public sector organizations to run modern apps anywhere consistently at scale. We offer a wide spectrum of solutions from managed software on your own hardware, fully managed hardware and AI\-led software services, to completely air\-gapped sovereign offerings.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the long\-term goal, strategy, and roadmap for the GDC Agentic AI portfolio, aligning it with overall GDC on AI goals, market trends, and customer needs, and GTM strategy.
* Collaborate closely with customers to define Agentic AI product requirements and architecture specifically in the public sector space, prioritize features, and oversee the product development lifecycle from concept to landing.
* Provide leadership, guidance, and mentorship to other product managers.
* Build and maintain relationships with key stakeholders and customers to understand their needs, gather feedback, and translate them into actionable product improvements.
* Identify and address technical risks, infrastructure bottlenecks, and scaling challenges.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9">
      <c r="A29" t="inlineStr">
        <is>
          <t>in-0ea8830a429508f2</t>
        </is>
      </c>
      <c r="B29" t="inlineStr">
        <is>
          <t>Program Manager, Environmental Health and Safety</t>
        </is>
      </c>
      <c r="C29" t="inlineStr">
        <is>
          <t>Google</t>
        </is>
      </c>
      <c r="D29" t="inlineStr">
        <is>
          <t>indeed</t>
        </is>
      </c>
      <c r="E29" t="inlineStr"/>
      <c r="F29" t="inlineStr"/>
      <c r="G29" t="inlineStr">
        <is>
          <t>Reston, VA, US</t>
        </is>
      </c>
      <c r="H29" s="2" t="n">
        <v>46057</v>
      </c>
      <c r="I29" t="inlineStr">
        <is>
          <t>### **Minimum qualifications:**
* Bachelor's degree or equivalent practical experience.
* 1 year of experience in EHS management, industrial safety, environmental compliance, or related programs.
* Experience working with AHJ (e.g., Occupational Safety and Health Administration (OSHA), Environmental Protection Agency (EPA), Fire Marshal) and managing environmental permits.
* Experience managing Corrective and Preventive Action (CAPA) processes and using EHS management systems (EHSMS).
### **Preferred qualifications:**
* Experience acting as the primary point of contact for regulatory agencies (e.g., OSHA, EPA, state\-level environmental departments).
* Experience managing unannounced site inspections, responding to formal inquiries, and negotiating compliance timelines.
* Experience in air emission calculations, including the ability to track and report on VOCs, HAPs, and greenhouse gases (GHG) and familiarity with Title V permits or minor source emission limits.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part of the Compliance, Safety and Risk Management (CSRM) team, you'll play a pivotal role in supporting the Environmental Health and Safety (EHS) program for our new Data Centers, currently under construction. This includes but is not limited to: EHS management system, environmental, health and safety compliance programs, and site oversight. Your primary responsibility will be to collaborate closely with cross\-functional teams within Google Data Center departments and contractors to identify and address EHS concerns, and risk identification and mitigation.  
You'll help ensure the safety of the operations workforce, protection of the environment and Google’s business. Furthermore, you will provide guidance with the implementation of new and critical EHS initiatives. Your efforts will contribute to the continuous improvement and iteration of our EHS programs.
The US base salary range for this full\-time position is $105,000\-$151,000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Execute EHS programs and technical projects to optimize business operations, leveraging and expanding subject matter expert (SME) knowledge to drive safety culture.
* Manage site\-specific EHS compliance tasks and Authority Having Jurisdiction (AHJ) requirements. Oversee permit maintenance and ensure all operational activities align with local, state, and federal regulations.
* Evaluate incident data and lead root\-cause investigations. Track corrective and preventive actions (CAPA) to ensure timely closure and prevent recurrence.
* Identify and assess operational EHS risks through regular site audits. Organize and execute strategic meetings, comprehensive reports, and site\-safety plans to mitigate potential hazards.
* Monitor and report on Key Performance Indicators (KPIs), using data\-driven insights to measure program effectiveness and drive continuous improvement.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0">
      <c r="A30" t="inlineStr">
        <is>
          <t>in-8a4918ca1ef0d99e</t>
        </is>
      </c>
      <c r="B30" t="inlineStr">
        <is>
          <t>Product Manager, Communication and Time Management Intelligence</t>
        </is>
      </c>
      <c r="C30" t="inlineStr">
        <is>
          <t>Google</t>
        </is>
      </c>
      <c r="D30" t="inlineStr">
        <is>
          <t>indeed</t>
        </is>
      </c>
      <c r="E30" t="inlineStr"/>
      <c r="F30" t="inlineStr"/>
      <c r="G30" t="inlineStr">
        <is>
          <t>New York, NY, US</t>
        </is>
      </c>
      <c r="H30" s="2" t="n">
        <v>46057</v>
      </c>
      <c r="I3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New York, NY, USA**.### **Minimum qualifications:**
* Bachelor's degree in Computer Science, a related technical field, or equivalent practical experience.
* 10 years of experience in product management, taking a technical product from 0 to 1 or managing a product through a full lifecycle.
* Experience building and shipping products powered by Machine Learning, Natural Language Processing (NLP), or Large Language Models (LLMs).
### **Preferred qualifications:**
* Experience building platformized services or infrastructure, specifically defining common vocabularies, APIs, or taxonomies used by other product teams.
* Experience in building intent detection systems, task management ecosystems/workflow automation tools.
* Experience leading ambiguous V1 projects in large organizations and converging disparate roadmaps into a unified goal.
* Ability to define a product outlook and strategy for a platform\-level initiative that impacts multiple product surfaces (e.g., cross\-Gmail and Chat).
* Ability to partner with Engineering/Research to evaluate model performance, classify artifacts, and optimize agentic user experiences while collaborating with executive and cross\-functional workspace stakeholders.
* Excellent written and verbal communication skills.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mission is to transform Google Workspace from a suite of productivity tools into intelligent agents that prioritize what matters. The Critical Tasks and Messaging Intelligence team sits at the heart of the AI\-First workspace evolution.  
In this role, you will be responsible for building the intelligence layer that understands user intent, manages complex task lifecycles, and automates messaging workflows across Gmail, Chat, and Calendar. The team is a newly formed team managing some of the most ambiguous and agentic AI problems at Google. You will define how users interact with AI to stay on top of their day, moving beyond simple organization to proactive assistance.  
If you are passionate about LLM orchestration, intuitive UX for complex tasks, and redefining the future of work, we’d love to consider you.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platformize universal intent detection across Gmail and Chat, establishing a common vocabulary for message and artifact annotation. Drive the outlook and roadmap for workspace automation, converging it with AI inbox initiatives to enable multi\-step user actions.
* Architect the foundational platform layer necessary to enable sophisticated follow\-on actions and autonomous AI agents.
* Own end\-to\-end artifact understanding, leading the development of classifiers to extract high\-signal information (e.g., meeting suggestions) and trigger contextual actions across surfaces.
* Partner with engineering and research to solve high\-ambiguity problems in Large Language Model (LLM) orchestration, ensuring intent detection is both universal and actionable.
* Collaborate with cross\-functional roadmaps to ensure automation features, like auto\-labeling based on trip or project context, are integrated seamlessly into the user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1">
      <c r="A31" t="inlineStr">
        <is>
          <t>in-77fea5971ed7cb49</t>
        </is>
      </c>
      <c r="B31" t="inlineStr">
        <is>
          <t>Product Manager, Communication and Time Management Intelligence</t>
        </is>
      </c>
      <c r="C31" t="inlineStr">
        <is>
          <t>Google</t>
        </is>
      </c>
      <c r="D31" t="inlineStr">
        <is>
          <t>indeed</t>
        </is>
      </c>
      <c r="E31" t="inlineStr"/>
      <c r="F31" t="inlineStr"/>
      <c r="G31" t="inlineStr">
        <is>
          <t>Sunnyvale, CA, US</t>
        </is>
      </c>
      <c r="H31" s="2" t="n">
        <v>46057</v>
      </c>
      <c r="I3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New York, NY, USA**.### **Minimum qualifications:**
* Bachelor's degree in Computer Science, a related technical field, or equivalent practical experience.
* 10 years of experience in product management, taking a technical product from 0 to 1 or managing a product through a full lifecycle.
* Experience building and shipping products powered by Machine Learning, Natural Language Processing (NLP), or Large Language Models (LLMs).
### **Preferred qualifications:**
* Experience building platformized services or infrastructure, specifically defining common vocabularies, APIs, or taxonomies used by other product teams.
* Experience in building intent detection systems, task management ecosystems/workflow automation tools.
* Experience leading ambiguous V1 projects in large organizations and converging disparate roadmaps into a unified goal.
* Ability to define a product outlook and strategy for a platform\-level initiative that impacts multiple product surfaces (e.g., cross\-Gmail and Chat).
* Ability to partner with Engineering/Research to evaluate model performance, classify artifacts, and optimize agentic user experiences while collaborating with executive and cross\-functional workspace stakeholders.
* Excellent written and verbal communication skills.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mission is to transform Google Workspace from a suite of productivity tools into intelligent agents that prioritize what matters. The Critical Tasks and Messaging Intelligence team sits at the heart of the AI\-First workspace evolution.  
In this role, you will be responsible for building the intelligence layer that understands user intent, manages complex task lifecycles, and automates messaging workflows across Gmail, Chat, and Calendar. The team is a newly formed team managing some of the most ambiguous and agentic AI problems at Google. You will define how users interact with AI to stay on top of their day, moving beyond simple organization to proactive assistance.  
If you are passionate about LLM orchestration, intuitive UX for complex tasks, and redefining the future of work, we’d love to consider you.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platformize universal intent detection across Gmail and Chat, establishing a common vocabulary for message and artifact annotation. Drive the outlook and roadmap for workspace automation, converging it with AI inbox initiatives to enable multi\-step user actions.
* Architect the foundational platform layer necessary to enable sophisticated follow\-on actions and autonomous AI agents.
* Own end\-to\-end artifact understanding, leading the development of classifiers to extract high\-signal information (e.g., meeting suggestions) and trigger contextual actions across surfaces.
* Partner with engineering and research to solve high\-ambiguity problems in Large Language Model (LLM) orchestration, ensuring intent detection is both universal and actionable.
* Collaborate with cross\-functional roadmaps to ensure automation features, like auto\-labeling based on trip or project context, are integrated seamlessly into the user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2">
      <c r="A32" t="inlineStr">
        <is>
          <t>in-22188d42a9d2d2d7</t>
        </is>
      </c>
      <c r="B32" t="inlineStr">
        <is>
          <t>Product Manager, Communication and Time Management Intelligence</t>
        </is>
      </c>
      <c r="C32" t="inlineStr">
        <is>
          <t>Google</t>
        </is>
      </c>
      <c r="D32" t="inlineStr">
        <is>
          <t>indeed</t>
        </is>
      </c>
      <c r="E32" t="inlineStr"/>
      <c r="F32" t="inlineStr"/>
      <c r="G32" t="inlineStr">
        <is>
          <t>Kirkland, WA, US</t>
        </is>
      </c>
      <c r="H32" s="2" t="n">
        <v>46057</v>
      </c>
      <c r="I3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New York, NY, USA**.### **Minimum qualifications:**
* Bachelor's degree in Computer Science, a related technical field, or equivalent practical experience.
* 10 years of experience in product management, taking a technical product from 0 to 1 or managing a product through a full lifecycle.
* Experience building and shipping products powered by Machine Learning, Natural Language Processing (NLP), or Large Language Models (LLMs).
### **Preferred qualifications:**
* Experience building platformized services or infrastructure, specifically defining common vocabularies, APIs, or taxonomies used by other product teams.
* Experience in building intent detection systems, task management ecosystems/workflow automation tools.
* Experience leading ambiguous V1 projects in large organizations and converging disparate roadmaps into a unified goal.
* Ability to define a product outlook and strategy for a platform\-level initiative that impacts multiple product surfaces (e.g., cross\-Gmail and Chat).
* Ability to partner with Engineering/Research to evaluate model performance, classify artifacts, and optimize agentic user experiences while collaborating with executive and cross\-functional workspace stakeholders.
* Excellent written and verbal communication skills.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mission is to transform Google Workspace from a suite of productivity tools into intelligent agents that prioritize what matters. The Critical Tasks and Messaging Intelligence team sits at the heart of the AI\-First workspace evolution.  
In this role, you will be responsible for building the intelligence layer that understands user intent, manages complex task lifecycles, and automates messaging workflows across Gmail, Chat, and Calendar. The team is a newly formed team managing some of the most ambiguous and agentic AI problems at Google. You will define how users interact with AI to stay on top of their day, moving beyond simple organization to proactive assistance.  
If you are passionate about LLM orchestration, intuitive UX for complex tasks, and redefining the future of work, we’d love to consider you.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platformize universal intent detection across Gmail and Chat, establishing a common vocabulary for message and artifact annotation. Drive the outlook and roadmap for workspace automation, converging it with AI inbox initiatives to enable multi\-step user actions.
* Architect the foundational platform layer necessary to enable sophisticated follow\-on actions and autonomous AI agents.
* Own end\-to\-end artifact understanding, leading the development of classifiers to extract high\-signal information (e.g., meeting suggestions) and trigger contextual actions across surfaces.
* Partner with engineering and research to solve high\-ambiguity problems in Large Language Model (LLM) orchestration, ensuring intent detection is both universal and actionable.
* Collaborate with cross\-functional roadmaps to ensure automation features, like auto\-labeling based on trip or project context, are integrated seamlessly into the user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3">
      <c r="A33" t="inlineStr">
        <is>
          <t>in-9bf78fea63d7ae7d</t>
        </is>
      </c>
      <c r="B33" t="inlineStr">
        <is>
          <t>Product Manager I, YouTube XR, Gaming Discovery</t>
        </is>
      </c>
      <c r="C33" t="inlineStr">
        <is>
          <t>Youtube</t>
        </is>
      </c>
      <c r="D33" t="inlineStr">
        <is>
          <t>indeed</t>
        </is>
      </c>
      <c r="E33" t="inlineStr"/>
      <c r="F33" t="inlineStr"/>
      <c r="G33" t="inlineStr">
        <is>
          <t>San Bruno, CA, US</t>
        </is>
      </c>
      <c r="H33" s="2" t="n">
        <v>46057</v>
      </c>
      <c r="I33" t="inlineStr">
        <is>
          <t>### **Minimum qualifications:**
* Bachelor's degree or equivalent practical experience.
* 3 years of experience in product management or related technical role.
* 1 year of experience taking technical products from conception to launch (e.g., ideation to execution, end\-to\-end, 0 to 1, etc).
* Experience with ML discovery or content recommendations systems.
### **Preferred qualifications:**
* Master's degree in a technology or business related field.
* 2 years of experience working cross\-functionally with engineering, UX/UI, sales finance, and other stakeholders.
* 1 year of experience in software development or engineering.
* Experience with and interest in Gaming and XR.
* Excellent data analysis and modeling skills.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XR and Gaming Discovery at YouTube, you will help viewers find videos they want to watch and get more value out of their time with YouTube. You will leverage YouTube’s industry\-leading AI and machine learning technology to improve recommendations for millions of gaming viewers, and build new discovery systems that bring the best of YouTube into XR, including both VR headsets and AI\-powered AR glasses.At YouTube, we believe that everyone deserves to have a voice, and that the world is a better place when we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Identify high\-impact opportunities using data to better match viewers with great gaming and XR content.
* Define and execute on a new initiative to understand and recommend beloved gaming shorts.
* Own the product strategy and roadmap for XR discovery.
* Lead a revamp of the XR home feed and XR content recommendations.
* Drive a regular cadence of experiments to grow XR engagement by improving content discovery.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4">
      <c r="A34" t="inlineStr">
        <is>
          <t>in-eda6fbc2b213c8e4</t>
        </is>
      </c>
      <c r="B34" t="inlineStr">
        <is>
          <t>Senior Digital Product Manager</t>
        </is>
      </c>
      <c r="C34" t="inlineStr">
        <is>
          <t>Charles Schwab</t>
        </is>
      </c>
      <c r="D34" t="inlineStr">
        <is>
          <t>indeed</t>
        </is>
      </c>
      <c r="E34" t="inlineStr"/>
      <c r="F34" t="inlineStr"/>
      <c r="G34" t="inlineStr">
        <is>
          <t>Southlake, TX, US</t>
        </is>
      </c>
      <c r="H34" s="2" t="n">
        <v>46057</v>
      </c>
      <c r="I34" t="inlineStr">
        <is>
          <t>**Your opportunity**
--------------------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Applicants must be currently authorized to work in the United States on a full time basis without employer sponsorship.  
The **Advisor Services** division supports registered investment advisors (RIAs) with custody, trading, technology and practice management tools. Schwab is the leading provider of custody services in the RIA marketplace serving approximately 15,000 RIA businesses managing over $4 trillion of assets at Schwab. The Digital Advisor Solutions team within Advisor Services leads digital product development and B2B technology strategy for our Schwab Advisor Center (SAC) platform, third\-party developer API offerings, and internal rep platforms.  
We are looking for **Senior Digital Product Manager (individual contributor)** to join the Move Money team, which delivers digital payment capabilities on the **Schwab Advisor Center (SAC)** platform. This role will lead a scrum team focused on building new transaction solutions for advisors and requires strong end‑to‑end planning and execution skills to successfully bring new features to market. **What you’ll do:*** Lead product discovery and requirements definition, driving production‑ready epics, user stories, acceptance criteria, and refinement artifacts
* Support usability research, design reviews, workflow simplification, and digital adoption initiatives
* Partner with UX to define intuitive, consistent SAC experiences aligned with enterprise design patterns
* Partner with GTM teams to support advisor readiness, change management, training materials, early access programs, and communications
* Prioritize high impact work for the engineering team and keep development work on track
* Drive problem solving, accountability, and resolutions in production support situations; recommend future enhancements
* Partner with Risk/Legal/Compliance and Service/Ops to ensure controls are embedded throughout the product lifecycle
* Conduct root‑cause analysis for production issues and drive corrective action plans
* Build PowerPoint presentations to communicate findings or lay out plans and ideas for stakeholder input and review; persuasive presentation skills
**What you have**
-----------------
 **Required Qualifications:*** 5\+ years of experience in a digital product management or product development role
* An agile mindset; expert in agile methodologies for software development (writing user stories, acceptance criteria, facilitating scrum activities)
* Advanced technology acumen, including an understanding of how software products are made, familiarity with architectures, languages, and build cycles
* Project management \- Able to juggle multiple priorities, drive progress and accountability across multiple stakeholders; Strong self\-management to move work forward without prescriptive leadership guidance
* Communication and presentation skills \- Adept at PowerPoint, good at framing and telling a logical story, strong verbal and written communication \- for executive audience, tech partners, operations, etc.
* Problem\-solving \&amp; Advanced analytical skills \- Ability to collect and analyze information, problem\-solve, and make decisions through data
* Strong relationship\-management skills – Able to foster connections across different parts of the organization to drive a well\-rounded implementation strategy
 **Preferred Qualifications:*** Natural curiosity and a continuous learning attitude
* Financial services industry experience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35">
      <c r="A35" t="inlineStr">
        <is>
          <t>in-9e32030d5feb8ee4</t>
        </is>
      </c>
      <c r="B35" t="inlineStr">
        <is>
          <t>Senior Staff Product Manager - Talent Performance and Development</t>
        </is>
      </c>
      <c r="C35" t="inlineStr">
        <is>
          <t>Intuit</t>
        </is>
      </c>
      <c r="D35" t="inlineStr">
        <is>
          <t>indeed</t>
        </is>
      </c>
      <c r="E35" t="inlineStr"/>
      <c r="F35" t="inlineStr"/>
      <c r="G35" t="inlineStr">
        <is>
          <t>Atlanta, GA, US</t>
        </is>
      </c>
      <c r="H35" s="2" t="n">
        <v>46057</v>
      </c>
      <c r="I35" t="inlineStr">
        <is>
          <t>Category Product Management
Location Mountain View, California; Atlanta, Georgia
Job ID 19351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As a Technical Product Manager and Product Strategist, you will be the subject matter expert on talent performance and talent management platforms, with a focus on Workday. In this expanded role, you will blend **technical expertise, system design thinking, and long\-range product strategy** to shape how the company measures, manages, and grows talent. You will define the **future\-state vision** for talent development and performance solutions, evaluate new technologies (e.g., manager AI agent, promotion tools, goal\-setting platforms), and influence investment decisions across the enterprise.
Your role sits at the intersection of **product strategy, system architecture, and organizational transformation**, ensuring our performance and talent management capabilities are reliable, scalable, and strategically aligned to business and workforce priorities.
 **Responsibilities**
**Responsibilities**
**Product \&amp; System Ownership**
* Drive the design, configuration, and roadmap for Workday Talent Performance modules, aligning system capabilities with evolving business and workforce needs.
* Translate talent performance goals into functional and technical system requirements that deliver measurable outcomes.
* Own backlog prioritization and partner with HR and IT teams to continuously enhance the employee and manager experience.
* Ensure product decisions support both short\-term delivery and long\-term strategic product direction.
* **Define a multi\-year product strategy** for talent performance, development, and talent management platforms, including how Workday, internal tools, and new technologies integrate into a unified ecosystem.
* **Conduct market research and competitive analysis** to benchmark against industry\-leading performance and development approaches.
* Build **business cases, investment proposals, and ROI models** to guide leadership decisions on platform evolution (e.g., Betterworks replacement, AI\-enabled manager tools, promotion frameworks).
* Establish **north\-star metrics and success measures** that link product outcomes to business and talent goals.
* Identify opportunities to streamline or modernize the talent lifecycle experience through new capabilities, automation, AI, and data\-driven insights.
* Serve as a **thought leader** with HR leadership on future\-state talent development strategy and how technology should enable it.
* Create and maintain a **strategic portfolio view**, ensuring alignment across performance management, talent mobility, career development, and related platforms.
* Provide solution architecture guidance to integrate Workday with adjacent systems, ensuring data accuracy, process efficiency, and compliance.
* Conduct system audits and performance tuning to ensure reliability, scalability, and optimal user experience.
* Stay current on Workday releases, enhancements, and innovations; evaluate features for adoption through a strategic lens (e.g., long\-term fit, cost\-value trade\-offs).
* **Talent Performance \&amp; Development Impact**
	+ Partner with People \&amp; Culture leaders to design performance philosophies, feedback loops, goal\-setting frameworks, promotion processes, and calibration workflows within Workday or supplemental tools.
	+ Use system data and analytics to identify gaps in performance tracking, career development, and talent readiness; influence workforce strategy using insights.
	+ Ensure technical solutions reinforce the company’s approach to performance, growth, and talent mobility.**Cross\-Functional Collaboration**
	+ Collaborate with HRBPs, IT, analytics, compliance, and business leaders to design solutions that balance technical feasibility with organizational impact.
	+ Serve as the strategic and technical point of contact during Workday projects and across the talent tech ecosystem.
	+ Drive change management, stakeholder alignment, and enterprise adoption for new tools and capabilities.
	+ Train and support internal teams on system functionality, strategic use cases, and best practices.
 **Qualifications**
* Proven experience as a Product Manager or system owner for Workday Talent modules (Performance, Goals, Feedback).
* Experience defining **multi\-year product strategies**, roadmaps, or portfolios (preferred for strategist scope).
* Strong technical background with expertise in system architecture, integrations, and analytics.
* Ability to translate talent management strategies into scalable technical and product solutions.
* Exceptional communication and executive influence skills, with a track record of driving cross\-functional alignment.
* Strong analytical skills with experience conducting system audits and leveraging data for decision\-making.
* Background in talent development, performance management, or HR technology strategy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$ 196,500\- 266,000</t>
        </is>
      </c>
    </row>
    <row r="36">
      <c r="A36" t="inlineStr">
        <is>
          <t>in-6f36ad0d598d77a5</t>
        </is>
      </c>
      <c r="B36" t="inlineStr">
        <is>
          <t>Senior Technical Program Manager, Infrastructure</t>
        </is>
      </c>
      <c r="C36" t="inlineStr">
        <is>
          <t>Waymo</t>
        </is>
      </c>
      <c r="D36" t="inlineStr">
        <is>
          <t>indeed</t>
        </is>
      </c>
      <c r="E36" t="inlineStr"/>
      <c r="F36" t="inlineStr"/>
      <c r="G36" t="inlineStr">
        <is>
          <t>Mountain View, CA, US</t>
        </is>
      </c>
      <c r="H36" s="2" t="n">
        <v>46057</v>
      </c>
      <c r="I36" t="inlineStr">
        <is>
          <t>MOUNTAIN VIEW, CALIFORNIA, UNITED STATES \| SAN FRANCISCO, CALIFORNIA, UNITED STATES
FULL\-TIME
PRODUCT
3992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Technical Program Managers are accountable for Waymo’s roadmap execution by providing thoughtful cross\-functional planning, clarity, and proactive risk management. In the face of complex technical and operational challenges with no established playbooks to follow, we act with thoughtful urgency, driving conversations, discussions, and outcomes. Our team partners closely with every function of Waymo to structure, own and drive work towards real\-world deployments of the Waymo Driver across platforms and geographies.
*This role follows a hybrid work schedule and reports and you will report to a Manager of Technical Program Management.*
**You will:**
* Own and drive the execution for core infrastructure programs
* Manage the roadmap and delivery of high\-availability simulation platforms, ensuring performance and scale for engineering development and testing
* Define and track key performance indicators (KPIs) and service level objectives (SLOs) for the core infrastructure services (e.g., data pipeline latency, storage reliability)
* Work cross\-functionally with Engineering, Product, and Data Science teams to manage dependencies
* Proactively identify technical risks and bottlenecks in the data and simulation pipelines, proposing and driving mitigation strategies
* Lead effective communication, including program reviews and status updates, to executive and cross\-functional stakeholders
**You have:**
* 7\+ years of experience in technical program management, particularly in a complex, multi\-team environment within a software or infrastructure organization
* Demonstrated knowledge of distributed systems, large\-scale data management, and cloud infrastructure principles
* Experience managing reliability programs in a rapidly scaling, high\-availability environment (SRE or DevOps principles)
* Proven ability to translate complex technical issues related to storage, simulation, or data pipelines for non\-technical stakeholders
* Experience with the software development lifecycle, specifically in environments that iterate rapidly on data\-intensive products
* Strong verbal and written communication skills, with a track record of driving alignment without direct authority
**We prefer:**
* Experience in the Autonomous Vehicle (AV) industry or other complex, real\-time control systems
* Prior experience as a software engineer in a domain related to data engineering, storage systems, or large\-scale simulation
* Familiarity with machine learning data workflows, including feature store management and model training/evaluation data sets
* Experience with on\-call rotations and triaging technical issues in a high\-severity incident management process
* Demonstrated ability to drive long\-term strategy for an evolving technical domain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$196,000—$248,000 USD</t>
        </is>
      </c>
    </row>
    <row r="37">
      <c r="A37" t="inlineStr">
        <is>
          <t>in-08abdf92c8bdcf91</t>
        </is>
      </c>
      <c r="B37" t="inlineStr">
        <is>
          <t>Senior Technical Program Manager</t>
        </is>
      </c>
      <c r="C37" t="inlineStr">
        <is>
          <t>Intuit</t>
        </is>
      </c>
      <c r="D37" t="inlineStr">
        <is>
          <t>indeed</t>
        </is>
      </c>
      <c r="E37" t="inlineStr"/>
      <c r="F37" t="inlineStr"/>
      <c r="G37" t="inlineStr">
        <is>
          <t>Mountain View, CA, US</t>
        </is>
      </c>
      <c r="H37" s="2" t="n">
        <v>46057</v>
      </c>
      <c r="I37" t="inlineStr">
        <is>
          <t>**Overview**
------------
Intuit is a leading provider of business and financial management solutions for small and mid\-sized businesses, self\-employed entrepreneurs, consumers, and accounting professionals. You probably know us by our flagship products, QuickBooks, Credit Karma, TurboTax, and Mailchimp, but that's just the start. We're taking on exciting challenges, and our strategy is to be an AI\-driven expert platform to deliver personalized experiences to our customers to improve their entrepreneurial and financial lives.  
Come join Mailchimp in the Product Development Operations team, as a Senior Technical Program Manager. This role is responsible for accelerating delivery of complex capabilities and programs across the platform.  
We are looking for a strategic, creative problem solver who can influence stakeholders across the organization, lead high\-visibility high\-impact programs end\-to\-end to deliver business results. **Responsibilities**
* Partner with Business and Technology leaders to execute the strategy for one or more key programs across the Mailchimp platform.
* Drive multi\-phase program roadmaps across multiple contributing teams.
* Develop program charters ensuring the scope aligns with business priorities.
* Develop \&amp; deliver program plans that encompass all phases of planning, implementation, production readiness and support defining a cross\-functional program structure.
* Provide steady leadership in the face of uncertainty, change, and aggressive deadlines common to a rapidly growing company with an evolving business model.
* Establish program operating rhythms leading cross\-functional meetings and fostering teamwork. Quickly and effectively identify and clarify the critical few issues and drive appropriate decisions and actions. Communicate results clearly and in actionable form.
* Communicate progress, report status, providing relevant insights across organizational boundaries and levels from individual contributor to senior executive.
* Manage and track program execution to ensure successful, high\-quality, on\-time delivery by working through risks, and interdependencies.
* Promote collaboration and coordination across broad categories of Stakeholders.
* Partner with business unit and platform product management, and product development leadership to identify benefits, short\- and long\-term trade\-offs and balance the needs of all stakeholders.
* Anticipate, recognize, and work through resistance or setbacks independently, work well with others when conflicts arise. See opportunities, ensure alignment with objectives, find common ground and promote understanding of alternative viewpoints before driving for closure and cooperation.
* Partner with other Technical Program Managers to define, socialize and implement organization\-wide processes.
 **Qualifications**
* 5\+ years of Program Management experience leading multiple well defined small\-medium complexity technology\-focused programs
* Self\-starter able to track complex and/or large volume of details (technical and program related), manage and coordinate with 10 scrum teams, across multiple sites.
* Excellent leadership and interpersonal skills. Demonstrated ability to work in a matrix environment, and ability to influence across levels.
* Outstanding communication skills appropriate for engineers and executive\-level audiences. Ability to communicate goals of programs, relationship to business goals, provide summarized exec views, while also being able to get into the details. Self\-awareness of what to share with each audience.
* Exceptional ability to build strong relationships and leverage those relationships to influence across organizational boundaries for delivery of best outcomes.
* Degree in engineering, computer science, information systems or equivalent experience.
* Good understanding of SaaS technologies or demonstrated ability to collaborate with engineering teams on complex technology programs with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$ 149,500\- 202,000</t>
        </is>
      </c>
    </row>
    <row r="38">
      <c r="A38" t="inlineStr">
        <is>
          <t>in-678b9d92408fecd8</t>
        </is>
      </c>
      <c r="B38" t="inlineStr">
        <is>
          <t>Senior Staff Product Manager - Talent Performance and Development</t>
        </is>
      </c>
      <c r="C38" t="inlineStr">
        <is>
          <t>Intuit</t>
        </is>
      </c>
      <c r="D38" t="inlineStr">
        <is>
          <t>indeed</t>
        </is>
      </c>
      <c r="E38" t="inlineStr"/>
      <c r="F38" t="inlineStr"/>
      <c r="G38" t="inlineStr">
        <is>
          <t>Mountain View, CA, US</t>
        </is>
      </c>
      <c r="H38" s="2" t="n">
        <v>46057</v>
      </c>
      <c r="I38" t="inlineStr">
        <is>
          <t>**Overview**
------------
As a Technical Product Manager and Product Strategist, you will be the subject matter expert on talent performance and talent management platforms, with a focus on Workday. In this expanded role, you will blend **technical expertise, system design thinking, and long\-range product strategy** to shape how the company measures, manages, and grows talent. You will define the **future\-state vision** for talent development and performance solutions, evaluate new technologies (e.g., manager AI agent, promotion tools, goal\-setting platforms), and influence investment decisions across the enterprise.
Your role sits at the intersection of **product strategy, system architecture, and organizational transformation**, ensuring our performance and talent management capabilities are reliable, scalable, and strategically aligned to business and workforce priorities.
 **Responsibilities**
**Responsibilities**
--------------------
### **Product \&amp; System Ownership**
* Drive the design, configuration, and roadmap for Workday Talent Performance modules, aligning system capabilities with evolving business and workforce needs.
* Translate talent performance goals into functional and technical system requirements that deliver measurable outcomes.
* Own backlog prioritization and partner with HR and IT teams to continuously enhance the employee and manager experience.
* Ensure product decisions support both short\-term delivery and long\-term strategic product direction.
* **Define a multi\-year product strategy** for talent performance, development, and talent management platforms, including how Workday, internal tools, and new technologies integrate into a unified ecosystem.
* **Conduct market research and competitive analysis** to benchmark against industry\-leading performance and development approaches.
* Build **business cases, investment proposals, and ROI models** to guide leadership decisions on platform evolution (e.g., Betterworks replacement, AI\-enabled manager tools, promotion frameworks).
* Establish **north\-star metrics and success measures** that link product outcomes to business and talent goals.
* Identify opportunities to streamline or modernize the talent lifecycle experience through new capabilities, automation, AI, and data\-driven insights.
* Serve as a **thought leader** with HR leadership on future\-state talent development strategy and how technology should enable it.
* Create and maintain a **strategic portfolio view**, ensuring alignment across performance management, talent mobility, career development, and related platforms.
* Provide solution architecture guidance to integrate Workday with adjacent systems, ensuring data accuracy, process efficiency, and compliance.
* Conduct system audits and performance tuning to ensure reliability, scalability, and optimal user experience.
* Stay current on Workday releases, enhancements, and innovations; evaluate features for adoption through a strategic lens (e.g., long\-term fit, cost\-value trade\-offs).
* **Talent Performance \&amp; Development Impact**
--------------------------------------------
	+ Partner with People \&amp; Culture leaders to design performance philosophies, feedback loops, goal\-setting frameworks, promotion processes, and calibration workflows within Workday or supplemental tools.
	+ Use system data and analytics to identify gaps in performance tracking, career development, and talent readiness; influence workforce strategy using insights.
	+ Ensure technical solutions reinforce the company’s approach to performance, growth, and talent mobility.**Cross\-Functional Collaboration**
-----------------------------------
	+ Collaborate with HRBPs, IT, analytics, compliance, and business leaders to design solutions that balance technical feasibility with organizational impact.
	+ Serve as the strategic and technical point of contact during Workday projects and across the talent tech ecosystem.
	+ Drive change management, stakeholder alignment, and enterprise adoption for new tools and capabilities.
	+ Train and support internal teams on system functionality, strategic use cases, and best practices.
 **Qualifications**
* Proven experience as a Product Manager or system owner for Workday Talent modules (Performance, Goals, Feedback).
* Experience defining **multi\-year product strategies**, roadmaps, or portfolios (preferred for strategist scope).
* Strong technical background with expertise in system architecture, integrations, and analytics.
* Ability to translate talent management strategies into scalable technical and product solutions.
* Exceptional communication and executive influence skills, with a track record of driving cross\-functional alignment.
* Strong analytical skills with experience conducting system audits and leveraging data for decision\-making.
* Background in talent development, performance management, or HR technology strategy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$ 196,500\- 266,000</t>
        </is>
      </c>
    </row>
    <row r="39">
      <c r="A39" t="inlineStr">
        <is>
          <t>in-7a1aa09dbb47dfdf</t>
        </is>
      </c>
      <c r="B39" t="inlineStr">
        <is>
          <t>Staff Product Manager - UI Platform</t>
        </is>
      </c>
      <c r="C39" t="inlineStr">
        <is>
          <t>Intuit</t>
        </is>
      </c>
      <c r="D39" t="inlineStr">
        <is>
          <t>indeed</t>
        </is>
      </c>
      <c r="E39" t="inlineStr"/>
      <c r="F39" t="inlineStr"/>
      <c r="G39" t="inlineStr">
        <is>
          <t>Mountain View, CA, US</t>
        </is>
      </c>
      <c r="H39" s="2" t="n">
        <v>46057</v>
      </c>
      <c r="I39" t="inlineStr">
        <is>
          <t>**Overview**
------------
The Developer Platform team at Intuit builds foundational capabilities that developers across Intuit use for building and running Intuit’s flagship applications leveraging cloud\-native technologies in a highly scalable, reliable, and secure manner. Ease of use along with scale and reliability are some of the key attributes of the platforms that this organization is responsible for.
We are on a journey to enable hyper\-scale growth on both our systems and our development processes and are making fundamental technological shifts that will enable this journey. As the product manager, you will shape the long\-term vision for our micro frontend UI platform, component libraries, and designer and developer experiences and will be responsible for executing on that vision. From ideation to development to adoption, you’ll lead an organization focused on making a greater impact on Intuit’s application developer, designer and 3p developer communities by providing end\-to\-end product solutions.
Application teams at Intuit work on cutting edge technologies in rapidly evolving business and technical environments, pushing the boundaries of how web and mobile development is done to execute on Intuit’s AI\-driven expert platform strategy. In this role, you will work with other product managers, product designers, and development teams across Intuit as you define the UI platform strategy to be a force multiplier across the ecosystem.
We are looking for someone who has extensive product management experience building front\-end application platforms and design systems at scale with a good technical understanding of those platforms balanced with customer empathy, strong execution abilities, and a track record of building strong business partnerships to deliver impactful business results. If you understand defining and building products and platforms used by developers and designers alike with a specific focus on web and mobile development to deliver software that caters to both millions of consumers and small businesses, then this job is for you!
 **Responsibilities**
* Define and lead the vision and strategy for the Intuit UI platform and component libraries, seamless integration with Intuit’s application platforms, provide product thought leadership in identifying critical customer requirements, understand business goals, define product roadmaps and OKRs.
* Work closely with product managers, product designers, and development teams across Intuit to identify and address gaps in Intuit’s web and mobile offerings to provide world\-class experiences.
* Effectively manage dependencies, priorities, and plans across different, multi\-functional groups at Intuit towards consistent product delivery aligned towards common goals.
* Take a data\-driven approach in defining success metrics, prioritizing requirements, and communicating plans, progress, and success.
* Demonstrate customer obsession by being a champion for the user experience with deep customer empathy.
* Evangelize and create broad awareness for the Intuit web, and mobile application platform and ecosystem with technical talks at both internal and external forums and customer events.
* Serve as a product evangelist for the platform by participating in different conferences, meetups, community meetings in mobile space and bring external\-in perspectives to the Intuit front\-end application design and developer communities.
* Actively participate in and be a thought leader in the open\-source community around platform engineering projects.
* Be part of the extended product management team to contribute across Intuit platforms.
* Be customer\-obsessed, acting as the voice of Intuit’s developers and customers in creating world\-class web and mobile applications.
 **Qualifications**
* 8\+ years delivering world\-class platform products and systems for front\-end applications, specifically in web and mobile for large scale SaaS offerings.
* Experience defining, building, and delivering platform products with an ability to bridge between design and development teams in a matrix environment.
* Good understanding of and a keen eye for user experience design for web and mobile (iOS and Android) platforms
* Good understanding of the architectures and lifecycle of large scale web and mobile apps.
* Familiarity with design UI Frameworks such as React, Angular etc. is a plus.
* Keeps up with the latest trends in the front\-end application development (web or mobile) and can synthesize and drive tradeoffs in technology choices.
* Has worked in an Agile development setting and can drive backlog grooming and prioritization across multiple cross\-functional teams.
* Product development or technical background, either as an engineer or in a previous technical role with prior hands\-on development experience or in developing and presenting technical demos and content.
* Proven experience in defining the product vision and inspiring teams to deliver innovations and impactful products, especially in mobile ecosystems.
* Ability to take end\-to\-end responsibility for the product’s success.
* Bachelor's degree in computer science, electrical engineering, a related technical discipline or equivalent experience required, an advanced degree a plus.
* Ability to work closely with customers and partners listening and taking a customer\-focused approach to defining strategy and setting priorities demonstrating a passion for the customer.
* Excellent collaboration and communication skills \- leading execution across teams, influencing across organizations in small teams, and larger group presentation formats.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$ 180,500\- 244,000</t>
        </is>
      </c>
    </row>
    <row r="40">
      <c r="A40" t="inlineStr">
        <is>
          <t>in-b66138d1d2460430</t>
        </is>
      </c>
      <c r="B40" t="inlineStr">
        <is>
          <t>Staff Technical Program Manager - Trust &amp; Safety</t>
        </is>
      </c>
      <c r="C40" t="inlineStr">
        <is>
          <t>Intuit</t>
        </is>
      </c>
      <c r="D40" t="inlineStr">
        <is>
          <t>indeed</t>
        </is>
      </c>
      <c r="E40" t="inlineStr"/>
      <c r="F40" t="inlineStr"/>
      <c r="G40" t="inlineStr">
        <is>
          <t>Atlanta, GA, US</t>
        </is>
      </c>
      <c r="H40" s="2" t="n">
        <v>46057</v>
      </c>
      <c r="I40" t="inlineStr">
        <is>
          <t>**Overview**
------------
Do you thrive on tackling intricate challenges and driving impactful solutions within the cybersecurity landscape? Are you a highly motivated leader with a passion for safeguarding customers and delivering transformative change? If so, we invite you to consider this exciting opportunity to join our dynamic team.  
As a **Staff Technical Program Manager**, you will play a pivotal role in shaping the future of our **Trust \&amp; Safety** portfolio. You will spearhead fraud prevention programs and provide strategic leadership and direction to ensure the successful delivery of critical initiatives. Your expertise in navigating the complexities of cybersecurity, compliance, risk, and fraud will be instrumental in protecting our customers and maintaining their trust. **Responsibilities**
**You will be the end to end owner of a portfolio of work, consisting of several cross\-organizational technical programs and initiatives to execute. You will do this by:**
* **Lead with Influence:** Drive strategic programs in partnership with VP\+ leaders, accelerating business outcomes and ensuring alignment with Intuit's overall strategy.
* **Champion Change:** Foster a culture of collaboration and open communication, effectively navigating organizational change and driving continuous improvement.
* **Deliver Exceptional Results:** Develop and execute high\-quality program plans, utilizing data to track progress, mitigate risks, and communicate effectively with stakeholders.
* **Build and Mentor:** Define and implement program management best practices, coach and mentor other program managers, and contribute to the growth of the program management community
* **Master the Domain:** Possess deep expertise in software development methodologies and apply them effectively to programs. Navigate the security, risk, and fraud landscape with confidence.
 **Qualifications**
* **Proven Leadership:** 7\+ years of experience leading and delivering complex, large\-scale technical programs within a matrixed organization.
* **Technical Acumen:** Strong understanding of software development approaches, architecture, and lifecycles. Experience with Agile methodologies is highly desired.
* **Strategic Thinker:** Ability to analyze industry trends, understand Intuit's strategy, and make data\-driven decisions that accelerate business outcomes.
* **Exceptional Communicator:** Excellent communication and interpersonal skills, with the ability to influence at all levels, from individual contributors to senior executives.
* **Data\-Driven Mindset:** Ability to gather, analyze, and utilize data to assess program progress, identify risks, and drive decision\-making. Familiarity with data analytics and AI/ML concepts is a plus
* **Education:** Bachelor's degree in Computer Science, Engineering, or a related field, or equivalent work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41">
      <c r="A41" t="inlineStr">
        <is>
          <t>in-c78af678d700fb3b</t>
        </is>
      </c>
      <c r="B41" t="inlineStr">
        <is>
          <t>Senior Technical Program Manager</t>
        </is>
      </c>
      <c r="C41" t="inlineStr">
        <is>
          <t>Intuit</t>
        </is>
      </c>
      <c r="D41" t="inlineStr">
        <is>
          <t>indeed</t>
        </is>
      </c>
      <c r="E41" t="inlineStr"/>
      <c r="F41" t="inlineStr"/>
      <c r="G41" t="inlineStr">
        <is>
          <t>Atlanta, GA, US</t>
        </is>
      </c>
      <c r="H41" s="2" t="n">
        <v>46057</v>
      </c>
      <c r="I41" t="inlineStr">
        <is>
          <t>**Overview**
------------
Intuit is a leading provider of business and financial management solutions for small and mid\-sized businesses, self\-employed entrepreneurs, consumers, and accounting professionals. You probably know us by our flagship products, QuickBooks, Credit Karma, TurboTax, and Mailchimp, but that's just the start. We're taking on exciting challenges, and our strategy is to be an AI\-driven expert platform to deliver personalized experiences to our customers to improve their entrepreneurial and financial lives.  
Come join Mailchimp in the Product Development Operations team, as a Senior Technical Program Manager. This role is responsible for accelerating delivery of complex capabilities and programs across the platform.  
We are looking for a strategic, creative problem solver who can influence stakeholders across the organization, lead high\-visibility high\-impact programs end\-to\-end to deliver business results. **Responsibilities**
* Partner with Business and Technology leaders to execute the strategy for one or more key programs across the Mailchimp platform.
* Drive multi\-phase program roadmaps across multiple contributing teams.
* Develop program charters ensuring the scope aligns with business priorities.
* Develop \&amp; deliver program plans that encompass all phases of planning, implementation, production readiness and support defining a cross\-functional program structure.
* Provide steady leadership in the face of uncertainty, change, and aggressive deadlines common to a rapidly growing company with an evolving business model.
* Establish program operating rhythms leading cross\-functional meetings and fostering teamwork. Quickly and effectively identify and clarify the critical few issues and drive appropriate decisions and actions. Communicate results clearly and in actionable form.
* Communicate progress, report status, providing relevant insights across organizational boundaries and levels from individual contributor to senior executive.
* Manage and track program execution to ensure successful, high\-quality, on\-time delivery by working through risks, and interdependencies.
* Promote collaboration and coordination across broad categories of Stakeholders.
* Partner with business unit and platform product management, and product development leadership to identify benefits, short\- and long\-term trade\-offs and balance the needs of all stakeholders.
* Anticipate, recognize, and work through resistance or setbacks independently, work well with others when conflicts arise. See opportunities, ensure alignment with objectives, find common ground and promote understanding of alternative viewpoints before driving for closure and cooperation.
* Partner with other Technical Program Managers to define, socialize and implement organization\-wide processes.
 **Qualifications**
* 5\+ years of Program Management experience leading multiple well defined small\-medium complexity technology\-focused programs
* Self\-starter able to track complex and/or large volume of details (technical and program related), manage and coordinate with 10 scrum teams, across multiple sites.
* Excellent leadership and interpersonal skills. Demonstrated ability to work in a matrix environment, and ability to influence across levels.
* Outstanding communication skills appropriate for engineers and executive\-level audiences. Ability to communicate goals of programs, relationship to business goals, provide summarized exec views, while also being able to get into the details. Self\-awareness of what to share with each audience.
* Exceptional ability to build strong relationships and leverage those relationships to influence across organizational boundaries for delivery of best outcomes.
* Degree in engineering, computer science, information systems or equivalent experience.
* Good understanding of SaaS technologies or demonstrated ability to collaborate with engineering teams on complex technology programs with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$ 149,500\- 202,000</t>
        </is>
      </c>
    </row>
    <row r="42">
      <c r="A42" t="inlineStr">
        <is>
          <t>in-58946def908b96cf</t>
        </is>
      </c>
      <c r="B42" t="inlineStr">
        <is>
          <t>Senior Staff Product Manager - Talent Performance and Development</t>
        </is>
      </c>
      <c r="C42" t="inlineStr">
        <is>
          <t>Intuit</t>
        </is>
      </c>
      <c r="D42" t="inlineStr">
        <is>
          <t>indeed</t>
        </is>
      </c>
      <c r="E42" t="inlineStr"/>
      <c r="F42" t="inlineStr"/>
      <c r="G42" t="inlineStr">
        <is>
          <t>Atlanta, GA, US</t>
        </is>
      </c>
      <c r="H42" s="2" t="n">
        <v>46057</v>
      </c>
      <c r="I42" t="inlineStr">
        <is>
          <t>**Overview**
------------
As a Technical Product Manager and Product Strategist, you will be the subject matter expert on talent performance and talent management platforms, with a focus on Workday. In this expanded role, you will blend **technical expertise, system design thinking, and long\-range product strategy** to shape how the company measures, manages, and grows talent. You will define the **future\-state vision** for talent development and performance solutions, evaluate new technologies (e.g., manager AI agent, promotion tools, goal\-setting platforms), and influence investment decisions across the enterprise.
Your role sits at the intersection of **product strategy, system architecture, and organizational transformation**, ensuring our performance and talent management capabilities are reliable, scalable, and strategically aligned to business and workforce priorities.
 **Responsibilities**
**Responsibilities**
--------------------
### **Product \&amp; System Ownership**
* Drive the design, configuration, and roadmap for Workday Talent Performance modules, aligning system capabilities with evolving business and workforce needs.
* Translate talent performance goals into functional and technical system requirements that deliver measurable outcomes.
* Own backlog prioritization and partner with HR and IT teams to continuously enhance the employee and manager experience.
* Ensure product decisions support both short\-term delivery and long\-term strategic product direction.
* **Define a multi\-year product strategy** for talent performance, development, and talent management platforms, including how Workday, internal tools, and new technologies integrate into a unified ecosystem.
* **Conduct market research and competitive analysis** to benchmark against industry\-leading performance and development approaches.
* Build **business cases, investment proposals, and ROI models** to guide leadership decisions on platform evolution (e.g., Betterworks replacement, AI\-enabled manager tools, promotion frameworks).
* Establish **north\-star metrics and success measures** that link product outcomes to business and talent goals.
* Identify opportunities to streamline or modernize the talent lifecycle experience through new capabilities, automation, AI, and data\-driven insights.
* Serve as a **thought leader** with HR leadership on future\-state talent development strategy and how technology should enable it.
* Create and maintain a **strategic portfolio view**, ensuring alignment across performance management, talent mobility, career development, and related platforms.
* Provide solution architecture guidance to integrate Workday with adjacent systems, ensuring data accuracy, process efficiency, and compliance.
* Conduct system audits and performance tuning to ensure reliability, scalability, and optimal user experience.
* Stay current on Workday releases, enhancements, and innovations; evaluate features for adoption through a strategic lens (e.g., long\-term fit, cost\-value trade\-offs).
* **Talent Performance \&amp; Development Impact**
--------------------------------------------
	+ Partner with People \&amp; Culture leaders to design performance philosophies, feedback loops, goal\-setting frameworks, promotion processes, and calibration workflows within Workday or supplemental tools.
	+ Use system data and analytics to identify gaps in performance tracking, career development, and talent readiness; influence workforce strategy using insights.
	+ Ensure technical solutions reinforce the company’s approach to performance, growth, and talent mobility.**Cross\-Functional Collaboration**
-----------------------------------
	+ Collaborate with HRBPs, IT, analytics, compliance, and business leaders to design solutions that balance technical feasibility with organizational impact.
	+ Serve as the strategic and technical point of contact during Workday projects and across the talent tech ecosystem.
	+ Drive change management, stakeholder alignment, and enterprise adoption for new tools and capabilities.
	+ Train and support internal teams on system functionality, strategic use cases, and best practices.
 **Qualifications**
* Proven experience as a Product Manager or system owner for Workday Talent modules (Performance, Goals, Feedback).
* Experience defining **multi\-year product strategies**, roadmaps, or portfolios (preferred for strategist scope).
* Strong technical background with expertise in system architecture, integrations, and analytics.
* Ability to translate talent management strategies into scalable technical and product solutions.
* Exceptional communication and executive influence skills, with a track record of driving cross\-functional alignment.
* Strong analytical skills with experience conducting system audits and leveraging data for decision\-making.
* Background in talent development, performance management, or HR technology strategy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$ 196,500\- 266,000</t>
        </is>
      </c>
    </row>
    <row r="43">
      <c r="A43" t="inlineStr">
        <is>
          <t>in-80ff00567c48564c</t>
        </is>
      </c>
      <c r="B43" t="inlineStr">
        <is>
          <t>Senior Product Manager - Patient CRM</t>
        </is>
      </c>
      <c r="C43" t="inlineStr">
        <is>
          <t>Veeva Systems</t>
        </is>
      </c>
      <c r="D43" t="inlineStr">
        <is>
          <t>indeed</t>
        </is>
      </c>
      <c r="E43" t="inlineStr"/>
      <c r="F43" t="inlineStr"/>
      <c r="G43" t="inlineStr">
        <is>
          <t>Remote, US</t>
        </is>
      </c>
      <c r="H43" s="2" t="n">
        <v>46057</v>
      </c>
      <c r="I43" t="inlineStr">
        <is>
          <t>**Team:** Product Management \&amp; Alliances
**Country:** United States
**Remote Work Available:** Yes
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As a Senior Product Manager for Patient CRM, you will be the primary architect of the patient\-centric vision within our broader Vault CRM ecosystem. You will collaborate with the wider Vault CRM PM team to ensure the core platform, including AI agents, mobile capabilities, and data architecture, evolves to meet the unique, highly sensitive requirements of Patient Support Programs (PSPs) and Patient Services. You will act as the subject matter expert and advocate, driving a dedicated roadmap that bridges the gap between traditional CRM functionality and specialized patient engagement, adherence, and enrollment workflows.**What You’ll Do**
* **Contribute to the Patient CRM Roadmap:** Own the strategy and delivery of the features specific to patient recruitment, enrollment, and long\-term engagement processes.
* **Collaborate Across Product Teams:** Partner with the wider Vault CRM PM organization to incorporate patient\-specific requirements into the core platform. You will ensure that core capabilities are optimized for the high\-touch, high\-security nature of patient services.
* **Industry Representation \&amp; Thought Leadership:** Represent the product team at Patient Services and Hub\-focused events. You will share our vision for the future of patient orchestration and gather market intelligence to inform our strategy.
* **Requirement Synthesis:** Translate the complexities of patient journeys, including reimbursement, clinical trial support, and therapy adherence, into technical specifications.
* **AI \&amp; Intelligent Orchestration:** Partner with the AI PM team to build agents that help patient case managers and support teams interact with patients more empathetically and efficiently.
* **Full Lifecycle Management:** Work with UX, engineering, QA, and services teams to guide features from initial concept and design to global release and customer adoption.
**Requirements**
* **HealthTech Industry Expertise:** Minimum of 5 years of experience in Patient Services, Hub Operations, Field Reimbursement, or Product Management for patient\-specific software. You must have a deep understanding of HIPAA, GDPR, and patient privacy regulations.
* **Software Product Management:** 3\+ years of PM experience at a software company, with a proven track record of owning and launching enterprise\-grade SaaS products.
* **Strategic Influence:** Demonstrated ability to work across multiple product teams to influence roadmaps and drive shared goals in a complex, matrixed PM environment.
* **Analytical Rigor:** Exceptional problem\-solving skills with a "show me the data" mindset to uncover the "why" behind customer needs.
* **Technical Execution:** Experience writing detailed requirement specifications, managing backlogs, and leading engineering teams in an agile environment.
* **Communication:** Superior ability to translate Patient Services "shop talk" into technical requirements for developers and executive\-level visions for customers.
**Nice to Have**
* Experience with conversational AI, recommendation engines, or large language models (LLMs)
* Deep knowledge of benefit verification, prior authorization and co\-pay assistance
* Experience with configurable enterprise SaaS solutions.
* Prior exposure to the Veeva Vault Platform.
* Background in software development or computer science.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\#LI\-RemoteUS
\#LI\-MidSenior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
Work Where It’s Best for You
Work Anywhere means you can work in an office or at home on any given day. It’s about getting the work done in the way and place that works best for each person. This applies across all locations and departments.
Work Anywhere does not mean work at any time. We have predictable core hours where employees are generally available for meetings and collaboration. Employees are focused and available during core hours.
We invest in our offices to make them places where our employees like to go. If you work in the office three or more days a week, you will have a dedicated office workspace. Our offices function as hubs to draw people in, create social bonds, and where random connections and mixing of ideas happen. We’re investing more in offices, culture, and offsite meetings, not less.
Product teams are organized in regional product hubs for optimal collaboration and live within a time zone of their hub. Our current product hubs are located in Pleasanton, Columbus, Boston, Kansas City, New York City, Raleigh, and Toronto. We create opportunities for teams to get together in person regularly.
Customer\-facing roles, such as Sales and Professional Services, live near and/or travel to their customers.
When an employee moves within a country it does not cause a change in salary. Where you live impacts you and your family. Not knowing if your compensation will change if you move can cause stress and uncertainty for everyone. We wanted to eliminate that.
Work at Veeva. Work where it’s best for you.</t>
        </is>
      </c>
    </row>
    <row r="44">
      <c r="A44" t="inlineStr">
        <is>
          <t>in-af6f088740abacf7</t>
        </is>
      </c>
      <c r="B44" t="inlineStr">
        <is>
          <t>Program Manager Physician Integration</t>
        </is>
      </c>
      <c r="C44" t="inlineStr">
        <is>
          <t>NCH</t>
        </is>
      </c>
      <c r="D44" t="inlineStr">
        <is>
          <t>indeed</t>
        </is>
      </c>
      <c r="E44" t="inlineStr"/>
      <c r="F44" t="inlineStr"/>
      <c r="G44" t="inlineStr">
        <is>
          <t>Naples, FL, US</t>
        </is>
      </c>
      <c r="H44" s="2" t="n">
        <v>46057</v>
      </c>
      <c r="I44" t="inlineStr">
        <is>
          <t>* **DEPARTMENT:** 18400 – Medical Staff
* **LOCATION:** 350 7th Street North, Naples, FL, 34102
* **WORK TYPE:**
* **WORK SCHEDULE:** 8 Hour Day
**ABOUT NCH**
NCH is an independent, locally governed non\-profit delivering premier comprehensive care. Our healthcare system is comprised of two hospitals, an alliance of 700\+ physicians, and medical facilities in dozens of locations throughout Southwest Florida that offer nationally recognized, quality health care.
NCH is transforming into an Advanced Community Healthcare System(TM) and we’re proud to: Provide higher acuity care and Centers of Excellence; Offer Graduate Medical Education and fellowships; Have endowed chairs; Conduct research and participate in national clinical trials; and partner with other health market leaders, like Hospital for Special Surgery, Encompass, and ProScan.
Join our mission to help everyone live a longer, happier, healthier life. We are committed to care and believe there's always more at NCH – for you and every person we serve together. Visit nchjobs.org to learn more.
**JOB SUMMARY**
The Program Manager of Physician Integration is responsible for leading strategic implementations of the NCH Healthcare System Physician Integration initiatives. Serves as an essential link and subject matter expert to hospital administration, Medical Staff and Allied Health Professional Staff to promote and ensure effective strategic comradery between all Practitioners and the organization’s administration and leaders. The Program Manager of Physician Integration will execute initiatives in strategic vision by listening to the voice of the physician, to implement tactics aimed at improving provider communication, and foster engagement across NCH.
The Program Manager of Physician Integration with aid development and growth of the Physician Leadership Program, including NCH’s Physician Leadership Academy – an innovation project launched to meet the physician’s requested alignment with the strategic needs of the organization. The Program Manager of Physician Integration contributes to true strategic operational change and facilitates delivery of measurable outcome performance and organizational improvements, based on physician integration and engagement to quality. This position helps to bridge a physician culture gap within our organization by engaging our pluralistic medical staff model and creating a platform of development, professionalism, and personal growth for physicians to lead change in the organization. Serves as an essential link and subject matter expert for consumer services to hospital administration, physicians, allied health professionals, and community partners to promote and ensure efficient and collaborative communication for all providers in the NCH Healthcare System. Drives compliance and improvements for capital and operating budget for Physician Integration and Wellness.
**ESSENTIAL DUTIES AND RESPONSIBILITIES**
*– Other duties may be assigned.*
* Leads growth in the physician leadership program.
* Foster collaboration by participating in programs that develop trust between the pluralistic medical staff model and Administration.
* Facilitating initiatives for physicians to drive organizational improvements by actively listening to the “voice of the physician”.
* Works with Strategy to develop measurable outcomes with Physician leaders to drive organizational change based on physician led initiatives.
* Provide excellent consumer services for providers at NCH Healthcare System through engaging and implementing strategies design to serve the voice of physicians and providers.
* Create reports, presentations, and data analysis for purposes of improvement relating to strategic goals.
* Partner with other key departments to develop short\- and long\-range strategic plans for the Medical Staff Office and an integrated strategic plan, including Centers of Excellence and Institute development.
* Work collaboratively with physicians to improve “on the job” wellness by removing non\-value\-added work and creating a process for closed\-loop communication from physicians regarding suggestions for improvements on high priority issues.
* Serves as resource for the Wellness Committee and helps to lead initiatives.
* Ability to organize and manage wellness and physician integration events with little direction.
* Team with clinical service lines, hospital and contracted facility physician and administration leadership to ensure meaningful metrics and best practices are implemented and maintained across NCH Health Care System
* Serve as liaison for projects across internal and external stakeholders.
**EDUCATION, EXPERIENCE AND QUALIFICATIONS**
* Minimum of Bachelor’s Degree in a Healthcare, Business, or related field; Master’s Degree (MBA or MHA) preferred.
* Minimum of 2 years’ experience in healthcare, business, education, or related field.
* Flexibility, perseverance, fortitude, and excellent written/verbal communication skills.
* Comprehensive knowledge in the arena of healthcare and ability to present initiate and maintain collaborative and cooperative interdisciplinary relationships.
* Strong project management, extensive knowledge of computers, database management, information retrieval and report formatting.
* Intermediate computer knowledge: Uses Microsoft Word, Excel, Outlook, and Windows</t>
        </is>
      </c>
    </row>
    <row r="45">
      <c r="A45" t="inlineStr">
        <is>
          <t>in-86642ce7fd8804fb</t>
        </is>
      </c>
      <c r="B45" t="inlineStr">
        <is>
          <t>Senior Product Manager - Patient CRM</t>
        </is>
      </c>
      <c r="C45" t="inlineStr">
        <is>
          <t>Veeva Systems</t>
        </is>
      </c>
      <c r="D45" t="inlineStr">
        <is>
          <t>indeed</t>
        </is>
      </c>
      <c r="E45" t="inlineStr"/>
      <c r="F45" t="inlineStr"/>
      <c r="G45" t="inlineStr">
        <is>
          <t>Boston, MA, US</t>
        </is>
      </c>
      <c r="H45" s="2" t="n">
        <v>46057</v>
      </c>
      <c r="I45" t="inlineStr">
        <is>
          <t>**Team:** Product Management \&amp; Alliances
**City:** Boston
**State:** MA
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As a Senior Product Manager for Patient CRM, you will be the primary architect of the patient\-centric vision within our broader Vault CRM ecosystem. You will collaborate with the wider Vault CRM PM team to ensure the core platform, including AI agents, mobile capabilities, and data architecture, evolves to meet the unique, highly sensitive requirements of Patient Support Programs (PSPs) and Patient Services. You will act as the subject matter expert and advocate, driving a dedicated roadmap that bridges the gap between traditional CRM functionality and specialized patient engagement, adherence, and enrollment workflows.**What You’ll Do**
* **Contribute to the Patient CRM Roadmap:** Own the strategy and delivery of the features specific to patient recruitment, enrollment, and long\-term engagement processes.
* **Collaborate Across Product Teams:** Partner with the wider Vault CRM PM organization to incorporate patient\-specific requirements into the core platform. You will ensure that core capabilities are optimized for the high\-touch, high\-security nature of patient services.
* **Industry Representation \&amp; Thought Leadership:** Represent the product team at Patient Services and Hub\-focused events. You will share our vision for the future of patient orchestration and gather market intelligence to inform our strategy.
* **Requirement Synthesis:** Translate the complexities of patient journeys, including reimbursement, clinical trial support, and therapy adherence, into technical specifications.
* **AI \&amp; Intelligent Orchestration:** Partner with the AI PM team to build agents that help patient case managers and support teams interact with patients more empathetically and efficiently.
* **Full Lifecycle Management:** Work with UX, engineering, QA, and services teams to guide features from initial concept and design to global release and customer adoption.
**Requirements**
* **HealthTech Industry Expertise:** Minimum of 5 years of experience in Patient Services, Hub Operations, Field Reimbursement, or Product Management for patient\-specific software. You must have a deep understanding of HIPAA, GDPR, and patient privacy regulations.
* **Software Product Management:** 3\+ years of PM experience at a software company, with a proven track record of owning and launching enterprise\-grade SaaS products.
* **Strategic Influence:** Demonstrated ability to work across multiple product teams to influence roadmaps and drive shared goals in a complex, matrixed PM environment.
* **Analytical Rigor:** Exceptional problem\-solving skills with a "show me the data" mindset to uncover the "why" behind customer needs.
* **Technical Execution:** Experience writing detailed requirement specifications, managing backlogs, and leading engineering teams in an agile environment.
* **Communication:** Superior ability to translate Patient Services "shop talk" into technical requirements for developers and executive\-level visions for customers.
**Nice to Have**
* Experience with conversational AI, recommendation engines, or large language models (LLMs)
* Deep knowledge of benefit verification, prior authorization and co\-pay assistance
* Experience with configurable enterprise SaaS solutions.
* Prior exposure to the Veeva Vault Platform.
* Background in software development or computer science.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\#LI\-Remote
\#LI\-MidSenior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
Work Where It’s Best for You
Work Anywhere means you can work in an office or at home on any given day. It’s about getting the work done in the way and place that works best for each person. This applies across all locations and departments.
Work Anywhere does not mean work at any time. We have predictable core hours where employees are generally available for meetings and collaboration. Employees are focused and available during core hours.
We invest in our offices to make them places where our employees like to go. If you work in the office three or more days a week, you will have a dedicated office workspace. Our offices function as hubs to draw people in, create social bonds, and where random connections and mixing of ideas happen. We’re investing more in offices, culture, and offsite meetings, not less.
Product teams are organized in regional product hubs for optimal collaboration and live within a time zone of their hub. Our current product hubs are located in Pleasanton, Columbus, Boston, Kansas City, New York City, Raleigh, and Toronto. We create opportunities for teams to get together in person regularly.
Customer\-facing roles, such as Sales and Professional Services, live near and/or travel to their customers.
When an employee moves within a country it does not cause a change in salary. Where you live impacts you and your family. Not knowing if your compensation will change if you move can cause stress and uncertainty for everyone. We wanted to eliminate that.
Work at Veeva. Work where it’s best for you.</t>
        </is>
      </c>
    </row>
    <row r="46">
      <c r="A46" t="inlineStr">
        <is>
          <t>in-fb4c5555ab8b100a</t>
        </is>
      </c>
      <c r="B46" t="inlineStr">
        <is>
          <t>Senior Product Manager - Patient CRM</t>
        </is>
      </c>
      <c r="C46" t="inlineStr">
        <is>
          <t>Veeva Systems</t>
        </is>
      </c>
      <c r="D46" t="inlineStr">
        <is>
          <t>indeed</t>
        </is>
      </c>
      <c r="E46" t="inlineStr"/>
      <c r="F46" t="inlineStr"/>
      <c r="G46" t="inlineStr">
        <is>
          <t>Pleasanton, CA, US</t>
        </is>
      </c>
      <c r="H46" s="2" t="n">
        <v>46057</v>
      </c>
      <c r="I46" t="inlineStr">
        <is>
          <t>**Team:** Product Management \&amp; Alliances
**City:** Pleasanton
**State:** CA
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As a Senior Product Manager for Patient CRM, you will be the primary architect of the patient\-centric vision within our broader Vault CRM ecosystem. You will collaborate with the wider Vault CRM PM team to ensure the core platform, including AI agents, mobile capabilities, and data architecture, evolves to meet the unique, highly sensitive requirements of Patient Support Programs (PSPs) and Patient Services. You will act as the subject matter expert and advocate, driving a dedicated roadmap that bridges the gap between traditional CRM functionality and specialized patient engagement, adherence, and enrollment workflows.**What You’ll Do**
* **Contribute to the Patient CRM Roadmap:** Own the strategy and delivery of the features specific to patient recruitment, enrollment, and long\-term engagement processes.
* **Collaborate Across Product Teams:** Partner with the wider Vault CRM PM organization to incorporate patient\-specific requirements into the core platform. You will ensure that core capabilities are optimized for the high\-touch, high\-security nature of patient services.
* **Industry Representation \&amp; Thought Leadership:** Represent the product team at Patient Services and Hub\-focused events. You will share our vision for the future of patient orchestration and gather market intelligence to inform our strategy.
* **Requirement Synthesis:** Translate the complexities of patient journeys, including reimbursement, clinical trial support, and therapy adherence, into technical specifications.
* **AI \&amp; Intelligent Orchestration:** Partner with the AI PM team to build agents that help patient case managers and support teams interact with patients more empathetically and efficiently.
* **Full Lifecycle Management:** Work with UX, engineering, QA, and services teams to guide features from initial concept and design to global release and customer adoption.
**Requirements**
* **HealthTech Industry Expertise:** Minimum of 5 years of experience in Patient Services, Hub Operations, Field Reimbursement, or Product Management for patient\-specific software. You must have a deep understanding of HIPAA, GDPR, and patient privacy regulations.
* **Software Product Management:** 3\+ years of PM experience at a software company, with a proven track record of owning and launching enterprise\-grade SaaS products.
* **Strategic Influence:** Demonstrated ability to work across multiple product teams to influence roadmaps and drive shared goals in a complex, matrixed PM environment.
* **Analytical Rigor:** Exceptional problem\-solving skills with a "show me the data" mindset to uncover the "why" behind customer needs.
* **Technical Execution:** Experience writing detailed requirement specifications, managing backlogs, and leading engineering teams in an agile environment.
* **Communication:** Superior ability to translate Patient Services "shop talk" into technical requirements for developers and executive\-level visions for customers.
**Nice to Have**
* Experience with conversational AI, recommendation engines, or large language models (LLMs)
* Deep knowledge of benefit verification, prior authorization and co\-pay assistance
* Experience with configurable enterprise SaaS solutions.
* Prior exposure to the Veeva Vault Platform.
* Background in software development or computer science.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\#LI\-Remote
\#LI\-MidSenior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
Work Where It’s Best for You
Work Anywhere means you can work in an office or at home on any given day. It’s about getting the work done in the way and place that works best for each person. This applies across all locations and departments.
Work Anywhere does not mean work at any time. We have predictable core hours where employees are generally available for meetings and collaboration. Employees are focused and available during core hours.
We invest in our offices to make them places where our employees like to go. If you work in the office three or more days a week, you will have a dedicated office workspace. Our offices function as hubs to draw people in, create social bonds, and where random connections and mixing of ideas happen. We’re investing more in offices, culture, and offsite meetings, not less.
Product teams are organized in regional product hubs for optimal collaboration and live within a time zone of their hub. Our current product hubs are located in Pleasanton, Columbus, Boston, Kansas City, New York City, Raleigh, and Toronto. We create opportunities for teams to get together in person regularly.
Customer\-facing roles, such as Sales and Professional Services, live near and/or travel to their customers.
When an employee moves within a country it does not cause a change in salary. Where you live impacts you and your family. Not knowing if your compensation will change if you move can cause stress and uncertainty for everyone. We wanted to eliminate that.
Work at Veeva. Work where it’s best for you.</t>
        </is>
      </c>
    </row>
    <row r="47">
      <c r="A47" t="inlineStr">
        <is>
          <t>in-5421fef2f75bdfed</t>
        </is>
      </c>
      <c r="B47" t="inlineStr">
        <is>
          <t>Water Treatment Product Manager</t>
        </is>
      </c>
      <c r="C47" t="inlineStr">
        <is>
          <t>Navien, Inc.</t>
        </is>
      </c>
      <c r="D47" t="inlineStr">
        <is>
          <t>indeed</t>
        </is>
      </c>
      <c r="E47" t="inlineStr"/>
      <c r="F47" t="inlineStr"/>
      <c r="G47" t="inlineStr">
        <is>
          <t>Irvine, CA, US</t>
        </is>
      </c>
      <c r="H47" s="2" t="n">
        <v>46057</v>
      </c>
      <c r="I47" t="inlineStr">
        <is>
          <t>**Product Manager – Water Treatment**
Product Management
Irvine, CA
Full\-time
**What We Are Looking For**The ideal candidate for this position should have an extensive background in the water treatment industry. They are driven by trying to make things better, including products, processes, and communications. They must be able to manage and oversee products, processes, and a team of individuals working towards the same goals. The Product Manager must also be capable of developing goals for current and new products in the market. Essential attributes include excellent communication and interpersonal skills, and an ability to multitask and remain focused in high\-pressure situations. This person must also be willing to look at problems from a new perspective, setting aside preconceived ideas of how things should work.
**Responsibilities:**
* The product manager must be the point person for the company for their products, acting as the subject matter expert, and organizing and facilitating communication among all departments
* Assist in Development of Market\-Specific Promotional Collateral, Demonstrations, and Tutorials
* Work with cross\-functional teams, including marketing, product development, technical and sales operations
* Work with Marketing to create high\-impact internal and customer\-facing materials, communicating the value and unique advantages of the product portfolio
* Conduct ongoing market research and stay knowledgeable about industry trends. Provide business analysis of varying markets to support new product development requests
* Lead competitive benchmarking activities to identify and address product gaps (customer surveys, online research, other benchmarking methodologies, VOC etc.)
* Work with all levels of distribution chain both remotely and in person to gather market data needed to develop, enhance, or market Navien products
* Develop market requirements documents to create a business case for products
* Work with other staff and departments to integrate product families and accessories to provide hybrid solutions for Navien products, including cross channel functional products
* Provide reporting as required to update and support management on the state of the industry and Navien products
* Research and enroll in various awards continuously for the entire product portfolio
* Collaborate closely with parent company KD Navien’s engineering and business teams on product development requirements and business needs
* Collaborate with other departments such as Engineering, Manufacturing, Purchasing, Quality, Marketing, Finance, Sales to ensure profitable growth of the product portfolio and successful execution of various product development projects
* Establish and manage relationships with potential OEM suppliers to ensure product quality, competitiveness, market relevance for all of Navien’s water treatment products
* Coordinate with marketing, product management, sales, business development, and SCM to ensure successful product lifecycle management
* Provide product leadership at customer and internal events \&amp; meetings
* Lead various cross\-functional teams in product planning requiring in\-house and field onboarding
* Assist product development with current and future products
* Lead cross functional teams in new product launches for all online/offline channels
* Co\-develop product positioning and messaging that differentiates our products in the market
**Requirements:**
* Bachelor’s degree in marketing, business, engineering, or related field with water treatment or water quality certification(s)
	+ OR \- Must have 5 years of water treatment product experience in marketing, engineering, or product management
* Must have 2 years of product lifecycle experience, managing/evaluating product lifecycle from concept through end\-of\-life
* Self\-starter with excellent time management and communication skills
* Experience working with Microsoft Office products, including Word, Excel and PowerPoint
* High level of presentation/public speaking skills and strong customer service skills
* Ability to drive/travel – up to 30% out of town travel may be required. (5% international travel)
* Strong verbal communication and writing skills
* The ability to manage several projects at once under deadline pressure is also essential
* An ability to understand, research, write and deliver summaries on a range of business issues
**Preferred Qualifications:**
* Applicable specific certifications in the water treatment industry
* Experience working with a manufacturer and bringing a product to market
* A background in research and development
* High level of understanding of the water quality industry and relationship to the plumbing industry
* Strong critical thinking and analysis abilities
* An above average understanding of the water treatment sales channels
This job description is not designed to cover or contain a comprehensive listing of activities, duties or responsibilities that are required of the employee. Other duties, responsibilities, activities may change or be assigned at any time with or without notice.
**Pay Scale: $110,000 \- $120,000 Base Salary DOE \+ Annual Bonus Opportunity!**
**Benefits:**
* PPO Medical, Dental, Ortho, Vision, Rx, LTD and Life Insurance
* Employee\-only premium covered at **100%**
* Optional Voluntary Benefits: STD, Hospital, Critical Illness, Accident, Discounted Pet Insurance
* Pre\-Tax Flex Spending Accounts: Health and/or Dependent Care
* 11\.5 Paid Holidays per calendar year
* Paid Community Involvement Volunteer Day
* 401K Plan, 100% match on employee’s contribution, up to 5%
* Employee discounts on Navien products
* Discounted Tickets\-hotels, amusement parks, sports events
***About Navien, Inc.***
Since 2006, Navien, Inc. has rapidly emerged as one of the fastest\-growing companies in the home comfort sector across North America. A leader in condensing technology, Navien has revolutionized the industry with its line of high\-efficiency condensing tankless water heaters, combi\-boilers, and wall\-hung boilers. In 2024, Navien was recognized as the number one selling manufacturer of gas tankless water heaters and wall\-hung boilers in North America.
Expanding its offerings, Navien now boasts a full line of HVAC products, including the innovative NPF Hydro\-furnace. Additionally, Navien has ventured into the heat pump water heater market, further solidifying its commitment to sustainable and energy\-efficient solutions for home comfort. The company is also making strides in the water treatment space with cutting\-edge scale prevention systems and whole\-house filtration solutions.
Navien’s international reputation is built on sophisticated engineering, robust design, and a steadfast commitment to quality. Backed by over 40 years of advanced technology expertise from its parent company, KD Navien, the company continues to push boundaries in product development. Navien products are available across the United States and Canada through a select network of trusted wholesale distributors.
**Navien Inc. is an Equal Opportunity Employer**
**No Agencies Please!**</t>
        </is>
      </c>
    </row>
    <row r="48">
      <c r="A48" t="inlineStr">
        <is>
          <t>in-ad9f86005cb9eb3f</t>
        </is>
      </c>
      <c r="B48" t="inlineStr">
        <is>
          <t>Senior Product Manager</t>
        </is>
      </c>
      <c r="C48" t="inlineStr">
        <is>
          <t>CVS Health</t>
        </is>
      </c>
      <c r="D48" t="inlineStr">
        <is>
          <t>indeed</t>
        </is>
      </c>
      <c r="E48" t="inlineStr"/>
      <c r="F48" t="inlineStr"/>
      <c r="G48" t="inlineStr">
        <is>
          <t>Young, AZ, US</t>
        </is>
      </c>
      <c r="H48" s="2" t="n">
        <v>46057</v>
      </c>
      <c r="I48"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Health’s Analytics \&amp; Behavior Change (A\&amp;BC) is an organization working to solve some of the most challenging problems at the intersection of technology and healthcare. A\&amp;BC leverages advanced analytics, machine learning, modeling, and a hypothesis\-driven approach to transform data into actionable, customer\-centric insights to drive growth, improve health outcomes and access to health care across all our businesses in CVS Health. Our data teams build next generation data and machine learning platforms and products in the cloud that help power CVS Health to make healthier happen for 100\+ million customers.
The A\&amp;BC organization is looking to grow its Strategy \&amp; Product team. Join us as we embark on an exciting journey to drive a transformational shift in how CVS Health leverages technology and analytics to become the leader in consumer healthcare in the U.S. As a Senior Product Manager within A\&amp;BC, you will be responsible for leading the development and launch of analytic powered applications for internal and external users. This role requires a strong understanding of product management, data analytics and business strategy. The ideal candidate will be able to work effectively with cross\-functional teams to bring data\-driven products to market. Additionally, as a Senior Product Manager, you will support the dissemination of best practices (design thinking, agile methodologies and more) to support A\&amp;BC in its digital transformation.
Responsibilities:
* Develop user stories, acceptance criteria, and detailed product specifications to communicate feature requirements to Data Science, Engineering, Stakeholder teams
* Support Engineering and Data Science teams to implement features by clarifying requirements, facilitating technical discussions, and helping technical team members to understand users and the business
* Facilitate problem solving and prioritization across teams, factoring in trade\-offs between speed, scalability, and quality
* Conduct user research, usability testing, and competitive analysis to inform product decisions and validate hypotheses
* Collaborate with designers to create UX flows, wireframes and product designs
* Define, monitor and analyze product performance metrics, identifying opportunities for improvement and optimization
* Draft, refine and communicate business cases to key stakeholders to obtain input and buy\-in
* Work with customers, end users, GTM and other stakeholders to continuously evolve the roadmap
* Clarify and coordinate dependencies with other product teams and stakeholders, and mitigate the risks and dependencies proactively
* Support the establishment and maintenance of release\-management, product planning and launch frameworks
* Develop and execute strategies for proactive user support and issue resolution
* Demonstrate and support dissemination of best practices for product management, product development, release management and user support
* Champion Agile methodologies and lean practices in product development
 **Required Qualifications**
* 4\+ years' experience working cross\-functionally with Engineering teams
* 3\+ years' Product Management or Product Management\-adjacent experience (Closely partnering with Engineers)
* 3\+ years' experience communicating technical concepts and implications to business stakeholders and customers as well as business concepts and requirement to Data Science, Engineering, and other technical teams
* 3\+ years' experience working with user experience design and testing methodologies
* 3\+ years' experience in stakeholder management
* 3\+ years managing all aspects of a successful product throughout its lifecycle
* 2\+ years' experience working with Data Science concepts
* 2\+ years' experience driving outcomes in a complex environment
 **Preferred Qualifications**
* Proven track record of managing all aspects of a successful analytics product throughout its lifecycle in Enterprise products context
* Deep knowledge of various types of healthcare data, including strong grasp of data nuances, common use cases, and limitations, with experience in common analytics tools
* Demonstrated ability to succeed in a complex environment and influence adoption of new thinking and find innovation opportunities
* Strong interest in the Healthcare and Pharmaceutical sector
 **Education**
* Bachelor's degree in Computer Science, Engineering, Data Science, Analytics, Mathematics, Physics, Applied Sciences, or a related field
**Pay Range**
The typical pay range for this role is:
$118,450\.00 \- $236,900\.00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02/11/2026
Qualified applicants with arrest or conviction records will be considered for employment in accordance with all federal, state and local laws.</t>
        </is>
      </c>
    </row>
    <row r="49">
      <c r="A49" t="inlineStr">
        <is>
          <t>in-ef06b45a54c84fd1</t>
        </is>
      </c>
      <c r="B49" t="inlineStr">
        <is>
          <t>Product Owner - MDRS</t>
        </is>
      </c>
      <c r="C49" t="inlineStr">
        <is>
          <t>EPAM Systems</t>
        </is>
      </c>
      <c r="D49" t="inlineStr">
        <is>
          <t>indeed</t>
        </is>
      </c>
      <c r="E49" t="inlineStr"/>
      <c r="F49" t="inlineStr"/>
      <c r="G49" t="inlineStr">
        <is>
          <t>Remote, US</t>
        </is>
      </c>
      <c r="H49" s="2" t="n">
        <v>46057</v>
      </c>
      <c r="I49" t="inlineStr">
        <is>
          <t>EPAM is seeking a remote **Product Owner**, **MDRS**, to define and drive the vision, strategy, and roadmap for our MDR platform and related cybersecurity solutions. In this leadership role, you will oversee the product management organization and collaborate closely with engineering, sales, marketing, and service delivery teams to develop innovative MDR products that address evolving market needs and deliver measurable value to our customers. Candidates should be based in the Eastern United States.
Req.\#960449499
**Responsibilities**
* Define the overall product vision and long\-term roadmap for MDR solutions and supporting services
* Conduct market analysis to identify emerging threats, customer needs, and competitive trends in MDR and cybersecurity
* Establish product differentiation and positioning strategies to strengthen market leadership
* Develop and refine MDR capabilities such as threat detection, automation, incident response workflows, and integrations with SIEM, EDR, and SOAR tools
* Work closely with sales, marketing, and finance to align product strategy with revenue goals and go\-to\-market strategy
**Requirements**
* 10\+ years in product management, including at least 5\+ years in leadership roles in cybersecurity or SaaS security solutions
* Expertise in MDR, XDR, SIEM, EDR, SOAR, and SOC operations
* Strong understanding of the cybersecurity landscape, threat detection technologies, and cloud\-native architectures
* Proven success in scaling enterprise cybersecurity products and platforms
* Executive presence with experience engaging with customers, analysts, and internal leadership teams
* Bachelor’s degree in Computer Science, Information Security, or related field (MBA preferred)
**We offer**
* Medical, Dental and Vision Insurance (Subsidized)
* Health Savings Account
* Flexible Spending Accounts (Healthcare, Dependent Care, Commuter)
* Short\-Term and Long\-Term Disability (Company Provided)
* Life and AD\&amp;D Insurance (Company Provided)
* Employee Assistance Program
* Unlimited access to LinkedIn learning solutions
* Matched 401(k) Retirement Savings Plan
* Paid Time Off – the employee will be eligible to accrue 15\-25 paid days, depending on specific level and tenure with EPAM (accrual eligibility may change over time)
* Paid Holidays \- nine (9\) total per year
* Legal Plan and Identity Theft Protection
* Accident Insurance
* Employee Discounts
* Pet Insurance
* Employee Stock Purchase Program
* If otherwise eligible, participation in the discretionary annual bonus program
* If otherwise eligible and hired into a qualifying level, participation in the discretionary Long\-Term Incentive (LTI) Program
**This Remote Position Cannot be Performed in New York City.**
EPAM is a leading global provider of digital platform engineering and development services. We are committed to having a positive impact on our clients,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Engineer the Future with a Career at EPAM
This posting includes a good faith range of the salary EPAM would reasonably expect to pay the selected candidate. The range provided reflects base salary only. Individual compensation offers within the range are based on a variety of factors, including, but not limited to: geographic location, experience, credentials, education, training, the demand for the role; and overall business and labor market considerations. Most candidates are hired at a salary within the range disclosed. Salary range: *$180,000\-$248,000* USD. This position is also eligible for variable compensation incentives. In addition, the details highlighted in this job posting above are a general description of all other expected benefits and compensation for the position.
Applications will be accepted on a rolling basis.
In accordance with the LA County Fair Chance Ordinance, you may find a copy of the Notice containing a summary of the Ordinance’s key provisions here: Concept FCO Posting 8 27 24 (lacounty.gov)
It is unlawful in Massachusetts to require or administer a lie detector test as a condition of employment or continued employment. An employer who violates this law shall be subject to criminal penalties and civil liability.
EPAM will not provide new H\-1B visa sponsorship for this position. Candidates with existing transferable H\-1B status may be considered.</t>
        </is>
      </c>
    </row>
    <row r="50">
      <c r="A50" t="inlineStr">
        <is>
          <t>in-4385015afb9f1876</t>
        </is>
      </c>
      <c r="B50" t="inlineStr">
        <is>
          <t>Product Owner - MDRS</t>
        </is>
      </c>
      <c r="C50" t="inlineStr">
        <is>
          <t>EPAM Systems</t>
        </is>
      </c>
      <c r="D50" t="inlineStr">
        <is>
          <t>indeed</t>
        </is>
      </c>
      <c r="E50" t="inlineStr"/>
      <c r="F50" t="inlineStr"/>
      <c r="G50" t="inlineStr">
        <is>
          <t>Remote, US</t>
        </is>
      </c>
      <c r="H50" s="2" t="n">
        <v>46057</v>
      </c>
      <c r="I50" t="inlineStr">
        <is>
          <t>EPAM is seeking a remote **Product Owner**, **MDRS**, to define and drive the vision, strategy, and roadmap for our MDR platform and related cybersecurity solutions. In this leadership role, you will oversee the product management organization and collaborate closely with engineering, sales, marketing, and service delivery teams to develop innovative MDR products that address evolving market needs and deliver measurable value to our customers. Candidates should be based in the Eastern United States.
Req.\#960449499
**Responsibilities**
* Define the overall product vision and long\-term roadmap for MDR solutions and supporting services
* Conduct market analysis to identify emerging threats, customer needs, and competitive trends in MDR and cybersecurity
* Establish product differentiation and positioning strategies to strengthen market leadership
* Develop and refine MDR capabilities such as threat detection, automation, incident response workflows, and integrations with SIEM, EDR, and SOAR tools
* Work closely with sales, marketing, and finance to align product strategy with revenue goals and go\-to\-market strategy
**Requirements**
* 10\+ years in product management, including at least 5\+ years in leadership roles in cybersecurity or SaaS security solutions
* Expertise in MDR, XDR, SIEM, EDR, SOAR, and SOC operations
* Strong understanding of the cybersecurity landscape, threat detection technologies, and cloud\-native architectures
* Proven success in scaling enterprise cybersecurity products and platforms
* Executive presence with experience engaging with customers, analysts, and internal leadership teams
* Bachelor’s degree in Computer Science, Information Security, or related field (MBA preferred)
**We offer**
* Medical, Dental and Vision Insurance (Subsidized)
* Health Savings Account
* Flexible Spending Accounts (Healthcare, Dependent Care, Commuter)
* Short\-Term and Long\-Term Disability (Company Provided)
* Life and AD\&amp;D Insurance (Company Provided)
* Employee Assistance Program
* Unlimited access to LinkedIn learning solutions
* Matched 401(k) Retirement Savings Plan
* Paid Time Off – the employee will be eligible to accrue 15\-25 paid days, depending on specific level and tenure with EPAM (accrual eligibility may change over time)
* Paid Holidays \- nine (9\) total per year
* Legal Plan and Identity Theft Protection
* Accident Insurance
* Employee Discounts
* Pet Insurance
* Employee Stock Purchase Program
* If otherwise eligible, participation in the discretionary annual bonus program
* If otherwise eligible and hired into a qualifying level, participation in the discretionary Long\-Term Incentive (LTI) Program
**For remote work in New York City only.**
EPAM is a leading global provider of digital platform engineering and development services. We are committed to having a positive impact on our clients,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Engineer the Future with a Career at EPAM
This posting includes a good faith range of the salary EPAM would reasonably expect to pay the selected candidate. The range provided reflects base salary only. Individual compensation offers within the range are based on a variety of factors, including, but not limited to: geographic location, experience, credentials, education, training, the demand for the role; and overall business and labor market considerations. Most candidates are hired at a salary within the range disclosed. Salary range: *$180,000\-$248,000* USD. This position is also eligible for variable compensation incentives. In addition, the details highlighted in this job posting above are a general description of all other expected benefits and compensation for the position.
Applications will be accepted on a rolling basis.
It is unlawful in Massachusetts to require or administer a lie detector test as a condition of employment or continued employment. An employer who violates this law shall be subject to criminal penalties and civil liability.
EPAM will not provide new H\-1B visa sponsorship for this position. Candidates with existing transferable H\-1B status may be considered.</t>
        </is>
      </c>
    </row>
    <row r="51">
      <c r="A51" t="inlineStr">
        <is>
          <t>in-a204a1e948addde2</t>
        </is>
      </c>
      <c r="B51" t="inlineStr">
        <is>
          <t>Senior Technical Program Manager, Software Platform</t>
        </is>
      </c>
      <c r="C51" t="inlineStr">
        <is>
          <t>Dhara Consulting Group</t>
        </is>
      </c>
      <c r="D51" t="inlineStr">
        <is>
          <t>indeed</t>
        </is>
      </c>
      <c r="E51" t="inlineStr"/>
      <c r="F51" t="inlineStr"/>
      <c r="G51" t="inlineStr">
        <is>
          <t>Costa Mesa, CA, US</t>
        </is>
      </c>
      <c r="H51" s="2" t="n">
        <v>46057</v>
      </c>
      <c r="I51" t="inlineStr">
        <is>
          <t>Posted today
Secret
$166,000 \- $220,000
Unspecified
IT \- Software
Costa Mesa, CA (On\-Site/Office)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The Lattice Foundation group is seeking a Technical Program Manager (TPM) to help oversee the development and implementation of the core developer platform that enables our internal business lines to build on a software platform to deliver innovative defense products This role will support teams creating internal tools and platform abstractions that significantly enhance productivity, reliability, and scalability across the company. The TPM will partner with the team's Technical Leadership to coordinate the design, development, and deployment of our technical infrastructure, addressing technical challenges from compute technologies to high\-performance networking and scalable cloud solutions.  
The ideal candidate will have a strong background in software engineering, cloud computing, and program management, with experience in defense or aerospace industries. This role is crucial in advancing Anduril's mission to deliver cutting\-edge autonomous capabilities through virtual environments.  
WHAT YOU'LL DO:  
* Support the development of a comprehensive set of internal tools and platform abstractions that significantly enhance productivity, reliability, and scalability across the company
* Foster strong collaboration with cross\-functional stakeholders, including product managers, infrastructure teams, and engineering leadership
* Implement best practices for release management to most efficiently enable Anduril to leverage \&amp; move fast to deliver products.
* Coordinate cross\-functional teams to ensure architectural alignment between technical capabilities and product development needs
* Own coordination of infrastructure deployment across various environments
* Collaborate with internal stakeholders to aggregate user feedback and onboard new business line
REQUIRED QUALIFICATIONS:  
* Minimum of five years experience as a TPM in a high\-paced, software development environment.
* Have experience deploying software in cloud based and robotics environments
* Robust technical aptitude and an ability to understand technical designs, software development lifecycle, challenges, trade\-offs and risks; ability to work closely and effectively with engineering teams.
* Strong experience and familiarity in project management for software development; practical familiarity with a variety of methodologies and ability to apply them where best suited.
* Strong analytical skills, with the ability to use data and metrics to back up assumptions, recommendations and drive decisions.
PREFERRED QUALIFICATIONS:
* Have background in the platform or infrastructure space
* Familiarity with release management and software build systems.
* Familiarity with defense and aerospace systems, autonomy, or deploying robots.
* Experience shepherding larger infrastructure migrations
* Eligible to obtain and maintain an active U.S. Secret security clearance
* Ability to work within organizations with minimal structure and with minimal direction
* Professional certifications such as CISSP, OSCP, GIAC\-PEN, Prosci, SAFe or PMP
* Bachelor's Degree in Computer Science or an engineering discipline
US Salary Range  
$166,000 \- $220,000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 Anduril covers life and disability insurance for all employees.
* Generous time off :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 .
Create a Job Alert  
Interested in building your career at Anduril Industries? Get future opportunities sent straight to your email.  
Create alert**GROUP ID:** 91095925**R****Recruiter**
**APPLY NOW**</t>
        </is>
      </c>
    </row>
    <row r="52">
      <c r="A52" t="inlineStr">
        <is>
          <t>in-f7d71a5ad33893fd</t>
        </is>
      </c>
      <c r="B52" t="inlineStr">
        <is>
          <t>Senior Program Manager, Precision Engagement Systems</t>
        </is>
      </c>
      <c r="C52" t="inlineStr">
        <is>
          <t>Dhara Consulting Group</t>
        </is>
      </c>
      <c r="D52" t="inlineStr">
        <is>
          <t>indeed</t>
        </is>
      </c>
      <c r="E52" t="inlineStr"/>
      <c r="F52" t="inlineStr"/>
      <c r="G52" t="inlineStr">
        <is>
          <t>Costa Mesa, CA, US</t>
        </is>
      </c>
      <c r="H52" s="2" t="n">
        <v>46057</v>
      </c>
      <c r="I52" t="inlineStr">
        <is>
          <t>Posted today
Top Secret
$132,000 \- $198,000
Unspecified
IT \- Software
Costa Mesa, CA (On\-Site/Office)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Tactical Recon \&amp; Strike (TRS) is a division with two missions: 1\) build highly capable autonomous drones, and 2\) build solid rocket motors at scale. We transform products like Ghost, Anvil, Bolt, and Altius from early concepts into fully operational capabilities by partnering closely with specialist engineering, operations, and production teams. Through our Anduril Rocket Motor Systems (RMS) team, we design and manufacture solid rocket motors using advanced materials, proprietary formulations, and high\-volume production methods\-delivering safe, reliable propulsion systems that support a wide range of mission requirements. TRS hires software engineers \&amp; hardware engineers, who are excited to build across a diverse and powerful portfolio\-from autonomous aerial systems to high\-performance solid rocket motors. Our teams contribute to highly capable autonomous robotics systems and propulsion products that operate reliably in the most demanding mission environment.  
**ABOUT THE JOB**  
We are looking for a Program Manager to join our rapidly growing team in Costa Mesa. In this role, you will lead day\-to\-day coordination and execution of program initiatives and tasks \- working alongside the Chief Engineer and Product Managers to meet the program's administrative, technical, and operational requirements. You will be expected to utilize your technical aptitude in conjunction with your program and project management skills to deliver the best outcome for Anduril and the customer. This role will be oriented to establish full program ownership from initial proposal to end of contract support centered around Bolt, Anvil, new development products, and program of records.  
**WHAT YOU'LL DO**  
* Contract Management: Oversee contract execution, monitor compliance with terms, and manage renewals or amendments.
* Proposal Development: Lead the generation of proposals, including the Basis of Estimate (BOE), scope review, and cost analysis. Facilitate contract awards and initiate kick\-off activities.
* Customer Relations : Cultivate and maintain strong customer relationships, swiftly address any issues, and expand business opportunities with existing clients.
* Risk Assessment : Identify and track potential contractual risks, requiring mitigation plans from relevant departments.
* Performance Monitoring : Ensure service delivery and payment terms meet contractual expectations, track budget and cost performance, and manage invoicing and revenue.
* Event Coordination : Plan and execute demonstrations and events, ensuring alignment with company goals and successful outcomes.
* Project Management : Direct development and unique project efforts within the program, coordinating weekly meetings with the engineering team.
* Problem Resolution: Proactively address and resolve challenges to meet customer deliverables, escalating issues to leadership as necessary.
* Systems Engineering : Understand all program requirements in\-depth, ensuring effective communication and coordination among technical teams.
* Accountability Enforcement : Maintain momentum and hold internal teams accountable for meeting deadlines and expectations.
**SKILLS NEEDED**  
* Ownership : Responsible for tracking the program's major metrics \- meeting cost and schedule targets, on\-time reporting, and managing the customer relationship.
* Embed/Engage : Integrate closely with our clients \+ partners, understand their technical capabilities, challenges and gaps to help inform how to adapt Anduril's platforms to meet key objectives.
* Build/Orchestrate : Work directly with Anduril engineers to support customer testing; coordinate and execute operational demonstrations.
* Plan : Coordinate tasking with technical and operational staff to ensure timely delivery of support to the program. Prepare weekly, bi\-weekly, monthly, etc. reporting as required. Regularly report program status updates to customers, the program team, and Anduril senior management.
* Deliver : Drive the execution and outcome of projects and programs assigned to you.
**REQUIRED QUALIFICATIONS**  
* BS/BA in a technical field plus 5 years or more of professional experience
* Ability to create and deliver presentations in technical and programmatic reports to key leadership and customers
* Comfortable with setting and achieving goals in a dynamic and amorphous environment
* Adaptive and introspective; willing to learn, teach, lead and follow
* Capable of driving coordination, collaboration, and communication across cross\-functional teams in order to achieve successful, time\-critical outcomes
* Comfortable working in limited resource environments
* Must be able to obtain and hold a U.S. Top Secret security clearance
* Ability to travel 25 \- 50% as needed.
**PREFERRED QUALIFICATIONS**  
* Science or Engineering discipline strongly preferred
* Current TS clearance strongly preferred
* Significant customer\-facing experience leading high profile and high stakes programs, including strong interpersonal skills
* Experience working on mission critical DOD systems
* Experience building and managing cross\-functional teams focused around a common vision
US Salary Range  
$132,000 \- $198,000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 Anduril covers life and disability insurance for all employees.
* Generous time off :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 .
Create a Job Alert  
Interested in building your career at Anduril Industries? Get future opportunities sent straight to your email.  
Create alert**GROUP ID:** 91095925**R****Recruiter**
**APPLY NOW**</t>
        </is>
      </c>
    </row>
    <row r="53">
      <c r="A53" t="inlineStr">
        <is>
          <t>in-0fd312ded66fc5e0</t>
        </is>
      </c>
      <c r="B53" t="inlineStr">
        <is>
          <t>Senior Manager, Product Manager: Capital One Shopping (Remote-Eligible)</t>
        </is>
      </c>
      <c r="C53" t="inlineStr">
        <is>
          <t>Capital One</t>
        </is>
      </c>
      <c r="D53" t="inlineStr">
        <is>
          <t>indeed</t>
        </is>
      </c>
      <c r="E53" t="inlineStr"/>
      <c r="F53" t="inlineStr"/>
      <c r="G53" t="inlineStr">
        <is>
          <t>McLean, VA, US</t>
        </is>
      </c>
      <c r="H53" s="2" t="n">
        <v>46056</v>
      </c>
      <c r="I53" t="inlineStr">
        <is>
          <t>Senior Manager, Product Manager: Capital One Shopping (Remote\-Eligible)
We are looking for a Product Manager to join our growing team in Capital One Shopping. If you have a remarkable ability to use data to tell a story, form a hypothesis and define metrics to identify the success of product initiatives \- this is the role for you!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We're looking for a Product Manager with a demonstrated interest and aptitude for AI. While formal on\-the\-job experience with AI is a plus, we highly value candidates who have proactively incorporated AI into their personal projects, explored AI\-driven development environments (e.g., Cursor, GitHub Copilot), or built automations using AI agents. Show us how you've used AI to learn, build, and solve problems beyond basic text generation.
What we are looking for:
* A knowledge and passion for emerging technologies (API's, Big Data, Native UI's) to incorporate into building great products
* Use SQL to build a data\-back strategy, identify insights, and troubleshoot issues
* Own day to day setting and monitoring of KPIs \- requires strong SQL/data analysis skills
* Someone comfortable with backend products who is not afraid to challenge the norm and do what is right for the team
* Proficiency in handling large data files using SQL, Python, and/or R
* Own day to day operations of product, including identifying bugs or leverage opportunities via comprehensive understanding of data
* A product centric mindset to take a product from ideation to production and continually iterate improvements
* A customer\-first mindset
* A strategic thought leader who can create a compelling vision and story to present to senior executives and inspire direct and partner teams
* A strong communicator who can advance initiatives and create consensus through clear, concise, and contextually relevant messaging
* Creating and maintaining a healthy team culture through thoughtful leadership
* Results focused and able to manage and prioritize multiple projects simultaneously
* Identify, prioritize, and launch innovative, merchant focused products that drive revenue and customer value
What you’ll do:
* Lead multiple teams of software and data engineers to design and deliver data platform features for internal users
* Understand the enterprise data requirements and ensure the system’s compliance with enterprise patterns
* Relentlessly push to understand user and stakeholder needs and ensure they are considered in prioritization and trade\-off discussions
* Create a vision and roadmap for your product that addresses stakeholder needs
* Partner with analysts, data scientists, designers, engineers, and others to continuously refine the roadmap and harvest insights from experiments and product launches
* Build and maintain strong relationships with leaders and stakeholders that depend on the capabilities and performance of our platforms
* Define, socialize, and monitor key performance indicators to understand the evolution and success of the project
Basic Qualifications:
* At least 5 years of experience working in Product Management
* At least 5 years experience working with SQL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Capital One is open to hiring a Remote Employee for this opportunity.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$219,000 \- $249,900 for Sr. Mgr, Product Management  
Remote (Regardless of Location): $182,500 \- $208,300 for Sr. Mgr, Product Management  
McLean, VA: $200,700 \- $229,100 for Sr. Mgr, Product Management  
San Francisco, CA: $219,000 \- $249,900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4">
      <c r="A54" t="inlineStr">
        <is>
          <t>in-f8cab675bdb5a9e4</t>
        </is>
      </c>
      <c r="B54" t="inlineStr">
        <is>
          <t>Product Manager, Global Payment Network</t>
        </is>
      </c>
      <c r="C54" t="inlineStr">
        <is>
          <t>Capital One</t>
        </is>
      </c>
      <c r="D54" t="inlineStr">
        <is>
          <t>indeed</t>
        </is>
      </c>
      <c r="E54" t="inlineStr"/>
      <c r="F54" t="inlineStr"/>
      <c r="G54" t="inlineStr">
        <is>
          <t>Chicago, IL, US</t>
        </is>
      </c>
      <c r="H54" s="2" t="n">
        <v>46056</v>
      </c>
      <c r="I54" t="inlineStr">
        <is>
          <t>Product Manager, Global Payment Network**Manager, Product Management (PXDP50\)**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With Capital One’s acquisition of Discover, Product at Capital One is on a mission to transform Global Payment Network. It encompasses the relationships, technologies, and processes that facilitate the movement of money for Capital One's card, banking, and commercial products across both domestic and international rails. For Product Managers, understanding and strategically managing the GPN is essential for maximizing customer value, optimizing costs, driving innovation in payments, and ensuring compliance.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$149,800 \- $171,000 for Manager, Product Management  
McLean, VA: $164,800 \- $188,100 for Manager, Product Management  
New York, NY: $179,700 \- $205,100 for Manager, Product Management  
Riverwoods, IL: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5">
      <c r="A55" t="inlineStr">
        <is>
          <t>in-f4c3e71198f94493</t>
        </is>
      </c>
      <c r="B55" t="inlineStr">
        <is>
          <t>Senior Program Manager</t>
        </is>
      </c>
      <c r="C55" t="inlineStr">
        <is>
          <t>MTSI</t>
        </is>
      </c>
      <c r="D55" t="inlineStr">
        <is>
          <t>indeed</t>
        </is>
      </c>
      <c r="E55" t="inlineStr"/>
      <c r="F55" t="inlineStr"/>
      <c r="G55" t="inlineStr">
        <is>
          <t>Huntsville, AL, US</t>
        </is>
      </c>
      <c r="H55" s="2" t="n">
        <v>46056</v>
      </c>
      <c r="I55" t="inlineStr">
        <is>
          <t>MTSI is seeking a highly motivated and experienced **Senior Director Program Manager** to lead complex programs and initiatives across the organization. This role requires expertise in program management, leadership, and strategic planning to drive successful program execution while ensuring alignment with organizational goals and objectives. The Senior Director will oversee multidisciplinary teams, manage resources, and ensure program deliverables are met on time and within budget. **Key Responsibilities*** Lead and oversee multiple complex programs, ensuring alignment with strategic goals and objectives.
* Develop and manage program plans, objectives, schedules, budgets, and deliverables.
* Act as the primary point of contact for internal and external stakeholders.
* Foster strong relationships with customers, partners, and cross\-functional teams.
* Define program objectives, success criteria, and key performance indicators.
* Identify and manage risks, resolving issues proactively to ensure program success.
* Mentor and guide program teams, fostering collaboration and ensuring efficient execution.
* Coordinate across departments to allocate resources effectively.
* Track program performance and provide regular updates to executive leadership.
* Recommend process improvements and innovations to enhance overall program effectiveness.
 **Required Qualifications*** US citizenship and Secret level clearance required with the ability to obtain a TS.
* Bachelor’s degree in business, Engineering, Management, or related field and 20\+ years of experience or master’s degree and 12\+ years of experience.
* Experience in program management and proven success managing large\-scale programs in a dynamic and fast\-paced environment.
* Strong organizational, problem\-solving, and decision\-making skills.
* Exceptional communication and interpersonal skills, with the ability to manage relationships at all levels.
* Proficiency in project management tools and methodologies (e.g., Agile, PMP, Six Sigma).
 **Preferred Qualifications*** Experience managing DoD or government contracts.
* Certification in Program Management (e.g., PMP, PgMP).
* Familiarity with \[industry\-specific tools/processes, e.g., Earned Value Management (EVM)].
\#LI\-JJ1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t>
        </is>
      </c>
    </row>
    <row r="56">
      <c r="A56" t="inlineStr">
        <is>
          <t>in-967246da8380b05c</t>
        </is>
      </c>
      <c r="B56" t="inlineStr">
        <is>
          <t>Sr Technical Program Manager</t>
        </is>
      </c>
      <c r="C56" t="inlineStr">
        <is>
          <t>Oracle</t>
        </is>
      </c>
      <c r="D56" t="inlineStr">
        <is>
          <t>indeed</t>
        </is>
      </c>
      <c r="E56" t="inlineStr"/>
      <c r="F56" t="inlineStr"/>
      <c r="G56" t="inlineStr">
        <is>
          <t>US</t>
        </is>
      </c>
      <c r="H56" s="2" t="n">
        <v>46056</v>
      </c>
      <c r="I56" t="inlineStr">
        <is>
          <t>The Strategic Customers Engineering organization within Oracle Cloud Infrastructure (OCI) sits at the center of the fastest\-growing and most technically demanding part of the cloud: building at scale for the world’s leading AI innovators. We are looking for a Technical Program Manager who thrives in complexity, moves with urgency, and brings people together to deliver outcomes that matter. This is a role for someone who doesn’t just track work but drives it. Someone who brings clarity where there is ambiguity, momentum where there is friction, and alignment where there are competing priorities.
In this role, you will:
* Work to drive Rhythm of the Business activities
* Drive organizational success
* Bring teams across OCI toward a unified north star, ensuring alignment, visibility, and progress across all stakeholders.
* Serve as the connective tissue between teams, identifying gaps early, removing blockers, and maintaining steady execution.
* Build trusted partnerships with senior engineering and business leaders to drive initiatives forward with confidence.
**Who You Are**
You’re someone who:
* Has a bias for action and doesn’t hesitate to roll up your sleeves to move a program forward.
* Has a technical foundation that allows you to function in a highly technical environment while driving business activities
* Loves working across large organizations and can bring people together around shared goals.
* Embraces a growth mindset, learns fast, and approaches AI infrastructure with curiosity.
* Thrives in a space that is fast\-moving, cross\-cutting, and deeply collaborative.</t>
        </is>
      </c>
    </row>
    <row r="57">
      <c r="A57" t="inlineStr">
        <is>
          <t>in-f672c399c612a7f3</t>
        </is>
      </c>
      <c r="B57" t="inlineStr">
        <is>
          <t>Talent Acquisition Program Manager</t>
        </is>
      </c>
      <c r="C57" t="inlineStr">
        <is>
          <t>Oracle</t>
        </is>
      </c>
      <c r="D57" t="inlineStr">
        <is>
          <t>indeed</t>
        </is>
      </c>
      <c r="E57" t="inlineStr"/>
      <c r="F57" t="inlineStr"/>
      <c r="G57" t="inlineStr">
        <is>
          <t>US</t>
        </is>
      </c>
      <c r="H57" s="2" t="n">
        <v>46056</v>
      </c>
      <c r="I57" t="inlineStr">
        <is>
          <t>We are seeking a dedicated and experienced professional to join our team as a Data Center Recruiting Program Manager, driving Oracle’s Data Center hiring initiatives. This role offers an exciting opportunity to significantly impact our organization’s growth, hiring efficiency, and talent acquisition within our Data Center operations.
Responsibilities:
* Manage and oversee Data Center recruiting programs, focusing on critical hiring initiatives for Oracle’s Cloud Infrastructure (OCI) Data Center teams.
* Develop and implement strategies to attract and recruit highly skilled talent—including Critical Facilities Engineers, Data Center Technicians, and Operations Personnel—to ensure a robust candidate pipeline.
* Plan and execute Data Center recruitment events, career fairs, and information sessions, both virtually and in\-person.
* Partner closely with Data Center Operations leadership teams to understand their hiring needs and provide qualified candidates in a timely manner.
* Screen and pre\-qualify potential applicants, conducting initial interviews and assessments to evaluate their suitability for Data Center roles.
* Guide and mentor hiring managers on Data Center recruitment best practices, process efficiency, and evolving talent market trends.
* Collaborate with the HR team to ensure a seamless onboarding process for new Data Center hires and provide ongoing support throughout their transition.
* Analyze recruitment metrics and trends, presenting data\-driven insights to continuously improve Data Center hiring strategies.
Stay updated on industry hiring best practices and workforce trends for Data Centers, identifying new opportunities to enhance Oracle’s talent acquisition efforts.  
* 
Requirements:
* A minimum of 6 years of experience in recruiting, talent acquisition, or human resources, with a strong focus on technical or operations hiring programs.
* Solid understanding of Data Center operations and familiarity with technical/operations workforce requirements.
* Excellent interpersonal and communication skills, with the ability to build relationships with both internal teams and external talent sources.
* Outstanding organizational and project management abilities, with experience managing multiple recruitment initiatives.
* Proficiency in recruitment software, applicant tracking systems, and Microsoft Office Suite.
* A self\-starter with a proactive approach, able to work independently and drive results.
Ability to adapt and thrive in a fast\-paced, dynamic work environment.  
* 
Oracle is dedicated to shaping the future of technology through exceptional talent. If you have a background in Data Center or technical recruiting and are ready to make a difference, we encourage you to apply for this Data Center Recruiting Program Manager role. We offer a competitive benefits package and the chance to work with a collaborative, global team.</t>
        </is>
      </c>
    </row>
    <row r="58">
      <c r="A58" t="inlineStr">
        <is>
          <t>in-958596f7898813a4</t>
        </is>
      </c>
      <c r="B58" t="inlineStr">
        <is>
          <t>Senior Program Manager, Systems, Data Governance, Analytics &amp; Reporting, Project Controls</t>
        </is>
      </c>
      <c r="C58" t="inlineStr">
        <is>
          <t>Oracle</t>
        </is>
      </c>
      <c r="D58" t="inlineStr">
        <is>
          <t>indeed</t>
        </is>
      </c>
      <c r="E58" t="inlineStr"/>
      <c r="F58" t="inlineStr"/>
      <c r="G58" t="inlineStr">
        <is>
          <t>US</t>
        </is>
      </c>
      <c r="H58" s="2" t="n">
        <v>46056</v>
      </c>
      <c r="I58" t="inlineStr">
        <is>
          <t>Oracle's Data Center Organization is seeking a Data Center Project Controls Senior Program Manager with expertise in project control to join our growing team as we aim to enhance our project management capabilities. With the rapid expansion of Oracle's data center footprint, we are committed to improving our project tracking and control processes to ensure timely and efficient deliveries for our customers.
The Senior Program Manager will play a critical role in establishing and supporting the Project Controls function, which is responsible for monitoring and managing various aspects of data center projects, including cost, schedule, risk, and performance. This position requires a highly organized and detail\-oriented individual with strong program management skills and experience in project control tools and methodologies.
**Responsibilities:** **Systems Ownership \&amp; Governance**
* Support the end\-to\-end governance of Project Controls systems, including Primavera Cloud and Oracle Unifier.
* Configuration of systems to enforce global standards for schedule, cost, change, forecasting, reporting, and controls.
* Support business system owner, accountable for system configuration, usage standards, and lifecycle management.
* Establish decision rights, approval hierarchies, and change\-control processes for both system and AI\-related enhancements.
* Protect system integrity by prioritizing requirements and explicitly declining low\-value or high\-risk requests.
**Process Improvements**
* Analyze end\-to\-end data center construction processes to identify gaps, bottlenecks, and opportunities for optimization.
* Lead development and implementation of standardized workflows, templates, and best practices across programs and regions
* Drive continuous improvement initiatives focused on schedule predictability, cost control, change management, and risk mitigation.
* Partner with Project Controls to improve forecasting accuracy, reporting consistency, and KPI adoption.
* Facilitate cross\-functional workshops (Lean, lessons learned, retrospectives) to capture insights and convert them into actionable improvements.
* Support change management and adoption of new tools, systems, and processes across delivery teams
* Track and report measurable outcomes of process improvements (time savings, cost avoidance, risk reduction)
* Ensure alignment with governance, compliance, and enterprise standards while maintaining flexibility for regional execution.
**Data Quality, Reporting \&amp; Controls Accountability**
* Analyze and support the quality, integrity, and consistency of schedule, cost, and forecast data across systems and AI\-enabled outputs.
* Ensure CAPEX/OPEX cost reporting is accurate, auditable, and aligned to executive expectations.
* Support global reporting for the data\-center fleet, specific to data\-center fit\-out programs.
* Establish validation rules, data controls, and exception management processes across both traditional reporting and AI\-generated insights.
**Stakeholder Management**
* Support senior leadership by delivering clarity, discipline, and reliable insight.
* Manage competing global priorities while maintaining governance and data integrity.
* Communicate complex system and AI concepts clearly to non\-technical stakeholders.
**Requirements:**
* 8\+ years of experience in project controls or a similar Project Management field.
* Familiarity with float management, critical path method (CPM), and sequencing logic.
* Strong communication skills: ability to synthesize complex data into clear updates for internal and external stakeholders.
* Strong understanding of project management principles, including cost, schedule, risk, and change management.
* Work closely with project managers and stakeholders to align project control efforts.
* Proficiency in creating and analyzing project KPIs and performance reports.
* Excellent data analysis and reporting skills, with the ability to interpret complex data and communicate insights effectively.
* A bachelor’s degree in a relevant field such as Project Management, Engineering, or a related discipline.
* Ability to work independently and manage multiple projects simultaneously in a fast\-paced environment.
* Experience with data centers, high\-tech infrastructure, or mission\-critical facilities strongly preferred.
* Demonstrated ability to identify and implement process improvements that enhance the efficiency, accuracy, and scalability of project controls functions. Ideal candidates proactively analyze workflows, recommend refinements, and contribute to building a healthy, iterative project controls environment.
* PMP or other related certifications are a plus.</t>
        </is>
      </c>
    </row>
    <row r="59">
      <c r="A59" t="inlineStr">
        <is>
          <t>in-ef8739f74825abcb</t>
        </is>
      </c>
      <c r="B59" t="inlineStr">
        <is>
          <t>Program Manager-Education Operations</t>
        </is>
      </c>
      <c r="C59" t="inlineStr">
        <is>
          <t>Mayo Clinic</t>
        </is>
      </c>
      <c r="D59" t="inlineStr">
        <is>
          <t>indeed</t>
        </is>
      </c>
      <c r="E59" t="inlineStr"/>
      <c r="F59" t="inlineStr"/>
      <c r="G59" t="inlineStr">
        <is>
          <t>Rochester, MN, US</t>
        </is>
      </c>
      <c r="H59" s="2" t="n">
        <v>46056</v>
      </c>
      <c r="I59"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The Program Manager will oversee the strategic objectives and assist with building infrastructure for the enterprise wide Mayo Clinic College of Medicine and Science or educational program. The Program Manager provides leadership, management and direction, and is responsible for multiple operational functions within, but not limited to, Admissions, Academic Affairs, Faculty Affairs, Student Affairs, Reporting \&amp; Analytics and Administration/Dean Support. Manages unit staffing and performance management; coordinates resources and work load to achieve objectives and strategies. Works with Education and Administrative leadership in development of strategic plans, budgets (work unit and programmatic) and process improvements. Manages partnerships with affiliated national/international consortium or program members. Provides consultative expertise regarding policy and/or accreditation questions to Deans, faculty, administrative and support staff. Independently leads problem\-solving and decision\-making activities, within the program scope and change management process assessing risks and actions to accomplish program objectives. Continually evaluates work unit processes and procedures for effectiveness and efficiency and implements quality improvement efforts. Participates grant submission and renewal processes as needed. Facilitates meetings, maintains active role on administrative and executive committees, task forces and acts as a "change agent" for the unit(s). Acts as a mentor for the supervisors and staff within the unit(s). Initiates and maintains positive working relationships with internal and external customers.. Directs and controls the activities of large/mega/major/complex/business critical programs having overall responsibility for planning, budgeting, implementing and maintaining costs, methods and employees. Accountable for the achievement of program goals, objectives, budget and timelines. Determines and establishes organizational structures and supervisory relationships, subject to leadership approval. Manages multiple and/or high complex programs and deals with many educational programs both within and outside of Mayo and also internationally with global initiatives. Develops program strategy, program planning, implementation and program metrics. Ensures high quality and minimum program costs by implementing and maintaining a quality management program across all programs responsible for. Decisions would affect the financial, employee, or public relations posture of Mayo or the college.
This position will focus on Live/Livestream CME events and Global Professional Education.
 **This position is a combination of remote and on\-site work; individual must live within driving distance to the Rochester Mayo Clinic campus.**
**\*\*Visa sponsorship is not available for this position. Also, Mayo Clinic DOES NOT participate in the F\-1 STEM OPT extension program.**
 **Qualifications**  
Bachelor's degree in management, business administration, health care administration, education or related field with a minimum of 6 years of related experience; OR Master's degree in education, management, business administration, health care administration, or related field with a minimum of 2 years management or related experience required. Working knowledge of program management, data management, computer/related systems are required.  
Must have demonstrated competencies in strategic and systems thinking, business acumen, decision making, leading people, change management, global thinking, influence without authority, communication, conflict resolution, process and systems change and operations. Demonstrated project management and knowledge of continuous improvement methods. Must have the ability to independently manage a varied workload of projects and assignments with multiple priorities in a rapidly changing environment. Will need to take initiative to develop and implement innovative solutions to issues with significant financial and operational impact to the work unit. Working knowledge and understanding of finance, budgeting, planning and human resource development is essential. Must have strong interpersonal skills with demonstrated effectiveness in management and group dynamics, including team problem solving skills. Excellent written and verbal communication skills, including presentation skills are required. Experience in undergraduate and graduate medical education highly preferred.
 **Exemption Status**  
Exempt  
**Compensation Detail**  
$93,392\.00 \- $140,129\.60 / year  
**Benefits Eligible**  
Yes  
**Schedule**  
Full Time  
**Hours/Pay Period**  
80  
**Schedule Details**  
Monday \- Friday, 8:00 a.m. \- 5:00 p.m.  
**Weekend Schedule**  
Occasional weekend courses do not exceed 10 a year.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  
**Recruiter**  
Pam Sivly</t>
        </is>
      </c>
    </row>
    <row r="60">
      <c r="A60" t="inlineStr">
        <is>
          <t>in-1607764ee5355e10</t>
        </is>
      </c>
      <c r="B60" t="inlineStr">
        <is>
          <t>Principal Site Program Manager, HBM</t>
        </is>
      </c>
      <c r="C60" t="inlineStr">
        <is>
          <t>Micron Technology</t>
        </is>
      </c>
      <c r="D60" t="inlineStr">
        <is>
          <t>indeed</t>
        </is>
      </c>
      <c r="E60" t="inlineStr"/>
      <c r="F60" t="inlineStr"/>
      <c r="G60" t="inlineStr">
        <is>
          <t>Richardson, TX, US</t>
        </is>
      </c>
      <c r="H60" s="2" t="n">
        <v>46056</v>
      </c>
      <c r="I60"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The HBM Site Program Manager will lead daily operations at the Richardson site. They will also set long‑term goals and ensure alignment with Micron’s High Bandwidth Memory (HBM) program objectives. This role integrates tactical site support, operational excellence, and program management of cross‑functional initiatives. The position is responsible for leading internal business projects involving multi‑disciplinary teams; planning and advising schedules and budgets; coordinating program tasks from inception through delivery; and, when needed, managing external vendor support. The HBM Site Program Manager enables site readiness, drives global HBM dependencies, develops executive‑level communications, manages headcount and financial models, and ensures operational compliance and continuity.
**Responsibilities**
====================
* Lead internal business projects and programs involving cross‑functional teams, managing schedules, budgets, task execution, and vendor oversight from project initiation through delivery.
* Develop and implement Richardson site strategies aligned with TPG and HBM goals, including site branding, remodels, operational upgrades, and engagement planning.
* Manage daily site support activities such as maintenance coordination, executive visits, team events, communications, and business continuity documentation.
* Support HBM leadership with high‑impact presentations, visual communication materials, and roadmap alignment for business reviews and decision‑making.
* Drive operational cadence for HBM dependencies, including resource planning, capital adjustments, quarterly business planning, achievement tracking, and financial performance updates.
* Build dashboards and reporting tools that monitor headcount ramps, program health, operational efficiency, and resource utilization using important metrics.
* Oversee program budgets, capacity planning, OpEx/CapEx cycles, headcount modeling, and discretionary spending to maintain financial and operational accuracy.
* Drive continuous improvement initiatives, workflow automation, compliance with Micron standards, and process efficiencies across site and program operations.
**Minimum Qualifications**
==========================
* Bachelor’s degree in Business, Operations Management, or a related field.
* 5\+ years of experience in business operations or program management, including managing cross‑functional initiatives and schedules/budgets.
* Strong collaboration skills across diverse functions and geographical locations.
* Ability to operate effectively in fast‑paced, ambiguous, start‑up–like environments.
* Proficiency in data analysis and reporting tools such as Excel, Power BI, and Workday reporting.
**Preferred Qualifications**
============================
* Bachelor’s or Master’s degree in Business, Engineering, Data Analytics, or related field.
* 5\+ years of experience in business operations, data analytics, business intelligence, or long\-term project development, with proficiency in SQL, data visualization tools (Power BI/Tableau), and AI\-based analysis.
* Experience with cloud data platforms (Snowflake, BigQuery, Azure Synapse), dashboard development, and translating business needs into analytical insights for executive collaborators.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61">
      <c r="A61" t="inlineStr">
        <is>
          <t>in-020f2a6bd49ddd12</t>
        </is>
      </c>
      <c r="B61" t="inlineStr">
        <is>
          <t>Retail Snack Program Manager</t>
        </is>
      </c>
      <c r="C61" t="inlineStr">
        <is>
          <t>Sodexo</t>
        </is>
      </c>
      <c r="D61" t="inlineStr">
        <is>
          <t>indeed</t>
        </is>
      </c>
      <c r="E61" t="inlineStr"/>
      <c r="F61" t="inlineStr"/>
      <c r="G61" t="inlineStr">
        <is>
          <t>Washington, DC, US</t>
        </is>
      </c>
      <c r="H61" s="2" t="n">
        <v>46056</v>
      </c>
      <c r="I61" t="inlineStr">
        <is>
          <t>Role Overview:
**Retail Snack Program Manager \- Corporate Services**
======================================================
We’re looking for a dynamic, highly organized, and creatively driven Retail Snack Program Manager to lead the strategy, execution, and daily operations of our workplace retail snack program. This role blends merchandising, guest experience, data‑driven decision‑making, and cross‑functional partnership to create a snack ecosystem that feels curated, modern, and aligned with the expectations of a world‑class workplace environment.
You’ll own everything from product selection and vendor relationships to merchandising standards, inventory accuracy, and promotional programming. This is a role for someone who sees retail not as shelves and SKUs, but as a hospitality moment — a chance to surprise, delight, and energize people throughout their day.
**Why This Role Matters**
-------------------------
The snack program is one of the most visible and frequently used touchpoints in the workplace food ecosystem. When done well, it becomes a signature experience — a moment of joy, convenience, and discovery. You’ll be the person who brings that to life.
What You'll Do:
* Lead the end‑to‑end retail snack program across multiple spaces, ensuring offerings are fresh, relevant, and thoughtfully curated.
* Curate a rotating assortment of snacks, beverages, and grab‑and‑go items using trend insights, guest feedback, and data analytics.
* Develop seasonal, cultural, and thematic retail moments that bring energy and storytelling to the space.
* Partner with culinary, marketing, and operations teams to integrate retail into broader food program experiences.
What We Offer:
Compensation is fair and equitable, partially determined by a candidate's education level or years of relevant experience. Salary offers are based on a candidate's specific criteria, like experience, skills, education, and training. Sodexo offers a comprehensive benefits package that may include:  
* Medical, Dental, Vision Care and Wellness Programs
* 401(k) Plan with Matching Contributions
* Paid Time Off and Company Holidays
* Career Growth Opportunities and Tuition Reimbursement
More extensive information is provided to new employees upon hire.
What You Bring:
* Experience in retail, micro markets, convenience, or hospitality environments.
* Strong merchandising instincts and an eye for visual detail.
* Comfort with data — you don’t need to be an analyst, but you know how to read trends and act on them.
* Ability to juggle multiple priorities in a fast‑paced, client‑facing environment.
* Creativity, curiosity, and a passion for elevating everyday experiences.
* Excellent communication and relationship‑building skills.
Who We Are:
At Sodexo, our purpose is to create a better everyday for everyone and build a better life for all. We believe in improving the quality of life for those we serve and contributing to the economic, social, and environmental progress in the communities where we operate. Sodexo partners with clients to provide a truly memorable experience for both customers and employees alike. We do this by providing food service, catering, facilities management, and other integrated solutions worldwide.  
Our company values you for you; you will be treated fairly and with respect, and you can be yourself. You will have your ideas count and your opinions heard because we can be a stronger team when you’re happy at work. This is why we embrace diversity and inclusion as core values, fostering an environment where all employees are valued and respected. We are committed to providing equal employment opportunities to individuals regardless of race, color, religion, national origin, age, sex, gender identity, pregnancy, disability, sexual orientation, military status, protected veteran status, or any other characteristic protected by applicable federal, state, or local law. If you need assistance with the application process, please complete this form.
Qualifications \&amp; Requirements:
Minimum Education Requirement \- Bachelor’s Degree or equivalent experience
Minimum Management Experience \- 3 years
Minimum Functional Experience \- 3 years of project management experience</t>
        </is>
      </c>
    </row>
    <row r="62">
      <c r="A62" t="inlineStr">
        <is>
          <t>in-022fbb0d05d9b5f9</t>
        </is>
      </c>
      <c r="B62" t="inlineStr">
        <is>
          <t>Print Software Technical Program Manager</t>
        </is>
      </c>
      <c r="C62" t="inlineStr">
        <is>
          <t>HP</t>
        </is>
      </c>
      <c r="D62" t="inlineStr">
        <is>
          <t>indeed</t>
        </is>
      </c>
      <c r="E62" t="inlineStr"/>
      <c r="F62" t="inlineStr"/>
      <c r="G62" t="inlineStr">
        <is>
          <t>Vancouver, WA, US</t>
        </is>
      </c>
      <c r="H62" s="2" t="n">
        <v>46056</v>
      </c>
      <c r="I62" t="inlineStr">
        <is>
          <t>The Print Software Program Delivery team is looking for a strong candidate to drive programs across our organization. The candidate will be responsible for managing schedules, commitments, monitoring progress against milestones, managing escalations, and providing concise updates to senior leadership.
Responsible for scoping and defining the technical design, driving execution, and delivery of a software feature, solution, or product. Serves as the bridge between cross\-functional teams including marketing, Design, and R\&amp;D.
**Responsibilities:**
* Plays a critical role in the planning and execution of the organization's most complex and visible projects or programs in support of the continuing evolution of the organization's software products.
* Partners across functions to prioritize, plan, track and execute complex, cross organizational programs while maintaining focus on building high quality programs.
* Defines processes that comprise the software development lifecycle and mentors, other members of the team, to do the same.
* Reaches across functions or de\[artments to mitigate program risks and resolves issues that affect release, scope, schedule, and quality.
* Drives and tracks software releases, features and bug fixes, testing, and documentation.
 **Knowledge \&amp; Skills:**
* Comprehensive experience in developing commercial software products using agile development practices.
* Expertise in managing cross\-organizational software development projects from initiation through delivery.
* Hands\-on experience with developing and reporting on metrics for engineering development.
* Analytical and problem\-solving experiences with large\-scale systems.
* Comprehensive experience with a controlled software release process involving a product lifecycle management tool.
 **Scope \&amp; Impact:**
* Viewed as leaders within the program management practice.
* Decision significantly affect the quality and success of team projects and have impacts on programs that may last up to a year.
* Provides guidance for junior team members.
* Acts as a subject matter expert within the organization.
 **Complexity:**
* High: Extensive cross\-functional/cross\-organizational senior management interface; deals with complex strategic issues.
* Unique mastery and recognized authority on relevant subject matter knowledge including technologies, theories, and techniques. Contributes to the development of innovative principles and ideas. Successfully operates in HP’s most complex disciplines.
* Provides highly innovative solutions. Leads large, cross\-division functional teams or projects that affect the organization's long\-term goals and objectives. May participate in cross\-division, multi\-function teams. Provides mentoring and guidance to lower level employees.
 **Education \&amp; Experience:**
* Bachelor's degree in relevant area or demonstrated competence. Typically 10\+ years of relevant experience.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\[https://hpbenefits.ce.alight.com/])  
The compensation and benefits information is accurate as of the date of this  
posting. The Company reserves the right to modify this information at any time,  
with or without notice, subject to applicable law.</t>
        </is>
      </c>
    </row>
    <row r="63">
      <c r="A63" t="inlineStr">
        <is>
          <t>in-d4dc17baa8353766</t>
        </is>
      </c>
      <c r="B63" t="inlineStr">
        <is>
          <t>Product Manager</t>
        </is>
      </c>
      <c r="C63" t="inlineStr">
        <is>
          <t>Macy's</t>
        </is>
      </c>
      <c r="D63" t="inlineStr">
        <is>
          <t>indeed</t>
        </is>
      </c>
      <c r="E63" t="inlineStr"/>
      <c r="F63" t="inlineStr"/>
      <c r="G63" t="inlineStr">
        <is>
          <t>New York, NY, US</t>
        </is>
      </c>
      <c r="H63" s="2" t="n">
        <v>46056</v>
      </c>
      <c r="I63" t="inlineStr">
        <is>
          <t>**Be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Product Manager brings a high\-energy approach to developing customer\-centric e\-commerce user experiences and features that grow the customer base, drive user engagement, and improve the overall site experience. The role develops and owns execution of the product roadmap for the assigned product area and collaborates with cross\-functional partners across design, engineering, analytics, and business throughout the product lifecycle, from ideation through execution. The Product Manager works in an agile environment focused on continuous improvement, where ideas and feedback are encouraged, and is empowered to make decisions that create memorable, loyalty\-building experiences for every Macy’s customer.
**What You Will Do**
* Develop and maintain a product roadmap aligned to business goals and product strategy by delivering key milestones and achieving defined KPIs.
* Communicate product vision, roadmap, and progress to partners across Macy’s.
* Identify and prioritize opportunities to improve customer experiences through cross\-functional collaboration, data analysis, and deep understanding of customer needs.
* Define product and customer experiences through clear, detailed, and timely artifacts, including product requirements and user stories.
* Collaborate with design, engineering, analytics, and other product managers to design, build, and launch product features that drive growth and engagement.
* Maintain a healthy, prioritized backlog of well\-groomed, insight\-driven user stories.
* Partner with engineering scrum teams and technical leads to refine requirements that support simple, intuitive user experiences.
* Define success metrics, ramp plans, and measurement criteria.
* Design and run experiments to test hypotheses and identify solutions that improve conversion, engagement, and customer loyalty.
* Foster an environment of acceptance and respect that strengthens relationships, and ensures authentic connections with colleagues, customers, and communities.
* In addition to the essential duties mentioned above, other duties may be assigned.
**Skills You Will Need**
**Product Strategy \&amp; Roadmap Ownership** – Proven ability to define, maintain, and execute product roadmaps that align with business goals, product strategy, and KPIs while delivering measurable customer and commercial impact.
**Customer\-Centric Product Thinking** – Deep commitment to understanding customer needs and behaviors, translating insights into intuitive, loyalty\-building e\-commerce experiences that improve engagement and satisfaction.
**Analytical Thinking \&amp; Data\-Driven Decisions** – Strong analytical rigor and first\-principles problem\-solving skills, with the ability to define success metrics, run experiments, interpret data, and apply insights to optimize conversion, engagement, and retention.
**Cross\-Functional Leadership \&amp; Collaboration** – Demonstrated ability to lead through influence and collaborate effectively with design, engineering, analytics, and business partners across the full product lifecycle.
**Execution Excellence in Agile Environments** – Strong execution skills with experience managing backlogs, grooming user stories, partnering with scrum teams, and delivering high\-quality outcomes in an agile, fast\-paced environment.
**Business Acumen \&amp; E\-commerce Expertise** – Solid understanding of retail and e\-commerce economics and business strategy frameworks, with the ability to balance customer value and commercial outcomes.
**Technical \&amp; Product Development Fluency** – Working knowledge of technical concepts, agile methodologies, and modern product development practices to effectively partner with engineering teams and make informed trade\-offs.
**Innovation \&amp; Emerging Technology Awareness** – Ability to stay ahead of emerging technologies and leverage them to build differentiated, scalable digital experiences.
**Communication \&amp; Stakeholder Influence** – Confident written and verbal communication skills, with the ability to clearly articulate product vision, progress, and trade\-offs to cross\-functional partners and senior leaders.
**Continuous Learning \&amp; Growth Mindset** – Curiosity\-driven, adaptable learner who actively seeks new methodologies, industry trends, and feedback to continuously improve products and ways of working.
**Who You Are**
* Candidates with a bachelor’s degree or equivalent work experience in a related field are encouraged to apply. Previous work experience related to product strategy, product management, design, engineering, site merchandising, or management consulting preferably in a retail or ecommerce company required.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DIGITAL00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t>
        </is>
      </c>
    </row>
    <row r="64">
      <c r="A64" t="inlineStr">
        <is>
          <t>in-2b57ff32cc8aa356</t>
        </is>
      </c>
      <c r="B64" t="inlineStr">
        <is>
          <t>Assistant, Product Manager</t>
        </is>
      </c>
      <c r="C64" t="inlineStr">
        <is>
          <t>Macy's</t>
        </is>
      </c>
      <c r="D64" t="inlineStr">
        <is>
          <t>indeed</t>
        </is>
      </c>
      <c r="E64" t="inlineStr"/>
      <c r="F64" t="inlineStr"/>
      <c r="G64" t="inlineStr">
        <is>
          <t>New York, NY, US</t>
        </is>
      </c>
      <c r="H64" s="2" t="n">
        <v>46056</v>
      </c>
      <c r="I64" t="inlineStr">
        <is>
          <t>**Be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Assistant Product Manager brings a high\-energy approach to developing customer\-centric e\-commerce experiences and features that grow the customer base, drive user engagement, and improve the overall site and app experience. The role executes the product roadmap for the assigned product area and partners with other product managers to deliver domain objectives and key results. The Assistant Product Manager works in an agile environment focused on continuous improvement, where ideas and feedback are actively encouraged.
**What You Will Do**
* Execute a pre\-defined product roadmap by owning product milestones and tracking key performance indicators (KPIs).
* Understand and synthesize customer and business needs through market analysis, customer research, hands\-on experience, and business data.
* Partner with business teams, UX, engineering, and analytics to define, build, and launch product and platform features.
* Write discovery briefs and detailed product requirements.
* Contribute to the development and documentation of Objectives and Key Results (OKRs).
* Collaborate with product analysts to design, launch, and interpret A/B tests.
* Manage communication and set clear expectations with internal stakeholders.
* Foster an environment of acceptance and respect that strengthens relationships, and ensures authentic connections with colleagues, customers, and communities.
* In addition to the essential duties mentioned above, other duties may be assigned.
**Skills You Will Need**
**Product Management Fundamentals** – Foundational knowledge of product management principles, including roadmaps, requirements, and product lifecycles, with the ability to execute against a pre\-defined roadmap and own product milestones.
**Customer\-Centric Mindset** – Deep passion for understanding customer needs and behaviors, translating insights into customer\-centric e\-commerce experiences that improve engagement across site and app journeys.
**Analytical Thinking \&amp; Data\-Driven Decisions** – Ability to use data, analytics, KPIs, and A/B testing to inform product decisions, evaluate performance, and continuously optimize features and experiences.
**Cross\-Functional Collaboration** – Proven ability to partner effectively with engineering, UX, analytics, and business teams to define, build, and launch product and platform capabilities.
**Execution \&amp; Delivery Excellence** – Strong execution skills with the ability to manage priorities, milestones, and dependencies in an agile environment while delivering measurable outcomes.
**Problem Solving \&amp; Curiosity** – Naturally curious and solutions\-oriented, with a structured approach to root\-cause analysis and comfort navigating ambiguity to solve complex problems.
**Communication \&amp; Stakeholder Management** – Clear, concise written and verbal communication skills, with the ability to manage stakeholder expectations and align teams around shared objectives.
**Continuous Learning \&amp; Adaptability** – Eagerness to learn industry trends, emerging technologies, and new methodologies, with a growth mindset focused on continuous improvement.
**Who You Are**
* Candidates with a bachelor’s degree or equivalent work experience in a related field are encouraged to apply.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DIGITAL00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t>
        </is>
      </c>
    </row>
    <row r="65">
      <c r="A65" t="inlineStr">
        <is>
          <t>in-3407defdb1cec39a</t>
        </is>
      </c>
      <c r="B65" t="inlineStr">
        <is>
          <t>Assistant, Product Manager</t>
        </is>
      </c>
      <c r="C65" t="inlineStr">
        <is>
          <t>Macy's</t>
        </is>
      </c>
      <c r="D65" t="inlineStr">
        <is>
          <t>indeed</t>
        </is>
      </c>
      <c r="E65" t="inlineStr"/>
      <c r="F65" t="inlineStr"/>
      <c r="G65" t="inlineStr">
        <is>
          <t>New York, NY, US</t>
        </is>
      </c>
      <c r="H65" s="2" t="n">
        <v>46056</v>
      </c>
      <c r="I65" t="inlineStr">
        <is>
          <t>**Be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Assistant Product Manager brings a high\-energy approach to developing customer\-centric e\-commerce experiences and features that grow the customer base, drive user engagement, and improve the overall site and app experience. The role executes the product roadmap for the assigned product area and partners with other product managers to deliver domain objectives and key results. The Assistant Product Manager works in an agile environment focused on continuous improvement, where ideas and feedback are actively encouraged.
**What You Will Do**
* Execute a pre\-defined product roadmap by owning product milestones and tracking key performance indicators (KPIs).
* Understand and synthesize customer and business needs through market analysis, customer research, hands\-on experience, and business data.
* Partner with business teams, UX, engineering, and analytics to define, build, and launch product and platform features.
* Write discovery briefs and detailed product requirements.
* Contribute to the development and documentation of Objectives and Key Results (OKRs).
* Collaborate with product analysts to design, launch, and interpret A/B tests.
* Manage communication and set clear expectations with internal stakeholders.
* Foster an environment of acceptance and respect that strengthens relationships, and ensures authentic connections with colleagues, customers, and communities.
* In addition to the essential duties mentioned above, other duties may be assigned.
**Skills You Will Need**
**Product Management Fundamentals** – Foundational knowledge of product management principles, including roadmaps, requirements, and product lifecycles, with the ability to execute against a pre\-defined roadmap and own product milestones.
**Customer\-Centric Mindset** – Deep passion for understanding customer needs and behaviors, translating insights into customer\-centric e\-commerce experiences that improve engagement across site and app journeys.
**Analytical Thinking \&amp; Data\-Driven Decisions** – Ability to use data, analytics, KPIs, and A/B testing to inform product decisions, evaluate performance, and continuously optimize features and experiences.
**Cross\-Functional Collaboration** – Proven ability to partner effectively with engineering, UX, analytics, and business teams to define, build, and launch product and platform capabilities.
**Execution \&amp; Delivery Excellence** – Strong execution skills with the ability to manage priorities, milestones, and dependencies in an agile environment while delivering measurable outcomes.
**Problem Solving \&amp; Curiosity** – Naturally curious and solutions\-oriented, with a structured approach to root\-cause analysis and comfort navigating ambiguity to solve complex problems.
**Communication \&amp; Stakeholder Management** – Clear, concise written and verbal communication skills, with the ability to manage stakeholder expectations and align teams around shared objectives.
**Continuous Learning \&amp; Adaptability** – Eagerness to learn industry trends, emerging technologies, and new methodologies, with a growth mindset focused on continuous improvement.
**Who You Are**
* Candidates with a bachelor’s degree or equivalent work experience in a related field are encouraged to apply.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DIGITAL00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t>
        </is>
      </c>
    </row>
    <row r="66">
      <c r="A66" t="inlineStr">
        <is>
          <t>in-25f568b0e9c2527e</t>
        </is>
      </c>
      <c r="B66" t="inlineStr">
        <is>
          <t>Program Manager</t>
        </is>
      </c>
      <c r="C66" t="inlineStr"/>
      <c r="D66" t="inlineStr">
        <is>
          <t>indeed</t>
        </is>
      </c>
      <c r="E66" t="inlineStr"/>
      <c r="F66" t="inlineStr"/>
      <c r="G66" t="inlineStr">
        <is>
          <t>Arcade, NY, US</t>
        </is>
      </c>
      <c r="H66" s="2" t="n">
        <v>46056</v>
      </c>
      <c r="I66" t="inlineStr">
        <is>
          <t>**Position Overview**
Steel \&amp; O?Brien, a leading manufacturer of stainless steel flow control components, is rapidly expanding into the Data Center Cooling (DCC) market by supporting liquid cooling equipment and infrastructure for hyperscale and colocation facilities. The Program Manager will be responsible for managing multiple customer programs throughout the full lifecycle ? from opportunity discovery and quoting, through design and validation, to production start\-up. This individual will serve as the primary liaison between the customer and internal teams, ensuring requirements are clearly defined, expectations are met, and programs are delivered on time and within scope. Success in this role requires exceptional organizational skills, cross\-functional coordination, and a customer\-first mindset.
**Primary Job Duties**
* **Program Leadership**
	+ Own the customer program lifecycle from opportunity identification to production launch.
	+ Serve as the primary point of contact for assigned customer programs.
	+ Translate customer requirements into internal project deliverables and timelines.
* **Cross\-Functional Coordination**
	+ Collaborate closely with **Commercial, Engineering, Operations, Supply Chain, and Quality** teams to align on program requirements and execution.
	+ Facilitate regular program reviews and ensure all stakeholders are updated on status, risks, and required actions.
	+ Coordinate resources to resolve issues and maintain program momentum.
* **Customer Engagement**
	+ Maintain strong, proactive communication with customers to manage expectations and build trust.
	+ Provide timely updates on program progress, milestones, and risk mitigation.
	+ Support business development teams during the discovery and quoting phases with program\-related insights.
* **Execution \&amp; Delivery**
	+ Develop and track detailed project plans with clear deliverables, owners, and deadlines.
	+ Ensure programs meet quality, cost, and delivery targets.
	+ Lead problem\-solving efforts when challenges arise, escalating issues as needed.
**Primary Competencies**
* Strong ability to coordinate cross\-functional teams and influence without direct authority.
* Excellent communication, presentation, and customer\-facing skills.
* Comfortable working in a fast\-paced, evolving market segment (DCC/technology\-focused).
**Culture:**
* Actively work to create strong communication and a healthy working environment
* Communicate in a positive, clear and respectful manner with all
* Respectfully listen to concerns and ideas brought to your attention
* Support and participate in company functions
* Respect confidentiality
* Continuous improvement and customer\-first thinking in everything we do.
* Embody our values of Integrity, Trust, Creativity and Courage, Teamwork, and Excellence
**Qualifications**
* Bachelor?s degree in Engineering, Business, Operations, or related field.
* 3?5\+ years of program or project management experience, ideally in industrial manufacturing or engineering\-driven industries.
* Ability to travel up to 50% by air, car and overnight.
* Demonstrated success managing multiple projects in parallel.
* Familiarity with manufacturing processes, supply chain, and quality systems preferred.
* PMP or other project management certification a plus.
* Must be able to:
	+ Navigate safely in a manufacturing environment.
	+ Use phone, computer, and office equipment effectively
**Accommodations:** If you need a reasonable accommodation under the ADA or other state or federal law to perform the essential job functions as listed above, you may request an accommodation in the interview process.
**Salary: $100\-125k**</t>
        </is>
      </c>
    </row>
    <row r="67">
      <c r="A67" t="inlineStr">
        <is>
          <t>in-8586282d01a9205f</t>
        </is>
      </c>
      <c r="B67" t="inlineStr">
        <is>
          <t>Technical Program Manager, EE - AI Glasses</t>
        </is>
      </c>
      <c r="C67" t="inlineStr">
        <is>
          <t>Meta</t>
        </is>
      </c>
      <c r="D67" t="inlineStr">
        <is>
          <t>indeed</t>
        </is>
      </c>
      <c r="E67" t="inlineStr"/>
      <c r="F67" t="inlineStr"/>
      <c r="G67" t="inlineStr">
        <is>
          <t>Sunnyvale, CA, US</t>
        </is>
      </c>
      <c r="H67" s="2" t="n">
        <v>46055</v>
      </c>
      <c r="I67" t="inlineStr">
        <is>
          <t>As an Electrical Technical Program Manager for Wearables Hardware Engineering, you will lead multidisciplinary programs through the NPI process to develop the next generation of AI Glasses. You will establish requirements with internal and external customers, manage program schedules, identify risks, mitigation plans, and clearly communicate them to program stakeholders. We look for technical program managers with a proven technical foundation and a demonstrated track record of success. The candidate will also have experience managing time\-sensitive projects while effectively adapting to shifting priorities.  
### **Technical Program Manager, EE \- AI Glasses Responsibilities:**
* Partner with the electrical engineering team, enabling the definition, design, and execution of hardware
* Manage the development of main logic boards (MLB), flexible printed circuits (FPC), development platforms, and other EE driven designs
* Work with key silicon and electro\-mechanical vendors, ensuring technical deliverables for the project are met. Partner with supply chain managers for vendor selection
* Coordinate with other internal cross functional design and operations teams including product design, manufacturing engineering, firmware, and software to develop cohesive development plans
* Manage external design resources, and contract manufacturers (CM, ODM, or JDM)
* Responsible for running the “SMT” portion of development builds. Create the build and allocation plans, address critical issues during the build, direct failure analysis, and drive yield improvement
* Develop project schedule, communicate program statuses, and identify/address potential setbacks
* Work cross\-functionally to develop best practices and technology development processes in a quickly\-changing and dynamic environment to ensure on time delivery
* Coordinate and contribute to engineering deliverables such as architecture definition, product specifications, data reviews and test plans
* Ensure program documents are complete, current and available for staff and leadership review
* Up to 20% travel
### **Minimum Qualifications:**
* 3\+ years of experience in consumer electronics or silicon industry
* 3\+ years experience managing technical projects
* Working knowledge of the latest standards and industry trends in USB, HDMI, PCIe, MIPI, etc
* Experience with phase gate approach to technology development projects
* Experience with board level electrical system development, validation and characterization processes
* Experience with program and issue tracking and building complex development schedules
* Experience with product development phases from initial concept to mass production
### **Preferred Qualifications:**
* MSEE or equivalent with 3\+ years of experience in consumer electronics or silicon industry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$108,000/year to $164,000/year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8">
      <c r="A68" t="inlineStr">
        <is>
          <t>in-2da1ab3873e6ef22</t>
        </is>
      </c>
      <c r="B68" t="inlineStr">
        <is>
          <t>Services Program Manager 14 - Washtenaw County</t>
        </is>
      </c>
      <c r="C68" t="inlineStr">
        <is>
          <t>State of Michigan</t>
        </is>
      </c>
      <c r="D68" t="inlineStr">
        <is>
          <t>indeed</t>
        </is>
      </c>
      <c r="E68" t="inlineStr"/>
      <c r="F68" t="inlineStr"/>
      <c r="G68" t="inlineStr">
        <is>
          <t>Ypsilanti, MI, US</t>
        </is>
      </c>
      <c r="H68" s="2" t="n">
        <v>46050</v>
      </c>
      <c r="I68" t="inlineStr">
        <is>
          <t>**Job Description**
-------------------
The Michigan Department of Health and Human Services mission is to provide opportunities, services, and programs that promote a healthy, safe, and stable environment for residents to be self\-sufficient. We are committed to ensuring a diverse workforce and a work environment whereby all employees are treated with dignity, respect and fairness. For more information, please visit MDHHS Diversity Equity and Inclusion.  
Provide direct management of professional Children's Service's staff who investigate allegations of abuse and/or neglect of children and who provide supervision of children foster care placement. Assign all new CPS and Foster Care cases and review cases to ensure compliance with agency policies, procedures, children's placement agency rules and federal laws. Monitor compliance with time and attendance expectations and follow progressive discipline guidelines when indicated. Provide children's service training to staff and implement new CPS and Foster Care Programs and Policies.  
Position Description  
(Download PDF reader)  
View the job specification at: Job Specification (Download PDF reader)  
**To be considered for this position you must:**
* apply for this position online via NEOGOV; click on "Apply" in the job posting for instructions in submitting your electronic application. Hard copy applications are not accepted.
* relevant experience and/or education referred to in supplemental questions must be documented in resume, transcript and/or application to allow for accurate screening.
* attach a resume identifying specific experience and dates of employment. Dates of employment should include month and year and hours per week.
* attach a cover letter.
* attach a copy of an official transcript(s). We accept scanned copies of official transcripts. We do not accept web\-based, internet, or copies of unofficial transcripts. Official transcripts provide the name of the institution, confirmation that a degree was awarded and on what date, and the registrar's signature.
**Failure to complete any of the above items may result in your application not being considered.**  
**The use of artificial intelligence (AI) software of any kind is prohibited in all areas of the selection process; including, but not limited to, responses to application questions, and responses to interview questions or exercises.**
**Required Education and Experience**
-------------------------------------
**Education**
Possession of a bachelor's or master’s degree with a major in one of the following human services areas: social work, sociology, psychology, forensic psychology, interdisciplinary studies in social science, education, community development, law enforcement, behavioral science, gerontology, special education, education of the emotionally disturbed, education of the gifted, family ecology, community services, family studies, family and/or child development, counseling psychology, criminal justice, human services, or in a human services\-related counseling major.
OR
Possession of a bachelor's degree in any major with at least 30 semester (45 term) credits in one or a combination of the following human services areas: social work, sociology, psychology, forensic psychology, interdisciplinary studies in social science, education, community development, law enforcement, behavioral science, gerontology, special education, education of the emotionally disturbed, education of the gifted, family ecology, community services, family studies, family and/or child development, counseling psychology, criminal justice, human services, or in a human services\-related counseling major.
 **Experience**  
Three years of professional experience equivalent to a Services Specialist or Family Independence Specialist, including one year equivalent to a Services Specialist P11 or Family Independence Specialist P11\.  
OR  
Two years of experience equivalent to a Family Independence Manager 12\.  
OR  
One year of experience equivalent to a Services Program Manager 13 , General Services Program Manager 13 or Family Independence Manager 13\.  
**SELECTIVE POSITION REQUIREMENT (SPR):**At least three years of child welfare experience equivalent to a Services Specialist  
**Alternate Education and Experience**
--------------------------------------
**Services Program Manager 13 \- 14**  
Two years of experience as a Services Specialist or a Family Independence Specialist in addition to one year of experience in one of the following areas:  
* Human Resource Developer providing training to services staff in a services program area (e.g., a trainer for the Child Welfare Institute).
* Resource Program Analyst or Departmental Analyst work as a services program analyst responsible for activities such as assessing legislation, developing program policy, or serving as a policy and case consultant (e.g., foster care analyst, protective services analyst, zone service specialist)
* Departmental Analyst work in the Business Service Center (BSC) as a Child Welfare (CW) Analyst providing consultation and support from extensive policy knowledge across child welfare programs; tracking and monitoring performance and improvement efforts.
* Departmental Analyst work in the Business Service Center (BSC) as a Quality Assurance (QA) Analyst providing consultation and support from extensive policy knowledge across child welfare programs; tracking and monitoring performance and improvement efforts.
**Additional Requirements and Information**
-------------------------------------------
LOCATION INFORMATION
The physical location of this position is Washtenaw County MDHHS, 22 Center Street, Ypsilanti, MI 48197\. Based on operational needs and within established limits, remote work and alternate or hybrid work schedule requests for this position may be considered.
Selected candidates who have been approved to work remotely or a hybrid schedule must complete that work within Michigan. Candidates should confirm work location and schedule at the time of interview.
 *This posting may use the resulting candidate pool from this interview process for filling current and future WOC assignments, limited term vacancies, and Permanent vacancies occurring in the next six months. Limited term appointments have the potential to become permanent, but this is not guaranteed.*  
An applicant hired or promoted to a Services Program Manager position that involves the management of protective services, foster care services or adoption services must successfully complete a supervisory training program of at least 40 class hours; and, pass a competency\-based performance evaluation of that training within three months after assuming the Services Program Manager position. The competency\-based performance evaluation shall include a written examination.  
For further information regarding this posting, please contact Tamika Parks at ParksT@michigan.gov. Please reference the job posting number in the subject line.  
**The department reserves the right to close this posting prior to its original end date once a sufficient number of applications have been received.**  
Follow us on LinkedIn for more job opportunities!\#MDHHSjobs \#Veteranfriendly \#Careerswithpurpose \#CommunityHeroes
MDHHS is proud to be a Michigan Veteran’s Affairs Agency (MVAA) Gold Level Veteran\-Friendly Employer.
**Accommodations**  
If you require a reasonable accommodation to participate in the application or selection processes, please contact the ADA coordinator (Download PDF reader) for the agency that posted this position vacancy.</t>
        </is>
      </c>
    </row>
    <row r="69">
      <c r="A69" t="inlineStr">
        <is>
          <t>in-5eeac9e191003615</t>
        </is>
      </c>
      <c r="B69" t="inlineStr">
        <is>
          <t>Senior Business Program Manager</t>
        </is>
      </c>
      <c r="C69" t="inlineStr">
        <is>
          <t>Microsoft</t>
        </is>
      </c>
      <c r="D69" t="inlineStr">
        <is>
          <t>indeed</t>
        </is>
      </c>
      <c r="E69" t="inlineStr"/>
      <c r="F69" t="inlineStr"/>
      <c r="G69" t="inlineStr">
        <is>
          <t>Seattle, WA, US</t>
        </is>
      </c>
      <c r="H69" s="2" t="n">
        <v>46049</v>
      </c>
      <c r="I69"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Global Customer Success (GCS) organization, an organization within CE\&amp;S, is leading the effort to enable customer success on the Microsoft Cloud by harnessing leading, AI\-powered capabilities and human expertise to deliver innovation solutions that accelerate business value, drive operational excellence and nurture long term loyalty. They are currently looking for a **Senior Business Program Manager.**
The Success Program is a strategic, outcome\-focused program included in Unified Support at no cost to customers, driving key outcomes in cloud deployment and AI adoption. It ensures Microsoft delivers proactive value (through Digital reports, workshops, and follow\-ups) to help customers maximize their investment in Unified.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Build and Deploy Cloud Usage and AI Programs end to end, consistently improving programs based on stakeholder feedback (Design and Build only for Success Programs related programs).
* Develops a point of view on what needs to change regarding Cloud Usage and AI related processes, systems, digital experiences, and products.
* Program/Project Management Cloud Usage and AI Initiatives, developing project plan, driving accountability, proactively flagging concerns, blockers to address etc.
* Creates clear documentation and messaging (e.g., data visualization, presentation decks) that shares the Connected Cloud Usage and AI narrative for launch and awareness assets. Where needed follow through with regular updates post launch insights and how to address issues.
* Navigate and communicates complex findings and proposals across the Microsoft organization, hierarchies, and uses knowledge of key business drivers and stakeholder priorities to influence peer groups and partner teams in other organizations.
* Represent the CSAM Role on Global Community calls, stakeholder alignment and executive status discussions.
* Collaborate with multiple stakeholders from across the Microsoft ecosystem (e.g., region or segment teams, Offerings, Engineering, Solution Areas) to successfully Lead programs and pilots – launch and remove blockers"
**Qualifications** **Required/Minimum Qualifications**
* Bachelor's Degree in Business, Operations, Finance, or related field AND 4\+ years experience in program management, process management, or process improvement.  
	+ OR equivalent experience.
* Proven Experience in Customer Success and Global Support functions, demonstrating a strong understanding of customer\-centric service delivery and support models.
* Proven ability to orchestrate, lead, and influence virtual teams.
* Comfortable presenting to both large and small audiences at various levels of an organization
 **Additional or Preferred Qualifications*** Master's Degree in Business, Operations, Finance, or related field AND 6\+ years experience in program management, process management, or process improvement
	+ OR Bachelor's Degree in Business, Operations, Finance, or related field AND 8\+ years experience in program management, process management, or process improvement
	+ OR equivalent experience.
Business Program Management IC4 \- The typical base pay range for this role across the U.S. is USD $96,500 \- $188,400 per year. There is a different range applicable to specific work locations, within the San Francisco Bay area and New York City metropolitan area, and the base pay range for this role in those locations is USD $123,500 \- $206,400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0">
      <c r="A70" t="inlineStr">
        <is>
          <t>in-ea76cc46cec852cf</t>
        </is>
      </c>
      <c r="B70" t="inlineStr">
        <is>
          <t>Senior Product Manager</t>
        </is>
      </c>
      <c r="C70" t="inlineStr">
        <is>
          <t>Microsoft</t>
        </is>
      </c>
      <c r="D70" t="inlineStr">
        <is>
          <t>indeed</t>
        </is>
      </c>
      <c r="E70" t="inlineStr"/>
      <c r="F70" t="inlineStr"/>
      <c r="G70" t="inlineStr">
        <is>
          <t>Redmond, WA, US</t>
        </is>
      </c>
      <c r="H70" s="2" t="n">
        <v>46048</v>
      </c>
      <c r="I70" t="inlineStr">
        <is>
          <t>**Overview**  
Are you ready to shape the future of AI, PC performance, power efficiency, and silicon innovation? The **Windows \&amp; Devices (W\+D)** organization is at the forefront of transforming the Windows ecosystem for the AI era—and we are looking for a **Senior Product Manager** to lead the next generation of AI fundamentals that make Windows the most performant, energy‑efficient, reliable, and trustworthy AI platform in the world.
As a **Senior Product Manager**, you’ll sit at the strategic intersection of AI, silicon, and system fundamentals. You will define the fundamentals strategy for AI workloads across diverse hardware configurations, partner deeply with engineering and silicon teams, and build the tools, telemetry, and data pipelines that illuminate model behavior, system impact, and user experience. Your work will directly influence how AI experiences are built, measured, optimized, and delivered at global scale.
This **Senior Product Manager** role is part of the **Windows Fundamentals team**—whose mission is to uphold a high, principled bar for Windows quality and to ensure that every marquee experience ships with exceptional performance, efficiency, and reliability. We take a data‑driven approach to product truth, invest in optics that reveal regressions before customers feel them, and drive cross‑company partnerships that keep Windows competitive and best‑in‑class. You’ll help us continue this legacy by shaping the AI fundamentals that power the future of Windows across OEMs, IHVs, and the broader ecosystem.
 **Responsibilities**  
* **Strategic leadership**: You will work with the team and peers to define priorities for investment, strategies for product improvement, delivering at scale, and investing in systems and tools to improve fundamentals.
* **Partner engagement:** You will be engaging deeply with partners to achieve our shared goals.
* **Technical depth**: Our problem space is often deeply technical. You don’t have to be a perf/power/silicon expert today, but you should have an affinity for technical challenges and diving deep.
* **Data\-driven**: Skilled at using data to draw insights, answer hard questions, and guide actions.
* **Communication and influence**: Able to conduct insightful conversations with senior business and technical decision makers inside and outside Microsoft. Communicate complex ideas to others in a clear, effective, and motivating manner.
* **Collaboration**: Generous collaborator, able to work effectively across broad teams and influence stakeholders of all levels and of all disciplines across Microsoft.
**Qualifications** **Required/minimum qualifications**
* Bachelor's Degree AND 5\+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AND 8\+ years experience in product/service/program management or software development  
	+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5\+ years of experience shipping products in a Product Manager, TPM, Program Manager, or Developer role
* Experience in stakeholder management and partner engagement.  
Ability to navigate and influence across complex technical stacks and organizational boundaries.  
Experience working with external partners in a product development context.
\#W\+DJOBS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1">
      <c r="A71" t="inlineStr">
        <is>
          <t>in-7f04ba98a81706e7</t>
        </is>
      </c>
      <c r="B71" t="inlineStr">
        <is>
          <t>Principal Product Manager</t>
        </is>
      </c>
      <c r="C71" t="inlineStr">
        <is>
          <t>Microsoft</t>
        </is>
      </c>
      <c r="D71" t="inlineStr">
        <is>
          <t>indeed</t>
        </is>
      </c>
      <c r="E71" t="inlineStr"/>
      <c r="F71" t="inlineStr"/>
      <c r="G71" t="inlineStr">
        <is>
          <t>Redmond, WA, US</t>
        </is>
      </c>
      <c r="H71" s="2" t="n">
        <v>46047</v>
      </c>
      <c r="I71" t="inlineStr">
        <is>
          <t>**Overview** **Job Overview**  
Microsoft is a company where passionate innovators come to collaborate, envision what can be and take their careers further. This is a world of more possibilities, more innovation, more openness, and the sky is the limit of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Withing Azure Data, the Fabric App Dev team builds and maintains services and tools that help professional developers get the most out of Fabric. This includes Fabric API for GraphQL, User Data Functions, VS Code tooling, frameworks, and more. Our mission is to innovate at the cutting edge of developer experiences to keep Fabric as the most productive data platform for professional developers, including how coding agents are changing the state of development.
We do not just value differences or different perspectives. We seek them out and invite them in so we can tap into the collective power of everyone in the company. As a result, our customers are better served.
 **Responsibilities** **Job Responsibilities**
* Drive the e2e product strategy for one or more services
* Collaborate with engineering via specs and RFCs
* Be hands on by being the first and best user of the product and helping diagnose user issues
* Create \&amp; present exec ready pitches and demos for internal and external audiences
* Define and implement business metrics, success criteria, and dashboards/reports
* Manage rhythm of business via cross\-organizational planning, business reviews, and fundamentals
* Drive cross organization alignment of partner product teams, external partners, marketing, sales, and business planning
* Embody our culture and values
 **Qualifications** **Required/Minimum Qualifications**
* Bachelor's Degree AND 8\+ years’ experience in product/service/program management or software development OR equivalent experience.
**Job Requirements: Other \&amp; Additional**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Bachelor's Degree AND 12\+ years’ experience in product/service/program management or software development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product).3\+ years’ experience working with databases and data modeling
* Any experience shipping a product involving agentic protocols (e.g. exposing/consuming endpoints with MCP/A2A)
* 4\+ years’ experience (engineering or product) of any of the following:
* Experience with technical user interface design (e.g. SDK, OpenAPI specs, terminal applications, code editor extensions)
* Experience with at least 1 modern frontend tech stack (e.g. React, Vite, Nextjs, Svelte)
* Experience with authentication/authorization standards (e.g. OAuth2\.0, OIDC)
**Equal Opportunity Employer (EOP)**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reasonable accommodation due to a disability during the application or the recruiting process, please send a request via the Accommodation request form (Accessibility \| Microsoft Careers).
Benefits/perks listed below may vary depending on the nature of your employment with Microsoft and the country where you work.
\#azdat  
\#azuredata  
\#mcp \#react \#javascript \#databases \#vscode \#agents \#devex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2">
      <c r="A72" t="inlineStr">
        <is>
          <t>in-666bae2b524a5f5a</t>
        </is>
      </c>
      <c r="B72" t="inlineStr">
        <is>
          <t>Principal Product Manager</t>
        </is>
      </c>
      <c r="C72" t="inlineStr">
        <is>
          <t>Microsoft</t>
        </is>
      </c>
      <c r="D72" t="inlineStr">
        <is>
          <t>indeed</t>
        </is>
      </c>
      <c r="E72" t="inlineStr"/>
      <c r="F72" t="inlineStr"/>
      <c r="G72" t="inlineStr">
        <is>
          <t>Redmond, WA, US</t>
        </is>
      </c>
      <c r="H72" s="2" t="n">
        <v>46042</v>
      </c>
      <c r="I72"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Withing Azure Data, the Fabric App Dev team builds and maintains services and tools that help professional developers get the most out of Fabric. This includes Fabric API for GraphQL, User Data Functions, VS Code tooling, frameworks, and more. Our mission is to innovate at the cutting edge of developer experiences to keep Fabric as the most productive data platform for professional developers, including how coding agents are changing the state of development.
We do not just value differences or different perspectives. We seek them out and invite them in so we can tap into the collective power of everyone in the company. As a result, our customers are better served.
 **Responsibilities** **Job Responsibilities**
* Drive the e2e product strategy for one or more services
* Collaborate with engineering via specs and RFCs
* Be hands on by being the first and best user of the product and helping diagnose user issues
* Create \&amp; present exec ready pitches and demos for internal and external audiences
* Define and implement business metrics, success criteria, and dashboards/reports
* Manage rhythm of business via cross\-organizational planning, business reviews, and fundamentals
* Drive cross organization alignment of partner product teams, external partners, marketing, sales, and business planning
**Qualifications** **Required/Minimum Qualifications**
* Bachelor's Degree AND 8\+ years’ experience in product/service/program management or software development OR equivalent experience.
**Job Requirements: Other \&amp; Additional**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Bachelor's Degree AND 12\+ years’ experience in product/service/program management or software development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product).3\+ years’ experience working with databases and data modeling
* Any experience shipping a product involving agentic protocols (e.g. exposing/consuming endpoints with MCP/A2A)
* 4\+ years’ experience (engineering or product) of any of the following:
* Experience with technical user interface design (e.g. SDK, OpenAPI specs, terminal applications, code editor extensions)
* Experience with at least 1 modern frontend tech stack (e.g. React, Vite, Nextjs, Svelte)
* Experience with authentication/authorization standards (e.g. OAuth2\.0, OIDC)
**Equal Opportunity Employer (EOP)**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reasonable accommodation due to a disability during the application or the recruiting process, please send a request via the Accommodation request form (Accessibility \| Microsoft Careers).
Benefits/perks listed below may vary depending on the nature of your employment with Microsoft and the country where you work.
\#azdat  
\#azuredata  
\#mcp \#react \#javascript \#databases \#vscode \#agents \#devex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3">
      <c r="A73" t="inlineStr">
        <is>
          <t>in-94e2d68b54cb7dc7</t>
        </is>
      </c>
      <c r="B73" t="inlineStr">
        <is>
          <t>Senior Product Manager - Web &amp; Mac Experiences (AI/ML)</t>
        </is>
      </c>
      <c r="C73" t="inlineStr">
        <is>
          <t>Microsoft</t>
        </is>
      </c>
      <c r="D73" t="inlineStr">
        <is>
          <t>indeed</t>
        </is>
      </c>
      <c r="E73" t="inlineStr"/>
      <c r="F73" t="inlineStr"/>
      <c r="G73" t="inlineStr">
        <is>
          <t>Mountain View, CA, US</t>
        </is>
      </c>
      <c r="H73" s="2" t="n">
        <v>46037</v>
      </c>
      <c r="I73" t="inlineStr">
        <is>
          <t>**Overview**  
Help deliver best\-in\-class Web \&amp; Mac experiences for Microsoft AI. You’ll support the lead PM in shaping desktop\-class and modern web interfaces that are beautiful, accessible, and fast—crafting information architecture, interaction patterns, and performance goals across breakpoints and devices.
We’re looking for a highly motivated, detail\-oriented PM who thrives in execution and collaboration:* Ships user\-facing desktop/web products with high UX fidelity and accessibility.
* Partners with Design Systems to scale components/tokens and ensure cross\-surface cohesion.
* Balances performance and fidelity with rigorous experimentation and telemetry.
* Aligns multi\-team dependencies to deliver seamless journeys end\-to\-end.
* Communicates clearly, drives clarity, and removes blockers in fast\-moving environments.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Execute on web/macOS scenarios end\-to\-end; define IA, interaction patterns, and component reuse.
Drive performance \&amp; reliability KPIs (FMP, input latency, memory) and support experimentation.
Partner with Design on design\-system alignment, accessibility (WCAG), internationalization, and responsive behavior.
Coordinate dependencies (identity, payments, content, safety) to deliver cohesive multi\-surface journeys.
Report progress and risks to stakeholders; anticipate blockers and drive mitigation.
Build durable telemetry, quality bars, and operational rhythms to sustain velocity and UX quality.
 **Qualifications**  
**Required Qualifications*** Bachelor’s degree in STEM (or equivalent experience) AND 5\+ years in Product Management.
* Proven track record shipping desktop and/or web experiences at scale with accessibility baked in.
* Strong system\-level thinking across platform capabilities, browser constraints, and performance tradeoffs.
**Preferred Qualifications*** Design/UX background strongly preferred; ability to read/write detailed UX specs.
* Familiarity with macOS HIG and modern web app foundations (React/TypeScript, perf tooling).
* Experience with AI features and data\-informed iteration.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4">
      <c r="A74" t="inlineStr">
        <is>
          <t>in-84e66b6e8acbcbb9</t>
        </is>
      </c>
      <c r="B74" t="inlineStr">
        <is>
          <t>Manufacturing Program Manager - Data Center Design, Engineering, &amp; Construction</t>
        </is>
      </c>
      <c r="C74" t="inlineStr">
        <is>
          <t>Meta</t>
        </is>
      </c>
      <c r="D74" t="inlineStr">
        <is>
          <t>indeed</t>
        </is>
      </c>
      <c r="E74" t="inlineStr"/>
      <c r="F74" t="inlineStr"/>
      <c r="G74" t="inlineStr">
        <is>
          <t>Remote, US</t>
        </is>
      </c>
      <c r="H74" s="2" t="n">
        <v>46036</v>
      </c>
      <c r="I74" t="inlineStr">
        <is>
          <t>Manufacturing is a pillar within Meta’s Preconstruction Team supporting datacenter construction. We exist to support the predictable delivery of capacity at scale through manufactured solutions.The Manufacturing Team’s primary focus is supply chain engagement and optimization. We facilitate Manufacturing Informed Designed (MID) components and orchestrate their detailing and prototyping to optimum manufacturability, then work with our partners to plan logistics, production, and integration to optimize construction. This team is comprised of strategic designers, strategic builders, tactical specialists, plus internal and external subject matter experts (SME) including Preconstruction Managers, Contractors, Schedulers, Equipment Reliability Engineers, and Sourcing Specialists.This position will lead program management of designated manufactured components in support of Meta's North America construction program. This program is of such scale that it requires a results\-oriented PM to drive strategic and tactical aspects of first\-of\-kind prototyping, logistics, and integration.Never before has the datacenter industry relied so heavily on offsite construction; a necessity here to deliver a program of this magnitude on a fast\-paced timeline. The Program Manager will be responsible for leading the full lifecycle of major infrastructure offsite\-manufactured components culminating in timely delivery and integration.  
### **Manufacturing Program Manager \- Data Center Design, Engineering, \&amp; Construction Responsibilities:**
* Program Management – lead coordination, document, and anticipate program needs to ensure cost, schedule, and quality in concert with the offsite manufacturing and integration with onsite construction
* Supplier Production (manufacturing execution) – configure supply chain, production, scheduling, strategic inventory, logistics, and integration in collaboration with our procurement, construction management, and quality teams
* Manage GC (General Contractor) Coordinators for logistics, planning, coordination, reporting, lessons learned, etc
* Risk Matrix development, maintenance, and related reporting
* Cost \&amp; Change Coordination with cross functional partners
* Schedule Development with Engineering/Scheduling, GCs, \&amp; Suppliers
* Regular Debriefs / Lessons Learned development, summary and communication to Engineering, Leadership, \&amp; cross\-functional partners
* Partner with cross functional teams on related efforts to ensure alignment and transparency across Design, Engineering, \&amp; Construction (DEC)
* Partner closely with Sourcing Team for strategy and deployment of owner furnished equipment
* Partner with Global QA/QC Team to identify and strategically shift to the vendors and manufacturers, appropriate elements of the multi\-trade integration and commissioning efforts to reduce onsite efforts. Your objective is to embed as much trade work and commissioning as is appropriate at the optimum points of fabrication from start through to the final point of integration
* Support team learning by bringing lessons learned, vendors, new technology, and other topics to the group for exploration
* Travel approximately 40% Domestic Travel to suppliers and construction sites
### **Minimum Qualifications:**
* Bachelor’s degree or equivalent work experience in Program Management
* 10\+ years’ experience in construction, manufacturing, and/or project planning
* Experience in large scale construction management and/or scalable manufacturing
* Manufacturing\-for\-construction background with understanding of lean manufacturing and supply\-chain management plus knowledge of production machinery, processes, and standards in the field or industry experience with developing workflows and their associated flowcharts, schedules, and action plans
* Experience building consensus and communicate effectively with a wide range of audiences (stakeholders to executive leadership)
* Proven track record of adaptability and complex problem\-solving in a dynamic work environment
* Proficient working knowledge of Google Workspace and Bluebeam
### **Preferred Qualifications:**
* Experience with off\-site fabrication, pre\-assembly and/or modularization of complex elements for construction projects
* Mission Critical, infrastructure, and/or data center construction experience
* Experience working with blended architecture, engineering, manufacturing/assembly and construction teams
* Familiarity with Statistical Process Control (SPC), Just In Time (JIT) strategizing, and manufacturing data analytics
* PMP Certification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$150,000/year to $209,000/year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5">
      <c r="A75" t="inlineStr">
        <is>
          <t>in-8c6d0db0b4b79fac</t>
        </is>
      </c>
      <c r="B75" t="inlineStr">
        <is>
          <t>Platform Product Manager, Monetization</t>
        </is>
      </c>
      <c r="C75" t="inlineStr">
        <is>
          <t>Block</t>
        </is>
      </c>
      <c r="D75" t="inlineStr">
        <is>
          <t>indeed</t>
        </is>
      </c>
      <c r="E75" t="inlineStr"/>
      <c r="F75" t="inlineStr"/>
      <c r="G75" t="inlineStr">
        <is>
          <t>San Francisco Bay Area, CA, US</t>
        </is>
      </c>
      <c r="H75" s="2" t="n">
        <v>46057</v>
      </c>
      <c r="I75"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 **The Role**
The Platform Product Manager, Monetization owns the platform that powers our SaaS business and our strategy for large scale pricing and packaging updates for our existing sellers. This role is responsible for the full lifecycle of our subscription products including: billing, subscription management experiences, reporting and administration, internal tooling, compliance, feature access control, and platform reliability. This is a highly visible role that provides an opportunity to oversee a critical driver of Square's monetization strategy.
As the Platform Product Manager, Monetization, you will oversee platform and product development from ideation through to creation and delivery. You will advocate for the voice of our sellers as well as 1st and 3rd party developers to build platform and user experiences that are not just reliable, scalable, and secure, but also create a competitive advantage for Square.
In this role, you will collaborate closely with designers, engineers, analysts, marketers, and other cross\-functional team members within the organization to ensure our products provide a remarkable, delightful experience. On any given day, your job may include researching seller feedback, analyzing seller data, building a new strategy, presenting to executive leadership, building new experiences, iterating on experiments, and planning or prioritizing initiatives. You will oversee the full stack product management of the platform, APIs, and user\-experiences that empower internal teams and sellers with solutions to succeed.
#### **You Will**
* Run your product like a business \- define the vision, strategy, roadmap for your domain, grounded in clear objectives, metrics and the needs of our partnership teams and end customers.
* Partner cross\-functionally with engineering, data science, design, marketing, sales, and multiple other partner product teams across Square to define roadmaps and deliver platform capabilities.
* Own the end\-to\-end lifecycle of your capabilities \- from opportunity discovery and requirements definition through launch, adoption, and ongoing optimization — balancing new feature delivery with reliability, tech debt, and platform work.
* Use data to improve platform performance: own KPIs and OKRs for your product domain, instrument the platform to measure them, and feed insights back into your roadmap and prioritization.
* Drive cross\-functional programs across Square, aligning priorities, sequencing work, clearly communicating progress and trade\-offs.
* Deeply understand our platform and capabilities, advise other partner teams on best practices and define solutions, and collaborate to implement solutions.
#### **You Have**
* 8\+ years of professional experience as a Product Manager for a platform, SaaS, and/or payments product.
* Experience working with a high\-performing team of software engineers, using AI and agile software development practices.
* A system‑thinking mindset and technical fluency that allow you to work closely with senior engineers, understand service architectures, and translate product goals into pragmatic technical requirements and trade‑offs.
* Ability to prioritize ruthlessly across KLO / run‑the‑business work, strategic platform investments, and new product enablement, using data and clear frameworks to make and communicate trade‑offs.
* A collaborative, low‑ego working style with a track record of building strong partnerships across engineering, operations, finance, compliance, risk and partner product teams — especially in matrixed organizations.
* The ability to simplify complex topics for diverse audiences and to drive alignment with senior stakeholders across Block.
* A metrics‑driven approach to decision‑making; you are comfortable defining KPIs, digging into dashboards, and using both quantitative and qualitative insights to guide your roadmap.
* Curiosity, ownership, and a bias for action — you are enthusiastic, move quickly while bringing others along, and care deeply about building resilient, long‑lived infrastructure that earns our customers’ trust.
* Passion for Square's mission, with new technology and for solving complex problems.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also consider qualified applicants with criminal histories for employment on our team, and always assess candidates on an individualized basis.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Block will consider qualified applicants with arrest or conviction records for employment in accordance with state and local laws and “fair chance” ordinances.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$198,000—$297,000 USD
Zone B:
$188,100—$282,100 USD
Zone C:
$178,200—$267,400 USD
Zone D:
$168,300—$252,500 USD**Application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t>
        </is>
      </c>
    </row>
    <row r="76">
      <c r="A76" t="inlineStr">
        <is>
          <t>in-69a3b44fd23cce82</t>
        </is>
      </c>
      <c r="B76" t="inlineStr">
        <is>
          <t>Senior Technical Program Manager</t>
        </is>
      </c>
      <c r="C76" t="inlineStr">
        <is>
          <t>LMK Infotech</t>
        </is>
      </c>
      <c r="D76" t="inlineStr">
        <is>
          <t>indeed</t>
        </is>
      </c>
      <c r="E76">
        <f>HYPERLINK("https://www.indeed.com/viewjob?jk=69a3b44fd23cce82", "https://www.indeed.com/viewjob?jk=69a3b44fd23cce82")</f>
        <v/>
      </c>
      <c r="F76">
        <f>HYPERLINK("http://www.indeed.com/job/senior-technical-program-manager-69a3b44fd23cce82", "http://www.indeed.com/job/senior-technical-program-manager-69a3b44fd23cce82")</f>
        <v/>
      </c>
      <c r="G76" t="inlineStr">
        <is>
          <t>Remote, US</t>
        </is>
      </c>
      <c r="H76" s="3" t="n">
        <v>46058</v>
      </c>
      <c r="I76" t="inlineStr">
        <is>
          <t>**Overview**  
We are seeking a skilled and motivated Technical Program Manager to lead and coordinate complex projects within our organization. The ideal candidate will have a strong background in project management and technical expertise, particularly in cloud computing and enterprise software. This role requires excellent communication skills, organizational capabilities, and the ability to manage multiple priorities effectively.
**Responsibilities**
* · Oversee, plan, and manage the product development stages, approving the product at each stage.
* Create detailed project plans at each product development stage for maximum efficiency.
* Provide a steady stream of ideas and solutions during product development initiatives to introduce innovation and improve operational efficiency.
* Take note of certain relevant metrics and develop reports to communicate the development progress to senior managers, product managers, and cross\-functional stakeholders.
* Collaborate with multiple teams, including software architects, software engineers, system engineers, developers, and product teams.
* Identify cross\-team dependencies to incorporate them into the program planning process.
* Figure out how to resolve technical issues by diagnosing them and providing potential solutions.
* Ensure that product development and product delivery is possible within the product budget and time\-frame.
* Oversee the product deployment process and assist in the integration process, if necessary.
* Make necessary adjustments to product development processes based on performance metrics.
* Keep up with the latest advancements in our product category and industry.
* Ensure complete compliance according to industry standards by documenting all the processes and adjusting them, if necessary.
* Manage project escalations whenever necessary and help assemble project teams when necessary.
* Maintain project plans within the organization and introduce necessary technical programs to assist product management teams.
**Skills**
* Proficient in release management processes and tools.
* Strong communication skills, both verbal and written, with the ability to articulate technical concepts to non\-technical stakeholders.
* Experience with cloud computing technologies and enterprise software solutions.
* Familiarity with SharePoint for project documentation and collaboration.
* Excellent organizational skills with a keen attention to detail.
* Knowledge of agile methodologies for effective project scheduling and workflow management.
**prior work experience with Meta/Amazon/Google will be an added advantage.**
Join our team as a Technical Program Manager where you will play a pivotal role in driving innovation and ensuring successful project outcomes. We look forward to your application!
Job Type: Contract
Pay: $50\.00 \- $55\.00 per hour
Experience:
* Total TPM : 10 years (Required)
* Google/META: 2 years (Required)
License/Certification:
* certifications related to TMP like \- PMP / CSM/ CTPM? (Required)
Work Location: Remote</t>
        </is>
      </c>
    </row>
    <row r="77">
      <c r="A77" t="inlineStr">
        <is>
          <t>in-0530803a1135a797</t>
        </is>
      </c>
      <c r="B77" t="inlineStr">
        <is>
          <t>Product Owner</t>
        </is>
      </c>
      <c r="C77" t="inlineStr">
        <is>
          <t>veritis group inc</t>
        </is>
      </c>
      <c r="D77" t="inlineStr">
        <is>
          <t>indeed</t>
        </is>
      </c>
      <c r="E77">
        <f>HYPERLINK("https://www.indeed.com/viewjob?jk=0530803a1135a797", "https://www.indeed.com/viewjob?jk=0530803a1135a797")</f>
        <v/>
      </c>
      <c r="F77">
        <f>HYPERLINK("http://www.indeed.com/job/product-owner-0530803a1135a797", "http://www.indeed.com/job/product-owner-0530803a1135a797")</f>
        <v/>
      </c>
      <c r="G77" t="inlineStr">
        <is>
          <t>Seattle, WA, US</t>
        </is>
      </c>
      <c r="H77" s="3" t="n">
        <v>46058</v>
      </c>
      <c r="I77" t="inlineStr">
        <is>
          <t>**Job Title: Product Owner – Authentication Technology**  
**Location: Seattle, WA (Onsite)**
**About the Role:**  
Client is seeking a proactive and experienced Product Owner to join our Authentication Technology team in Seattle. In this role, you will help shape and deliver secure, user\-centric authentication solutions by partnering closely with cross\-functional teams, stakeholders, and technology partners. You will be responsible for maximizing product value through a clear vision, strategic roadmap, and effective backlog management.
**Key Responsibilities:**
* Define and communicate the product vision and roadmap for authentication solutions aligned with business objectives and security requirements.
* Collaborate with stakeholders — including business leaders, architects, engineers, and security teams — to understand needs, gather requirements, and prioritize work.
* Own and manage the product backlog, ensuring user stories and features are prioritized based on value, risk, and strategic impact.
* Refine and break down backlog items to ensure readiness for upcoming sprints and consistent delivery of high\-quality increments.
* Make decisions on scope and requirements during sprint execution and accept completed work that meets acceptance criteria.
* Work with teams to ensure delivered solutions meet security standards, usability needs, and compliance expectations, especially in authentication and identity validation domains. (Role\-specific addition)
* Participate in Agile planning ceremonies, retrospectives, and release planning to drive continuous improvement.
**Required Qualifications:**
* Proven experience as a Product Owner in Agile software development, preferably within authentication, identity, or security technology domains.
* Strong understanding of authentication technologies, identity management, or related security protocols (e.g., MFA, SSO, OAuth) (Role\-specific addition).
* Excellent communication, stakeholder management, and analytical skills to balance business needs with technical delivery.
* Experience working with tools such as JIRA for backlog and sprint management.
* Ability to translate business and security requirements into clear user stories and acceptance criteria.
**Preferred Skills:**
* Experience in financial services or regulated industries.
* Agile/Scrum certification (e.g., Certified Scrum Product Owner).
* Familiarity with continuous integration/continuous deployment (CI/CD) and DevOps practices.
Job Type: Contract
Pay: $65\.00 \- $70\.00 per hour
Expected hours: 40 per week
Work Location: In person</t>
        </is>
      </c>
    </row>
    <row r="78">
      <c r="A78" t="inlineStr">
        <is>
          <t>in-93527938092ee780</t>
        </is>
      </c>
      <c r="B78" t="inlineStr">
        <is>
          <t>Deputy Program Manager</t>
        </is>
      </c>
      <c r="C78" t="inlineStr">
        <is>
          <t>Unissant</t>
        </is>
      </c>
      <c r="D78" t="inlineStr">
        <is>
          <t>indeed</t>
        </is>
      </c>
      <c r="E78">
        <f>HYPERLINK("https://www.indeed.com/viewjob?jk=93527938092ee780", "https://www.indeed.com/viewjob?jk=93527938092ee780")</f>
        <v/>
      </c>
      <c r="F78">
        <f>HYPERLINK("https://www.applicantpro.com/openings/unissant/jobs/3981674-221397", "https://www.applicantpro.com/openings/unissant/jobs/3981674-221397")</f>
        <v/>
      </c>
      <c r="G78" t="inlineStr">
        <is>
          <t>Ashburn, VA, US</t>
        </is>
      </c>
      <c r="H78" s="3" t="n">
        <v>46058</v>
      </c>
      <c r="I78" t="inlineStr">
        <is>
          <t>**Unissant, Inc.** delivers innovative capabilities to the agencies that keep our nation healthy and safe. We apply our domain expertise, data acumen, and technology know\-how to achieve breakthrough results for our clients. Working collaboratively, we advance missions and careers through a focus on honesty, integrity, and dependability. We continuously look for talent, excited to join that effort. To learn more about our exciting organization, please visit us at www.unissant.com.
We are seeking a **Deputy Program Manager (DPM)** to join our team and support our National Security client. The DPM will support our DHS Program Manager and program, as well as contribute to the growth of our National Security portfolio.
The ideal candidate will be a direct customer interface for all Vetting program related projects and understand the technical scope and status of each. The candidate will be responsible for reporting of relevant projects, and support the PM with program oversight, resource management, risk management, financial management, service delivery, customer relationship management, service operations, and incident management.
**Essential Duties and Responsibilities:**
* Provide direct support to Program Manager and management of the overall program.
* Provide business and technical leadership and reporting, interfacing directly with technical teams and customer stakeholders.
* Develop trusted technical relationships with appropriate government program and contracts leadership and stakeholders, Unissant teammates, and Unissant partners.
* Build and maintain knowledge repository of full business and technical scope of the program and associated projects and systems, including interdependent programs, teams, and systems.
* Identify critical success factors at onset and throughout program lifecycle and ensure removal of barriers to success.
* Monitor metrics and key performance indicators, effectively communicate, and keep Unissant program leadership and client stakeholders aware of project status, budget utilization, issues, risks, and successes. Escalate critical items appropriately.
* Support defining of staffing requirements and evaluating new candidates.
* Support P\&amp;L, budgets and forecast through financial controls.
* Support growth of contract and directly interface with Unissant corporate technical and growth teams to enhance delivery on the program.
* Identify and champion opportunities to expand the business benefits of the program beyond current scope by developing business cases that qualify and quantify the anticipated return on additional client investment.
* Provide corporate growth support, across DHS, and within other Government agencies as required.
* Advocate and communicate the program's value and accomplishments to internal and external stakeholders.
**Work Experience:**
* Must have 8 years of experience leading within large IT development and systems environments and programs, including experience managing both new development \&amp; Operations and Maintenance (O\&amp;M) and related systems supporting National Security agencies.
* Must have at least 8 years of experience interfacing with clients at the program management level.
* Demonstrated success meeting and exceeding client expectations for deliverables and service quality.
* Must have experience and finesse dealing with all levels of senior management including C\-level management.
* Must have demonstrated strengths in organizational skills required in selecting, motivating, and developing staff.
* A track record of continuous improvement and the identification of potential operational and process risks and formulate/implement effective mitigation plans.
* Experience in IT project/program management with specific emphasis in application/software development and sustainment, encompassing large scale multi\-applications/systems environments.
* A track record of program growth and development.
* Experience in developing and maintaining plans such as Program Management Plan and weekly status reports,
* Experience managing public sector cloud implementations (AWS preferred)
**Job Skills:**
* Strong understanding of government contracting and procurement, processes, stakeholders, and professional services.
* Enthusiastic, proactive, positive attitude with great listening skills and high integrity
* Ability to teach, grow and coach a team.
* Excellent organizational skills, strong attention to detail and ability to effectively manage programs supporting multiple businesses.
* Strong desire to mentor, coach team members while providing oversight for all aspects of relevant Program(s).
* Ability to think and act strategically and proactively approach projects and issues.
* Able to work under pressure and to be flexible with changing priorities.
* Able to find innovative ways to solve problems.
* A genuine interest in looking for opportunities to add value and grow your area of responsibility.
**Education:**
* Bachelor's Degree is required. Preferred field of study in Computer Science, Information Technology, Information Systems, Operations Management, or related field of study.
* MBA/Master's Degree in a relevant field of study preferred.
**Certificates, Licenses and Registrations:**
* Project Management Professional Certification (PMP) required.
* ITIL v.3/4 Foundations, Intermediate or Advanced preferred.
* AWS Cloud Practitioner certification preferred.
* Agile certification(s) preferred
* Other technical certifications will be considered also.
**Communication Skills:**
* Excellent verbal and written skills, ability to present proposals and performance data, comfortable interfacing all levels of organization.
* Ability to write clear and concise creative content in a highly confidential manner.
**Clearance Requirements:**
* Ability to obtain and maintain a DHS Public Trust clearance is required.
**Travel:**
* Willingness to travel regularly to customer site in the Washington DC metro and corporate office in Herndon, VA.
* Willing to travel to other locations occasionally as needed (up to 10%).
**Environmental Requirements:**
* Mainly a routine office environment.
* May be required to lift up to ten (10\) pounds
* Flexible in working extended hours
*The above statements are intended to describe the general nature and level of work being performed by the individual(s) assigned to this position. They are not intended to be an exhaustive list of all duties, responsibilities, and skills required. Unissant management reserves the right to modify, add, or remove duties and to assign other duties as necessary. In addition, where applicable and available, reasonable accommodation(s) may be made to enable individuals with disabilities to perform essential functions of this position.*
*Please note: Candidate(s) will be required to go through pre\-employment screening.*
*Unissant, Inc. is a proud Equal Opportunity Employer! (EOE; M/F/Disability/Vets)*</t>
        </is>
      </c>
    </row>
    <row r="79">
      <c r="A79" t="inlineStr">
        <is>
          <t>in-497edc86cfe794be</t>
        </is>
      </c>
      <c r="B79" t="inlineStr">
        <is>
          <t>Assistant Product Manager</t>
        </is>
      </c>
      <c r="C79" t="inlineStr">
        <is>
          <t>bROK Products</t>
        </is>
      </c>
      <c r="D79" t="inlineStr">
        <is>
          <t>indeed</t>
        </is>
      </c>
      <c r="E79">
        <f>HYPERLINK("https://www.indeed.com/viewjob?jk=497edc86cfe794be", "https://www.indeed.com/viewjob?jk=497edc86cfe794be")</f>
        <v/>
      </c>
      <c r="F79">
        <f>HYPERLINK("http://www.indeed.com/job/assistant-product-manager-497edc86cfe794be", "http://www.indeed.com/job/assistant-product-manager-497edc86cfe794be")</f>
        <v/>
      </c>
      <c r="G79" t="inlineStr">
        <is>
          <t>Akron, OH, US</t>
        </is>
      </c>
      <c r="H79" s="3" t="n">
        <v>46058</v>
      </c>
      <c r="I79" t="inlineStr">
        <is>
          <t>**SUMMARY:**
The Assistant Product Manager assists with various aspects of product management including market research, competitive analysis, development support, feature prioritization, and project coordination. Works to help develop the overall business strategy by helping to define product goals and metrics. Helps to design and implement solutions to key problems to achieve vision. Assistant Product Managers work closely with other departments, helping to ensure smooth execution and timely delivery of new products. While working under the guidance of the Marketing Manager, the Assistant Product Manager contributes to the overall success of the product strategy by supporting product development and helping to drive business growth.
**ESSENTIAL DUTIES AND RESPONSIBILITIES:** 
* Conducts market research including competitor reviews, researches customer needs, and forecasts trends. Helps identify new market opportunities and contributes to strategy development.
* Gathers and analyzes customer data to understand customer needs and pain points.
* Translates analytics, data and user feedback into actionable product plans.
* Helps to develop business case and rationale for new product investments.
* Initiates and submits for approval new product development projects.
* Translates business goals and end user needs into product strategies.
* Assists the Marketing Manager in defining product requirements, creating roadmaps that outline the timeline for developing and releasing new products, planning budgets and tracking expenses.This includes writing documents related to market and product requirements.
* Supports the product road map gate chart to meet business objectives and goals. Helps prioritize features, coordinate projects, and ensures smooth execution of product plans.
* Works with engineers, designers, and factories to ensure that products are developed according to the product requirements, specifications, features and functionality.
* Tests products to ensure that they meet quality standards and gathers user feedback.
* Communicates product information and tracks performance indicators.
* Writes product documentation, such as benefit\-driven copy, user guides and release notes.
* Creates a backlog, writes user stories, and manages releases.
* Helps with collateral for sales demonstrations and customer events.
* Other duties and responsibilities as assigned.
**QUALIFICATIONS AND CHARACTERISTICS:** 
Associate’s degree required. Bachelor’s degree in business administration, Marketing or similar, with 1\-2 years experience or an acceptable combination of education and experience is preferred. Ability to analyze data and provide insights from data. Critical thinker with great attention to detail and problem\-solving skills. Excellent communication, creativity, project management and time\-management skills. Team player with great interpersonal skills and an interest in the retail marketplace. Works well independently and takes initiative as needed. A decision maker with leadership skills and capabilities. Displays professionalism. Intermediate knowledge of Microsoft Excel; Fluent in a variety of programs and software.
Pay: $58,000\.00 \- $60,000\.00 per year
Benefits:
* 401(k)
* 401(k) matching
* Dental insurance
* Employee assistance program
* Employee discount
* Health insurance
* Health savings account
* Life insurance
* Paid time off
* Vision insurance
Work Location: In person</t>
        </is>
      </c>
    </row>
    <row r="80">
      <c r="A80" t="inlineStr">
        <is>
          <t>in-a2af873dd1633c26</t>
        </is>
      </c>
      <c r="B80" t="inlineStr">
        <is>
          <t>Product Manager, Agentic Commerce</t>
        </is>
      </c>
      <c r="C80" t="inlineStr">
        <is>
          <t>Worldpay</t>
        </is>
      </c>
      <c r="D80" t="inlineStr">
        <is>
          <t>indeed</t>
        </is>
      </c>
      <c r="E80">
        <f>HYPERLINK("https://www.indeed.com/viewjob?jk=a2af873dd1633c26", "https://www.indeed.com/viewjob?jk=a2af873dd1633c26")</f>
        <v/>
      </c>
      <c r="F80">
        <f>HYPERLINK("https://jobs.worldpay.com/jobs/JR0608739-1", "https://jobs.worldpay.com/jobs/JR0608739-1")</f>
        <v/>
      </c>
      <c r="G80" t="inlineStr">
        <is>
          <t>Denver, CO, US</t>
        </is>
      </c>
      <c r="H80" s="3" t="n">
        <v>46057</v>
      </c>
      <c r="I80" t="inlineStr">
        <is>
          <t>**Job Description**
**Product Manager, Agentic Commerce**
Team: Product
Location: US – San Francisco, Denver, Atlanta, NYC or Boston
Position: Full time
Are you ready to write your next chapter?
Make your mark at one of the biggest names in payments. With proven technology, we process the largest volume of payments in the world, driving the global economy every day. When you join Worldpay, you join a global community of experts and changemakers, working to reinvent an industry by constantly evolving how we work and making the way millions of people pay easier, every day.
What makes a Worldpayer? It’s simple: Think, Act, Win. We stay curious, always asking the right questions to be better every day, finding creative solutions to simplify the complex. We’re dynamic, every Worldpayer is empowered to make the right decisions for their customers. And we’re determined, always staying open – winning and failing as one.
Are you ready to make your mark? Then you sound like a Worldpayer.
**About the team**
The newly formed **Agentic Commerce** team focuses on building the future of commerce in the world of AI – transformative products that redefine how AI\-powered agents discover products, checkout and complete transactions on behalf of consumers safely and securely. Our vision is to establish Worldpay as the ‘universal adapter’ that our merchants can leverage to seamlessly allow the plethora of agents and evolving protocols to safely conduct commerce on their platforms.
The team will liaise with Worldpay’s existing product teams to evolve our existing products, such as fraud tools, payment optimisation products, dashboards, disputes platforms, to be agent\-ready. We will also work with Commercial, GTM, Marketing, and other teams to ensure the products we build are rooted in our merchant needs, and drive thought leadership working alongside other industry players and advocating on behalf of our merchants. The team remit also involves forging and developing relationships with the players at the cutting edge of AI, such as Google, OpenAI, Meta, and others.
Together, our collective goal is to push the boundaries of ecommerce as we know today, and support our merchants in accessing new customers and allowing even more seamless payment experiences of the future.
**What you'll own**
-------------------
As Product Manager for Agentic Commerce, you will own the vision, design, and execution of products that enable AI agents to seamlessly integrate payment capabilities, building new commercial models for the agentic economy.
### **Strategic Product Leadership**
* Develop a compelling vision and product roadmap for agentic commerce with input from AI companies, merchants, market research, and industry insight
* Help establish Worldpay's position in agentic commerce standards and protocols, working with key ecosystem players and internal experts
### **Product Development \&amp; Delivery**
* Partner with Engineering \&amp; other Product teams to ship high\-impact features to allow agents to conduct purchases on our merchant’s surfaces
* Write, refine, and socialize epics/features with engineering teams to deliver value aligned with the product vision and roadmap
* Develop new API primitives and integration experiences specifically designed for agentic workflows
* Support Product teams across Worldpay, incl. backend services, dashboard interfaces, money movement systems, and API integrations, to be agent\-ready
### **Cross\-functional Collaboration \&amp; Go\-to\-Market Support**
* Collaborate with GTM and other commercial teams to deliver go\-to\-market strategies with clear segmentation, targeting, and positioning
* Engage directly with select customers and AI platform builders as a subject matter expert, understand business needs and translate requirements into novel product shapes
* Work closely with Partnership team to onboard AI companies and facilitate rapid prototyping
**Analysis \&amp; Optimization**
* Leverage strong analytical skills to dive into data, test hypotheses, and make informed trade\-offs
* Regularly undertake reviews to understand product performance, partnerships, customer adoption, and business value
**What you bring**
------------------
### **Minimum Requirements**
* 7\+ years of Product Management experience, preferably in payments, fintech, software or platform products
* Proven ability to work effectively across multiple teams and stakeholders, leading initiatives that span multiple Product and Engineering teams and influencing roadmap and execution
* Experience in managing projects end\-to\-end with agile development processes
* Strong written and verbal communication skills, with ability to structure ambiguous concepts clearly and from first principles
* Computer Science background or other similar technical experience
### **Preferred Qualifications**
* Familiarity with LLM\-powered systems, understanding of GenAI and agentic AI technologies
* Exposure to Model Context Protocol (MCP), Agent to Agent (A2A), or similar agent integration standards
* Knowledge of the payments industry; familiarity with agentic commerce protocols (AP2, ACP etc.) is a strong bonus
* Experience in ecom platforms and merchant tools
* You've founded or worked at a startup and / or taken a product from 0\-1, but want to do the same at a larger scale
**Worldpay perks \- what we’ll bring for you**
We know it’s bigger than just your career. It’s your life, and your world. That’s why we offer global benefits and programs to support you at every stage. Here’s a taste of what you can expect.
* A competitive salary and benefits.
* Time to support charities and give back to your community.
* Parental leave policy.
* Global recognition platform.
* Virgin Pulse access.
* Global employee assistance program.
**What makes a Worldpayer**
At Worldpay, we take our Values seriously, and we live them every day. Think like a customer, Act like an owner, and Win as a team.
* **Curious. Humble. Creative**. We ask the right questions, listening and learning to get better every day. We simplify the complex and we’re always looking to create a bigger impact for our colleagues and customers.
* **Empowered. Accountable. Dynamic**. We stay agile, using our initiative, taking calculated risks to progress. Never standing still, never settling, we work at pace to achieve our goals. We champion our ideas and stay flexible to make them happen. We know that every action adds up.
* **Determined. Inclusive. Open.** Unlocking potential means working as one global community. Our work spans borders, and we stay united by our purpose. We collaborate, always encouraging others to perform at their best, welcoming new perspectives.
Does this sound like you? Then you sound like a Worldpayer.
Apply now to write the next chapter in your career. We can’t wait to hear from you.
To find out more about working with us, find us on LinkedIn
\#LI\-BJ1
Worldpay is dedicated to offering individuals rewarding career opportunities and competitive compensation. For this full\-time position, the good faith estimated annual salary range upon hire is $105,700\.00\-$159,475\.00\.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81">
      <c r="A81" t="inlineStr">
        <is>
          <t>in-027656f2b28a80bd</t>
        </is>
      </c>
      <c r="B81" t="inlineStr">
        <is>
          <t>Product Manager, Agentic Commerce</t>
        </is>
      </c>
      <c r="C81" t="inlineStr">
        <is>
          <t>Worldpay</t>
        </is>
      </c>
      <c r="D81" t="inlineStr">
        <is>
          <t>indeed</t>
        </is>
      </c>
      <c r="E81">
        <f>HYPERLINK("https://www.indeed.com/viewjob?jk=027656f2b28a80bd", "https://www.indeed.com/viewjob?jk=027656f2b28a80bd")</f>
        <v/>
      </c>
      <c r="F81">
        <f>HYPERLINK("https://jobs.worldpay.com/jobs/JR0608739-2", "https://jobs.worldpay.com/jobs/JR0608739-2")</f>
        <v/>
      </c>
      <c r="G81" t="inlineStr">
        <is>
          <t>Atlanta, GA, US</t>
        </is>
      </c>
      <c r="H81" s="3" t="n">
        <v>46057</v>
      </c>
      <c r="I81" t="inlineStr">
        <is>
          <t>**Job Description**
**Product Manager, Agentic Commerce**
Team: Product
Location: US – San Francisco, Denver, Atlanta, NYC or Boston
Position: Full time
Are you ready to write your next chapter?
Make your mark at one of the biggest names in payments. With proven technology, we process the largest volume of payments in the world, driving the global economy every day. When you join Worldpay, you join a global community of experts and changemakers, working to reinvent an industry by constantly evolving how we work and making the way millions of people pay easier, every day.
What makes a Worldpayer? It’s simple: Think, Act, Win. We stay curious, always asking the right questions to be better every day, finding creative solutions to simplify the complex. We’re dynamic, every Worldpayer is empowered to make the right decisions for their customers. And we’re determined, always staying open – winning and failing as one.
Are you ready to make your mark? Then you sound like a Worldpayer.
**About the team**
The newly formed **Agentic Commerce** team focuses on building the future of commerce in the world of AI – transformative products that redefine how AI\-powered agents discover products, checkout and complete transactions on behalf of consumers safely and securely. Our vision is to establish Worldpay as the ‘universal adapter’ that our merchants can leverage to seamlessly allow the plethora of agents and evolving protocols to safely conduct commerce on their platforms.
The team will liaise with Worldpay’s existing product teams to evolve our existing products, such as fraud tools, payment optimisation products, dashboards, disputes platforms, to be agent\-ready. We will also work with Commercial, GTM, Marketing, and other teams to ensure the products we build are rooted in our merchant needs, and drive thought leadership working alongside other industry players and advocating on behalf of our merchants. The team remit also involves forging and developing relationships with the players at the cutting edge of AI, such as Google, OpenAI, Meta, and others.
Together, our collective goal is to push the boundaries of ecommerce as we know today, and support our merchants in accessing new customers and allowing even more seamless payment experiences of the future.
**What you'll own**
-------------------
As Product Manager for Agentic Commerce, you will own the vision, design, and execution of products that enable AI agents to seamlessly integrate payment capabilities, building new commercial models for the agentic economy.
### **Strategic Product Leadership**
* Develop a compelling vision and product roadmap for agentic commerce with input from AI companies, merchants, market research, and industry insight
* Help establish Worldpay's position in agentic commerce standards and protocols, working with key ecosystem players and internal experts
### **Product Development \&amp; Delivery**
* Partner with Engineering \&amp; other Product teams to ship high\-impact features to allow agents to conduct purchases on our merchant’s surfaces
* Write, refine, and socialize epics/features with engineering teams to deliver value aligned with the product vision and roadmap
* Develop new API primitives and integration experiences specifically designed for agentic workflows
* Support Product teams across Worldpay, incl. backend services, dashboard interfaces, money movement systems, and API integrations, to be agent\-ready
### **Cross\-functional Collaboration \&amp; Go\-to\-Market Support**
* Collaborate with GTM and other commercial teams to deliver go\-to\-market strategies with clear segmentation, targeting, and positioning
* Engage directly with select customers and AI platform builders as a subject matter expert, understand business needs and translate requirements into novel product shapes
* Work closely with Partnership team to onboard AI companies and facilitate rapid prototyping
**Analysis \&amp; Optimization**
* Leverage strong analytical skills to dive into data, test hypotheses, and make informed trade\-offs
* Regularly undertake reviews to understand product performance, partnerships, customer adoption, and business value
**What you bring**
------------------
### **Minimum Requirements**
* 7\+ years of Product Management experience, preferably in payments, fintech, software or platform products
* Proven ability to work effectively across multiple teams and stakeholders, leading initiatives that span multiple Product and Engineering teams and influencing roadmap and execution
* Experience in managing projects end\-to\-end with agile development processes
* Strong written and verbal communication skills, with ability to structure ambiguous concepts clearly and from first principles
* Computer Science background or other similar technical experience
### **Preferred Qualifications**
* Familiarity with LLM\-powered systems, understanding of GenAI and agentic AI technologies
* Exposure to Model Context Protocol (MCP), Agent to Agent (A2A), or similar agent integration standards
* Knowledge of the payments industry; familiarity with agentic commerce protocols (AP2, ACP etc.) is a strong bonus
* Experience in ecom platforms and merchant tools
* You've founded or worked at a startup and / or taken a product from 0\-1, but want to do the same at a larger scale
**Worldpay perks \- what we’ll bring for you**
We know it’s bigger than just your career. It’s your life, and your world. That’s why we offer global benefits and programs to support you at every stage. Here’s a taste of what you can expect.
* A competitive salary and benefits.
* Time to support charities and give back to your community.
* Parental leave policy.
* Global recognition platform.
* Virgin Pulse access.
* Global employee assistance program.
**What makes a Worldpayer**
At Worldpay, we take our Values seriously, and we live them every day. Think like a customer, Act like an owner, and Win as a team.
* **Curious. Humble. Creative**. We ask the right questions, listening and learning to get better every day. We simplify the complex and we’re always looking to create a bigger impact for our colleagues and customers.
* **Empowered. Accountable. Dynamic**. We stay agile, using our initiative, taking calculated risks to progress. Never standing still, never settling, we work at pace to achieve our goals. We champion our ideas and stay flexible to make them happen. We know that every action adds up.
* **Determined. Inclusive. Open.** Unlocking potential means working as one global community. Our work spans borders, and we stay united by our purpose. We collaborate, always encouraging others to perform at their best, welcoming new perspectives.
Does this sound like you? Then you sound like a Worldpayer.
Apply now to write the next chapter in your career. We can’t wait to hear from you.
To find out more about working with us, find us on LinkedIn
\#LI\-BJ1
Worldpay is dedicated to offering individuals rewarding career opportunities and competitive compensation. For this full\-time position, the good faith estimated annual salary range upon hire is $105,700\.00\-$159,475\.00\.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82">
      <c r="A82" t="inlineStr">
        <is>
          <t>in-6f0805b9002361b5</t>
        </is>
      </c>
      <c r="B82" t="inlineStr">
        <is>
          <t>Product Manager, Agentic Commerce</t>
        </is>
      </c>
      <c r="C82" t="inlineStr">
        <is>
          <t>Worldpay</t>
        </is>
      </c>
      <c r="D82" t="inlineStr">
        <is>
          <t>indeed</t>
        </is>
      </c>
      <c r="E82">
        <f>HYPERLINK("https://www.indeed.com/viewjob?jk=6f0805b9002361b5", "https://www.indeed.com/viewjob?jk=6f0805b9002361b5")</f>
        <v/>
      </c>
      <c r="F82">
        <f>HYPERLINK("https://jobs.worldpay.com/jobs/JR0608739-0", "https://jobs.worldpay.com/jobs/JR0608739-0")</f>
        <v/>
      </c>
      <c r="G82" t="inlineStr">
        <is>
          <t>San Francisco, CA, US</t>
        </is>
      </c>
      <c r="H82" s="3" t="n">
        <v>46057</v>
      </c>
      <c r="I82" t="inlineStr">
        <is>
          <t>**Job Description**
**Product Manager, Agentic Commerce**
Team: Product
Location: US – San Francisco, Denver, Atlanta, NYC or Boston
Position: Full time
Are you ready to write your next chapter?
Make your mark at one of the biggest names in payments. With proven technology, we process the largest volume of payments in the world, driving the global economy every day. When you join Worldpay, you join a global community of experts and changemakers, working to reinvent an industry by constantly evolving how we work and making the way millions of people pay easier, every day.
What makes a Worldpayer? It’s simple: Think, Act, Win. We stay curious, always asking the right questions to be better every day, finding creative solutions to simplify the complex. We’re dynamic, every Worldpayer is empowered to make the right decisions for their customers. And we’re determined, always staying open – winning and failing as one.
Are you ready to make your mark? Then you sound like a Worldpayer.
**About the team**
The newly formed **Agentic Commerce** team focuses on building the future of commerce in the world of AI – transformative products that redefine how AI\-powered agents discover products, checkout and complete transactions on behalf of consumers safely and securely. Our vision is to establish Worldpay as the ‘universal adapter’ that our merchants can leverage to seamlessly allow the plethora of agents and evolving protocols to safely conduct commerce on their platforms.
The team will liaise with Worldpay’s existing product teams to evolve our existing products, such as fraud tools, payment optimisation products, dashboards, disputes platforms, to be agent\-ready. We will also work with Commercial, GTM, Marketing, and other teams to ensure the products we build are rooted in our merchant needs, and drive thought leadership working alongside other industry players and advocating on behalf of our merchants. The team remit also involves forging and developing relationships with the players at the cutting edge of AI, such as Google, OpenAI, Meta, and others.
Together, our collective goal is to push the boundaries of ecommerce as we know today, and support our merchants in accessing new customers and allowing even more seamless payment experiences of the future.
**What you'll own**
-------------------
As Product Manager for Agentic Commerce, you will own the vision, design, and execution of products that enable AI agents to seamlessly integrate payment capabilities, building new commercial models for the agentic economy.
### **Strategic Product Leadership**
* Develop a compelling vision and product roadmap for agentic commerce with input from AI companies, merchants, market research, and industry insight
* Help establish Worldpay's position in agentic commerce standards and protocols, working with key ecosystem players and internal experts
### **Product Development \&amp; Delivery**
* Partner with Engineering \&amp; other Product teams to ship high\-impact features to allow agents to conduct purchases on our merchant’s surfaces
* Write, refine, and socialize epics/features with engineering teams to deliver value aligned with the product vision and roadmap
* Develop new API primitives and integration experiences specifically designed for agentic workflows
* Support Product teams across Worldpay, incl. backend services, dashboard interfaces, money movement systems, and API integrations, to be agent\-ready
### **Cross\-functional Collaboration \&amp; Go\-to\-Market Support**
* Collaborate with GTM and other commercial teams to deliver go\-to\-market strategies with clear segmentation, targeting, and positioning
* Engage directly with select customers and AI platform builders as a subject matter expert, understand business needs and translate requirements into novel product shapes
* Work closely with Partnership team to onboard AI companies and facilitate rapid prototyping
**Analysis \&amp; Optimization**
* Leverage strong analytical skills to dive into data, test hypotheses, and make informed trade\-offs
* Regularly undertake reviews to understand product performance, partnerships, customer adoption, and business value
**What you bring**
------------------
### **Minimum Requirements**
* 7\+ years of Product Management experience, preferably in payments, fintech, software or platform products
* Proven ability to work effectively across multiple teams and stakeholders, leading initiatives that span multiple Product and Engineering teams and influencing roadmap and execution
* Experience in managing projects end\-to\-end with agile development processes
* Strong written and verbal communication skills, with ability to structure ambiguous concepts clearly and from first principles
* Computer Science background or other similar technical experience
### **Preferred Qualifications**
* Familiarity with LLM\-powered systems, understanding of GenAI and agentic AI technologies
* Exposure to Model Context Protocol (MCP), Agent to Agent (A2A), or similar agent integration standards
* Knowledge of the payments industry; familiarity with agentic commerce protocols (AP2, ACP etc.) is a strong bonus
* Experience in ecom platforms and merchant tools
* You've founded or worked at a startup and / or taken a product from 0\-1, but want to do the same at a larger scale
**Worldpay perks \- what we’ll bring for you**
We know it’s bigger than just your career. It’s your life, and your world. That’s why we offer global benefits and programs to support you at every stage. Here’s a taste of what you can expect.
* A competitive salary and benefits.
* Time to support charities and give back to your community.
* Parental leave policy.
* Global recognition platform.
* Virgin Pulse access.
* Global employee assistance program.
**What makes a Worldpayer**
At Worldpay, we take our Values seriously, and we live them every day. Think like a customer, Act like an owner, and Win as a team.
* **Curious. Humble. Creative**. We ask the right questions, listening and learning to get better every day. We simplify the complex and we’re always looking to create a bigger impact for our colleagues and customers.
* **Empowered. Accountable. Dynamic**. We stay agile, using our initiative, taking calculated risks to progress. Never standing still, never settling, we work at pace to achieve our goals. We champion our ideas and stay flexible to make them happen. We know that every action adds up.
* **Determined. Inclusive. Open.** Unlocking potential means working as one global community. Our work spans borders, and we stay united by our purpose. We collaborate, always encouraging others to perform at their best, welcoming new perspectives.
Does this sound like you? Then you sound like a Worldpayer.
Apply now to write the next chapter in your career. We can’t wait to hear from you.
To find out more about working with us, find us on LinkedIn
\#LI\-BJ1
Worldpay is dedicated to offering individuals rewarding career opportunities and competitive compensation. For this full\-time position, the good faith estimated annual salary range upon hire is $105,700\.00\-$159,475\.00\.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83">
      <c r="A83" t="inlineStr">
        <is>
          <t>in-0fc076e3a7189df0</t>
        </is>
      </c>
      <c r="B83" t="inlineStr">
        <is>
          <t>Product Manager, Agentic Commerce</t>
        </is>
      </c>
      <c r="C83" t="inlineStr">
        <is>
          <t>Worldpay</t>
        </is>
      </c>
      <c r="D83" t="inlineStr">
        <is>
          <t>indeed</t>
        </is>
      </c>
      <c r="E83">
        <f>HYPERLINK("https://www.indeed.com/viewjob?jk=0fc076e3a7189df0", "https://www.indeed.com/viewjob?jk=0fc076e3a7189df0")</f>
        <v/>
      </c>
      <c r="F83">
        <f>HYPERLINK("https://jobs.worldpay.com/jobs/JR0608739-3", "https://jobs.worldpay.com/jobs/JR0608739-3")</f>
        <v/>
      </c>
      <c r="G83" t="inlineStr">
        <is>
          <t>New York, NY, US</t>
        </is>
      </c>
      <c r="H83" s="3" t="n">
        <v>46057</v>
      </c>
      <c r="I83" t="inlineStr">
        <is>
          <t>**Job Description**
**Product Manager, Agentic Commerce**
Team: Product
Location: US – San Francisco, Denver, Atlanta, NYC or Boston
Position: Full time
Are you ready to write your next chapter?
Make your mark at one of the biggest names in payments. With proven technology, we process the largest volume of payments in the world, driving the global economy every day. When you join Worldpay, you join a global community of experts and changemakers, working to reinvent an industry by constantly evolving how we work and making the way millions of people pay easier, every day.
What makes a Worldpayer? It’s simple: Think, Act, Win. We stay curious, always asking the right questions to be better every day, finding creative solutions to simplify the complex. We’re dynamic, every Worldpayer is empowered to make the right decisions for their customers. And we’re determined, always staying open – winning and failing as one.
Are you ready to make your mark? Then you sound like a Worldpayer.
**About the team**
The newly formed **Agentic Commerce** team focuses on building the future of commerce in the world of AI – transformative products that redefine how AI\-powered agents discover products, checkout and complete transactions on behalf of consumers safely and securely. Our vision is to establish Worldpay as the ‘universal adapter’ that our merchants can leverage to seamlessly allow the plethora of agents and evolving protocols to safely conduct commerce on their platforms.
The team will liaise with Worldpay’s existing product teams to evolve our existing products, such as fraud tools, payment optimisation products, dashboards, disputes platforms, to be agent\-ready. We will also work with Commercial, GTM, Marketing, and other teams to ensure the products we build are rooted in our merchant needs, and drive thought leadership working alongside other industry players and advocating on behalf of our merchants. The team remit also involves forging and developing relationships with the players at the cutting edge of AI, such as Google, OpenAI, Meta, and others.
Together, our collective goal is to push the boundaries of ecommerce as we know today, and support our merchants in accessing new customers and allowing even more seamless payment experiences of the future.
**What you'll own**
-------------------
As Product Manager for Agentic Commerce, you will own the vision, design, and execution of products that enable AI agents to seamlessly integrate payment capabilities, building new commercial models for the agentic economy.
### **Strategic Product Leadership**
* Develop a compelling vision and product roadmap for agentic commerce with input from AI companies, merchants, market research, and industry insight
* Help establish Worldpay's position in agentic commerce standards and protocols, working with key ecosystem players and internal experts
### **Product Development \&amp; Delivery**
* Partner with Engineering \&amp; other Product teams to ship high\-impact features to allow agents to conduct purchases on our merchant’s surfaces
* Write, refine, and socialize epics/features with engineering teams to deliver value aligned with the product vision and roadmap
* Develop new API primitives and integration experiences specifically designed for agentic workflows
* Support Product teams across Worldpay, incl. backend services, dashboard interfaces, money movement systems, and API integrations, to be agent\-ready
### **Cross\-functional Collaboration \&amp; Go\-to\-Market Support**
* Collaborate with GTM and other commercial teams to deliver go\-to\-market strategies with clear segmentation, targeting, and positioning
* Engage directly with select customers and AI platform builders as a subject matter expert, understand business needs and translate requirements into novel product shapes
* Work closely with Partnership team to onboard AI companies and facilitate rapid prototyping
**Analysis \&amp; Optimization**
* Leverage strong analytical skills to dive into data, test hypotheses, and make informed trade\-offs
* Regularly undertake reviews to understand product performance, partnerships, customer adoption, and business value
**What you bring**
------------------
### **Minimum Requirements**
* 7\+ years of Product Management experience, preferably in payments, fintech, software or platform products
* Proven ability to work effectively across multiple teams and stakeholders, leading initiatives that span multiple Product and Engineering teams and influencing roadmap and execution
* Experience in managing projects end\-to\-end with agile development processes
* Strong written and verbal communication skills, with ability to structure ambiguous concepts clearly and from first principles
* Computer Science background or other similar technical experience
### **Preferred Qualifications**
* Familiarity with LLM\-powered systems, understanding of GenAI and agentic AI technologies
* Exposure to Model Context Protocol (MCP), Agent to Agent (A2A), or similar agent integration standards
* Knowledge of the payments industry; familiarity with agentic commerce protocols (AP2, ACP etc.) is a strong bonus
* Experience in ecom platforms and merchant tools
* You've founded or worked at a startup and / or taken a product from 0\-1, but want to do the same at a larger scale
**Worldpay perks \- what we’ll bring for you**
We know it’s bigger than just your career. It’s your life, and your world. That’s why we offer global benefits and programs to support you at every stage. Here’s a taste of what you can expect.
* A competitive salary and benefits.
* Time to support charities and give back to your community.
* Parental leave policy.
* Global recognition platform.
* Virgin Pulse access.
* Global employee assistance program.
**What makes a Worldpayer**
At Worldpay, we take our Values seriously, and we live them every day. Think like a customer, Act like an owner, and Win as a team.
* **Curious. Humble. Creative**. We ask the right questions, listening and learning to get better every day. We simplify the complex and we’re always looking to create a bigger impact for our colleagues and customers.
* **Empowered. Accountable. Dynamic**. We stay agile, using our initiative, taking calculated risks to progress. Never standing still, never settling, we work at pace to achieve our goals. We champion our ideas and stay flexible to make them happen. We know that every action adds up.
* **Determined. Inclusive. Open.** Unlocking potential means working as one global community. Our work spans borders, and we stay united by our purpose. We collaborate, always encouraging others to perform at their best, welcoming new perspectives.
Does this sound like you? Then you sound like a Worldpayer.
Apply now to write the next chapter in your career. We can’t wait to hear from you.
To find out more about working with us, find us on LinkedIn
\#LI\-BJ1
Worldpay is dedicated to offering individuals rewarding career opportunities and competitive compensation. For this full\-time position, the good faith estimated annual salary range upon hire is $105,700\.00\-$159,475\.00\.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84">
      <c r="A84" t="inlineStr">
        <is>
          <t>in-09990b323fc50234</t>
        </is>
      </c>
      <c r="B84" t="inlineStr">
        <is>
          <t>Technical Program Manager, AI/ML, Cloud Capacity Planning</t>
        </is>
      </c>
      <c r="C84" t="inlineStr">
        <is>
          <t>Google</t>
        </is>
      </c>
      <c r="D84" t="inlineStr">
        <is>
          <t>indeed</t>
        </is>
      </c>
      <c r="E84">
        <f>HYPERLINK("https://www.indeed.com/viewjob?jk=09990b323fc50234", "https://www.indeed.com/viewjob?jk=09990b323fc50234")</f>
        <v/>
      </c>
      <c r="F84">
        <f>HYPERLINK("https://careers.google.com/jobs/results/97308458881032902-technical-program-manager/", "https://careers.google.com/jobs/results/97308458881032902-technical-program-manager/")</f>
        <v/>
      </c>
      <c r="G84" t="inlineStr">
        <is>
          <t>Thornton, CO, US</t>
        </is>
      </c>
      <c r="H84" s="3" t="n">
        <v>46057</v>
      </c>
      <c r="I84"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**Sunnyvale, CA, USA; Atlanta, GA, USA; Austin, TX, USA; Addison, TX, USA; New York, NY, USA; Thornton, CO, USA**.### **Minimum qualifications:**
* Bachelor's degree in a technical field, or equivalent practical experience.
* 8 years of experience in technical program management or managing cross\-functional projects.
* Experience in capacity planning, supply chain management, or infrastructure deployment.
* Experience in data modeling, trend analysis, forecasting, or data analytics.
* Experience leading regular review meetings with cross\-functional stakeholders to align business objectives with technical capabilities.
### **Preferred qualifications:**
* 8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ensure to provide capacity to our customers on\-time and in the right location, thus supporting the business' tremendous growth potential. You will be overseeing various aspects of supply planning, demand planning, and program management to help coordinate across numerous stakeholders to deliver a seamless capacity experience for our AI/ML customers.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Coordinate capacity planning activities for Google Cloud AI/ML portfolios and lead regular review meetings to align business objectives with technical capabilities.
* Collaborate with Engineering, Product Management, and Operations teams to ensure a smooth transition for customers migrating their workloads to Google Cloud.
* Design and implement capacity planning processes to improve cost\-effectiveness and performance, while proactively monitoring for and mitigating bottlenecks to minimize service disruptions.
* Analyze usage patterns and maintain Supply Demand Match (SDM) models to build long\-term demand forecasts that anticipate resource needs for long\-lead\-time products.
* Partner with engineering teams to design and implement automation that delivers operational excellence and reduces manual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5">
      <c r="A85" t="inlineStr">
        <is>
          <t>in-7e8b2b0810f9c290</t>
        </is>
      </c>
      <c r="B85" t="inlineStr">
        <is>
          <t>Program Manager II, Circular Economy, Cloud Supply Chain</t>
        </is>
      </c>
      <c r="C85" t="inlineStr">
        <is>
          <t>Google</t>
        </is>
      </c>
      <c r="D85" t="inlineStr">
        <is>
          <t>indeed</t>
        </is>
      </c>
      <c r="E85">
        <f>HYPERLINK("https://www.indeed.com/viewjob?jk=7e8b2b0810f9c290", "https://www.indeed.com/viewjob?jk=7e8b2b0810f9c290")</f>
        <v/>
      </c>
      <c r="F85">
        <f>HYPERLINK("https://careers.google.com/jobs/results/111014558516028102-program-manager-ii/", "https://careers.google.com/jobs/results/111014558516028102-program-manager-ii/")</f>
        <v/>
      </c>
      <c r="G85" t="inlineStr">
        <is>
          <t>Atlanta, GA, US</t>
        </is>
      </c>
      <c r="H85" s="3" t="n">
        <v>46057</v>
      </c>
      <c r="I85" t="inlineStr">
        <is>
          <t>### **Minimum qualifications:**
* Bachelor's degree or equivalent practical experience.
* 2 years of experience in program or project management.
* Experience working with circular economy principles in a supply chain.
Experience working with supply chains in data centers, manufacturing, or warehouse logistics.  
* 
### **Preferred qualifications:**
* 2 years of experience managing cross\-functional or cross\-team projects.
* Experience in change management, helping large organizations adopt new processes or sustainability standards (Lean or Six Sigma training).
* Experience with global recycling infrastructure and vendor landscape for various waste streams.
* Experience with process mapping to identify and remove bottlenecks in circular material flows.
**About the job**
-----------------
Be a driving team in Google’s journey towards a circular economy to support global data center operations. As the Circular Economy Program Manager, you will lead the charge in minimizing waste, maximizing resource recovery, and achieving true zero waste and circularity. This role blends innovation with planning, demanding both a passion for sustainability and a high degree of operational excellence. Unlike traditional investigative roles, this position focuses on the "how" and “why” of circularity bridging the gap between ambitious sustainability goals, day\-to\-day operations, and the various stakeholders. You will act as an advocate for circularity, collaborating with data center teams to identify improvement opportunities and implement scalable solutions. From optimizing global standards to building business partnerships, you will be responsible for translating Google's Circular Economy goals into tangible actions and a compelling narrative of progress.The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Oversee the end\-to\-end implementation of circularity initiatives, ensuring they are seamlessly integrated into global supply chain and data center operations.
* Lead the strategy for sustainable inventory and logistic management, identifying opportunities to eliminate single\-use materials, optimize recovery, and transition to reusable or recyclable alternatives.
* Design and deploy site\-specific waste management workflows that prioritize resource recovery and operational efficiency.
* Foster and manage partnerships with recycling vendors and logistics providers to create innovative closed\-loop systems.
* Translate operational data into powerful narratives that demonstrate the impact of circularity initiatives to stakeholders at all levels.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6">
      <c r="A86" t="inlineStr">
        <is>
          <t>in-7a8166de529c4856</t>
        </is>
      </c>
      <c r="B86" t="inlineStr">
        <is>
          <t>Technical Program Manager, AI/ML, Cloud Capacity Planning</t>
        </is>
      </c>
      <c r="C86" t="inlineStr">
        <is>
          <t>Google</t>
        </is>
      </c>
      <c r="D86" t="inlineStr">
        <is>
          <t>indeed</t>
        </is>
      </c>
      <c r="E86">
        <f>HYPERLINK("https://www.indeed.com/viewjob?jk=7a8166de529c4856", "https://www.indeed.com/viewjob?jk=7a8166de529c4856")</f>
        <v/>
      </c>
      <c r="F86">
        <f>HYPERLINK("https://careers.google.com/jobs/results/97308458881032902-technical-program-manager/", "https://careers.google.com/jobs/results/97308458881032902-technical-program-manager/")</f>
        <v/>
      </c>
      <c r="G86" t="inlineStr">
        <is>
          <t>Addison, TX, US</t>
        </is>
      </c>
      <c r="H86" s="3" t="n">
        <v>46057</v>
      </c>
      <c r="I86"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**Sunnyvale, CA, USA; Atlanta, GA, USA; Austin, TX, USA; Addison, TX, USA; New York, NY, USA; Thornton, CO, USA**.### **Minimum qualifications:**
* Bachelor's degree in a technical field, or equivalent practical experience.
* 8 years of experience in technical program management or managing cross\-functional projects.
* Experience in capacity planning, supply chain management, or infrastructure deployment.
* Experience in data modeling, trend analysis, forecasting, or data analytics.
* Experience leading regular review meetings with cross\-functional stakeholders to align business objectives with technical capabilities.
### **Preferred qualifications:**
* 8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ensure to provide capacity to our customers on\-time and in the right location, thus supporting the business' tremendous growth potential. You will be overseeing various aspects of supply planning, demand planning, and program management to help coordinate across numerous stakeholders to deliver a seamless capacity experience for our AI/ML customers.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Coordinate capacity planning activities for Google Cloud AI/ML portfolios and lead regular review meetings to align business objectives with technical capabilities.
* Collaborate with Engineering, Product Management, and Operations teams to ensure a smooth transition for customers migrating their workloads to Google Cloud.
* Design and implement capacity planning processes to improve cost\-effectiveness and performance, while proactively monitoring for and mitigating bottlenecks to minimize service disruptions.
* Analyze usage patterns and maintain Supply Demand Match (SDM) models to build long\-term demand forecasts that anticipate resource needs for long\-lead\-time products.
* Partner with engineering teams to design and implement automation that delivers operational excellence and reduces manual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7">
      <c r="A87" t="inlineStr">
        <is>
          <t>in-1d2817f194f5360b</t>
        </is>
      </c>
      <c r="B87" t="inlineStr">
        <is>
          <t>Technical Program Manager, AI/ML, Cloud Capacity Planning</t>
        </is>
      </c>
      <c r="C87" t="inlineStr">
        <is>
          <t>Google</t>
        </is>
      </c>
      <c r="D87" t="inlineStr">
        <is>
          <t>indeed</t>
        </is>
      </c>
      <c r="E87">
        <f>HYPERLINK("https://www.indeed.com/viewjob?jk=1d2817f194f5360b", "https://www.indeed.com/viewjob?jk=1d2817f194f5360b")</f>
        <v/>
      </c>
      <c r="F87">
        <f>HYPERLINK("https://careers.google.com/jobs/results/97308458881032902-technical-program-manager/", "https://careers.google.com/jobs/results/97308458881032902-technical-program-manager/")</f>
        <v/>
      </c>
      <c r="G87" t="inlineStr">
        <is>
          <t>New York, NY, US</t>
        </is>
      </c>
      <c r="H87" s="3" t="n">
        <v>46057</v>
      </c>
      <c r="I87"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**Sunnyvale, CA, USA; Atlanta, GA, USA; Austin, TX, USA; Addison, TX, USA; New York, NY, USA; Thornton, CO, USA**.### **Minimum qualifications:**
* Bachelor's degree in a technical field, or equivalent practical experience.
* 8 years of experience in technical program management or managing cross\-functional projects.
* Experience in capacity planning, supply chain management, or infrastructure deployment.
* Experience in data modeling, trend analysis, forecasting, or data analytics.
* Experience leading regular review meetings with cross\-functional stakeholders to align business objectives with technical capabilities.
### **Preferred qualifications:**
* 8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ensure to provide capacity to our customers on\-time and in the right location, thus supporting the business' tremendous growth potential. You will be overseeing various aspects of supply planning, demand planning, and program management to help coordinate across numerous stakeholders to deliver a seamless capacity experience for our AI/ML customers.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Coordinate capacity planning activities for Google Cloud AI/ML portfolios and lead regular review meetings to align business objectives with technical capabilities.
* Collaborate with Engineering, Product Management, and Operations teams to ensure a smooth transition for customers migrating their workloads to Google Cloud.
* Design and implement capacity planning processes to improve cost\-effectiveness and performance, while proactively monitoring for and mitigating bottlenecks to minimize service disruptions.
* Analyze usage patterns and maintain Supply Demand Match (SDM) models to build long\-term demand forecasts that anticipate resource needs for long\-lead\-time products.
* Partner with engineering teams to design and implement automation that delivers operational excellence and reduces manual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8">
      <c r="A88" t="inlineStr">
        <is>
          <t>in-19970f755d0f732e</t>
        </is>
      </c>
      <c r="B88" t="inlineStr">
        <is>
          <t>Technical Program Manager, AI/ML, Cloud Capacity Planning</t>
        </is>
      </c>
      <c r="C88" t="inlineStr">
        <is>
          <t>Google</t>
        </is>
      </c>
      <c r="D88" t="inlineStr">
        <is>
          <t>indeed</t>
        </is>
      </c>
      <c r="E88">
        <f>HYPERLINK("https://www.indeed.com/viewjob?jk=19970f755d0f732e", "https://www.indeed.com/viewjob?jk=19970f755d0f732e")</f>
        <v/>
      </c>
      <c r="F88">
        <f>HYPERLINK("https://careers.google.com/jobs/results/97308458881032902-technical-program-manager/", "https://careers.google.com/jobs/results/97308458881032902-technical-program-manager/")</f>
        <v/>
      </c>
      <c r="G88" t="inlineStr">
        <is>
          <t>Austin, TX, US</t>
        </is>
      </c>
      <c r="H88" s="3" t="n">
        <v>46057</v>
      </c>
      <c r="I88"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**Sunnyvale, CA, USA; Atlanta, GA, USA; Austin, TX, USA; Addison, TX, USA; New York, NY, USA; Thornton, CO, USA**.### **Minimum qualifications:**
* Bachelor's degree in a technical field, or equivalent practical experience.
* 8 years of experience in technical program management or managing cross\-functional projects.
* Experience in capacity planning, supply chain management, or infrastructure deployment.
* Experience in data modeling, trend analysis, forecasting, or data analytics.
* Experience leading regular review meetings with cross\-functional stakeholders to align business objectives with technical capabilities.
### **Preferred qualifications:**
* 8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ensure to provide capacity to our customers on\-time and in the right location, thus supporting the business' tremendous growth potential. You will be overseeing various aspects of supply planning, demand planning, and program management to help coordinate across numerous stakeholders to deliver a seamless capacity experience for our AI/ML customers.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Coordinate capacity planning activities for Google Cloud AI/ML portfolios and lead regular review meetings to align business objectives with technical capabilities.
* Collaborate with Engineering, Product Management, and Operations teams to ensure a smooth transition for customers migrating their workloads to Google Cloud.
* Design and implement capacity planning processes to improve cost\-effectiveness and performance, while proactively monitoring for and mitigating bottlenecks to minimize service disruptions.
* Analyze usage patterns and maintain Supply Demand Match (SDM) models to build long\-term demand forecasts that anticipate resource needs for long\-lead\-time products.
* Partner with engineering teams to design and implement automation that delivers operational excellence and reduces manual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9">
      <c r="A89" t="inlineStr">
        <is>
          <t>in-a1abb159d6e2fb95</t>
        </is>
      </c>
      <c r="B89" t="inlineStr">
        <is>
          <t>Technical Program Manager, AI/ML, Cloud Capacity Planning</t>
        </is>
      </c>
      <c r="C89" t="inlineStr">
        <is>
          <t>Google</t>
        </is>
      </c>
      <c r="D89" t="inlineStr">
        <is>
          <t>indeed</t>
        </is>
      </c>
      <c r="E89">
        <f>HYPERLINK("https://www.indeed.com/viewjob?jk=a1abb159d6e2fb95", "https://www.indeed.com/viewjob?jk=a1abb159d6e2fb95")</f>
        <v/>
      </c>
      <c r="F89">
        <f>HYPERLINK("https://careers.google.com/jobs/results/97308458881032902-technical-program-manager/", "https://careers.google.com/jobs/results/97308458881032902-technical-program-manager/")</f>
        <v/>
      </c>
      <c r="G89" t="inlineStr">
        <is>
          <t>Sunnyvale, CA, US</t>
        </is>
      </c>
      <c r="H89" s="3" t="n">
        <v>46057</v>
      </c>
      <c r="I89"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**Sunnyvale, CA, USA; Atlanta, GA, USA; Austin, TX, USA; Addison, TX, USA; New York, NY, USA; Thornton, CO, USA**.### **Minimum qualifications:**
* Bachelor's degree in a technical field, or equivalent practical experience.
* 8 years of experience in technical program management or managing cross\-functional projects.
* Experience in capacity planning, supply chain management, or infrastructure deployment.
* Experience in data modeling, trend analysis, forecasting, or data analytics.
* Experience leading regular review meetings with cross\-functional stakeholders to align business objectives with technical capabilities.
### **Preferred qualifications:**
* 8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ensure to provide capacity to our customers on\-time and in the right location, thus supporting the business' tremendous growth potential. You will be overseeing various aspects of supply planning, demand planning, and program management to help coordinate across numerous stakeholders to deliver a seamless capacity experience for our AI/ML customers.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Coordinate capacity planning activities for Google Cloud AI/ML portfolios and lead regular review meetings to align business objectives with technical capabilities.
* Collaborate with Engineering, Product Management, and Operations teams to ensure a smooth transition for customers migrating their workloads to Google Cloud.
* Design and implement capacity planning processes to improve cost\-effectiveness and performance, while proactively monitoring for and mitigating bottlenecks to minimize service disruptions.
* Analyze usage patterns and maintain Supply Demand Match (SDM) models to build long\-term demand forecasts that anticipate resource needs for long\-lead\-time products.
* Partner with engineering teams to design and implement automation that delivers operational excellence and reduces manual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0">
      <c r="A90" t="inlineStr">
        <is>
          <t>in-bfac62b3a7f03967</t>
        </is>
      </c>
      <c r="B90" t="inlineStr">
        <is>
          <t>Technical Program Manager, AI/ML, Cloud Capacity Planning</t>
        </is>
      </c>
      <c r="C90" t="inlineStr">
        <is>
          <t>Google</t>
        </is>
      </c>
      <c r="D90" t="inlineStr">
        <is>
          <t>indeed</t>
        </is>
      </c>
      <c r="E90">
        <f>HYPERLINK("https://www.indeed.com/viewjob?jk=bfac62b3a7f03967", "https://www.indeed.com/viewjob?jk=bfac62b3a7f03967")</f>
        <v/>
      </c>
      <c r="F90">
        <f>HYPERLINK("https://careers.google.com/jobs/results/97308458881032902-technical-program-manager/", "https://careers.google.com/jobs/results/97308458881032902-technical-program-manager/")</f>
        <v/>
      </c>
      <c r="G90" t="inlineStr">
        <is>
          <t>Atlanta, GA, US</t>
        </is>
      </c>
      <c r="H90" s="3" t="n">
        <v>46057</v>
      </c>
      <c r="I90"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**Sunnyvale, CA, USA; Atlanta, GA, USA; Austin, TX, USA; Addison, TX, USA; New York, NY, USA; Thornton, CO, USA**.### **Minimum qualifications:**
* Bachelor's degree in a technical field, or equivalent practical experience.
* 8 years of experience in technical program management or managing cross\-functional projects.
* Experience in capacity planning, supply chain management, or infrastructure deployment.
* Experience in data modeling, trend analysis, forecasting, or data analytics.
* Experience leading regular review meetings with cross\-functional stakeholders to align business objectives with technical capabilities.
### **Preferred qualifications:**
* 8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ensure to provide capacity to our customers on\-time and in the right location, thus supporting the business' tremendous growth potential. You will be overseeing various aspects of supply planning, demand planning, and program management to help coordinate across numerous stakeholders to deliver a seamless capacity experience for our AI/ML customers.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Coordinate capacity planning activities for Google Cloud AI/ML portfolios and lead regular review meetings to align business objectives with technical capabilities.
* Collaborate with Engineering, Product Management, and Operations teams to ensure a smooth transition for customers migrating their workloads to Google Cloud.
* Design and implement capacity planning processes to improve cost\-effectiveness and performance, while proactively monitoring for and mitigating bottlenecks to minimize service disruptions.
* Analyze usage patterns and maintain Supply Demand Match (SDM) models to build long\-term demand forecasts that anticipate resource needs for long\-lead\-time products.
* Partner with engineering teams to design and implement automation that delivers operational excellence and reduces manual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1">
      <c r="A91" t="inlineStr">
        <is>
          <t>in-f4ca5508c9182b1d</t>
        </is>
      </c>
      <c r="B91" t="inlineStr">
        <is>
          <t>Senior Technical Program Manager, Security and Compliance</t>
        </is>
      </c>
      <c r="C91" t="inlineStr">
        <is>
          <t>Google</t>
        </is>
      </c>
      <c r="D91" t="inlineStr">
        <is>
          <t>indeed</t>
        </is>
      </c>
      <c r="E91">
        <f>HYPERLINK("https://www.indeed.com/viewjob?jk=f4ca5508c9182b1d", "https://www.indeed.com/viewjob?jk=f4ca5508c9182b1d")</f>
        <v/>
      </c>
      <c r="F91">
        <f>HYPERLINK("https://careers.google.com/jobs/results/132128067987350214-senior-technical-program-manager/", "https://careers.google.com/jobs/results/132128067987350214-senior-technical-program-manager/")</f>
        <v/>
      </c>
      <c r="G91" t="inlineStr">
        <is>
          <t>Kirkland, WA, US</t>
        </is>
      </c>
      <c r="H91" s="3" t="n">
        <v>46057</v>
      </c>
      <c r="I9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in a technical field, or equivalent practical experience.
* 8 years of experience in technical program management, with a focus on security and compliance.
* Experience managing technical programs in a cloud or infrastructure environment.
### **Preferred qualifications:**
* 8 years of experience managing cross\-functional or cross\-team projects.
* Experience in scaling processes and frameworks across large engineering organizations.
* Experience in driving process improvements and operational efficiency efforts.
* Familiarity with cloud security principles and best practices.
* Knowledge of common security and compliance standards and regulations (e.g., IL5, FedRAMP).
* Passion for leveraging AI/ML to solve operational issues.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ACI Security and Compliance team is looking for an experienced Technical Program Manager (TPgM) to drive critical security and compliance programs across Google Cloud's core infrastructure. You will focus on enhancing our security posture, maturing and scaling our security and compliance processes, and ensuring our services meet the requirements of regulated markets. You will work horizontally across engineering and product teams to implement security best practices, leverage and improve the security and compliance framework, and manage programs from initiation to completion.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end\-to\-end execution of complex, cross\-functional security and compliance programs by collaborating with Engineering, Legal, and the Cloud CISO to define scope and deliverables.
* Drive the continuous improvement and scaling of Security and Compliance frameworks while spearheading initiatives to reduce operational toil through AI and automation.
* Translate complex security and compliance requirements, such as FedRAMP, GDPR, and HIPAA, into actionable plans and technical engineering work.
* Identify, assess, and mitigate security risks across the organization’s services and infrastructure.
* Facilitate communication and alignment across teams to ensure clarity on goals and timelines while leading security best practices throughout the development lifecycle.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2">
      <c r="A92" t="inlineStr">
        <is>
          <t>in-facab459176729db</t>
        </is>
      </c>
      <c r="B92" t="inlineStr">
        <is>
          <t>Technical Program Manager, Supplier Quality, Mechanical, Data Centers</t>
        </is>
      </c>
      <c r="C92" t="inlineStr">
        <is>
          <t>Google</t>
        </is>
      </c>
      <c r="D92" t="inlineStr">
        <is>
          <t>indeed</t>
        </is>
      </c>
      <c r="E92">
        <f>HYPERLINK("https://www.indeed.com/viewjob?jk=facab459176729db", "https://www.indeed.com/viewjob?jk=facab459176729db")</f>
        <v/>
      </c>
      <c r="F92">
        <f>HYPERLINK("https://careers.google.com/jobs/results/96929127369450182-technical-program-manager/", "https://careers.google.com/jobs/results/96929127369450182-technical-program-manager/")</f>
        <v/>
      </c>
      <c r="G92" t="inlineStr">
        <is>
          <t>Midlothian, TX, US</t>
        </is>
      </c>
      <c r="H92" s="3" t="n">
        <v>46057</v>
      </c>
      <c r="I92" t="inlineStr">
        <is>
          <t>### **Minimum qualifications:**
* Bachelor's degree in a technical field, or equivalent practical experience.
* 2 years of experience in program or technical program management.
* Experience with design, manufacturing, or operation of mechanical, standby\-power, or HVAC infrastructure equipment.
* Experience in supplier quality management with systems deploying to mission critical facilities.
### **Preferred qualifications:**
* Certification in Six Sigma Blackbelt, American Society for Quality (CSQP, CQE, CQM, CRE, or CQA) or Auditor Certification, or equivalent certification/experience.
* 2 years of experience managing cross\-functional or cross\-team projects.
* Knowledge of mechanical standards applied to mission critical operations (e.g., ANSI,ASME, APQP, etc.).
* Knowledge of mechanical and HVAC infrastructure equipment installation/deployment at data centers or other mission critical facilities.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Data Centers (GDC) make up one of the largest and most powerful computing infrastructures on the planet. The GDC end\-to\-end Quality team is responsible for delivering physical plant infrastructure with predictable quality.
As a Supplier Quality Technical Program Manager, you work directly with supplier partners managing critical aspects of mechanical systems supplier quality. You collaborate with hardware development and designers, commodity managers, manufacturing engineers, data center engineers, data center operations and drive supplier failure analysis. You extract and analyze data from supplier facilities and our data centers to verify performance and drive improvements.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Work directly with supplier partners managing critical aspects of mechanical infrastructure systems supplier quality. Collaborate with design engineers, commodity managers, manufacturing engineers, operation program managers, and product managers to drive high quality products.
* Perform failure analysis to establish true root cause(s), and systemic corrective actions with demonstrated preventative solutions.
* Provide analytical leadership to statistically connect production line metrics, tests, and quality audits to field performance.
* Validate supplier build/test processes and PLC deliverables for compliance with internal requirements and industry standards like PPAP.
* Conduct supplier audits, inspect production facilities/lines, articulate quality improvement activities to reduce variability, improve predictability, streamline lead time, improve output quality, factory witness and acceptance testing. Partner with suppliers to solve complex product quality and process issues across the full product lifecycle (pre\-FR through end of life).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3">
      <c r="A93" t="inlineStr">
        <is>
          <t>in-2768617cf5538ab1</t>
        </is>
      </c>
      <c r="B93" t="inlineStr">
        <is>
          <t>Program Manager III, AI, Silicon Operations, Technical Infrastructure</t>
        </is>
      </c>
      <c r="C93" t="inlineStr">
        <is>
          <t>Google</t>
        </is>
      </c>
      <c r="D93" t="inlineStr">
        <is>
          <t>indeed</t>
        </is>
      </c>
      <c r="E93">
        <f>HYPERLINK("https://www.indeed.com/viewjob?jk=2768617cf5538ab1", "https://www.indeed.com/viewjob?jk=2768617cf5538ab1")</f>
        <v/>
      </c>
      <c r="F93">
        <f>HYPERLINK("https://careers.google.com/jobs/results/72474339500270278-program-manager-iii/", "https://careers.google.com/jobs/results/72474339500270278-program-manager-iii/")</f>
        <v/>
      </c>
      <c r="G93" t="inlineStr">
        <is>
          <t>Sunnyvale, CA, US</t>
        </is>
      </c>
      <c r="H93" s="3" t="n">
        <v>46057</v>
      </c>
      <c r="I93" t="inlineStr">
        <is>
          <t>### **Minimum qualifications:**
* Bachelor's degree or equivalent practical experience.
* 5 years of experience in program or project management.
* Experience supporting program management operations for silicon development organizations.
* Experience managing vendor and temp worker contracts, budgets, purchase orders, and onboarding.
### **Preferred qualifications:**
* 5 years of experience managing cross\-functional or cross\-team projects.
* Experience working alongside silicon engineering teams and technical program managers on process improvement efforts.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Our team is responsible for the technical program management of all silicon programs as well as all supporting functions including vendor and emp, vendor, and contractor management and onboarding, EDA tool license forecasting and management, cloud compute capacity forecasting and management, program budget management, and program status review and reporting
In this role, you will be part of a team supporting custom AI silicon programs for Google data centers. You will be supporting some of these critical initiatives to work across organizational boundaries to find solutions to streamline and simplify processes in these areas.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Support program management operations for AI chip development teams.
* Collect and report technical program status across a broad portfolio of programs and stakeholders.
* Manage vendor and temp worker agreements and onboarding.
* Assess, request, and report on budget to support program operations.
* Develop transformative and sustainable solutions to streamline technical and organizational processes.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4">
      <c r="A94" t="inlineStr">
        <is>
          <t>in-5f83ad5c90583696</t>
        </is>
      </c>
      <c r="B94" t="inlineStr">
        <is>
          <t>Technical Program Manager, Mechanical Supplier Quality, Data Centers</t>
        </is>
      </c>
      <c r="C94" t="inlineStr">
        <is>
          <t>Google</t>
        </is>
      </c>
      <c r="D94" t="inlineStr">
        <is>
          <t>indeed</t>
        </is>
      </c>
      <c r="E94">
        <f>HYPERLINK("https://www.indeed.com/viewjob?jk=5f83ad5c90583696", "https://www.indeed.com/viewjob?jk=5f83ad5c90583696")</f>
        <v/>
      </c>
      <c r="F94">
        <f>HYPERLINK("https://careers.google.com/jobs/results/126803682929844934-technical-program-manager/", "https://careers.google.com/jobs/results/126803682929844934-technical-program-manager/")</f>
        <v/>
      </c>
      <c r="G94" t="inlineStr">
        <is>
          <t>Reston, VA, US</t>
        </is>
      </c>
      <c r="H94" s="3" t="n">
        <v>46057</v>
      </c>
      <c r="I94" t="inlineStr">
        <is>
          <t>Note: By applying to this position you will have an opportunity to share your preferred working location from the following: **Reston, VA, USA; New York, NY, USA**.### **Minimum qualifications:**
* Bachelor's degree in a technical field, or equivalent practical experience.
* 5 years of experience in program or technical program management.
* Experience with design, manufacturing, or operation of mechanical, standby\-power, or HVAC infrastructure equipment.
* Experience in supplier quality management with systems deploying to mission critical facilities.
### **Preferred qualifications:**
* Certifications in Six Sigma Blackbelt, Auditor, American Society for Quality (CSQP, CQE, CQM, CRE, or CQA) or equivalent certification.
* 5 years of experience managing cross\-functional or cross\-team projects.
* Knowledge of mechanical standards applied to mission critical operations (e.g., ANSI, ASME, APQP, other).
* Knowledge of mechanical and HVAC infrastructure equipment installation/deployment at data centers or other mission critical facilities.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Data Centers (GDC) make up one of the largest and most powerful computing infrastructures on the planet. The GDC Quality team is responsible for delivering physical plant infrastructure with predictable quality.  
As a Supplier Quality Technical Program Manager, you will work directly with supplier partners managing critical aspects of mechanical systems supplier quality. You will collaborate with hardware development and designers, commodity managers, manufacturing engineers, data center engineers, and data center operations to drive supplier failure analysis. You will establish true root causes and drive systemic corrective actions with demonstrated preventative solutions. You will extract and analyze data from supplier facilities and our data centers to verify performance and drive improvements.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Work directly with supplier partners managing critical aspects of mechanical infrastructure systems supplier quality. Collaborate with design engineers, commodity managers, manufacturing engineers, operation program managers, and product managers to drive high quality products.
* Provide investigative leadership to statistically connect production line metrics, tests, and quality audits to field performance.
* Validate supplier build/test processes and Product Life Cycle (PLC) deliverables for compliance with internal requirements and industry standards like Production Part Approval Process (PPAP).
* Conduct supplier audits, inspect production facilities/lines, and articulate quality improvement activities to reduce variability, improve predictability, streamline lead time, and improve output quality.
* Partner with suppliers to solve product quality and process issues across the full product life\-cycle.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5">
      <c r="A95" t="inlineStr">
        <is>
          <t>in-c73243bbb69154ac</t>
        </is>
      </c>
      <c r="B95" t="inlineStr">
        <is>
          <t>Technical Program Manager, Mechanical Supplier Quality, Data Centers</t>
        </is>
      </c>
      <c r="C95" t="inlineStr">
        <is>
          <t>Google</t>
        </is>
      </c>
      <c r="D95" t="inlineStr">
        <is>
          <t>indeed</t>
        </is>
      </c>
      <c r="E95">
        <f>HYPERLINK("https://www.indeed.com/viewjob?jk=c73243bbb69154ac", "https://www.indeed.com/viewjob?jk=c73243bbb69154ac")</f>
        <v/>
      </c>
      <c r="F95">
        <f>HYPERLINK("https://careers.google.com/jobs/results/126803682929844934-technical-program-manager/", "https://careers.google.com/jobs/results/126803682929844934-technical-program-manager/")</f>
        <v/>
      </c>
      <c r="G95" t="inlineStr">
        <is>
          <t>New York, NY, US</t>
        </is>
      </c>
      <c r="H95" s="3" t="n">
        <v>46057</v>
      </c>
      <c r="I95" t="inlineStr">
        <is>
          <t>Note: By applying to this position you will have an opportunity to share your preferred working location from the following: **Reston, VA, USA; New York, NY, USA**.### **Minimum qualifications:**
* Bachelor's degree in a technical field, or equivalent practical experience.
* 5 years of experience in program or technical program management.
* Experience with design, manufacturing, or operation of mechanical, standby\-power, or HVAC infrastructure equipment.
* Experience in supplier quality management with systems deploying to mission critical facilities.
### **Preferred qualifications:**
* Certifications in Six Sigma Blackbelt, Auditor, American Society for Quality (CSQP, CQE, CQM, CRE, or CQA) or equivalent certification.
* 5 years of experience managing cross\-functional or cross\-team projects.
* Knowledge of mechanical standards applied to mission critical operations (e.g., ANSI, ASME, APQP, other).
* Knowledge of mechanical and HVAC infrastructure equipment installation/deployment at data centers or other mission critical facilities.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Data Centers (GDC) make up one of the largest and most powerful computing infrastructures on the planet. The GDC Quality team is responsible for delivering physical plant infrastructure with predictable quality.  
As a Supplier Quality Technical Program Manager, you will work directly with supplier partners managing critical aspects of mechanical systems supplier quality. You will collaborate with hardware development and designers, commodity managers, manufacturing engineers, data center engineers, and data center operations to drive supplier failure analysis. You will establish true root causes and drive systemic corrective actions with demonstrated preventative solutions. You will extract and analyze data from supplier facilities and our data centers to verify performance and drive improvements.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Work directly with supplier partners managing critical aspects of mechanical infrastructure systems supplier quality. Collaborate with design engineers, commodity managers, manufacturing engineers, operation program managers, and product managers to drive high quality products.
* Provide investigative leadership to statistically connect production line metrics, tests, and quality audits to field performance.
* Validate supplier build/test processes and Product Life Cycle (PLC) deliverables for compliance with internal requirements and industry standards like Production Part Approval Process (PPAP).
* Conduct supplier audits, inspect production facilities/lines, and articulate quality improvement activities to reduce variability, improve predictability, streamline lead time, and improve output quality.
* Partner with suppliers to solve product quality and process issues across the full product life\-cycle.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6">
      <c r="A96" t="inlineStr">
        <is>
          <t>in-b33fc877ac08d3d3</t>
        </is>
      </c>
      <c r="B96" t="inlineStr">
        <is>
          <t>Product Manager, Full Stack, Founding</t>
        </is>
      </c>
      <c r="C96" t="inlineStr">
        <is>
          <t>Google</t>
        </is>
      </c>
      <c r="D96" t="inlineStr">
        <is>
          <t>indeed</t>
        </is>
      </c>
      <c r="E96">
        <f>HYPERLINK("https://www.indeed.com/viewjob?jk=b33fc877ac08d3d3", "https://www.indeed.com/viewjob?jk=b33fc877ac08d3d3")</f>
        <v/>
      </c>
      <c r="F96">
        <f>HYPERLINK("https://careers.google.com/jobs/results/110079234898043590-product-manager/", "https://careers.google.com/jobs/results/110079234898043590-product-manager/")</f>
        <v/>
      </c>
      <c r="G96" t="inlineStr">
        <is>
          <t>Mountain View, CA, US</t>
        </is>
      </c>
      <c r="H96" s="3" t="n">
        <v>46057</v>
      </c>
      <c r="I96" t="inlineStr">
        <is>
          <t>### **Minimum qualifications:**
* Bachelor's degree or equivalent practical experience.
* 10 years of experience in product management or related technical roles.
* Experience with modern AI coding assistants (e.g., cursor, replit agent, claude dev, Gemini code assist) to accelerate development velocity.
### **Preferred qualifications:**
* Experience founding a startup or shipping significant side projects and prioritize shipping and learning over process and documentation.
* Familiarity with the Large Language Model (LLM) landscape (e.g., Retrieval\-augmented generation (RAG), agents, context windows).
* Track record of working directly with customers to architect and build technical solutions.
* Ability to write and debug code (e.g., Python, JavaScript/TypeScript) and build working applications.
* Ability to build working applications using AI coding assistants and understand how to guide models to generate production\-ready logic.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AI2 Innovation Accelerator aims to solve Google’s in the AI era. We act as a high\-velocity for disruptive, high\-reward ideas that typically struggle to get prioritized within OKRs and established product roadmaps. We utilize a venture studio model, investing in entrepreneurial founders, removing coordination headwind and bureaucratic bottlenecks to enable them to execute quickly, fail\-fast, and learn and iterate. We are embedded within AI2 as an organization, which partners deeply with Product Areas (PAs) across Google to identify their highest priority business objectives. We aim to transform Google’s industry\-leading research into tangible business and adoption at unprecedented speeds.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Use AI\-native tools (e.g., cursor, replit, lovable) to prototype full\-stack applications, turning abstract ideas into clickable reality in days.
* Replace static Product Requirements Documents (PRDs) with live demos to show partners what is possible, validating desirability before significant engineering investment.
* Solve hard technical blockers and unblock the path to launch, acting as a co\-builder alongside engineering teams.
* Operate with leadership, optimism, and bias for finding creative solutions to unblock the path from 0 to 1\.
* Act as customer zero for our emerging developer tools (e.g., jules, antigravity). Automate our own operational toil using our agents and provide deep, technical feedback to the platform teams to drive product improvements.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7">
      <c r="A97" t="inlineStr">
        <is>
          <t>in-b33a6a2f88b5f04b</t>
        </is>
      </c>
      <c r="B97" t="inlineStr">
        <is>
          <t>Program Manager III, Cloud Supply Chain</t>
        </is>
      </c>
      <c r="C97" t="inlineStr">
        <is>
          <t>Google</t>
        </is>
      </c>
      <c r="D97" t="inlineStr">
        <is>
          <t>indeed</t>
        </is>
      </c>
      <c r="E97">
        <f>HYPERLINK("https://www.indeed.com/viewjob?jk=b33a6a2f88b5f04b", "https://www.indeed.com/viewjob?jk=b33a6a2f88b5f04b")</f>
        <v/>
      </c>
      <c r="F97">
        <f>HYPERLINK("https://careers.google.com/jobs/results/94146950634316486-program-manager-iii/", "https://careers.google.com/jobs/results/94146950634316486-program-manager-iii/")</f>
        <v/>
      </c>
      <c r="G97" t="inlineStr">
        <is>
          <t>Atlanta, GA, US</t>
        </is>
      </c>
      <c r="H97" s="3" t="n">
        <v>46057</v>
      </c>
      <c r="I97" t="inlineStr">
        <is>
          <t>### **Minimum qualifications:**
* Bachelor's degree or equivalent practical experience.
* 5 years of experience in program or project management.
* Experience in creating planning system designs.
* Experience with supply and demand planning for hardware manufacturing and procurement.
### **Preferred qualifications:**
* 5 years of experience managing cross\-functional or cross\-team projects.
* Experience managing multi\-tier supply chains or infrastructure projects (e.g., Aerospace, Semiconductor, or Hyperscale Data Centers).
* Experience designing and implementing planning architectures within Enterprise Resource Planning (ERP) or advanced planning systems (e.g., SAP, Oracle, or proprietary tools).
* Experience with executive communication.
* Experience working with technical products, such as liquid cooling, advanced networking, or power distribution and the ability to translate technical constraints into supply chain strategies.
**About the job**
-----------------
Our team serves as the central orchestration hub for TPUs, servers, racks, and cooling systems. We empower an ecosystem of partners—including commodity managers, manufacturing partners, logistics, and inventory teams—by deriving strategies and implementing them through Google’s internal systems.  
In addition to driving planning alignment, we are the pulse of supply health for leadership and customers. We provide the critical reporting and visibility required to drive corrective actions, mitigate risks, and accelerate the delivery of TPU capabilities. By bridging the gap between planning and systemic execution, we enable Google to improve the infrastructure that powers the next generation of AI.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Consolidate demand streams into a unified supply plan for all TPU\-specific skeleton infrastructure.
* Partner with delivery teams to balance material arrivals with material availability, site\-readiness, and the critical path.
* Work with engineering teams to understand the technical road map of cooling and networking and design planning systems that can incorporate new technologies and deployment strategies.
* Coordinate with data center planning teams to improve an expanding portfolio of liquid cooling solutions across global sites.
* Secure demand approvals with Finance to fund material strategies (build ahead, optionality) to support the hyper\-growth of TPU demand.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8">
      <c r="A98" t="inlineStr">
        <is>
          <t>in-80331329da6829df</t>
        </is>
      </c>
      <c r="B98" t="inlineStr">
        <is>
          <t>Senior Product Manager, Storage</t>
        </is>
      </c>
      <c r="C98" t="inlineStr">
        <is>
          <t>Google</t>
        </is>
      </c>
      <c r="D98" t="inlineStr">
        <is>
          <t>indeed</t>
        </is>
      </c>
      <c r="E98">
        <f>HYPERLINK("https://www.indeed.com/viewjob?jk=80331329da6829df", "https://www.indeed.com/viewjob?jk=80331329da6829df")</f>
        <v/>
      </c>
      <c r="F98">
        <f>HYPERLINK("https://careers.google.com/jobs/results/126796398665310918-senior-product-manager/", "https://careers.google.com/jobs/results/126796398665310918-senior-product-manager/")</f>
        <v/>
      </c>
      <c r="G98" t="inlineStr">
        <is>
          <t>Sunnyvale, CA, US</t>
        </is>
      </c>
      <c r="H98" s="3" t="n">
        <v>46057</v>
      </c>
      <c r="I98"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Sunnyvale, CA, USA**.### **Minimum qualifications:**
* Bachelor's degree or equivalent practical experience.
* 8 years of experience in product management or related technical role.
* 3 years of experience taking technical products from conception to launch (e.g., ideation to execution, end\-to\-end, 0 to 1, etc).
* Experience in Cloud storage and the public cloud ecosystem including customer requirements, market trends, positioning.
### **Preferred qualifications:**
* Master's degree in a technology or business related field.
* Experience with high\-performance parallel file systems or large\-scale distributed storage systems.
* Experience managing infrastructure products within a public cloud environment.
* Experience managing products through growth phases (i.e., post\-GA scaling), with the ability to navigate ambiguity and prioritize effectively in a fast\-moving environment.
* Familiarity with the storage requirements of AI/ML workloads, accelerator and ML frameworks.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mission is to deliver an easy\-to\-consume storage product with industry\-leading performance and scale, unlocking unprecedented speeds for critical AI/ML and High Performance Computing (HPC) workloads.
As a Senior Product Manager, you will work in this high\-moving environment and translate this momentum into a market\-leading roadmap. You will define the future of high\-performance storage, driving features that empower the next generation of AI innovation and help the AI/ML and HPC customers grow in Google Cloud.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the long\-term goal and product strategy for the Core of Google Cloud Managed Lustre, prioritizing performance, scale, capacity, and ease of use. Translate market feedback into a definitive strategy and market\-leading roadmap.
* Collaborate with our strategic partner, as well as Sales, Marketing, and Solutions Engineering teams to enable the field, refine product position.
* Collaborate closely with Engineering, Capacity Planning, Technical Program Manager, and SRE teams to deliver high\-velocity feature launches across platforms that set the industry standard for performance and scale.
* Conduct market analysis and benchmarking across hyper\-scalers, neo\-clouds, and on\-premises solutions to identify differentiation opportunities, ensuring our leadership remains unrivaled.
* Partner with the AI/ML and HPC customers to understand their workload challenges. Facilitate their onboarding and scaling while translating complex requirements into scalable, easy\-to\-consume product features.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9">
      <c r="A99" t="inlineStr">
        <is>
          <t>in-7c7d2a1295598469</t>
        </is>
      </c>
      <c r="B99" t="inlineStr">
        <is>
          <t>Senior Product Manager, Storage</t>
        </is>
      </c>
      <c r="C99" t="inlineStr">
        <is>
          <t>Google</t>
        </is>
      </c>
      <c r="D99" t="inlineStr">
        <is>
          <t>indeed</t>
        </is>
      </c>
      <c r="E99">
        <f>HYPERLINK("https://www.indeed.com/viewjob?jk=7c7d2a1295598469", "https://www.indeed.com/viewjob?jk=7c7d2a1295598469")</f>
        <v/>
      </c>
      <c r="F99">
        <f>HYPERLINK("https://careers.google.com/jobs/results/126796398665310918-senior-product-manager/", "https://careers.google.com/jobs/results/126796398665310918-senior-product-manager/")</f>
        <v/>
      </c>
      <c r="G99" t="inlineStr">
        <is>
          <t>Kirkland, WA, US</t>
        </is>
      </c>
      <c r="H99" s="3" t="n">
        <v>46057</v>
      </c>
      <c r="I99"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Sunnyvale, CA, USA**.### **Minimum qualifications:**
* Bachelor's degree or equivalent practical experience.
* 8 years of experience in product management or related technical role.
* 3 years of experience taking technical products from conception to launch (e.g., ideation to execution, end\-to\-end, 0 to 1, etc).
* Experience in Cloud storage and the public cloud ecosystem including customer requirements, market trends, positioning.
### **Preferred qualifications:**
* Master's degree in a technology or business related field.
* Experience with high\-performance parallel file systems or large\-scale distributed storage systems.
* Experience managing infrastructure products within a public cloud environment.
* Experience managing products through growth phases (i.e., post\-GA scaling), with the ability to navigate ambiguity and prioritize effectively in a fast\-moving environment.
* Familiarity with the storage requirements of AI/ML workloads, accelerator and ML frameworks.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mission is to deliver an easy\-to\-consume storage product with industry\-leading performance and scale, unlocking unprecedented speeds for critical AI/ML and High Performance Computing (HPC) workloads.
As a Senior Product Manager, you will work in this high\-moving environment and translate this momentum into a market\-leading roadmap. You will define the future of high\-performance storage, driving features that empower the next generation of AI innovation and help the AI/ML and HPC customers grow in Google Cloud.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the long\-term goal and product strategy for the Core of Google Cloud Managed Lustre, prioritizing performance, scale, capacity, and ease of use. Translate market feedback into a definitive strategy and market\-leading roadmap.
* Collaborate with our strategic partner, as well as Sales, Marketing, and Solutions Engineering teams to enable the field, refine product position.
* Collaborate closely with Engineering, Capacity Planning, Technical Program Manager, and SRE teams to deliver high\-velocity feature launches across platforms that set the industry standard for performance and scale.
* Conduct market analysis and benchmarking across hyper\-scalers, neo\-clouds, and on\-premises solutions to identify differentiation opportunities, ensuring our leadership remains unrivaled.
* Partner with the AI/ML and HPC customers to understand their workload challenges. Facilitate their onboarding and scaling while translating complex requirements into scalable, easy\-to\-consume product features.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0">
      <c r="A100" t="inlineStr">
        <is>
          <t>in-dd41781520233fa0</t>
        </is>
      </c>
      <c r="B100" t="inlineStr">
        <is>
          <t>Technical Program Manager, Data Center Design</t>
        </is>
      </c>
      <c r="C100" t="inlineStr">
        <is>
          <t>Google</t>
        </is>
      </c>
      <c r="D100" t="inlineStr">
        <is>
          <t>indeed</t>
        </is>
      </c>
      <c r="E100">
        <f>HYPERLINK("https://www.indeed.com/viewjob?jk=dd41781520233fa0", "https://www.indeed.com/viewjob?jk=dd41781520233fa0")</f>
        <v/>
      </c>
      <c r="F100">
        <f>HYPERLINK("https://careers.google.com/jobs/results/113085900983804614-technical-program-manager/", "https://careers.google.com/jobs/results/113085900983804614-technical-program-manager/")</f>
        <v/>
      </c>
      <c r="G100" t="inlineStr">
        <is>
          <t>Papillion, NE, US</t>
        </is>
      </c>
      <c r="H100" s="3" t="n">
        <v>46057</v>
      </c>
      <c r="I100" t="inlineStr">
        <is>
          <t>Note: By applying to this position you will have an opportunity to share your preferred working location from the following: **Sunnyvale, CA, USA; Papillion, NE, USA; New York, NY, USA**.### **Minimum qualifications:**
* Bachelor's degree in a technical field, or equivalent practical experience.
* 5 years of experience managing data center design programs or infrastructure projects from concept to completion.
* 5 years of experience working with electrical and mechanical systems specific to data centers, including switchgear, generators, chillers, and building automation systems.
* 5 years of experience leading multi\-disciplinary teams and managing external Architectural and Engineering (A/E) firms, construction industry standard practices, including site localization, building codes, and permitting processes across multiple regions.
* 5 years of experience in Technical Program Management, focusing on design strategy, procurement.
### **Preferred qualifications:**
* Professional licensure such as a Professional Engineer (PE) License, RA License, Chartered Engineer License, or equivalent technical certification.
* 5 years of experience managing cross\-functional or cross\-team projects.
* Experience in product development for modular or scalable infrastructure solutions.
* Experience managing project portfolios across North and South American markets.
* Understanding of start\-up and Commissioning (Cx) process for tier III or IV data center environments.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This position expands the capacity of the Google Data Center Design team to scale with an expanding portfolio of Data Center builds across the United States.
As a Technical Program Manager, you will be responsible for developing regional design delivery strategies, managing the delivery of data center designs, and managing professional design services (e.g., architect/engineering firm) relationships across North and South America. You will trend quality performance and lessons learned across the design program while providing consistent reporting of program health to executive leadership.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multiple, simultaneous data center design projects by leveraging an established plan of record to ensure consistency across the fleet.
* Gather site\-specific localization requirements and generate design options that satisfy customer needs while presenting strategic recommendations to the leadership team.
* Execute designs based on standard baseline plans while managing strategies for projects requiring deviations due to environmental factors, local codes, or specialized constraints.
* Lead cross\-functional stakeholders to overcome critical design challenges, maintaining adherence to project timelines, quality standards, and budget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1">
      <c r="A101" t="inlineStr">
        <is>
          <t>in-feae230b56931c86</t>
        </is>
      </c>
      <c r="B101" t="inlineStr">
        <is>
          <t>Transportation Planning Program Manager</t>
        </is>
      </c>
      <c r="C101" t="inlineStr">
        <is>
          <t>Google</t>
        </is>
      </c>
      <c r="D101" t="inlineStr">
        <is>
          <t>indeed</t>
        </is>
      </c>
      <c r="E101">
        <f>HYPERLINK("https://www.indeed.com/viewjob?jk=feae230b56931c86", "https://www.indeed.com/viewjob?jk=feae230b56931c86")</f>
        <v/>
      </c>
      <c r="F101">
        <f>HYPERLINK("https://careers.google.com/jobs/results/74774655264531142-transportation-planning-program-manager/", "https://careers.google.com/jobs/results/74774655264531142-transportation-planning-program-manager/")</f>
        <v/>
      </c>
      <c r="G101" t="inlineStr">
        <is>
          <t>Phoenix, AZ, US</t>
        </is>
      </c>
      <c r="H101" s="3" t="n">
        <v>46057</v>
      </c>
      <c r="I101" t="inlineStr">
        <is>
          <t>### **Minimum qualifications:**
* Bachelor's degree or equivalent practical experience.
* 5 years of experience in a customer or client\-facing role, supporting supply chain or logistics.
* 5 years of experience with transportation management systems.
* 3 years of experience with data center logistics.
### **Preferred qualifications:**
* MBA or Master's degree.
* 5 years of experience analyzing data and generating business insights in order to guide business decisions.
* 5 years of experience in multi\-modal transportation operations.
* Data center logistics experience.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Transportation Planning Program Manager with broad expertise in transportation management systems, as well as global and domestic logistics, you’ll create, implement, and manage end\-to\-end processes for international and domestic shipment planning. You will play a critical role in enabling the movement of freight throughout the Google technical infrastructure by aligning stakeholders (i.e., suppliers, contract manufacturers, and carriers) to a unified operational vision.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$108,000\-$155,000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transportation planning and execution utilizing the transportation management system while overseeing a team of transportation support vendors.
* Serve as the primary transportation liaison between suppliers, contract manufacturing partners, national and regional carriers, and global logistics and compliance warehouses to synchronize shipping plans.
* Improve transportation operations through strategic mode selection, shipment consolidations, and regulatory compliance to increase overall service delivery levels.
* Develop and drive cost\-saving opportunities within the network, seeking innovative solutions to streamline processes and recommending automation to improve efficiencies.
* Prioritize workloads for self and staff to meet key performance indicators, while resolving day\-to\-day escalations through root cause analysis and training teams on fulfillment acceleration programs.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2">
      <c r="A102" t="inlineStr">
        <is>
          <t>in-8e968ce0f58d73f5</t>
        </is>
      </c>
      <c r="B102" t="inlineStr">
        <is>
          <t>Technical Program Manager, Data Center Design</t>
        </is>
      </c>
      <c r="C102" t="inlineStr">
        <is>
          <t>Google</t>
        </is>
      </c>
      <c r="D102" t="inlineStr">
        <is>
          <t>indeed</t>
        </is>
      </c>
      <c r="E102">
        <f>HYPERLINK("https://www.indeed.com/viewjob?jk=8e968ce0f58d73f5", "https://www.indeed.com/viewjob?jk=8e968ce0f58d73f5")</f>
        <v/>
      </c>
      <c r="F102">
        <f>HYPERLINK("https://careers.google.com/jobs/results/113085900983804614-technical-program-manager/", "https://careers.google.com/jobs/results/113085900983804614-technical-program-manager/")</f>
        <v/>
      </c>
      <c r="G102" t="inlineStr">
        <is>
          <t>New York, NY, US</t>
        </is>
      </c>
      <c r="H102" s="3" t="n">
        <v>46057</v>
      </c>
      <c r="I102" t="inlineStr">
        <is>
          <t>Note: By applying to this position you will have an opportunity to share your preferred working location from the following: **Sunnyvale, CA, USA; Papillion, NE, USA; New York, NY, USA**.### **Minimum qualifications:**
* Bachelor's degree in a technical field, or equivalent practical experience.
* 5 years of experience managing data center design programs or infrastructure projects from concept to completion.
* 5 years of experience working with electrical and mechanical systems specific to data centers, including switchgear, generators, chillers, and building automation systems.
* 5 years of experience leading multi\-disciplinary teams and managing external Architectural and Engineering (A/E) firms, construction industry standard practices, including site localization, building codes, and permitting processes across multiple regions.
* 5 years of experience in Technical Program Management, focusing on design strategy, procurement.
### **Preferred qualifications:**
* Professional licensure such as a Professional Engineer (PE) License, RA License, Chartered Engineer License, or equivalent technical certification.
* 5 years of experience managing cross\-functional or cross\-team projects.
* Experience in product development for modular or scalable infrastructure solutions.
* Experience managing project portfolios across North and South American markets.
* Understanding of start\-up and Commissioning (Cx) process for tier III or IV data center environments.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This position expands the capacity of the Google Data Center Design team to scale with an expanding portfolio of Data Center builds across the United States.
As a Technical Program Manager, you will be responsible for developing regional design delivery strategies, managing the delivery of data center designs, and managing professional design services (e.g., architect/engineering firm) relationships across North and South America. You will trend quality performance and lessons learned across the design program while providing consistent reporting of program health to executive leadership.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multiple, simultaneous data center design projects by leveraging an established plan of record to ensure consistency across the fleet.
* Gather site\-specific localization requirements and generate design options that satisfy customer needs while presenting strategic recommendations to the leadership team.
* Execute designs based on standard baseline plans while managing strategies for projects requiring deviations due to environmental factors, local codes, or specialized constraints.
* Lead cross\-functional stakeholders to overcome critical design challenges, maintaining adherence to project timelines, quality standards, and budget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3">
      <c r="A103" t="inlineStr">
        <is>
          <t>in-c46a1fe1845c8598</t>
        </is>
      </c>
      <c r="B103" t="inlineStr">
        <is>
          <t>Technical Program Manager, Data Center Design</t>
        </is>
      </c>
      <c r="C103" t="inlineStr">
        <is>
          <t>Google</t>
        </is>
      </c>
      <c r="D103" t="inlineStr">
        <is>
          <t>indeed</t>
        </is>
      </c>
      <c r="E103">
        <f>HYPERLINK("https://www.indeed.com/viewjob?jk=c46a1fe1845c8598", "https://www.indeed.com/viewjob?jk=c46a1fe1845c8598")</f>
        <v/>
      </c>
      <c r="F103">
        <f>HYPERLINK("https://careers.google.com/jobs/results/113085900983804614-technical-program-manager/", "https://careers.google.com/jobs/results/113085900983804614-technical-program-manager/")</f>
        <v/>
      </c>
      <c r="G103" t="inlineStr">
        <is>
          <t>Sunnyvale, CA, US</t>
        </is>
      </c>
      <c r="H103" s="3" t="n">
        <v>46057</v>
      </c>
      <c r="I103" t="inlineStr">
        <is>
          <t>Note: By applying to this position you will have an opportunity to share your preferred working location from the following: **Sunnyvale, CA, USA; Papillion, NE, USA; New York, NY, USA**.### **Minimum qualifications:**
* Bachelor's degree in a technical field, or equivalent practical experience.
* 5 years of experience managing data center design programs or infrastructure projects from concept to completion.
* 5 years of experience working with electrical and mechanical systems specific to data centers, including switchgear, generators, chillers, and building automation systems.
* 5 years of experience leading multi\-disciplinary teams and managing external Architectural and Engineering (A/E) firms, construction industry standard practices, including site localization, building codes, and permitting processes across multiple regions.
* 5 years of experience in Technical Program Management, focusing on design strategy, procurement.
### **Preferred qualifications:**
* Professional licensure such as a Professional Engineer (PE) License, RA License, Chartered Engineer License, or equivalent technical certification.
* 5 years of experience managing cross\-functional or cross\-team projects.
* Experience in product development for modular or scalable infrastructure solutions.
* Experience managing project portfolios across North and South American markets.
* Understanding of start\-up and Commissioning (Cx) process for tier III or IV data center environments.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This position expands the capacity of the Google Data Center Design team to scale with an expanding portfolio of Data Center builds across the United States.
As a Technical Program Manager, you will be responsible for developing regional design delivery strategies, managing the delivery of data center designs, and managing professional design services (e.g., architect/engineering firm) relationships across North and South America. You will trend quality performance and lessons learned across the design program while providing consistent reporting of program health to executive leadership.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multiple, simultaneous data center design projects by leveraging an established plan of record to ensure consistency across the fleet.
* Gather site\-specific localization requirements and generate design options that satisfy customer needs while presenting strategic recommendations to the leadership team.
* Execute designs based on standard baseline plans while managing strategies for projects requiring deviations due to environmental factors, local codes, or specialized constraints.
* Lead cross\-functional stakeholders to overcome critical design challenges, maintaining adherence to project timelines, quality standards, and budget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4">
      <c r="A104" t="inlineStr">
        <is>
          <t>in-09a4cac6c76ee43d</t>
        </is>
      </c>
      <c r="B104" t="inlineStr">
        <is>
          <t>Group Product Manager, Google Distributed Cloud Agentic Workloads</t>
        </is>
      </c>
      <c r="C104" t="inlineStr">
        <is>
          <t>Google</t>
        </is>
      </c>
      <c r="D104" t="inlineStr">
        <is>
          <t>indeed</t>
        </is>
      </c>
      <c r="E104">
        <f>HYPERLINK("https://www.indeed.com/viewjob?jk=09a4cac6c76ee43d", "https://www.indeed.com/viewjob?jk=09a4cac6c76ee43d")</f>
        <v/>
      </c>
      <c r="F104">
        <f>HYPERLINK("https://careers.google.com/jobs/results/89132078100030150-group-product-manager/", "https://careers.google.com/jobs/results/89132078100030150-group-product-manager/")</f>
        <v/>
      </c>
      <c r="G104" t="inlineStr">
        <is>
          <t>Sunnyvale, CA, US</t>
        </is>
      </c>
      <c r="H104" s="3" t="n">
        <v>46057</v>
      </c>
      <c r="I104" t="inlineStr">
        <is>
          <t>### **Minimum qualifications:**
* Bachelor's degree or equivalent practical experience.
* 10 years of experience in product management or related technical role.
* 5 years of experience taking technical products from conception to launch (e.g., ideation to execution, end\-to\-end, 0 to 1, etc).
### **Preferred qualifications:**
* Master's degree in a technology or business related field.
* 15 years of product management experience in the AI domain, with experience managing and launching technical products and features.
* Experience building large\-scale distributed AI platforms and distributed systems, including GPU systems.
* Experience as a builder of large\-scale infrastructure products, and understanding of AI infrastructure (GPUs), virtualization, containerization.
* Understanding of AI and Agentic technologies.
* Ability to analyze market and customer data, interpret complex data sets, and use insights to drive product strategy and decisions.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Distributed Cloud (GDC) is a private Cloud platform that enables enterprises and public sector organizations to run modern apps anywhere consistently at scale. We offer a wide spectrum of solutions from managed software on your own hardware, fully managed hardware and AI\-led software services, to completely air\-gapped sovereign offerings.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the long\-term goal, strategy, and roadmap for the GDC Agentic AI portfolio, aligning it with overall GDC on AI goals, market trends, and customer needs, and GTM strategy.
* Collaborate closely with customers to define Agentic AI product requirements and architecture specifically in the public sector space, prioritize features, and oversee the product development lifecycle from concept to landing.
* Provide leadership, guidance, and mentorship to other product managers.
* Build and maintain relationships with key stakeholders and customers to understand their needs, gather feedback, and translate them into actionable product improvements.
* Identify and address technical risks, infrastructure bottlenecks, and scaling challenges.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5">
      <c r="A105" t="inlineStr">
        <is>
          <t>in-0ea8830a429508f2</t>
        </is>
      </c>
      <c r="B105" t="inlineStr">
        <is>
          <t>Program Manager, Environmental Health and Safety</t>
        </is>
      </c>
      <c r="C105" t="inlineStr">
        <is>
          <t>Google</t>
        </is>
      </c>
      <c r="D105" t="inlineStr">
        <is>
          <t>indeed</t>
        </is>
      </c>
      <c r="E105">
        <f>HYPERLINK("https://www.indeed.com/viewjob?jk=0ea8830a429508f2", "https://www.indeed.com/viewjob?jk=0ea8830a429508f2")</f>
        <v/>
      </c>
      <c r="F105">
        <f>HYPERLINK("https://careers.google.com/jobs/results/88255303476224710-program-manager/", "https://careers.google.com/jobs/results/88255303476224710-program-manager/")</f>
        <v/>
      </c>
      <c r="G105" t="inlineStr">
        <is>
          <t>Reston, VA, US</t>
        </is>
      </c>
      <c r="H105" s="3" t="n">
        <v>46057</v>
      </c>
      <c r="I105" t="inlineStr">
        <is>
          <t>### **Minimum qualifications:**
* Bachelor's degree or equivalent practical experience.
* 1 year of experience in EHS management, industrial safety, environmental compliance, or related programs.
* Experience working with AHJ (e.g., Occupational Safety and Health Administration (OSHA), Environmental Protection Agency (EPA), Fire Marshal) and managing environmental permits.
* Experience managing Corrective and Preventive Action (CAPA) processes and using EHS management systems (EHSMS).
### **Preferred qualifications:**
* Experience acting as the primary point of contact for regulatory agencies (e.g., OSHA, EPA, state\-level environmental departments).
* Experience managing unannounced site inspections, responding to formal inquiries, and negotiating compliance timelines.
* Experience in air emission calculations, including the ability to track and report on VOCs, HAPs, and greenhouse gases (GHG) and familiarity with Title V permits or minor source emission limits.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part of the Compliance, Safety and Risk Management (CSRM) team, you'll play a pivotal role in supporting the Environmental Health and Safety (EHS) program for our new Data Centers, currently under construction. This includes but is not limited to: EHS management system, environmental, health and safety compliance programs, and site oversight. Your primary responsibility will be to collaborate closely with cross\-functional teams within Google Data Center departments and contractors to identify and address EHS concerns, and risk identification and mitigation.  
You'll help ensure the safety of the operations workforce, protection of the environment and Google’s business. Furthermore, you will provide guidance with the implementation of new and critical EHS initiatives. Your efforts will contribute to the continuous improvement and iteration of our EHS programs.
The US base salary range for this full\-time position is $105,000\-$151,000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Execute EHS programs and technical projects to optimize business operations, leveraging and expanding subject matter expert (SME) knowledge to drive safety culture.
* Manage site\-specific EHS compliance tasks and Authority Having Jurisdiction (AHJ) requirements. Oversee permit maintenance and ensure all operational activities align with local, state, and federal regulations.
* Evaluate incident data and lead root\-cause investigations. Track corrective and preventive actions (CAPA) to ensure timely closure and prevent recurrence.
* Identify and assess operational EHS risks through regular site audits. Organize and execute strategic meetings, comprehensive reports, and site\-safety plans to mitigate potential hazards.
* Monitor and report on Key Performance Indicators (KPIs), using data\-driven insights to measure program effectiveness and drive continuous improvement.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6">
      <c r="A106" t="inlineStr">
        <is>
          <t>in-8a4918ca1ef0d99e</t>
        </is>
      </c>
      <c r="B106" t="inlineStr">
        <is>
          <t>Product Manager, Communication and Time Management Intelligence</t>
        </is>
      </c>
      <c r="C106" t="inlineStr">
        <is>
          <t>Google</t>
        </is>
      </c>
      <c r="D106" t="inlineStr">
        <is>
          <t>indeed</t>
        </is>
      </c>
      <c r="E106">
        <f>HYPERLINK("https://www.indeed.com/viewjob?jk=8a4918ca1ef0d99e", "https://www.indeed.com/viewjob?jk=8a4918ca1ef0d99e")</f>
        <v/>
      </c>
      <c r="F106">
        <f>HYPERLINK("https://careers.google.com/jobs/results/103754895554683590-product-manager/", "https://careers.google.com/jobs/results/103754895554683590-product-manager/")</f>
        <v/>
      </c>
      <c r="G106" t="inlineStr">
        <is>
          <t>New York, NY, US</t>
        </is>
      </c>
      <c r="H106" s="3" t="n">
        <v>46057</v>
      </c>
      <c r="I10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New York, NY, USA**.### **Minimum qualifications:**
* Bachelor's degree in Computer Science, a related technical field, or equivalent practical experience.
* 10 years of experience in product management, taking a technical product from 0 to 1 or managing a product through a full lifecycle.
* Experience building and shipping products powered by Machine Learning, Natural Language Processing (NLP), or Large Language Models (LLMs).
### **Preferred qualifications:**
* Experience building platformized services or infrastructure, specifically defining common vocabularies, APIs, or taxonomies used by other product teams.
* Experience in building intent detection systems, task management ecosystems/workflow automation tools.
* Experience leading ambiguous V1 projects in large organizations and converging disparate roadmaps into a unified goal.
* Ability to define a product outlook and strategy for a platform\-level initiative that impacts multiple product surfaces (e.g., cross\-Gmail and Chat).
* Ability to partner with Engineering/Research to evaluate model performance, classify artifacts, and optimize agentic user experiences while collaborating with executive and cross\-functional workspace stakeholders.
* Excellent written and verbal communication skills.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mission is to transform Google Workspace from a suite of productivity tools into intelligent agents that prioritize what matters. The Critical Tasks and Messaging Intelligence team sits at the heart of the AI\-First workspace evolution.  
In this role, you will be responsible for building the intelligence layer that understands user intent, manages complex task lifecycles, and automates messaging workflows across Gmail, Chat, and Calendar. The team is a newly formed team managing some of the most ambiguous and agentic AI problems at Google. You will define how users interact with AI to stay on top of their day, moving beyond simple organization to proactive assistance.  
If you are passionate about LLM orchestration, intuitive UX for complex tasks, and redefining the future of work, we’d love to consider you.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platformize universal intent detection across Gmail and Chat, establishing a common vocabulary for message and artifact annotation. Drive the outlook and roadmap for workspace automation, converging it with AI inbox initiatives to enable multi\-step user actions.
* Architect the foundational platform layer necessary to enable sophisticated follow\-on actions and autonomous AI agents.
* Own end\-to\-end artifact understanding, leading the development of classifiers to extract high\-signal information (e.g., meeting suggestions) and trigger contextual actions across surfaces.
* Partner with engineering and research to solve high\-ambiguity problems in Large Language Model (LLM) orchestration, ensuring intent detection is both universal and actionable.
* Collaborate with cross\-functional roadmaps to ensure automation features, like auto\-labeling based on trip or project context, are integrated seamlessly into the user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7">
      <c r="A107" t="inlineStr">
        <is>
          <t>in-77fea5971ed7cb49</t>
        </is>
      </c>
      <c r="B107" t="inlineStr">
        <is>
          <t>Product Manager, Communication and Time Management Intelligence</t>
        </is>
      </c>
      <c r="C107" t="inlineStr">
        <is>
          <t>Google</t>
        </is>
      </c>
      <c r="D107" t="inlineStr">
        <is>
          <t>indeed</t>
        </is>
      </c>
      <c r="E107">
        <f>HYPERLINK("https://www.indeed.com/viewjob?jk=77fea5971ed7cb49", "https://www.indeed.com/viewjob?jk=77fea5971ed7cb49")</f>
        <v/>
      </c>
      <c r="F107">
        <f>HYPERLINK("https://careers.google.com/jobs/results/103754895554683590-product-manager/", "https://careers.google.com/jobs/results/103754895554683590-product-manager/")</f>
        <v/>
      </c>
      <c r="G107" t="inlineStr">
        <is>
          <t>Sunnyvale, CA, US</t>
        </is>
      </c>
      <c r="H107" s="3" t="n">
        <v>46057</v>
      </c>
      <c r="I10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New York, NY, USA**.### **Minimum qualifications:**
* Bachelor's degree in Computer Science, a related technical field, or equivalent practical experience.
* 10 years of experience in product management, taking a technical product from 0 to 1 or managing a product through a full lifecycle.
* Experience building and shipping products powered by Machine Learning, Natural Language Processing (NLP), or Large Language Models (LLMs).
### **Preferred qualifications:**
* Experience building platformized services or infrastructure, specifically defining common vocabularies, APIs, or taxonomies used by other product teams.
* Experience in building intent detection systems, task management ecosystems/workflow automation tools.
* Experience leading ambiguous V1 projects in large organizations and converging disparate roadmaps into a unified goal.
* Ability to define a product outlook and strategy for a platform\-level initiative that impacts multiple product surfaces (e.g., cross\-Gmail and Chat).
* Ability to partner with Engineering/Research to evaluate model performance, classify artifacts, and optimize agentic user experiences while collaborating with executive and cross\-functional workspace stakeholders.
* Excellent written and verbal communication skills.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mission is to transform Google Workspace from a suite of productivity tools into intelligent agents that prioritize what matters. The Critical Tasks and Messaging Intelligence team sits at the heart of the AI\-First workspace evolution.  
In this role, you will be responsible for building the intelligence layer that understands user intent, manages complex task lifecycles, and automates messaging workflows across Gmail, Chat, and Calendar. The team is a newly formed team managing some of the most ambiguous and agentic AI problems at Google. You will define how users interact with AI to stay on top of their day, moving beyond simple organization to proactive assistance.  
If you are passionate about LLM orchestration, intuitive UX for complex tasks, and redefining the future of work, we’d love to consider you.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platformize universal intent detection across Gmail and Chat, establishing a common vocabulary for message and artifact annotation. Drive the outlook and roadmap for workspace automation, converging it with AI inbox initiatives to enable multi\-step user actions.
* Architect the foundational platform layer necessary to enable sophisticated follow\-on actions and autonomous AI agents.
* Own end\-to\-end artifact understanding, leading the development of classifiers to extract high\-signal information (e.g., meeting suggestions) and trigger contextual actions across surfaces.
* Partner with engineering and research to solve high\-ambiguity problems in Large Language Model (LLM) orchestration, ensuring intent detection is both universal and actionable.
* Collaborate with cross\-functional roadmaps to ensure automation features, like auto\-labeling based on trip or project context, are integrated seamlessly into the user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8">
      <c r="A108" t="inlineStr">
        <is>
          <t>in-22188d42a9d2d2d7</t>
        </is>
      </c>
      <c r="B108" t="inlineStr">
        <is>
          <t>Product Manager, Communication and Time Management Intelligence</t>
        </is>
      </c>
      <c r="C108" t="inlineStr">
        <is>
          <t>Google</t>
        </is>
      </c>
      <c r="D108" t="inlineStr">
        <is>
          <t>indeed</t>
        </is>
      </c>
      <c r="E108">
        <f>HYPERLINK("https://www.indeed.com/viewjob?jk=22188d42a9d2d2d7", "https://www.indeed.com/viewjob?jk=22188d42a9d2d2d7")</f>
        <v/>
      </c>
      <c r="F108">
        <f>HYPERLINK("https://careers.google.com/jobs/results/103754895554683590-product-manager/", "https://careers.google.com/jobs/results/103754895554683590-product-manager/")</f>
        <v/>
      </c>
      <c r="G108" t="inlineStr">
        <is>
          <t>Kirkland, WA, US</t>
        </is>
      </c>
      <c r="H108" s="3" t="n">
        <v>46057</v>
      </c>
      <c r="I108"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New York, NY, USA**.### **Minimum qualifications:**
* Bachelor's degree in Computer Science, a related technical field, or equivalent practical experience.
* 10 years of experience in product management, taking a technical product from 0 to 1 or managing a product through a full lifecycle.
* Experience building and shipping products powered by Machine Learning, Natural Language Processing (NLP), or Large Language Models (LLMs).
### **Preferred qualifications:**
* Experience building platformized services or infrastructure, specifically defining common vocabularies, APIs, or taxonomies used by other product teams.
* Experience in building intent detection systems, task management ecosystems/workflow automation tools.
* Experience leading ambiguous V1 projects in large organizations and converging disparate roadmaps into a unified goal.
* Ability to define a product outlook and strategy for a platform\-level initiative that impacts multiple product surfaces (e.g., cross\-Gmail and Chat).
* Ability to partner with Engineering/Research to evaluate model performance, classify artifacts, and optimize agentic user experiences while collaborating with executive and cross\-functional workspace stakeholders.
* Excellent written and verbal communication skills.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mission is to transform Google Workspace from a suite of productivity tools into intelligent agents that prioritize what matters. The Critical Tasks and Messaging Intelligence team sits at the heart of the AI\-First workspace evolution.  
In this role, you will be responsible for building the intelligence layer that understands user intent, manages complex task lifecycles, and automates messaging workflows across Gmail, Chat, and Calendar. The team is a newly formed team managing some of the most ambiguous and agentic AI problems at Google. You will define how users interact with AI to stay on top of their day, moving beyond simple organization to proactive assistance.  
If you are passionate about LLM orchestration, intuitive UX for complex tasks, and redefining the future of work, we’d love to consider you.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platformize universal intent detection across Gmail and Chat, establishing a common vocabulary for message and artifact annotation. Drive the outlook and roadmap for workspace automation, converging it with AI inbox initiatives to enable multi\-step user actions.
* Architect the foundational platform layer necessary to enable sophisticated follow\-on actions and autonomous AI agents.
* Own end\-to\-end artifact understanding, leading the development of classifiers to extract high\-signal information (e.g., meeting suggestions) and trigger contextual actions across surfaces.
* Partner with engineering and research to solve high\-ambiguity problems in Large Language Model (LLM) orchestration, ensuring intent detection is both universal and actionable.
* Collaborate with cross\-functional roadmaps to ensure automation features, like auto\-labeling based on trip or project context, are integrated seamlessly into the user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9">
      <c r="A109" t="inlineStr">
        <is>
          <t>in-9bf78fea63d7ae7d</t>
        </is>
      </c>
      <c r="B109" t="inlineStr">
        <is>
          <t>Product Manager I, YouTube XR, Gaming Discovery</t>
        </is>
      </c>
      <c r="C109" t="inlineStr">
        <is>
          <t>Youtube</t>
        </is>
      </c>
      <c r="D109" t="inlineStr">
        <is>
          <t>indeed</t>
        </is>
      </c>
      <c r="E109">
        <f>HYPERLINK("https://www.indeed.com/viewjob?jk=9bf78fea63d7ae7d", "https://www.indeed.com/viewjob?jk=9bf78fea63d7ae7d")</f>
        <v/>
      </c>
      <c r="F109">
        <f>HYPERLINK("https://careers.google.com/jobs/results/98332241645445830-product-manager-i/", "https://careers.google.com/jobs/results/98332241645445830-product-manager-i/")</f>
        <v/>
      </c>
      <c r="G109" t="inlineStr">
        <is>
          <t>San Bruno, CA, US</t>
        </is>
      </c>
      <c r="H109" s="3" t="n">
        <v>46057</v>
      </c>
      <c r="I109" t="inlineStr">
        <is>
          <t>### **Minimum qualifications:**
* Bachelor's degree or equivalent practical experience.
* 3 years of experience in product management or related technical role.
* 1 year of experience taking technical products from conception to launch (e.g., ideation to execution, end\-to\-end, 0 to 1, etc).
* Experience with ML discovery or content recommendations systems.
### **Preferred qualifications:**
* Master's degree in a technology or business related field.
* 2 years of experience working cross\-functionally with engineering, UX/UI, sales finance, and other stakeholders.
* 1 year of experience in software development or engineering.
* Experience with and interest in Gaming and XR.
* Excellent data analysis and modeling skills.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XR and Gaming Discovery at YouTube, you will help viewers find videos they want to watch and get more value out of their time with YouTube. You will leverage YouTube’s industry\-leading AI and machine learning technology to improve recommendations for millions of gaming viewers, and build new discovery systems that bring the best of YouTube into XR, including both VR headsets and AI\-powered AR glasses.At YouTube, we believe that everyone deserves to have a voice, and that the world is a better place when we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Identify high\-impact opportunities using data to better match viewers with great gaming and XR content.
* Define and execute on a new initiative to understand and recommend beloved gaming shorts.
* Own the product strategy and roadmap for XR discovery.
* Lead a revamp of the XR home feed and XR content recommendations.
* Drive a regular cadence of experiments to grow XR engagement by improving content discovery.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0">
      <c r="A110" t="inlineStr">
        <is>
          <t>in-eda6fbc2b213c8e4</t>
        </is>
      </c>
      <c r="B110" t="inlineStr">
        <is>
          <t>Senior Digital Product Manager</t>
        </is>
      </c>
      <c r="C110" t="inlineStr">
        <is>
          <t>Charles Schwab</t>
        </is>
      </c>
      <c r="D110" t="inlineStr">
        <is>
          <t>indeed</t>
        </is>
      </c>
      <c r="E110">
        <f>HYPERLINK("https://www.indeed.com/viewjob?jk=eda6fbc2b213c8e4", "https://www.indeed.com/viewjob?jk=eda6fbc2b213c8e4")</f>
        <v/>
      </c>
      <c r="F110">
        <f>HYPERLINK("https://www.schwabjobs.com/job/-/-/33727/91348878384", "https://www.schwabjobs.com/job/-/-/33727/91348878384")</f>
        <v/>
      </c>
      <c r="G110" t="inlineStr">
        <is>
          <t>Southlake, TX, US</t>
        </is>
      </c>
      <c r="H110" s="3" t="n">
        <v>46057</v>
      </c>
      <c r="I110" t="inlineStr">
        <is>
          <t>**Your opportunity**
--------------------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Applicants must be currently authorized to work in the United States on a full time basis without employer sponsorship.  
The **Advisor Services** division supports registered investment advisors (RIAs) with custody, trading, technology and practice management tools. Schwab is the leading provider of custody services in the RIA marketplace serving approximately 15,000 RIA businesses managing over $4 trillion of assets at Schwab. The Digital Advisor Solutions team within Advisor Services leads digital product development and B2B technology strategy for our Schwab Advisor Center (SAC) platform, third\-party developer API offerings, and internal rep platforms.  
We are looking for **Senior Digital Product Manager (individual contributor)** to join the Move Money team, which delivers digital payment capabilities on the **Schwab Advisor Center (SAC)** platform. This role will lead a scrum team focused on building new transaction solutions for advisors and requires strong end‑to‑end planning and execution skills to successfully bring new features to market. **What you’ll do:*** Lead product discovery and requirements definition, driving production‑ready epics, user stories, acceptance criteria, and refinement artifacts
* Support usability research, design reviews, workflow simplification, and digital adoption initiatives
* Partner with UX to define intuitive, consistent SAC experiences aligned with enterprise design patterns
* Partner with GTM teams to support advisor readiness, change management, training materials, early access programs, and communications
* Prioritize high impact work for the engineering team and keep development work on track
* Drive problem solving, accountability, and resolutions in production support situations; recommend future enhancements
* Partner with Risk/Legal/Compliance and Service/Ops to ensure controls are embedded throughout the product lifecycle
* Conduct root‑cause analysis for production issues and drive corrective action plans
* Build PowerPoint presentations to communicate findings or lay out plans and ideas for stakeholder input and review; persuasive presentation skills
**What you have**
-----------------
 **Required Qualifications:*** 5\+ years of experience in a digital product management or product development role
* An agile mindset; expert in agile methodologies for software development (writing user stories, acceptance criteria, facilitating scrum activities)
* Advanced technology acumen, including an understanding of how software products are made, familiarity with architectures, languages, and build cycles
* Project management \- Able to juggle multiple priorities, drive progress and accountability across multiple stakeholders; Strong self\-management to move work forward without prescriptive leadership guidance
* Communication and presentation skills \- Adept at PowerPoint, good at framing and telling a logical story, strong verbal and written communication \- for executive audience, tech partners, operations, etc.
* Problem\-solving \&amp; Advanced analytical skills \- Ability to collect and analyze information, problem\-solve, and make decisions through data
* Strong relationship\-management skills – Able to foster connections across different parts of the organization to drive a well\-rounded implementation strategy
 **Preferred Qualifications:*** Natural curiosity and a continuous learning attitude
* Financial services industry experience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11">
      <c r="A111" t="inlineStr">
        <is>
          <t>in-9e32030d5feb8ee4</t>
        </is>
      </c>
      <c r="B111" t="inlineStr">
        <is>
          <t>Senior Staff Product Manager - Talent Performance and Development</t>
        </is>
      </c>
      <c r="C111" t="inlineStr">
        <is>
          <t>Intuit</t>
        </is>
      </c>
      <c r="D111" t="inlineStr">
        <is>
          <t>indeed</t>
        </is>
      </c>
      <c r="E111">
        <f>HYPERLINK("https://www.indeed.com/viewjob?jk=9e32030d5feb8ee4", "https://www.indeed.com/viewjob?jk=9e32030d5feb8ee4")</f>
        <v/>
      </c>
      <c r="F111">
        <f>HYPERLINK("https://jobs.intuit.com/job/mountain-view/senior-staff-product-manager-talent-performance-and-development/27595/91391187696", "https://jobs.intuit.com/job/mountain-view/senior-staff-product-manager-talent-performance-and-development/27595/91391187696")</f>
        <v/>
      </c>
      <c r="G111" t="inlineStr">
        <is>
          <t>Atlanta, GA, US</t>
        </is>
      </c>
      <c r="H111" s="3" t="n">
        <v>46057</v>
      </c>
      <c r="I111" t="inlineStr">
        <is>
          <t>Category Product Management
Location Mountain View, California; Atlanta, Georgia
Job ID 19351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As a Technical Product Manager and Product Strategist, you will be the subject matter expert on talent performance and talent management platforms, with a focus on Workday. In this expanded role, you will blend **technical expertise, system design thinking, and long\-range product strategy** to shape how the company measures, manages, and grows talent. You will define the **future\-state vision** for talent development and performance solutions, evaluate new technologies (e.g., manager AI agent, promotion tools, goal\-setting platforms), and influence investment decisions across the enterprise.
Your role sits at the intersection of **product strategy, system architecture, and organizational transformation**, ensuring our performance and talent management capabilities are reliable, scalable, and strategically aligned to business and workforce priorities.
 **Responsibilities**
**Responsibilities**
**Product \&amp; System Ownership**
* Drive the design, configuration, and roadmap for Workday Talent Performance modules, aligning system capabilities with evolving business and workforce needs.
* Translate talent performance goals into functional and technical system requirements that deliver measurable outcomes.
* Own backlog prioritization and partner with HR and IT teams to continuously enhance the employee and manager experience.
* Ensure product decisions support both short\-term delivery and long\-term strategic product direction.
* **Define a multi\-year product strategy** for talent performance, development, and talent management platforms, including how Workday, internal tools, and new technologies integrate into a unified ecosystem.
* **Conduct market research and competitive analysis** to benchmark against industry\-leading performance and development approaches.
* Build **business cases, investment proposals, and ROI models** to guide leadership decisions on platform evolution (e.g., Betterworks replacement, AI\-enabled manager tools, promotion frameworks).
* Establish **north\-star metrics and success measures** that link product outcomes to business and talent goals.
* Identify opportunities to streamline or modernize the talent lifecycle experience through new capabilities, automation, AI, and data\-driven insights.
* Serve as a **thought leader** with HR leadership on future\-state talent development strategy and how technology should enable it.
* Create and maintain a **strategic portfolio view**, ensuring alignment across performance management, talent mobility, career development, and related platforms.
* Provide solution architecture guidance to integrate Workday with adjacent systems, ensuring data accuracy, process efficiency, and compliance.
* Conduct system audits and performance tuning to ensure reliability, scalability, and optimal user experience.
* Stay current on Workday releases, enhancements, and innovations; evaluate features for adoption through a strategic lens (e.g., long\-term fit, cost\-value trade\-offs).
* **Talent Performance \&amp; Development Impact**
	+ Partner with People \&amp; Culture leaders to design performance philosophies, feedback loops, goal\-setting frameworks, promotion processes, and calibration workflows within Workday or supplemental tools.
	+ Use system data and analytics to identify gaps in performance tracking, career development, and talent readiness; influence workforce strategy using insights.
	+ Ensure technical solutions reinforce the company’s approach to performance, growth, and talent mobility.**Cross\-Functional Collaboration**
	+ Collaborate with HRBPs, IT, analytics, compliance, and business leaders to design solutions that balance technical feasibility with organizational impact.
	+ Serve as the strategic and technical point of contact during Workday projects and across the talent tech ecosystem.
	+ Drive change management, stakeholder alignment, and enterprise adoption for new tools and capabilities.
	+ Train and support internal teams on system functionality, strategic use cases, and best practices.
 **Qualifications**
* Proven experience as a Product Manager or system owner for Workday Talent modules (Performance, Goals, Feedback).
* Experience defining **multi\-year product strategies**, roadmaps, or portfolios (preferred for strategist scope).
* Strong technical background with expertise in system architecture, integrations, and analytics.
* Ability to translate talent management strategies into scalable technical and product solutions.
* Exceptional communication and executive influence skills, with a track record of driving cross\-functional alignment.
* Strong analytical skills with experience conducting system audits and leveraging data for decision\-making.
* Background in talent development, performance management, or HR technology strategy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$ 196,500\- 266,000</t>
        </is>
      </c>
    </row>
    <row r="112">
      <c r="A112" t="inlineStr">
        <is>
          <t>in-6f36ad0d598d77a5</t>
        </is>
      </c>
      <c r="B112" t="inlineStr">
        <is>
          <t>Senior Technical Program Manager, Infrastructure</t>
        </is>
      </c>
      <c r="C112" t="inlineStr">
        <is>
          <t>Waymo</t>
        </is>
      </c>
      <c r="D112" t="inlineStr">
        <is>
          <t>indeed</t>
        </is>
      </c>
      <c r="E112">
        <f>HYPERLINK("https://www.indeed.com/viewjob?jk=6f36ad0d598d77a5", "https://www.indeed.com/viewjob?jk=6f36ad0d598d77a5")</f>
        <v/>
      </c>
      <c r="F112">
        <f>HYPERLINK("https://careers.withwaymo.com/jobs/senior-technical-program-manager-infrastructure-mountain-view-california-united-states-san-francisco", "https://careers.withwaymo.com/jobs/senior-technical-program-manager-infrastructure-mountain-view-california-united-states-san-francisco")</f>
        <v/>
      </c>
      <c r="G112" t="inlineStr">
        <is>
          <t>Mountain View, CA, US</t>
        </is>
      </c>
      <c r="H112" s="3" t="n">
        <v>46057</v>
      </c>
      <c r="I112" t="inlineStr">
        <is>
          <t>MOUNTAIN VIEW, CALIFORNIA, UNITED STATES \| SAN FRANCISCO, CALIFORNIA, UNITED STATES
FULL\-TIME
PRODUCT
3992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Technical Program Managers are accountable for Waymo’s roadmap execution by providing thoughtful cross\-functional planning, clarity, and proactive risk management. In the face of complex technical and operational challenges with no established playbooks to follow, we act with thoughtful urgency, driving conversations, discussions, and outcomes. Our team partners closely with every function of Waymo to structure, own and drive work towards real\-world deployments of the Waymo Driver across platforms and geographies.
*This role follows a hybrid work schedule and reports and you will report to a Manager of Technical Program Management.*
**You will:**
* Own and drive the execution for core infrastructure programs
* Manage the roadmap and delivery of high\-availability simulation platforms, ensuring performance and scale for engineering development and testing
* Define and track key performance indicators (KPIs) and service level objectives (SLOs) for the core infrastructure services (e.g., data pipeline latency, storage reliability)
* Work cross\-functionally with Engineering, Product, and Data Science teams to manage dependencies
* Proactively identify technical risks and bottlenecks in the data and simulation pipelines, proposing and driving mitigation strategies
* Lead effective communication, including program reviews and status updates, to executive and cross\-functional stakeholders
**You have:**
* 7\+ years of experience in technical program management, particularly in a complex, multi\-team environment within a software or infrastructure organization
* Demonstrated knowledge of distributed systems, large\-scale data management, and cloud infrastructure principles
* Experience managing reliability programs in a rapidly scaling, high\-availability environment (SRE or DevOps principles)
* Proven ability to translate complex technical issues related to storage, simulation, or data pipelines for non\-technical stakeholders
* Experience with the software development lifecycle, specifically in environments that iterate rapidly on data\-intensive products
* Strong verbal and written communication skills, with a track record of driving alignment without direct authority
**We prefer:**
* Experience in the Autonomous Vehicle (AV) industry or other complex, real\-time control systems
* Prior experience as a software engineer in a domain related to data engineering, storage systems, or large\-scale simulation
* Familiarity with machine learning data workflows, including feature store management and model training/evaluation data sets
* Experience with on\-call rotations and triaging technical issues in a high\-severity incident management process
* Demonstrated ability to drive long\-term strategy for an evolving technical domain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$196,000—$248,000 USD</t>
        </is>
      </c>
    </row>
    <row r="113">
      <c r="A113" t="inlineStr">
        <is>
          <t>in-08abdf92c8bdcf91</t>
        </is>
      </c>
      <c r="B113" t="inlineStr">
        <is>
          <t>Senior Technical Program Manager</t>
        </is>
      </c>
      <c r="C113" t="inlineStr">
        <is>
          <t>Intuit</t>
        </is>
      </c>
      <c r="D113" t="inlineStr">
        <is>
          <t>indeed</t>
        </is>
      </c>
      <c r="E113">
        <f>HYPERLINK("https://www.indeed.com/viewjob?jk=08abdf92c8bdcf91", "https://www.indeed.com/viewjob?jk=08abdf92c8bdcf91")</f>
        <v/>
      </c>
      <c r="F113">
        <f>HYPERLINK("https://dsp.prng.co/LvyBZJb", "https://dsp.prng.co/LvyBZJb")</f>
        <v/>
      </c>
      <c r="G113" t="inlineStr">
        <is>
          <t>Mountain View, CA, US</t>
        </is>
      </c>
      <c r="H113" s="3" t="n">
        <v>46057</v>
      </c>
      <c r="I113" t="inlineStr">
        <is>
          <t>**Overview**
------------
Intuit is a leading provider of business and financial management solutions for small and mid\-sized businesses, self\-employed entrepreneurs, consumers, and accounting professionals. You probably know us by our flagship products, QuickBooks, Credit Karma, TurboTax, and Mailchimp, but that's just the start. We're taking on exciting challenges, and our strategy is to be an AI\-driven expert platform to deliver personalized experiences to our customers to improve their entrepreneurial and financial lives.  
Come join Mailchimp in the Product Development Operations team, as a Senior Technical Program Manager. This role is responsible for accelerating delivery of complex capabilities and programs across the platform.  
We are looking for a strategic, creative problem solver who can influence stakeholders across the organization, lead high\-visibility high\-impact programs end\-to\-end to deliver business results. **Responsibilities**
* Partner with Business and Technology leaders to execute the strategy for one or more key programs across the Mailchimp platform.
* Drive multi\-phase program roadmaps across multiple contributing teams.
* Develop program charters ensuring the scope aligns with business priorities.
* Develop \&amp; deliver program plans that encompass all phases of planning, implementation, production readiness and support defining a cross\-functional program structure.
* Provide steady leadership in the face of uncertainty, change, and aggressive deadlines common to a rapidly growing company with an evolving business model.
* Establish program operating rhythms leading cross\-functional meetings and fostering teamwork. Quickly and effectively identify and clarify the critical few issues and drive appropriate decisions and actions. Communicate results clearly and in actionable form.
* Communicate progress, report status, providing relevant insights across organizational boundaries and levels from individual contributor to senior executive.
* Manage and track program execution to ensure successful, high\-quality, on\-time delivery by working through risks, and interdependencies.
* Promote collaboration and coordination across broad categories of Stakeholders.
* Partner with business unit and platform product management, and product development leadership to identify benefits, short\- and long\-term trade\-offs and balance the needs of all stakeholders.
* Anticipate, recognize, and work through resistance or setbacks independently, work well with others when conflicts arise. See opportunities, ensure alignment with objectives, find common ground and promote understanding of alternative viewpoints before driving for closure and cooperation.
* Partner with other Technical Program Managers to define, socialize and implement organization\-wide processes.
 **Qualifications**
* 5\+ years of Program Management experience leading multiple well defined small\-medium complexity technology\-focused programs
* Self\-starter able to track complex and/or large volume of details (technical and program related), manage and coordinate with 10 scrum teams, across multiple sites.
* Excellent leadership and interpersonal skills. Demonstrated ability to work in a matrix environment, and ability to influence across levels.
* Outstanding communication skills appropriate for engineers and executive\-level audiences. Ability to communicate goals of programs, relationship to business goals, provide summarized exec views, while also being able to get into the details. Self\-awareness of what to share with each audience.
* Exceptional ability to build strong relationships and leverage those relationships to influence across organizational boundaries for delivery of best outcomes.
* Degree in engineering, computer science, information systems or equivalent experience.
* Good understanding of SaaS technologies or demonstrated ability to collaborate with engineering teams on complex technology programs with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$ 149,500\- 202,000</t>
        </is>
      </c>
    </row>
    <row r="114">
      <c r="A114" t="inlineStr">
        <is>
          <t>in-678b9d92408fecd8</t>
        </is>
      </c>
      <c r="B114" t="inlineStr">
        <is>
          <t>Senior Staff Product Manager - Talent Performance and Development</t>
        </is>
      </c>
      <c r="C114" t="inlineStr">
        <is>
          <t>Intuit</t>
        </is>
      </c>
      <c r="D114" t="inlineStr">
        <is>
          <t>indeed</t>
        </is>
      </c>
      <c r="E114">
        <f>HYPERLINK("https://www.indeed.com/viewjob?jk=678b9d92408fecd8", "https://www.indeed.com/viewjob?jk=678b9d92408fecd8")</f>
        <v/>
      </c>
      <c r="F114">
        <f>HYPERLINK("https://dsp.prng.co/snal4xb", "https://dsp.prng.co/snal4xb")</f>
        <v/>
      </c>
      <c r="G114" t="inlineStr">
        <is>
          <t>Mountain View, CA, US</t>
        </is>
      </c>
      <c r="H114" s="3" t="n">
        <v>46057</v>
      </c>
      <c r="I114" t="inlineStr">
        <is>
          <t>**Overview**
------------
As a Technical Product Manager and Product Strategist, you will be the subject matter expert on talent performance and talent management platforms, with a focus on Workday. In this expanded role, you will blend **technical expertise, system design thinking, and long\-range product strategy** to shape how the company measures, manages, and grows talent. You will define the **future\-state vision** for talent development and performance solutions, evaluate new technologies (e.g., manager AI agent, promotion tools, goal\-setting platforms), and influence investment decisions across the enterprise.
Your role sits at the intersection of **product strategy, system architecture, and organizational transformation**, ensuring our performance and talent management capabilities are reliable, scalable, and strategically aligned to business and workforce priorities.
 **Responsibilities**
**Responsibilities**
--------------------
### **Product \&amp; System Ownership**
* Drive the design, configuration, and roadmap for Workday Talent Performance modules, aligning system capabilities with evolving business and workforce needs.
* Translate talent performance goals into functional and technical system requirements that deliver measurable outcomes.
* Own backlog prioritization and partner with HR and IT teams to continuously enhance the employee and manager experience.
* Ensure product decisions support both short\-term delivery and long\-term strategic product direction.
* **Define a multi\-year product strategy** for talent performance, development, and talent management platforms, including how Workday, internal tools, and new technologies integrate into a unified ecosystem.
* **Conduct market research and competitive analysis** to benchmark against industry\-leading performance and development approaches.
* Build **business cases, investment proposals, and ROI models** to guide leadership decisions on platform evolution (e.g., Betterworks replacement, AI\-enabled manager tools, promotion frameworks).
* Establish **north\-star metrics and success measures** that link product outcomes to business and talent goals.
* Identify opportunities to streamline or modernize the talent lifecycle experience through new capabilities, automation, AI, and data\-driven insights.
* Serve as a **thought leader** with HR leadership on future\-state talent development strategy and how technology should enable it.
* Create and maintain a **strategic portfolio view**, ensuring alignment across performance management, talent mobility, career development, and related platforms.
* Provide solution architecture guidance to integrate Workday with adjacent systems, ensuring data accuracy, process efficiency, and compliance.
* Conduct system audits and performance tuning to ensure reliability, scalability, and optimal user experience.
* Stay current on Workday releases, enhancements, and innovations; evaluate features for adoption through a strategic lens (e.g., long\-term fit, cost\-value trade\-offs).
* **Talent Performance \&amp; Development Impact**
--------------------------------------------
	+ Partner with People \&amp; Culture leaders to design performance philosophies, feedback loops, goal\-setting frameworks, promotion processes, and calibration workflows within Workday or supplemental tools.
	+ Use system data and analytics to identify gaps in performance tracking, career development, and talent readiness; influence workforce strategy using insights.
	+ Ensure technical solutions reinforce the company’s approach to performance, growth, and talent mobility.**Cross\-Functional Collaboration**
-----------------------------------
	+ Collaborate with HRBPs, IT, analytics, compliance, and business leaders to design solutions that balance technical feasibility with organizational impact.
	+ Serve as the strategic and technical point of contact during Workday projects and across the talent tech ecosystem.
	+ Drive change management, stakeholder alignment, and enterprise adoption for new tools and capabilities.
	+ Train and support internal teams on system functionality, strategic use cases, and best practices.
 **Qualifications**
* Proven experience as a Product Manager or system owner for Workday Talent modules (Performance, Goals, Feedback).
* Experience defining **multi\-year product strategies**, roadmaps, or portfolios (preferred for strategist scope).
* Strong technical background with expertise in system architecture, integrations, and analytics.
* Ability to translate talent management strategies into scalable technical and product solutions.
* Exceptional communication and executive influence skills, with a track record of driving cross\-functional alignment.
* Strong analytical skills with experience conducting system audits and leveraging data for decision\-making.
* Background in talent development, performance management, or HR technology strategy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$ 196,500\- 266,000</t>
        </is>
      </c>
    </row>
    <row r="115">
      <c r="A115" t="inlineStr">
        <is>
          <t>in-7a1aa09dbb47dfdf</t>
        </is>
      </c>
      <c r="B115" t="inlineStr">
        <is>
          <t>Staff Product Manager - UI Platform</t>
        </is>
      </c>
      <c r="C115" t="inlineStr">
        <is>
          <t>Intuit</t>
        </is>
      </c>
      <c r="D115" t="inlineStr">
        <is>
          <t>indeed</t>
        </is>
      </c>
      <c r="E115">
        <f>HYPERLINK("https://www.indeed.com/viewjob?jk=7a1aa09dbb47dfdf", "https://www.indeed.com/viewjob?jk=7a1aa09dbb47dfdf")</f>
        <v/>
      </c>
      <c r="F115">
        <f>HYPERLINK("https://dsp.prng.co/8Youwub", "https://dsp.prng.co/8Youwub")</f>
        <v/>
      </c>
      <c r="G115" t="inlineStr">
        <is>
          <t>Mountain View, CA, US</t>
        </is>
      </c>
      <c r="H115" s="3" t="n">
        <v>46057</v>
      </c>
      <c r="I115" t="inlineStr">
        <is>
          <t>**Overview**
------------
The Developer Platform team at Intuit builds foundational capabilities that developers across Intuit use for building and running Intuit’s flagship applications leveraging cloud\-native technologies in a highly scalable, reliable, and secure manner. Ease of use along with scale and reliability are some of the key attributes of the platforms that this organization is responsible for.
We are on a journey to enable hyper\-scale growth on both our systems and our development processes and are making fundamental technological shifts that will enable this journey. As the product manager, you will shape the long\-term vision for our micro frontend UI platform, component libraries, and designer and developer experiences and will be responsible for executing on that vision. From ideation to development to adoption, you’ll lead an organization focused on making a greater impact on Intuit’s application developer, designer and 3p developer communities by providing end\-to\-end product solutions.
Application teams at Intuit work on cutting edge technologies in rapidly evolving business and technical environments, pushing the boundaries of how web and mobile development is done to execute on Intuit’s AI\-driven expert platform strategy. In this role, you will work with other product managers, product designers, and development teams across Intuit as you define the UI platform strategy to be a force multiplier across the ecosystem.
We are looking for someone who has extensive product management experience building front\-end application platforms and design systems at scale with a good technical understanding of those platforms balanced with customer empathy, strong execution abilities, and a track record of building strong business partnerships to deliver impactful business results. If you understand defining and building products and platforms used by developers and designers alike with a specific focus on web and mobile development to deliver software that caters to both millions of consumers and small businesses, then this job is for you!
 **Responsibilities**
* Define and lead the vision and strategy for the Intuit UI platform and component libraries, seamless integration with Intuit’s application platforms, provide product thought leadership in identifying critical customer requirements, understand business goals, define product roadmaps and OKRs.
* Work closely with product managers, product designers, and development teams across Intuit to identify and address gaps in Intuit’s web and mobile offerings to provide world\-class experiences.
* Effectively manage dependencies, priorities, and plans across different, multi\-functional groups at Intuit towards consistent product delivery aligned towards common goals.
* Take a data\-driven approach in defining success metrics, prioritizing requirements, and communicating plans, progress, and success.
* Demonstrate customer obsession by being a champion for the user experience with deep customer empathy.
* Evangelize and create broad awareness for the Intuit web, and mobile application platform and ecosystem with technical talks at both internal and external forums and customer events.
* Serve as a product evangelist for the platform by participating in different conferences, meetups, community meetings in mobile space and bring external\-in perspectives to the Intuit front\-end application design and developer communities.
* Actively participate in and be a thought leader in the open\-source community around platform engineering projects.
* Be part of the extended product management team to contribute across Intuit platforms.
* Be customer\-obsessed, acting as the voice of Intuit’s developers and customers in creating world\-class web and mobile applications.
 **Qualifications**
* 8\+ years delivering world\-class platform products and systems for front\-end applications, specifically in web and mobile for large scale SaaS offerings.
* Experience defining, building, and delivering platform products with an ability to bridge between design and development teams in a matrix environment.
* Good understanding of and a keen eye for user experience design for web and mobile (iOS and Android) platforms
* Good understanding of the architectures and lifecycle of large scale web and mobile apps.
* Familiarity with design UI Frameworks such as React, Angular etc. is a plus.
* Keeps up with the latest trends in the front\-end application development (web or mobile) and can synthesize and drive tradeoffs in technology choices.
* Has worked in an Agile development setting and can drive backlog grooming and prioritization across multiple cross\-functional teams.
* Product development or technical background, either as an engineer or in a previous technical role with prior hands\-on development experience or in developing and presenting technical demos and content.
* Proven experience in defining the product vision and inspiring teams to deliver innovations and impactful products, especially in mobile ecosystems.
* Ability to take end\-to\-end responsibility for the product’s success.
* Bachelor's degree in computer science, electrical engineering, a related technical discipline or equivalent experience required, an advanced degree a plus.
* Ability to work closely with customers and partners listening and taking a customer\-focused approach to defining strategy and setting priorities demonstrating a passion for the customer.
* Excellent collaboration and communication skills \- leading execution across teams, influencing across organizations in small teams, and larger group presentation formats.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$ 180,500\- 244,000</t>
        </is>
      </c>
    </row>
    <row r="116">
      <c r="A116" t="inlineStr">
        <is>
          <t>in-b66138d1d2460430</t>
        </is>
      </c>
      <c r="B116" t="inlineStr">
        <is>
          <t>Staff Technical Program Manager - Trust &amp; Safety</t>
        </is>
      </c>
      <c r="C116" t="inlineStr">
        <is>
          <t>Intuit</t>
        </is>
      </c>
      <c r="D116" t="inlineStr">
        <is>
          <t>indeed</t>
        </is>
      </c>
      <c r="E116">
        <f>HYPERLINK("https://www.indeed.com/viewjob?jk=b66138d1d2460430", "https://www.indeed.com/viewjob?jk=b66138d1d2460430")</f>
        <v/>
      </c>
      <c r="F116">
        <f>HYPERLINK("https://dsp.prng.co/tgzeJab", "https://dsp.prng.co/tgzeJab")</f>
        <v/>
      </c>
      <c r="G116" t="inlineStr">
        <is>
          <t>Atlanta, GA, US</t>
        </is>
      </c>
      <c r="H116" s="3" t="n">
        <v>46057</v>
      </c>
      <c r="I116" t="inlineStr">
        <is>
          <t>**Overview**
------------
Do you thrive on tackling intricate challenges and driving impactful solutions within the cybersecurity landscape? Are you a highly motivated leader with a passion for safeguarding customers and delivering transformative change? If so, we invite you to consider this exciting opportunity to join our dynamic team.  
As a **Staff Technical Program Manager**, you will play a pivotal role in shaping the future of our **Trust \&amp; Safety** portfolio. You will spearhead fraud prevention programs and provide strategic leadership and direction to ensure the successful delivery of critical initiatives. Your expertise in navigating the complexities of cybersecurity, compliance, risk, and fraud will be instrumental in protecting our customers and maintaining their trust. **Responsibilities**
**You will be the end to end owner of a portfolio of work, consisting of several cross\-organizational technical programs and initiatives to execute. You will do this by:**
* **Lead with Influence:** Drive strategic programs in partnership with VP\+ leaders, accelerating business outcomes and ensuring alignment with Intuit's overall strategy.
* **Champion Change:** Foster a culture of collaboration and open communication, effectively navigating organizational change and driving continuous improvement.
* **Deliver Exceptional Results:** Develop and execute high\-quality program plans, utilizing data to track progress, mitigate risks, and communicate effectively with stakeholders.
* **Build and Mentor:** Define and implement program management best practices, coach and mentor other program managers, and contribute to the growth of the program management community
* **Master the Domain:** Possess deep expertise in software development methodologies and apply them effectively to programs. Navigate the security, risk, and fraud landscape with confidence.
 **Qualifications**
* **Proven Leadership:** 7\+ years of experience leading and delivering complex, large\-scale technical programs within a matrixed organization.
* **Technical Acumen:** Strong understanding of software development approaches, architecture, and lifecycles. Experience with Agile methodologies is highly desired.
* **Strategic Thinker:** Ability to analyze industry trends, understand Intuit's strategy, and make data\-driven decisions that accelerate business outcomes.
* **Exceptional Communicator:** Excellent communication and interpersonal skills, with the ability to influence at all levels, from individual contributors to senior executives.
* **Data\-Driven Mindset:** Ability to gather, analyze, and utilize data to assess program progress, identify risks, and drive decision\-making. Familiarity with data analytics and AI/ML concepts is a plus
* **Education:** Bachelor's degree in Computer Science, Engineering, or a related field, or equivalent work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17">
      <c r="A117" t="inlineStr">
        <is>
          <t>in-c78af678d700fb3b</t>
        </is>
      </c>
      <c r="B117" t="inlineStr">
        <is>
          <t>Senior Technical Program Manager</t>
        </is>
      </c>
      <c r="C117" t="inlineStr">
        <is>
          <t>Intuit</t>
        </is>
      </c>
      <c r="D117" t="inlineStr">
        <is>
          <t>indeed</t>
        </is>
      </c>
      <c r="E117">
        <f>HYPERLINK("https://www.indeed.com/viewjob?jk=c78af678d700fb3b", "https://www.indeed.com/viewjob?jk=c78af678d700fb3b")</f>
        <v/>
      </c>
      <c r="F117">
        <f>HYPERLINK("https://dsp.prng.co/7nVpvdb", "https://dsp.prng.co/7nVpvdb")</f>
        <v/>
      </c>
      <c r="G117" t="inlineStr">
        <is>
          <t>Atlanta, GA, US</t>
        </is>
      </c>
      <c r="H117" s="3" t="n">
        <v>46057</v>
      </c>
      <c r="I117" t="inlineStr">
        <is>
          <t>**Overview**
------------
Intuit is a leading provider of business and financial management solutions for small and mid\-sized businesses, self\-employed entrepreneurs, consumers, and accounting professionals. You probably know us by our flagship products, QuickBooks, Credit Karma, TurboTax, and Mailchimp, but that's just the start. We're taking on exciting challenges, and our strategy is to be an AI\-driven expert platform to deliver personalized experiences to our customers to improve their entrepreneurial and financial lives.  
Come join Mailchimp in the Product Development Operations team, as a Senior Technical Program Manager. This role is responsible for accelerating delivery of complex capabilities and programs across the platform.  
We are looking for a strategic, creative problem solver who can influence stakeholders across the organization, lead high\-visibility high\-impact programs end\-to\-end to deliver business results. **Responsibilities**
* Partner with Business and Technology leaders to execute the strategy for one or more key programs across the Mailchimp platform.
* Drive multi\-phase program roadmaps across multiple contributing teams.
* Develop program charters ensuring the scope aligns with business priorities.
* Develop \&amp; deliver program plans that encompass all phases of planning, implementation, production readiness and support defining a cross\-functional program structure.
* Provide steady leadership in the face of uncertainty, change, and aggressive deadlines common to a rapidly growing company with an evolving business model.
* Establish program operating rhythms leading cross\-functional meetings and fostering teamwork. Quickly and effectively identify and clarify the critical few issues and drive appropriate decisions and actions. Communicate results clearly and in actionable form.
* Communicate progress, report status, providing relevant insights across organizational boundaries and levels from individual contributor to senior executive.
* Manage and track program execution to ensure successful, high\-quality, on\-time delivery by working through risks, and interdependencies.
* Promote collaboration and coordination across broad categories of Stakeholders.
* Partner with business unit and platform product management, and product development leadership to identify benefits, short\- and long\-term trade\-offs and balance the needs of all stakeholders.
* Anticipate, recognize, and work through resistance or setbacks independently, work well with others when conflicts arise. See opportunities, ensure alignment with objectives, find common ground and promote understanding of alternative viewpoints before driving for closure and cooperation.
* Partner with other Technical Program Managers to define, socialize and implement organization\-wide processes.
 **Qualifications**
* 5\+ years of Program Management experience leading multiple well defined small\-medium complexity technology\-focused programs
* Self\-starter able to track complex and/or large volume of details (technical and program related), manage and coordinate with 10 scrum teams, across multiple sites.
* Excellent leadership and interpersonal skills. Demonstrated ability to work in a matrix environment, and ability to influence across levels.
* Outstanding communication skills appropriate for engineers and executive\-level audiences. Ability to communicate goals of programs, relationship to business goals, provide summarized exec views, while also being able to get into the details. Self\-awareness of what to share with each audience.
* Exceptional ability to build strong relationships and leverage those relationships to influence across organizational boundaries for delivery of best outcomes.
* Degree in engineering, computer science, information systems or equivalent experience.
* Good understanding of SaaS technologies or demonstrated ability to collaborate with engineering teams on complex technology programs with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$ 149,500\- 202,000</t>
        </is>
      </c>
    </row>
    <row r="118">
      <c r="A118" t="inlineStr">
        <is>
          <t>in-58946def908b96cf</t>
        </is>
      </c>
      <c r="B118" t="inlineStr">
        <is>
          <t>Senior Staff Product Manager - Talent Performance and Development</t>
        </is>
      </c>
      <c r="C118" t="inlineStr">
        <is>
          <t>Intuit</t>
        </is>
      </c>
      <c r="D118" t="inlineStr">
        <is>
          <t>indeed</t>
        </is>
      </c>
      <c r="E118">
        <f>HYPERLINK("https://www.indeed.com/viewjob?jk=58946def908b96cf", "https://www.indeed.com/viewjob?jk=58946def908b96cf")</f>
        <v/>
      </c>
      <c r="F118">
        <f>HYPERLINK("https://dsp.prng.co/X-EMuDb", "https://dsp.prng.co/X-EMuDb")</f>
        <v/>
      </c>
      <c r="G118" t="inlineStr">
        <is>
          <t>Atlanta, GA, US</t>
        </is>
      </c>
      <c r="H118" s="3" t="n">
        <v>46057</v>
      </c>
      <c r="I118" t="inlineStr">
        <is>
          <t>**Overview**
------------
As a Technical Product Manager and Product Strategist, you will be the subject matter expert on talent performance and talent management platforms, with a focus on Workday. In this expanded role, you will blend **technical expertise, system design thinking, and long\-range product strategy** to shape how the company measures, manages, and grows talent. You will define the **future\-state vision** for talent development and performance solutions, evaluate new technologies (e.g., manager AI agent, promotion tools, goal\-setting platforms), and influence investment decisions across the enterprise.
Your role sits at the intersection of **product strategy, system architecture, and organizational transformation**, ensuring our performance and talent management capabilities are reliable, scalable, and strategically aligned to business and workforce priorities.
 **Responsibilities**
**Responsibilities**
--------------------
### **Product \&amp; System Ownership**
* Drive the design, configuration, and roadmap for Workday Talent Performance modules, aligning system capabilities with evolving business and workforce needs.
* Translate talent performance goals into functional and technical system requirements that deliver measurable outcomes.
* Own backlog prioritization and partner with HR and IT teams to continuously enhance the employee and manager experience.
* Ensure product decisions support both short\-term delivery and long\-term strategic product direction.
* **Define a multi\-year product strategy** for talent performance, development, and talent management platforms, including how Workday, internal tools, and new technologies integrate into a unified ecosystem.
* **Conduct market research and competitive analysis** to benchmark against industry\-leading performance and development approaches.
* Build **business cases, investment proposals, and ROI models** to guide leadership decisions on platform evolution (e.g., Betterworks replacement, AI\-enabled manager tools, promotion frameworks).
* Establish **north\-star metrics and success measures** that link product outcomes to business and talent goals.
* Identify opportunities to streamline or modernize the talent lifecycle experience through new capabilities, automation, AI, and data\-driven insights.
* Serve as a **thought leader** with HR leadership on future\-state talent development strategy and how technology should enable it.
* Create and maintain a **strategic portfolio view**, ensuring alignment across performance management, talent mobility, career development, and related platforms.
* Provide solution architecture guidance to integrate Workday with adjacent systems, ensuring data accuracy, process efficiency, and compliance.
* Conduct system audits and performance tuning to ensure reliability, scalability, and optimal user experience.
* Stay current on Workday releases, enhancements, and innovations; evaluate features for adoption through a strategic lens (e.g., long\-term fit, cost\-value trade\-offs).
* **Talent Performance \&amp; Development Impact**
--------------------------------------------
	+ Partner with People \&amp; Culture leaders to design performance philosophies, feedback loops, goal\-setting frameworks, promotion processes, and calibration workflows within Workday or supplemental tools.
	+ Use system data and analytics to identify gaps in performance tracking, career development, and talent readiness; influence workforce strategy using insights.
	+ Ensure technical solutions reinforce the company’s approach to performance, growth, and talent mobility.**Cross\-Functional Collaboration**
-----------------------------------
	+ Collaborate with HRBPs, IT, analytics, compliance, and business leaders to design solutions that balance technical feasibility with organizational impact.
	+ Serve as the strategic and technical point of contact during Workday projects and across the talent tech ecosystem.
	+ Drive change management, stakeholder alignment, and enterprise adoption for new tools and capabilities.
	+ Train and support internal teams on system functionality, strategic use cases, and best practices.
 **Qualifications**
* Proven experience as a Product Manager or system owner for Workday Talent modules (Performance, Goals, Feedback).
* Experience defining **multi\-year product strategies**, roadmaps, or portfolios (preferred for strategist scope).
* Strong technical background with expertise in system architecture, integrations, and analytics.
* Ability to translate talent management strategies into scalable technical and product solutions.
* Exceptional communication and executive influence skills, with a track record of driving cross\-functional alignment.
* Strong analytical skills with experience conducting system audits and leveraging data for decision\-making.
* Background in talent development, performance management, or HR technology strategy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$ 196,500\- 266,000</t>
        </is>
      </c>
    </row>
    <row r="119">
      <c r="A119" t="inlineStr">
        <is>
          <t>in-80ff00567c48564c</t>
        </is>
      </c>
      <c r="B119" t="inlineStr">
        <is>
          <t>Senior Product Manager - Patient CRM</t>
        </is>
      </c>
      <c r="C119" t="inlineStr">
        <is>
          <t>Veeva Systems</t>
        </is>
      </c>
      <c r="D119" t="inlineStr">
        <is>
          <t>indeed</t>
        </is>
      </c>
      <c r="E119">
        <f>HYPERLINK("https://www.indeed.com/viewjob?jk=80ff00567c48564c", "https://www.indeed.com/viewjob?jk=80ff00567c48564c")</f>
        <v/>
      </c>
      <c r="F119">
        <f>HYPERLINK("https://careers.veeva.com/job/77835038-3653-44ca-badd-57f8e6b3abc8/senior-product-manager-patient-crm-boston-ma/?lever-source=veeva-career-site", "https://careers.veeva.com/job/77835038-3653-44ca-badd-57f8e6b3abc8/senior-product-manager-patient-crm-boston-ma/?lever-source=veeva-career-site")</f>
        <v/>
      </c>
      <c r="G119" t="inlineStr">
        <is>
          <t>Remote, US</t>
        </is>
      </c>
      <c r="H119" s="3" t="n">
        <v>46057</v>
      </c>
      <c r="I119" t="inlineStr">
        <is>
          <t>**Team:** Product Management \&amp; Alliances
**Country:** United States
**Remote Work Available:** Yes
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As a Senior Product Manager for Patient CRM, you will be the primary architect of the patient\-centric vision within our broader Vault CRM ecosystem. You will collaborate with the wider Vault CRM PM team to ensure the core platform, including AI agents, mobile capabilities, and data architecture, evolves to meet the unique, highly sensitive requirements of Patient Support Programs (PSPs) and Patient Services. You will act as the subject matter expert and advocate, driving a dedicated roadmap that bridges the gap between traditional CRM functionality and specialized patient engagement, adherence, and enrollment workflows.**What You’ll Do**
* **Contribute to the Patient CRM Roadmap:** Own the strategy and delivery of the features specific to patient recruitment, enrollment, and long\-term engagement processes.
* **Collaborate Across Product Teams:** Partner with the wider Vault CRM PM organization to incorporate patient\-specific requirements into the core platform. You will ensure that core capabilities are optimized for the high\-touch, high\-security nature of patient services.
* **Industry Representation \&amp; Thought Leadership:** Represent the product team at Patient Services and Hub\-focused events. You will share our vision for the future of patient orchestration and gather market intelligence to inform our strategy.
* **Requirement Synthesis:** Translate the complexities of patient journeys, including reimbursement, clinical trial support, and therapy adherence, into technical specifications.
* **AI \&amp; Intelligent Orchestration:** Partner with the AI PM team to build agents that help patient case managers and support teams interact with patients more empathetically and efficiently.
* **Full Lifecycle Management:** Work with UX, engineering, QA, and services teams to guide features from initial concept and design to global release and customer adoption.
**Requirements**
* **HealthTech Industry Expertise:** Minimum of 5 years of experience in Patient Services, Hub Operations, Field Reimbursement, or Product Management for patient\-specific software. You must have a deep understanding of HIPAA, GDPR, and patient privacy regulations.
* **Software Product Management:** 3\+ years of PM experience at a software company, with a proven track record of owning and launching enterprise\-grade SaaS products.
* **Strategic Influence:** Demonstrated ability to work across multiple product teams to influence roadmaps and drive shared goals in a complex, matrixed PM environment.
* **Analytical Rigor:** Exceptional problem\-solving skills with a "show me the data" mindset to uncover the "why" behind customer needs.
* **Technical Execution:** Experience writing detailed requirement specifications, managing backlogs, and leading engineering teams in an agile environment.
* **Communication:** Superior ability to translate Patient Services "shop talk" into technical requirements for developers and executive\-level visions for customers.
**Nice to Have**
* Experience with conversational AI, recommendation engines, or large language models (LLMs)
* Deep knowledge of benefit verification, prior authorization and co\-pay assistance
* Experience with configurable enterprise SaaS solutions.
* Prior exposure to the Veeva Vault Platform.
* Background in software development or computer science.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\#LI\-RemoteUS
\#LI\-MidSenior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
Work Where It’s Best for You
Work Anywhere means you can work in an office or at home on any given day. It’s about getting the work done in the way and place that works best for each person. This applies across all locations and departments.
Work Anywhere does not mean work at any time. We have predictable core hours where employees are generally available for meetings and collaboration. Employees are focused and available during core hours.
We invest in our offices to make them places where our employees like to go. If you work in the office three or more days a week, you will have a dedicated office workspace. Our offices function as hubs to draw people in, create social bonds, and where random connections and mixing of ideas happen. We’re investing more in offices, culture, and offsite meetings, not less.
Product teams are organized in regional product hubs for optimal collaboration and live within a time zone of their hub. Our current product hubs are located in Pleasanton, Columbus, Boston, Kansas City, New York City, Raleigh, and Toronto. We create opportunities for teams to get together in person regularly.
Customer\-facing roles, such as Sales and Professional Services, live near and/or travel to their customers.
When an employee moves within a country it does not cause a change in salary. Where you live impacts you and your family. Not knowing if your compensation will change if you move can cause stress and uncertainty for everyone. We wanted to eliminate that.
Work at Veeva. Work where it’s best for you.</t>
        </is>
      </c>
    </row>
    <row r="120">
      <c r="A120" t="inlineStr">
        <is>
          <t>in-af6f088740abacf7</t>
        </is>
      </c>
      <c r="B120" t="inlineStr">
        <is>
          <t>Program Manager Physician Integration</t>
        </is>
      </c>
      <c r="C120" t="inlineStr">
        <is>
          <t>NCH</t>
        </is>
      </c>
      <c r="D120" t="inlineStr">
        <is>
          <t>indeed</t>
        </is>
      </c>
      <c r="E120">
        <f>HYPERLINK("https://www.indeed.com/viewjob?jk=af6f088740abacf7", "https://www.indeed.com/viewjob?jk=af6f088740abacf7")</f>
        <v/>
      </c>
      <c r="F120">
        <f>HYPERLINK("https://nchjobs.org/job/program-manager-physician-integration", "https://nchjobs.org/job/program-manager-physician-integration")</f>
        <v/>
      </c>
      <c r="G120" t="inlineStr">
        <is>
          <t>Naples, FL, US</t>
        </is>
      </c>
      <c r="H120" s="3" t="n">
        <v>46057</v>
      </c>
      <c r="I120" t="inlineStr">
        <is>
          <t>* **DEPARTMENT:** 18400 – Medical Staff
* **LOCATION:** 350 7th Street North, Naples, FL, 34102
* **WORK TYPE:**
* **WORK SCHEDULE:** 8 Hour Day
**ABOUT NCH**
NCH is an independent, locally governed non\-profit delivering premier comprehensive care. Our healthcare system is comprised of two hospitals, an alliance of 700\+ physicians, and medical facilities in dozens of locations throughout Southwest Florida that offer nationally recognized, quality health care.
NCH is transforming into an Advanced Community Healthcare System(TM) and we’re proud to: Provide higher acuity care and Centers of Excellence; Offer Graduate Medical Education and fellowships; Have endowed chairs; Conduct research and participate in national clinical trials; and partner with other health market leaders, like Hospital for Special Surgery, Encompass, and ProScan.
Join our mission to help everyone live a longer, happier, healthier life. We are committed to care and believe there's always more at NCH – for you and every person we serve together. Visit nchjobs.org to learn more.
**JOB SUMMARY**
The Program Manager of Physician Integration is responsible for leading strategic implementations of the NCH Healthcare System Physician Integration initiatives. Serves as an essential link and subject matter expert to hospital administration, Medical Staff and Allied Health Professional Staff to promote and ensure effective strategic comradery between all Practitioners and the organization’s administration and leaders. The Program Manager of Physician Integration will execute initiatives in strategic vision by listening to the voice of the physician, to implement tactics aimed at improving provider communication, and foster engagement across NCH.
The Program Manager of Physician Integration with aid development and growth of the Physician Leadership Program, including NCH’s Physician Leadership Academy – an innovation project launched to meet the physician’s requested alignment with the strategic needs of the organization. The Program Manager of Physician Integration contributes to true strategic operational change and facilitates delivery of measurable outcome performance and organizational improvements, based on physician integration and engagement to quality. This position helps to bridge a physician culture gap within our organization by engaging our pluralistic medical staff model and creating a platform of development, professionalism, and personal growth for physicians to lead change in the organization. Serves as an essential link and subject matter expert for consumer services to hospital administration, physicians, allied health professionals, and community partners to promote and ensure efficient and collaborative communication for all providers in the NCH Healthcare System. Drives compliance and improvements for capital and operating budget for Physician Integration and Wellness.
**ESSENTIAL DUTIES AND RESPONSIBILITIES**
*– Other duties may be assigned.*
* Leads growth in the physician leadership program.
* Foster collaboration by participating in programs that develop trust between the pluralistic medical staff model and Administration.
* Facilitating initiatives for physicians to drive organizational improvements by actively listening to the “voice of the physician”.
* Works with Strategy to develop measurable outcomes with Physician leaders to drive organizational change based on physician led initiatives.
* Provide excellent consumer services for providers at NCH Healthcare System through engaging and implementing strategies design to serve the voice of physicians and providers.
* Create reports, presentations, and data analysis for purposes of improvement relating to strategic goals.
* Partner with other key departments to develop short\- and long\-range strategic plans for the Medical Staff Office and an integrated strategic plan, including Centers of Excellence and Institute development.
* Work collaboratively with physicians to improve “on the job” wellness by removing non\-value\-added work and creating a process for closed\-loop communication from physicians regarding suggestions for improvements on high priority issues.
* Serves as resource for the Wellness Committee and helps to lead initiatives.
* Ability to organize and manage wellness and physician integration events with little direction.
* Team with clinical service lines, hospital and contracted facility physician and administration leadership to ensure meaningful metrics and best practices are implemented and maintained across NCH Health Care System
* Serve as liaison for projects across internal and external stakeholders.
**EDUCATION, EXPERIENCE AND QUALIFICATIONS**
* Minimum of Bachelor’s Degree in a Healthcare, Business, or related field; Master’s Degree (MBA or MHA) preferred.
* Minimum of 2 years’ experience in healthcare, business, education, or related field.
* Flexibility, perseverance, fortitude, and excellent written/verbal communication skills.
* Comprehensive knowledge in the arena of healthcare and ability to present initiate and maintain collaborative and cooperative interdisciplinary relationships.
* Strong project management, extensive knowledge of computers, database management, information retrieval and report formatting.
* Intermediate computer knowledge: Uses Microsoft Word, Excel, Outlook, and Windows</t>
        </is>
      </c>
    </row>
    <row r="121">
      <c r="A121" t="inlineStr">
        <is>
          <t>in-86642ce7fd8804fb</t>
        </is>
      </c>
      <c r="B121" t="inlineStr">
        <is>
          <t>Senior Product Manager - Patient CRM</t>
        </is>
      </c>
      <c r="C121" t="inlineStr">
        <is>
          <t>Veeva Systems</t>
        </is>
      </c>
      <c r="D121" t="inlineStr">
        <is>
          <t>indeed</t>
        </is>
      </c>
      <c r="E121">
        <f>HYPERLINK("https://www.indeed.com/viewjob?jk=86642ce7fd8804fb", "https://www.indeed.com/viewjob?jk=86642ce7fd8804fb")</f>
        <v/>
      </c>
      <c r="F121">
        <f>HYPERLINK("https://careers.veeva.com/job/be25d65a-6674-40fc-a899-3bee516595ac/senior-product-manager-patient-crm-boston-ma/?lever-source=veeva-career-site", "https://careers.veeva.com/job/be25d65a-6674-40fc-a899-3bee516595ac/senior-product-manager-patient-crm-boston-ma/?lever-source=veeva-career-site")</f>
        <v/>
      </c>
      <c r="G121" t="inlineStr">
        <is>
          <t>Boston, MA, US</t>
        </is>
      </c>
      <c r="H121" s="3" t="n">
        <v>46057</v>
      </c>
      <c r="I121" t="inlineStr">
        <is>
          <t>**Team:** Product Management \&amp; Alliances
**City:** Boston
**State:** MA
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As a Senior Product Manager for Patient CRM, you will be the primary architect of the patient\-centric vision within our broader Vault CRM ecosystem. You will collaborate with the wider Vault CRM PM team to ensure the core platform, including AI agents, mobile capabilities, and data architecture, evolves to meet the unique, highly sensitive requirements of Patient Support Programs (PSPs) and Patient Services. You will act as the subject matter expert and advocate, driving a dedicated roadmap that bridges the gap between traditional CRM functionality and specialized patient engagement, adherence, and enrollment workflows.**What You’ll Do**
* **Contribute to the Patient CRM Roadmap:** Own the strategy and delivery of the features specific to patient recruitment, enrollment, and long\-term engagement processes.
* **Collaborate Across Product Teams:** Partner with the wider Vault CRM PM organization to incorporate patient\-specific requirements into the core platform. You will ensure that core capabilities are optimized for the high\-touch, high\-security nature of patient services.
* **Industry Representation \&amp; Thought Leadership:** Represent the product team at Patient Services and Hub\-focused events. You will share our vision for the future of patient orchestration and gather market intelligence to inform our strategy.
* **Requirement Synthesis:** Translate the complexities of patient journeys, including reimbursement, clinical trial support, and therapy adherence, into technical specifications.
* **AI \&amp; Intelligent Orchestration:** Partner with the AI PM team to build agents that help patient case managers and support teams interact with patients more empathetically and efficiently.
* **Full Lifecycle Management:** Work with UX, engineering, QA, and services teams to guide features from initial concept and design to global release and customer adoption.
**Requirements**
* **HealthTech Industry Expertise:** Minimum of 5 years of experience in Patient Services, Hub Operations, Field Reimbursement, or Product Management for patient\-specific software. You must have a deep understanding of HIPAA, GDPR, and patient privacy regulations.
* **Software Product Management:** 3\+ years of PM experience at a software company, with a proven track record of owning and launching enterprise\-grade SaaS products.
* **Strategic Influence:** Demonstrated ability to work across multiple product teams to influence roadmaps and drive shared goals in a complex, matrixed PM environment.
* **Analytical Rigor:** Exceptional problem\-solving skills with a "show me the data" mindset to uncover the "why" behind customer needs.
* **Technical Execution:** Experience writing detailed requirement specifications, managing backlogs, and leading engineering teams in an agile environment.
* **Communication:** Superior ability to translate Patient Services "shop talk" into technical requirements for developers and executive\-level visions for customers.
**Nice to Have**
* Experience with conversational AI, recommendation engines, or large language models (LLMs)
* Deep knowledge of benefit verification, prior authorization and co\-pay assistance
* Experience with configurable enterprise SaaS solutions.
* Prior exposure to the Veeva Vault Platform.
* Background in software development or computer science.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\#LI\-Remote
\#LI\-MidSenior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
Work Where It’s Best for You
Work Anywhere means you can work in an office or at home on any given day. It’s about getting the work done in the way and place that works best for each person. This applies across all locations and departments.
Work Anywhere does not mean work at any time. We have predictable core hours where employees are generally available for meetings and collaboration. Employees are focused and available during core hours.
We invest in our offices to make them places where our employees like to go. If you work in the office three or more days a week, you will have a dedicated office workspace. Our offices function as hubs to draw people in, create social bonds, and where random connections and mixing of ideas happen. We’re investing more in offices, culture, and offsite meetings, not less.
Product teams are organized in regional product hubs for optimal collaboration and live within a time zone of their hub. Our current product hubs are located in Pleasanton, Columbus, Boston, Kansas City, New York City, Raleigh, and Toronto. We create opportunities for teams to get together in person regularly.
Customer\-facing roles, such as Sales and Professional Services, live near and/or travel to their customers.
When an employee moves within a country it does not cause a change in salary. Where you live impacts you and your family. Not knowing if your compensation will change if you move can cause stress and uncertainty for everyone. We wanted to eliminate that.
Work at Veeva. Work where it’s best for you.</t>
        </is>
      </c>
    </row>
    <row r="122">
      <c r="A122" t="inlineStr">
        <is>
          <t>in-fb4c5555ab8b100a</t>
        </is>
      </c>
      <c r="B122" t="inlineStr">
        <is>
          <t>Senior Product Manager - Patient CRM</t>
        </is>
      </c>
      <c r="C122" t="inlineStr">
        <is>
          <t>Veeva Systems</t>
        </is>
      </c>
      <c r="D122" t="inlineStr">
        <is>
          <t>indeed</t>
        </is>
      </c>
      <c r="E122">
        <f>HYPERLINK("https://www.indeed.com/viewjob?jk=fb4c5555ab8b100a", "https://www.indeed.com/viewjob?jk=fb4c5555ab8b100a")</f>
        <v/>
      </c>
      <c r="F122">
        <f>HYPERLINK("https://careers.veeva.com/job/b74cac8c-a5d2-4835-81fd-fab53fda4a9c/senior-product-manager-patient-crm-pleasanton-ca/?lever-source=veeva-career-site", "https://careers.veeva.com/job/b74cac8c-a5d2-4835-81fd-fab53fda4a9c/senior-product-manager-patient-crm-pleasanton-ca/?lever-source=veeva-career-site")</f>
        <v/>
      </c>
      <c r="G122" t="inlineStr">
        <is>
          <t>Pleasanton, CA, US</t>
        </is>
      </c>
      <c r="H122" s="3" t="n">
        <v>46057</v>
      </c>
      <c r="I122" t="inlineStr">
        <is>
          <t>**Team:** Product Management \&amp; Alliances
**City:** Pleasanton
**State:** CA
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As a Senior Product Manager for Patient CRM, you will be the primary architect of the patient\-centric vision within our broader Vault CRM ecosystem. You will collaborate with the wider Vault CRM PM team to ensure the core platform, including AI agents, mobile capabilities, and data architecture, evolves to meet the unique, highly sensitive requirements of Patient Support Programs (PSPs) and Patient Services. You will act as the subject matter expert and advocate, driving a dedicated roadmap that bridges the gap between traditional CRM functionality and specialized patient engagement, adherence, and enrollment workflows.**What You’ll Do**
* **Contribute to the Patient CRM Roadmap:** Own the strategy and delivery of the features specific to patient recruitment, enrollment, and long\-term engagement processes.
* **Collaborate Across Product Teams:** Partner with the wider Vault CRM PM organization to incorporate patient\-specific requirements into the core platform. You will ensure that core capabilities are optimized for the high\-touch, high\-security nature of patient services.
* **Industry Representation \&amp; Thought Leadership:** Represent the product team at Patient Services and Hub\-focused events. You will share our vision for the future of patient orchestration and gather market intelligence to inform our strategy.
* **Requirement Synthesis:** Translate the complexities of patient journeys, including reimbursement, clinical trial support, and therapy adherence, into technical specifications.
* **AI \&amp; Intelligent Orchestration:** Partner with the AI PM team to build agents that help patient case managers and support teams interact with patients more empathetically and efficiently.
* **Full Lifecycle Management:** Work with UX, engineering, QA, and services teams to guide features from initial concept and design to global release and customer adoption.
**Requirements**
* **HealthTech Industry Expertise:** Minimum of 5 years of experience in Patient Services, Hub Operations, Field Reimbursement, or Product Management for patient\-specific software. You must have a deep understanding of HIPAA, GDPR, and patient privacy regulations.
* **Software Product Management:** 3\+ years of PM experience at a software company, with a proven track record of owning and launching enterprise\-grade SaaS products.
* **Strategic Influence:** Demonstrated ability to work across multiple product teams to influence roadmaps and drive shared goals in a complex, matrixed PM environment.
* **Analytical Rigor:** Exceptional problem\-solving skills with a "show me the data" mindset to uncover the "why" behind customer needs.
* **Technical Execution:** Experience writing detailed requirement specifications, managing backlogs, and leading engineering teams in an agile environment.
* **Communication:** Superior ability to translate Patient Services "shop talk" into technical requirements for developers and executive\-level visions for customers.
**Nice to Have**
* Experience with conversational AI, recommendation engines, or large language models (LLMs)
* Deep knowledge of benefit verification, prior authorization and co\-pay assistance
* Experience with configurable enterprise SaaS solutions.
* Prior exposure to the Veeva Vault Platform.
* Background in software development or computer science.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\#LI\-Remote
\#LI\-MidSenior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
Work Where It’s Best for You
Work Anywhere means you can work in an office or at home on any given day. It’s about getting the work done in the way and place that works best for each person. This applies across all locations and departments.
Work Anywhere does not mean work at any time. We have predictable core hours where employees are generally available for meetings and collaboration. Employees are focused and available during core hours.
We invest in our offices to make them places where our employees like to go. If you work in the office three or more days a week, you will have a dedicated office workspace. Our offices function as hubs to draw people in, create social bonds, and where random connections and mixing of ideas happen. We’re investing more in offices, culture, and offsite meetings, not less.
Product teams are organized in regional product hubs for optimal collaboration and live within a time zone of their hub. Our current product hubs are located in Pleasanton, Columbus, Boston, Kansas City, New York City, Raleigh, and Toronto. We create opportunities for teams to get together in person regularly.
Customer\-facing roles, such as Sales and Professional Services, live near and/or travel to their customers.
When an employee moves within a country it does not cause a change in salary. Where you live impacts you and your family. Not knowing if your compensation will change if you move can cause stress and uncertainty for everyone. We wanted to eliminate that.
Work at Veeva. Work where it’s best for you.</t>
        </is>
      </c>
    </row>
    <row r="123">
      <c r="A123" t="inlineStr">
        <is>
          <t>in-5421fef2f75bdfed</t>
        </is>
      </c>
      <c r="B123" t="inlineStr">
        <is>
          <t>Water Treatment Product Manager</t>
        </is>
      </c>
      <c r="C123" t="inlineStr">
        <is>
          <t>Navien, Inc.</t>
        </is>
      </c>
      <c r="D123" t="inlineStr">
        <is>
          <t>indeed</t>
        </is>
      </c>
      <c r="E123">
        <f>HYPERLINK("https://www.indeed.com/viewjob?jk=5421fef2f75bdfed", "https://www.indeed.com/viewjob?jk=5421fef2f75bdfed")</f>
        <v/>
      </c>
      <c r="F123">
        <f>HYPERLINK("https://www.navieninc.com/careers?gnk=job&amp;gni=8a7883a89a31ef0c019a5a4af62f7575&amp;gns=Indeed+Free", "https://www.navieninc.com/careers?gnk=job&amp;gni=8a7883a89a31ef0c019a5a4af62f7575&amp;gns=Indeed+Free")</f>
        <v/>
      </c>
      <c r="G123" t="inlineStr">
        <is>
          <t>Irvine, CA, US</t>
        </is>
      </c>
      <c r="H123" s="3" t="n">
        <v>46057</v>
      </c>
      <c r="I123" t="inlineStr">
        <is>
          <t>**Product Manager – Water Treatment**
Product Management
Irvine, CA
Full\-time
**What We Are Looking For**The ideal candidate for this position should have an extensive background in the water treatment industry. They are driven by trying to make things better, including products, processes, and communications. They must be able to manage and oversee products, processes, and a team of individuals working towards the same goals. The Product Manager must also be capable of developing goals for current and new products in the market. Essential attributes include excellent communication and interpersonal skills, and an ability to multitask and remain focused in high\-pressure situations. This person must also be willing to look at problems from a new perspective, setting aside preconceived ideas of how things should work.
**Responsibilities:**
* The product manager must be the point person for the company for their products, acting as the subject matter expert, and organizing and facilitating communication among all departments
* Assist in Development of Market\-Specific Promotional Collateral, Demonstrations, and Tutorials
* Work with cross\-functional teams, including marketing, product development, technical and sales operations
* Work with Marketing to create high\-impact internal and customer\-facing materials, communicating the value and unique advantages of the product portfolio
* Conduct ongoing market research and stay knowledgeable about industry trends. Provide business analysis of varying markets to support new product development requests
* Lead competitive benchmarking activities to identify and address product gaps (customer surveys, online research, other benchmarking methodologies, VOC etc.)
* Work with all levels of distribution chain both remotely and in person to gather market data needed to develop, enhance, or market Navien products
* Develop market requirements documents to create a business case for products
* Work with other staff and departments to integrate product families and accessories to provide hybrid solutions for Navien products, including cross channel functional products
* Provide reporting as required to update and support management on the state of the industry and Navien products
* Research and enroll in various awards continuously for the entire product portfolio
* Collaborate closely with parent company KD Navien’s engineering and business teams on product development requirements and business needs
* Collaborate with other departments such as Engineering, Manufacturing, Purchasing, Quality, Marketing, Finance, Sales to ensure profitable growth of the product portfolio and successful execution of various product development projects
* Establish and manage relationships with potential OEM suppliers to ensure product quality, competitiveness, market relevance for all of Navien’s water treatment products
* Coordinate with marketing, product management, sales, business development, and SCM to ensure successful product lifecycle management
* Provide product leadership at customer and internal events \&amp; meetings
* Lead various cross\-functional teams in product planning requiring in\-house and field onboarding
* Assist product development with current and future products
* Lead cross functional teams in new product launches for all online/offline channels
* Co\-develop product positioning and messaging that differentiates our products in the market
**Requirements:**
* Bachelor’s degree in marketing, business, engineering, or related field with water treatment or water quality certification(s)
	+ OR \- Must have 5 years of water treatment product experience in marketing, engineering, or product management
* Must have 2 years of product lifecycle experience, managing/evaluating product lifecycle from concept through end\-of\-life
* Self\-starter with excellent time management and communication skills
* Experience working with Microsoft Office products, including Word, Excel and PowerPoint
* High level of presentation/public speaking skills and strong customer service skills
* Ability to drive/travel – up to 30% out of town travel may be required. (5% international travel)
* Strong verbal communication and writing skills
* The ability to manage several projects at once under deadline pressure is also essential
* An ability to understand, research, write and deliver summaries on a range of business issues
**Preferred Qualifications:**
* Applicable specific certifications in the water treatment industry
* Experience working with a manufacturer and bringing a product to market
* A background in research and development
* High level of understanding of the water quality industry and relationship to the plumbing industry
* Strong critical thinking and analysis abilities
* An above average understanding of the water treatment sales channels
This job description is not designed to cover or contain a comprehensive listing of activities, duties or responsibilities that are required of the employee. Other duties, responsibilities, activities may change or be assigned at any time with or without notice.
**Pay Scale: $110,000 \- $120,000 Base Salary DOE \+ Annual Bonus Opportunity!**
**Benefits:**
* PPO Medical, Dental, Ortho, Vision, Rx, LTD and Life Insurance
* Employee\-only premium covered at **100%**
* Optional Voluntary Benefits: STD, Hospital, Critical Illness, Accident, Discounted Pet Insurance
* Pre\-Tax Flex Spending Accounts: Health and/or Dependent Care
* 11\.5 Paid Holidays per calendar year
* Paid Community Involvement Volunteer Day
* 401K Plan, 100% match on employee’s contribution, up to 5%
* Employee discounts on Navien products
* Discounted Tickets\-hotels, amusement parks, sports events
***About Navien, Inc.***
Since 2006, Navien, Inc. has rapidly emerged as one of the fastest\-growing companies in the home comfort sector across North America. A leader in condensing technology, Navien has revolutionized the industry with its line of high\-efficiency condensing tankless water heaters, combi\-boilers, and wall\-hung boilers. In 2024, Navien was recognized as the number one selling manufacturer of gas tankless water heaters and wall\-hung boilers in North America.
Expanding its offerings, Navien now boasts a full line of HVAC products, including the innovative NPF Hydro\-furnace. Additionally, Navien has ventured into the heat pump water heater market, further solidifying its commitment to sustainable and energy\-efficient solutions for home comfort. The company is also making strides in the water treatment space with cutting\-edge scale prevention systems and whole\-house filtration solutions.
Navien’s international reputation is built on sophisticated engineering, robust design, and a steadfast commitment to quality. Backed by over 40 years of advanced technology expertise from its parent company, KD Navien, the company continues to push boundaries in product development. Navien products are available across the United States and Canada through a select network of trusted wholesale distributors.
**Navien Inc. is an Equal Opportunity Employer**
**No Agencies Please!**</t>
        </is>
      </c>
    </row>
    <row r="124">
      <c r="A124" t="inlineStr">
        <is>
          <t>in-ad9f86005cb9eb3f</t>
        </is>
      </c>
      <c r="B124" t="inlineStr">
        <is>
          <t>Senior Product Manager</t>
        </is>
      </c>
      <c r="C124" t="inlineStr">
        <is>
          <t>CVS Health</t>
        </is>
      </c>
      <c r="D124" t="inlineStr">
        <is>
          <t>indeed</t>
        </is>
      </c>
      <c r="E124">
        <f>HYPERLINK("https://www.indeed.com/viewjob?jk=ad9f86005cb9eb3f", "https://www.indeed.com/viewjob?jk=ad9f86005cb9eb3f")</f>
        <v/>
      </c>
      <c r="F124">
        <f>HYPERLINK("https://click.appcast.io/t/HNvKo02qGosg6OERB5wNoPBOV3siyu7xObAkoseaDzw=", "https://click.appcast.io/t/HNvKo02qGosg6OERB5wNoPBOV3siyu7xObAkoseaDzw=")</f>
        <v/>
      </c>
      <c r="G124" t="inlineStr">
        <is>
          <t>Young, AZ, US</t>
        </is>
      </c>
      <c r="H124" s="3" t="n">
        <v>46057</v>
      </c>
      <c r="I124"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Health’s Analytics \&amp; Behavior Change (A\&amp;BC) is an organization working to solve some of the most challenging problems at the intersection of technology and healthcare. A\&amp;BC leverages advanced analytics, machine learning, modeling, and a hypothesis\-driven approach to transform data into actionable, customer\-centric insights to drive growth, improve health outcomes and access to health care across all our businesses in CVS Health. Our data teams build next generation data and machine learning platforms and products in the cloud that help power CVS Health to make healthier happen for 100\+ million customers.
The A\&amp;BC organization is looking to grow its Strategy \&amp; Product team. Join us as we embark on an exciting journey to drive a transformational shift in how CVS Health leverages technology and analytics to become the leader in consumer healthcare in the U.S. As a Senior Product Manager within A\&amp;BC, you will be responsible for leading the development and launch of analytic powered applications for internal and external users. This role requires a strong understanding of product management, data analytics and business strategy. The ideal candidate will be able to work effectively with cross\-functional teams to bring data\-driven products to market. Additionally, as a Senior Product Manager, you will support the dissemination of best practices (design thinking, agile methodologies and more) to support A\&amp;BC in its digital transformation.
Responsibilities:
* Develop user stories, acceptance criteria, and detailed product specifications to communicate feature requirements to Data Science, Engineering, Stakeholder teams
* Support Engineering and Data Science teams to implement features by clarifying requirements, facilitating technical discussions, and helping technical team members to understand users and the business
* Facilitate problem solving and prioritization across teams, factoring in trade\-offs between speed, scalability, and quality
* Conduct user research, usability testing, and competitive analysis to inform product decisions and validate hypotheses
* Collaborate with designers to create UX flows, wireframes and product designs
* Define, monitor and analyze product performance metrics, identifying opportunities for improvement and optimization
* Draft, refine and communicate business cases to key stakeholders to obtain input and buy\-in
* Work with customers, end users, GTM and other stakeholders to continuously evolve the roadmap
* Clarify and coordinate dependencies with other product teams and stakeholders, and mitigate the risks and dependencies proactively
* Support the establishment and maintenance of release\-management, product planning and launch frameworks
* Develop and execute strategies for proactive user support and issue resolution
* Demonstrate and support dissemination of best practices for product management, product development, release management and user support
* Champion Agile methodologies and lean practices in product development
 **Required Qualifications**
* 4\+ years' experience working cross\-functionally with Engineering teams
* 3\+ years' Product Management or Product Management\-adjacent experience (Closely partnering with Engineers)
* 3\+ years' experience communicating technical concepts and implications to business stakeholders and customers as well as business concepts and requirement to Data Science, Engineering, and other technical teams
* 3\+ years' experience working with user experience design and testing methodologies
* 3\+ years' experience in stakeholder management
* 3\+ years managing all aspects of a successful product throughout its lifecycle
* 2\+ years' experience working with Data Science concepts
* 2\+ years' experience driving outcomes in a complex environment
 **Preferred Qualifications**
* Proven track record of managing all aspects of a successful analytics product throughout its lifecycle in Enterprise products context
* Deep knowledge of various types of healthcare data, including strong grasp of data nuances, common use cases, and limitations, with experience in common analytics tools
* Demonstrated ability to succeed in a complex environment and influence adoption of new thinking and find innovation opportunities
* Strong interest in the Healthcare and Pharmaceutical sector
 **Education**
* Bachelor's degree in Computer Science, Engineering, Data Science, Analytics, Mathematics, Physics, Applied Sciences, or a related field
**Pay Range**
The typical pay range for this role is:
$118,450\.00 \- $236,900\.00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02/11/2026
Qualified applicants with arrest or conviction records will be considered for employment in accordance with all federal, state and local laws.</t>
        </is>
      </c>
    </row>
    <row r="125">
      <c r="A125" t="inlineStr">
        <is>
          <t>in-333cc5d190c6ad6b</t>
        </is>
      </c>
      <c r="B125" t="inlineStr">
        <is>
          <t>Combat Survivor Evader Locator (CSEL) Program Manager</t>
        </is>
      </c>
      <c r="C125" t="inlineStr">
        <is>
          <t>Applied Training Solutions</t>
        </is>
      </c>
      <c r="D125" t="inlineStr">
        <is>
          <t>indeed</t>
        </is>
      </c>
      <c r="E125">
        <f>HYPERLINK("https://www.indeed.com/viewjob?jk=333cc5d190c6ad6b", "https://www.indeed.com/viewjob?jk=333cc5d190c6ad6b")</f>
        <v/>
      </c>
      <c r="F125">
        <f>HYPERLINK("https://obi1.humanic.com/apex/12c_prd/f?p=ATS_APSS:8001:::::P8001_IN_POSCODE,P8001_IN_SOURCE:1000001947,INDEE", "https://obi1.humanic.com/apex/12c_prd/f?p=ATS_APSS:8001:::::P8001_IN_POSCODE,P8001_IN_SOURCE:1000001947,INDEE")</f>
        <v/>
      </c>
      <c r="G125" t="inlineStr">
        <is>
          <t>San Antonio, TX, US</t>
        </is>
      </c>
      <c r="H125" s="3" t="n">
        <v>46056</v>
      </c>
      <c r="I125" t="inlineStr">
        <is>
          <t>**Combat Survivor Evader Locator (CSEL) Program Manager**
**Joint Base San Antonio \- Lackland (JBSA\-L), TX**
Applied Training Solutions, LLC (ATS) is looking for a qualified Combat Survivor Evader Locator (CSEL) Program Manager to support Survival, Evasion, Resistance, and Escape (SERE) training at Joint Base San Antonio \- Lackland (JBSA\-L), TX.
**Duties \&amp; Responsibilities:**
* CSEL program management in accordance with all applicable regulations.
* Perform management, training, and instructor certification functions in support of academic, laboratory and operational training.
* Serve as the CSEL program manager and technical subject matter expert.
* Serve as the overall system administrator / SME for the CSEL training architecture.
* Provide SERE Specialist training on management and use of CSEL web application accounts, hand\-held radios, and PTIU.
* Provide CSEL support for SERE training in field and classroom environments.
* Perform management, training, and instructor certification functions in support of academic, laboratory, and operational training.
* Provide, prepare, and conduct CSEL related training, briefings, reviews, after\-action reports, and meetings.
**Experience \&amp; Qualifications:**
* Two (2\) years' experience knowledge in and demonstrate familiarity with the DoD CSEL over the horizon architecture to include
* operations of the CSEL web\-app terminal and/or CSEL base station
* Experience providing CSEL command and control coverage in an operational environment
* Ability to pass a physical and psychological evaluation
* Active Secret Security Clearance at the time of hire
* Proof of US Citizenship required.
**Special job requirements:**
* Must be able to effectively communicate with military organizations, military leaders and civilian leaders.
* Must have a valid driver's license, maintain Installation driving privileges.
* Must be able to pass all security requirements IAW military installation Provost Marshall's Policy to gain access to the installation.
**Other Requirements:**
**US Citizenship required for this Position:** Yes
**Performance Location:** Joint Base San Antonio \- Lackland (JBSA\-L), TX
**Relocation Assistance:** No
**Clearance Type:** Position requires an active SECERT clearance
**Travel Required:** Limited, within local training complex areas
**Job Types:** Full time, Contract
**Work Location:** In\-person  
**Working Environment**: This position is performed in a combination of classroom, laboratory, office, and outdoor field training environments in support of U.S. Air Force SERE operations. Work may include supporting training events in controlled academic settings as well as operational field environments where CSEL systems are employed in realistic survival and evasion scenarios. The role requires frequent interaction with military personnel, instructors, and leadership, and may involve exposure to varying weather conditions, uneven terrain, and extended periods outdoors during field exercises. Duties are conducted in a secure, mission\-focused environment requiring strict adherence to DoD, U.S. Air Force, and installation security, safety, and operational procedures.</t>
        </is>
      </c>
    </row>
    <row r="126">
      <c r="A126" t="inlineStr">
        <is>
          <t>in-6e60c712cfac86f5</t>
        </is>
      </c>
      <c r="B126" t="inlineStr">
        <is>
          <t>Combat Survivor Evader Locator (CSEL) Program Manager</t>
        </is>
      </c>
      <c r="C126" t="inlineStr">
        <is>
          <t>Applied Training Solutions</t>
        </is>
      </c>
      <c r="D126" t="inlineStr">
        <is>
          <t>indeed</t>
        </is>
      </c>
      <c r="E126">
        <f>HYPERLINK("https://www.indeed.com/viewjob?jk=6e60c712cfac86f5", "https://www.indeed.com/viewjob?jk=6e60c712cfac86f5")</f>
        <v/>
      </c>
      <c r="F126">
        <f>HYPERLINK("https://obi1.humanic.com/apex/12c_prd/f?p=ATS_APSS:8001:::::P8001_IN_POSCODE,P8001_IN_SOURCE:1000001943,INDEE", "https://obi1.humanic.com/apex/12c_prd/f?p=ATS_APSS:8001:::::P8001_IN_POSCODE,P8001_IN_SOURCE:1000001943,INDEE")</f>
        <v/>
      </c>
      <c r="G126" t="inlineStr">
        <is>
          <t>Fairchild AFB, WA, US</t>
        </is>
      </c>
      <c r="H126" s="3" t="n">
        <v>46056</v>
      </c>
      <c r="I126" t="inlineStr">
        <is>
          <t>**Combat Survivor Evader Locator (CSEL) Program Manager**
**Fairchild Air Force Base, (FAFB), WA**
Applied Training Solutions, LLC (ATS) is looking for a qualified Combat Survivor Evader Locator (CSEL) Program Manager to support Survival, Evasion, Resistance, and Escape (SERE) training at Fairchild Air Force Base (FAFB), WA.
**Duties \&amp; Responsibilities:**
* CSEL program management in accordance with all applicable regulations.
* Perform management, training, and instructor certification functions in support of academic, laboratory and operational training.
* Serve as the CSEL program manager and technical subject matter expert.
* Serve as the overall system administrator / SME for the CSEL training architecture.
* Provide SERE Specialist training on management and use of CSEL web application accounts, hand\-held radios, and PTIU.
* Provide CSEL support for SERE training in field and classroom environments.
* Perform management, training, and instructor certification functions in support of academic, laboratory, and operational training.
* Provide, prepare, and conduct CSEL related training, briefings, reviews, after\-action reports, and meetings.
**Experience \&amp; Qualifications:**
* Two (2\) years' experience knowledge in and demonstrate familiarity with the DoD CSEL over the horizon architecture to include
* operations of the CSEL web\-app terminal and/or CSEL base station
* Experience providing CSEL command and control coverage in an operational environment
* Ability to pass a physical and psychological evaluation
* Active Secret Security Clearance at the time of hire
* Proof of US Citizenship required.
**Special job requirements:**
* Must be able to effectively communicate with military organizations, military leaders and civilian leaders.
* Must have a valid driver's license, maintain Installation driving privileges.
* Must be able to pass all security requirements IAW military installation Provost Marshall's Policy to gain access to the installation.
**Other Requirements:**
**US Citizenship required for this Position:** Yes
**Performance Location:** Fairchild Air Force Base, (FAFB), WA
**Relocation Assistance:** No
**Clearance Type:** Position requires an active SECERT clearance
**Travel Required:** Limited, within local training complex areas
**Job Types:** Full time, Contract
**Work Location:** In\-person  
**Working Environment**: This position is performed in a combination of classroom, laboratory, office, and outdoor field training environments in support of U.S. Air Force SERE operations. Work may include supporting training events in controlled academic settings as well as operational field environments where CSEL systems are employed in realistic survival and evasion scenarios. The role requires frequent interaction with military personnel, instructors, and leadership, and may involve exposure to varying weather conditions, uneven terrain, and extended periods outdoors during field exercises. Duties are conducted in a secure, mission\-focused environment requiring strict adherence to DoD, U.S. Air Force, and installation security, safety, and operational procedures.</t>
        </is>
      </c>
    </row>
    <row r="127">
      <c r="A127" t="inlineStr">
        <is>
          <t>in-0fd312ded66fc5e0</t>
        </is>
      </c>
      <c r="B127" t="inlineStr">
        <is>
          <t>Senior Manager, Product Manager: Capital One Shopping (Remote-Eligible)</t>
        </is>
      </c>
      <c r="C127" t="inlineStr">
        <is>
          <t>Capital One</t>
        </is>
      </c>
      <c r="D127" t="inlineStr">
        <is>
          <t>indeed</t>
        </is>
      </c>
      <c r="E127">
        <f>HYPERLINK("https://www.indeed.com/viewjob?jk=0fd312ded66fc5e0", "https://www.indeed.com/viewjob?jk=0fd312ded66fc5e0")</f>
        <v/>
      </c>
      <c r="F127">
        <f>HYPERLINK("https://www.capitalonecareers.com/job/-/-/1732/91377102288", "https://www.capitalonecareers.com/job/-/-/1732/91377102288")</f>
        <v/>
      </c>
      <c r="G127" t="inlineStr">
        <is>
          <t>McLean, VA, US</t>
        </is>
      </c>
      <c r="H127" s="3" t="n">
        <v>46056</v>
      </c>
      <c r="I127" t="inlineStr">
        <is>
          <t>Senior Manager, Product Manager: Capital One Shopping (Remote\-Eligible)
We are looking for a Product Manager to join our growing team in Capital One Shopping. If you have a remarkable ability to use data to tell a story, form a hypothesis and define metrics to identify the success of product initiatives \- this is the role for you!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We're looking for a Product Manager with a demonstrated interest and aptitude for AI. While formal on\-the\-job experience with AI is a plus, we highly value candidates who have proactively incorporated AI into their personal projects, explored AI\-driven development environments (e.g., Cursor, GitHub Copilot), or built automations using AI agents. Show us how you've used AI to learn, build, and solve problems beyond basic text generation.
What we are looking for:
* A knowledge and passion for emerging technologies (API's, Big Data, Native UI's) to incorporate into building great products
* Use SQL to build a data\-back strategy, identify insights, and troubleshoot issues
* Own day to day setting and monitoring of KPIs \- requires strong SQL/data analysis skills
* Someone comfortable with backend products who is not afraid to challenge the norm and do what is right for the team
* Proficiency in handling large data files using SQL, Python, and/or R
* Own day to day operations of product, including identifying bugs or leverage opportunities via comprehensive understanding of data
* A product centric mindset to take a product from ideation to production and continually iterate improvements
* A customer\-first mindset
* A strategic thought leader who can create a compelling vision and story to present to senior executives and inspire direct and partner teams
* A strong communicator who can advance initiatives and create consensus through clear, concise, and contextually relevant messaging
* Creating and maintaining a healthy team culture through thoughtful leadership
* Results focused and able to manage and prioritize multiple projects simultaneously
* Identify, prioritize, and launch innovative, merchant focused products that drive revenue and customer value
What you’ll do:
* Lead multiple teams of software and data engineers to design and deliver data platform features for internal users
* Understand the enterprise data requirements and ensure the system’s compliance with enterprise patterns
* Relentlessly push to understand user and stakeholder needs and ensure they are considered in prioritization and trade\-off discussions
* Create a vision and roadmap for your product that addresses stakeholder needs
* Partner with analysts, data scientists, designers, engineers, and others to continuously refine the roadmap and harvest insights from experiments and product launches
* Build and maintain strong relationships with leaders and stakeholders that depend on the capabilities and performance of our platforms
* Define, socialize, and monitor key performance indicators to understand the evolution and success of the project
Basic Qualifications:
* At least 5 years of experience working in Product Management
* At least 5 years experience working with SQL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Capital One is open to hiring a Remote Employee for this opportunity.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$219,000 \- $249,900 for Sr. Mgr, Product Management  
Remote (Regardless of Location): $182,500 \- $208,300 for Sr. Mgr, Product Management  
McLean, VA: $200,700 \- $229,100 for Sr. Mgr, Product Management  
San Francisco, CA: $219,000 \- $249,900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8">
      <c r="A128" t="inlineStr">
        <is>
          <t>in-f8cab675bdb5a9e4</t>
        </is>
      </c>
      <c r="B128" t="inlineStr">
        <is>
          <t>Product Manager, Global Payment Network</t>
        </is>
      </c>
      <c r="C128" t="inlineStr">
        <is>
          <t>Capital One</t>
        </is>
      </c>
      <c r="D128" t="inlineStr">
        <is>
          <t>indeed</t>
        </is>
      </c>
      <c r="E128">
        <f>HYPERLINK("https://www.indeed.com/viewjob?jk=f8cab675bdb5a9e4", "https://www.indeed.com/viewjob?jk=f8cab675bdb5a9e4")</f>
        <v/>
      </c>
      <c r="F128">
        <f>HYPERLINK("https://www.capitalonecareers.com/job/-/-/1732/91386385120", "https://www.capitalonecareers.com/job/-/-/1732/91386385120")</f>
        <v/>
      </c>
      <c r="G128" t="inlineStr">
        <is>
          <t>Chicago, IL, US</t>
        </is>
      </c>
      <c r="H128" s="3" t="n">
        <v>46056</v>
      </c>
      <c r="I128" t="inlineStr">
        <is>
          <t>Product Manager, Global Payment Network**Manager, Product Management (PXDP50\)**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With Capital One’s acquisition of Discover, Product at Capital One is on a mission to transform Global Payment Network. It encompasses the relationships, technologies, and processes that facilitate the movement of money for Capital One's card, banking, and commercial products across both domestic and international rails. For Product Managers, understanding and strategically managing the GPN is essential for maximizing customer value, optimizing costs, driving innovation in payments, and ensuring compliance.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$149,800 \- $171,000 for Manager, Product Management  
McLean, VA: $164,800 \- $188,100 for Manager, Product Management  
New York, NY: $179,700 \- $205,100 for Manager, Product Management  
Riverwoods, IL: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9">
      <c r="A129" t="inlineStr">
        <is>
          <t>in-f4c3e71198f94493</t>
        </is>
      </c>
      <c r="B129" t="inlineStr">
        <is>
          <t>Senior Program Manager</t>
        </is>
      </c>
      <c r="C129" t="inlineStr">
        <is>
          <t>MTSI</t>
        </is>
      </c>
      <c r="D129" t="inlineStr">
        <is>
          <t>indeed</t>
        </is>
      </c>
      <c r="E129">
        <f>HYPERLINK("https://www.indeed.com/viewjob?jk=f4c3e71198f94493", "https://www.indeed.com/viewjob?jk=f4c3e71198f94493")</f>
        <v/>
      </c>
      <c r="F129">
        <f>HYPERLINK("https://talent.mtsi-va.com/careers/job/1133911380707?utm_source=indeed&amp;domain=mtsi-va.com", "https://talent.mtsi-va.com/careers/job/1133911380707?utm_source=indeed&amp;domain=mtsi-va.com")</f>
        <v/>
      </c>
      <c r="G129" t="inlineStr">
        <is>
          <t>Huntsville, AL, US</t>
        </is>
      </c>
      <c r="H129" s="3" t="n">
        <v>46056</v>
      </c>
      <c r="I129" t="inlineStr">
        <is>
          <t>MTSI is seeking a highly motivated and experienced **Senior Director Program Manager** to lead complex programs and initiatives across the organization. This role requires expertise in program management, leadership, and strategic planning to drive successful program execution while ensuring alignment with organizational goals and objectives. The Senior Director will oversee multidisciplinary teams, manage resources, and ensure program deliverables are met on time and within budget. **Key Responsibilities*** Lead and oversee multiple complex programs, ensuring alignment with strategic goals and objectives.
* Develop and manage program plans, objectives, schedules, budgets, and deliverables.
* Act as the primary point of contact for internal and external stakeholders.
* Foster strong relationships with customers, partners, and cross\-functional teams.
* Define program objectives, success criteria, and key performance indicators.
* Identify and manage risks, resolving issues proactively to ensure program success.
* Mentor and guide program teams, fostering collaboration and ensuring efficient execution.
* Coordinate across departments to allocate resources effectively.
* Track program performance and provide regular updates to executive leadership.
* Recommend process improvements and innovations to enhance overall program effectiveness.
 **Required Qualifications*** US citizenship and Secret level clearance required with the ability to obtain a TS.
* Bachelor’s degree in business, Engineering, Management, or related field and 20\+ years of experience or master’s degree and 12\+ years of experience.
* Experience in program management and proven success managing large\-scale programs in a dynamic and fast\-paced environment.
* Strong organizational, problem\-solving, and decision\-making skills.
* Exceptional communication and interpersonal skills, with the ability to manage relationships at all levels.
* Proficiency in project management tools and methodologies (e.g., Agile, PMP, Six Sigma).
 **Preferred Qualifications*** Experience managing DoD or government contracts.
* Certification in Program Management (e.g., PMP, PgMP).
* Familiarity with \[industry\-specific tools/processes, e.g., Earned Value Management (EVM)].
\#LI\-JJ1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t>
        </is>
      </c>
    </row>
    <row r="130">
      <c r="A130" t="inlineStr">
        <is>
          <t>in-967246da8380b05c</t>
        </is>
      </c>
      <c r="B130" t="inlineStr">
        <is>
          <t>Sr Technical Program Manager</t>
        </is>
      </c>
      <c r="C130" t="inlineStr">
        <is>
          <t>Oracle</t>
        </is>
      </c>
      <c r="D130" t="inlineStr">
        <is>
          <t>indeed</t>
        </is>
      </c>
      <c r="E130">
        <f>HYPERLINK("https://www.indeed.com/viewjob?jk=967246da8380b05c", "https://www.indeed.com/viewjob?jk=967246da8380b05c")</f>
        <v/>
      </c>
      <c r="F130">
        <f>HYPERLINK("https://eeho.fa.us2.oraclecloud.com/hcmUI/CandidateExperience/en/sites/CX_1/job/325593", "https://eeho.fa.us2.oraclecloud.com/hcmUI/CandidateExperience/en/sites/CX_1/job/325593")</f>
        <v/>
      </c>
      <c r="G130" t="inlineStr">
        <is>
          <t>US</t>
        </is>
      </c>
      <c r="H130" s="3" t="n">
        <v>46056</v>
      </c>
      <c r="I130" t="inlineStr">
        <is>
          <t>The Strategic Customers Engineering organization within Oracle Cloud Infrastructure (OCI) sits at the center of the fastest\-growing and most technically demanding part of the cloud: building at scale for the world’s leading AI innovators. We are looking for a Technical Program Manager who thrives in complexity, moves with urgency, and brings people together to deliver outcomes that matter. This is a role for someone who doesn’t just track work but drives it. Someone who brings clarity where there is ambiguity, momentum where there is friction, and alignment where there are competing priorities.
In this role, you will:
* Work to drive Rhythm of the Business activities
* Drive organizational success
* Bring teams across OCI toward a unified north star, ensuring alignment, visibility, and progress across all stakeholders.
* Serve as the connective tissue between teams, identifying gaps early, removing blockers, and maintaining steady execution.
* Build trusted partnerships with senior engineering and business leaders to drive initiatives forward with confidence.
**Who You Are**
You’re someone who:
* Has a bias for action and doesn’t hesitate to roll up your sleeves to move a program forward.
* Has a technical foundation that allows you to function in a highly technical environment while driving business activities
* Loves working across large organizations and can bring people together around shared goals.
* Embraces a growth mindset, learns fast, and approaches AI infrastructure with curiosity.
* Thrives in a space that is fast\-moving, cross\-cutting, and deeply collaborative.</t>
        </is>
      </c>
    </row>
    <row r="131">
      <c r="A131" t="inlineStr">
        <is>
          <t>in-f672c399c612a7f3</t>
        </is>
      </c>
      <c r="B131" t="inlineStr">
        <is>
          <t>Talent Acquisition Program Manager</t>
        </is>
      </c>
      <c r="C131" t="inlineStr">
        <is>
          <t>Oracle</t>
        </is>
      </c>
      <c r="D131" t="inlineStr">
        <is>
          <t>indeed</t>
        </is>
      </c>
      <c r="E131">
        <f>HYPERLINK("https://www.indeed.com/viewjob?jk=f672c399c612a7f3", "https://www.indeed.com/viewjob?jk=f672c399c612a7f3")</f>
        <v/>
      </c>
      <c r="F131">
        <f>HYPERLINK("https://eeho.fa.us2.oraclecloud.com/hcmUI/CandidateExperience/en/sites/CX_1/job/325602", "https://eeho.fa.us2.oraclecloud.com/hcmUI/CandidateExperience/en/sites/CX_1/job/325602")</f>
        <v/>
      </c>
      <c r="G131" t="inlineStr">
        <is>
          <t>US</t>
        </is>
      </c>
      <c r="H131" s="3" t="n">
        <v>46056</v>
      </c>
      <c r="I131" t="inlineStr">
        <is>
          <t>We are seeking a dedicated and experienced professional to join our team as a Data Center Recruiting Program Manager, driving Oracle’s Data Center hiring initiatives. This role offers an exciting opportunity to significantly impact our organization’s growth, hiring efficiency, and talent acquisition within our Data Center operations.
Responsibilities:
* Manage and oversee Data Center recruiting programs, focusing on critical hiring initiatives for Oracle’s Cloud Infrastructure (OCI) Data Center teams.
* Develop and implement strategies to attract and recruit highly skilled talent—including Critical Facilities Engineers, Data Center Technicians, and Operations Personnel—to ensure a robust candidate pipeline.
* Plan and execute Data Center recruitment events, career fairs, and information sessions, both virtually and in\-person.
* Partner closely with Data Center Operations leadership teams to understand their hiring needs and provide qualified candidates in a timely manner.
* Screen and pre\-qualify potential applicants, conducting initial interviews and assessments to evaluate their suitability for Data Center roles.
* Guide and mentor hiring managers on Data Center recruitment best practices, process efficiency, and evolving talent market trends.
* Collaborate with the HR team to ensure a seamless onboarding process for new Data Center hires and provide ongoing support throughout their transition.
* Analyze recruitment metrics and trends, presenting data\-driven insights to continuously improve Data Center hiring strategies.
Stay updated on industry hiring best practices and workforce trends for Data Centers, identifying new opportunities to enhance Oracle’s talent acquisition efforts.  
* 
Requirements:
* A minimum of 6 years of experience in recruiting, talent acquisition, or human resources, with a strong focus on technical or operations hiring programs.
* Solid understanding of Data Center operations and familiarity with technical/operations workforce requirements.
* Excellent interpersonal and communication skills, with the ability to build relationships with both internal teams and external talent sources.
* Outstanding organizational and project management abilities, with experience managing multiple recruitment initiatives.
* Proficiency in recruitment software, applicant tracking systems, and Microsoft Office Suite.
* A self\-starter with a proactive approach, able to work independently and drive results.
Ability to adapt and thrive in a fast\-paced, dynamic work environment.  
* 
Oracle is dedicated to shaping the future of technology through exceptional talent. If you have a background in Data Center or technical recruiting and are ready to make a difference, we encourage you to apply for this Data Center Recruiting Program Manager role. We offer a competitive benefits package and the chance to work with a collaborative, global team.</t>
        </is>
      </c>
    </row>
    <row r="132">
      <c r="A132" t="inlineStr">
        <is>
          <t>in-958596f7898813a4</t>
        </is>
      </c>
      <c r="B132" t="inlineStr">
        <is>
          <t>Senior Program Manager, Systems, Data Governance, Analytics &amp; Reporting, Project Controls</t>
        </is>
      </c>
      <c r="C132" t="inlineStr">
        <is>
          <t>Oracle</t>
        </is>
      </c>
      <c r="D132" t="inlineStr">
        <is>
          <t>indeed</t>
        </is>
      </c>
      <c r="E132">
        <f>HYPERLINK("https://www.indeed.com/viewjob?jk=958596f7898813a4", "https://www.indeed.com/viewjob?jk=958596f7898813a4")</f>
        <v/>
      </c>
      <c r="F132">
        <f>HYPERLINK("https://eeho.fa.us2.oraclecloud.com/hcmUI/CandidateExperience/en/sites/CX_1/job/325564", "https://eeho.fa.us2.oraclecloud.com/hcmUI/CandidateExperience/en/sites/CX_1/job/325564")</f>
        <v/>
      </c>
      <c r="G132" t="inlineStr">
        <is>
          <t>US</t>
        </is>
      </c>
      <c r="H132" s="3" t="n">
        <v>46056</v>
      </c>
      <c r="I132" t="inlineStr">
        <is>
          <t>Oracle's Data Center Organization is seeking a Data Center Project Controls Senior Program Manager with expertise in project control to join our growing team as we aim to enhance our project management capabilities. With the rapid expansion of Oracle's data center footprint, we are committed to improving our project tracking and control processes to ensure timely and efficient deliveries for our customers.
The Senior Program Manager will play a critical role in establishing and supporting the Project Controls function, which is responsible for monitoring and managing various aspects of data center projects, including cost, schedule, risk, and performance. This position requires a highly organized and detail\-oriented individual with strong program management skills and experience in project control tools and methodologies.
**Responsibilities:** **Systems Ownership \&amp; Governance**
* Support the end\-to\-end governance of Project Controls systems, including Primavera Cloud and Oracle Unifier.
* Configuration of systems to enforce global standards for schedule, cost, change, forecasting, reporting, and controls.
* Support business system owner, accountable for system configuration, usage standards, and lifecycle management.
* Establish decision rights, approval hierarchies, and change\-control processes for both system and AI\-related enhancements.
* Protect system integrity by prioritizing requirements and explicitly declining low\-value or high\-risk requests.
**Process Improvements**
* Analyze end\-to\-end data center construction processes to identify gaps, bottlenecks, and opportunities for optimization.
* Lead development and implementation of standardized workflows, templates, and best practices across programs and regions
* Drive continuous improvement initiatives focused on schedule predictability, cost control, change management, and risk mitigation.
* Partner with Project Controls to improve forecasting accuracy, reporting consistency, and KPI adoption.
* Facilitate cross\-functional workshops (Lean, lessons learned, retrospectives) to capture insights and convert them into actionable improvements.
* Support change management and adoption of new tools, systems, and processes across delivery teams
* Track and report measurable outcomes of process improvements (time savings, cost avoidance, risk reduction)
* Ensure alignment with governance, compliance, and enterprise standards while maintaining flexibility for regional execution.
**Data Quality, Reporting \&amp; Controls Accountability**
* Analyze and support the quality, integrity, and consistency of schedule, cost, and forecast data across systems and AI\-enabled outputs.
* Ensure CAPEX/OPEX cost reporting is accurate, auditable, and aligned to executive expectations.
* Support global reporting for the data\-center fleet, specific to data\-center fit\-out programs.
* Establish validation rules, data controls, and exception management processes across both traditional reporting and AI\-generated insights.
**Stakeholder Management**
* Support senior leadership by delivering clarity, discipline, and reliable insight.
* Manage competing global priorities while maintaining governance and data integrity.
* Communicate complex system and AI concepts clearly to non\-technical stakeholders.
**Requirements:**
* 8\+ years of experience in project controls or a similar Project Management field.
* Familiarity with float management, critical path method (CPM), and sequencing logic.
* Strong communication skills: ability to synthesize complex data into clear updates for internal and external stakeholders.
* Strong understanding of project management principles, including cost, schedule, risk, and change management.
* Work closely with project managers and stakeholders to align project control efforts.
* Proficiency in creating and analyzing project KPIs and performance reports.
* Excellent data analysis and reporting skills, with the ability to interpret complex data and communicate insights effectively.
* A bachelor’s degree in a relevant field such as Project Management, Engineering, or a related discipline.
* Ability to work independently and manage multiple projects simultaneously in a fast\-paced environment.
* Experience with data centers, high\-tech infrastructure, or mission\-critical facilities strongly preferred.
* Demonstrated ability to identify and implement process improvements that enhance the efficiency, accuracy, and scalability of project controls functions. Ideal candidates proactively analyze workflows, recommend refinements, and contribute to building a healthy, iterative project controls environment.
* PMP or other related certifications are a plus.</t>
        </is>
      </c>
    </row>
    <row r="133">
      <c r="A133" t="inlineStr">
        <is>
          <t>in-ef8739f74825abcb</t>
        </is>
      </c>
      <c r="B133" t="inlineStr">
        <is>
          <t>Program Manager-Education Operations</t>
        </is>
      </c>
      <c r="C133" t="inlineStr">
        <is>
          <t>Mayo Clinic</t>
        </is>
      </c>
      <c r="D133" t="inlineStr">
        <is>
          <t>indeed</t>
        </is>
      </c>
      <c r="E133">
        <f>HYPERLINK("https://www.indeed.com/viewjob?jk=ef8739f74825abcb", "https://www.indeed.com/viewjob?jk=ef8739f74825abcb")</f>
        <v/>
      </c>
      <c r="F133">
        <f>HYPERLINK("https://jobs.mayoclinic.org/job/-/-/33647/91384357840", "https://jobs.mayoclinic.org/job/-/-/33647/91384357840")</f>
        <v/>
      </c>
      <c r="G133" t="inlineStr">
        <is>
          <t>Rochester, MN, US</t>
        </is>
      </c>
      <c r="H133" s="3" t="n">
        <v>46056</v>
      </c>
      <c r="I133"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The Program Manager will oversee the strategic objectives and assist with building infrastructure for the enterprise wide Mayo Clinic College of Medicine and Science or educational program. The Program Manager provides leadership, management and direction, and is responsible for multiple operational functions within, but not limited to, Admissions, Academic Affairs, Faculty Affairs, Student Affairs, Reporting \&amp; Analytics and Administration/Dean Support. Manages unit staffing and performance management; coordinates resources and work load to achieve objectives and strategies. Works with Education and Administrative leadership in development of strategic plans, budgets (work unit and programmatic) and process improvements. Manages partnerships with affiliated national/international consortium or program members. Provides consultative expertise regarding policy and/or accreditation questions to Deans, faculty, administrative and support staff. Independently leads problem\-solving and decision\-making activities, within the program scope and change management process assessing risks and actions to accomplish program objectives. Continually evaluates work unit processes and procedures for effectiveness and efficiency and implements quality improvement efforts. Participates grant submission and renewal processes as needed. Facilitates meetings, maintains active role on administrative and executive committees, task forces and acts as a "change agent" for the unit(s). Acts as a mentor for the supervisors and staff within the unit(s). Initiates and maintains positive working relationships with internal and external customers.. Directs and controls the activities of large/mega/major/complex/business critical programs having overall responsibility for planning, budgeting, implementing and maintaining costs, methods and employees. Accountable for the achievement of program goals, objectives, budget and timelines. Determines and establishes organizational structures and supervisory relationships, subject to leadership approval. Manages multiple and/or high complex programs and deals with many educational programs both within and outside of Mayo and also internationally with global initiatives. Develops program strategy, program planning, implementation and program metrics. Ensures high quality and minimum program costs by implementing and maintaining a quality management program across all programs responsible for. Decisions would affect the financial, employee, or public relations posture of Mayo or the college.
This position will focus on Live/Livestream CME events and Global Professional Education.
 **This position is a combination of remote and on\-site work; individual must live within driving distance to the Rochester Mayo Clinic campus.**
**\*\*Visa sponsorship is not available for this position. Also, Mayo Clinic DOES NOT participate in the F\-1 STEM OPT extension program.**
 **Qualifications**  
Bachelor's degree in management, business administration, health care administration, education or related field with a minimum of 6 years of related experience; OR Master's degree in education, management, business administration, health care administration, or related field with a minimum of 2 years management or related experience required. Working knowledge of program management, data management, computer/related systems are required.  
Must have demonstrated competencies in strategic and systems thinking, business acumen, decision making, leading people, change management, global thinking, influence without authority, communication, conflict resolution, process and systems change and operations. Demonstrated project management and knowledge of continuous improvement methods. Must have the ability to independently manage a varied workload of projects and assignments with multiple priorities in a rapidly changing environment. Will need to take initiative to develop and implement innovative solutions to issues with significant financial and operational impact to the work unit. Working knowledge and understanding of finance, budgeting, planning and human resource development is essential. Must have strong interpersonal skills with demonstrated effectiveness in management and group dynamics, including team problem solving skills. Excellent written and verbal communication skills, including presentation skills are required. Experience in undergraduate and graduate medical education highly preferred.
 **Exemption Status**  
Exempt  
**Compensation Detail**  
$93,392\.00 \- $140,129\.60 / year  
**Benefits Eligible**  
Yes  
**Schedule**  
Full Time  
**Hours/Pay Period**  
80  
**Schedule Details**  
Monday \- Friday, 8:00 a.m. \- 5:00 p.m.  
**Weekend Schedule**  
Occasional weekend courses do not exceed 10 a year.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  
**Recruiter**  
Pam Sivly</t>
        </is>
      </c>
    </row>
    <row r="134">
      <c r="A134" t="inlineStr">
        <is>
          <t>in-1607764ee5355e10</t>
        </is>
      </c>
      <c r="B134" t="inlineStr">
        <is>
          <t>Principal Site Program Manager, HBM</t>
        </is>
      </c>
      <c r="C134" t="inlineStr">
        <is>
          <t>Micron Technology</t>
        </is>
      </c>
      <c r="D134" t="inlineStr">
        <is>
          <t>indeed</t>
        </is>
      </c>
      <c r="E134">
        <f>HYPERLINK("https://www.indeed.com/viewjob?jk=1607764ee5355e10", "https://www.indeed.com/viewjob?jk=1607764ee5355e10")</f>
        <v/>
      </c>
      <c r="F134">
        <f>HYPERLINK("https://careers.micron.com/careers/job/40015831?utm_source=indeed&amp;domain=micron.com", "https://careers.micron.com/careers/job/40015831?utm_source=indeed&amp;domain=micron.com")</f>
        <v/>
      </c>
      <c r="G134" t="inlineStr">
        <is>
          <t>Richardson, TX, US</t>
        </is>
      </c>
      <c r="H134" s="3" t="n">
        <v>46056</v>
      </c>
      <c r="I134"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The HBM Site Program Manager will lead daily operations at the Richardson site. They will also set long‑term goals and ensure alignment with Micron’s High Bandwidth Memory (HBM) program objectives. This role integrates tactical site support, operational excellence, and program management of cross‑functional initiatives. The position is responsible for leading internal business projects involving multi‑disciplinary teams; planning and advising schedules and budgets; coordinating program tasks from inception through delivery; and, when needed, managing external vendor support. The HBM Site Program Manager enables site readiness, drives global HBM dependencies, develops executive‑level communications, manages headcount and financial models, and ensures operational compliance and continuity.
**Responsibilities**
====================
* Lead internal business projects and programs involving cross‑functional teams, managing schedules, budgets, task execution, and vendor oversight from project initiation through delivery.
* Develop and implement Richardson site strategies aligned with TPG and HBM goals, including site branding, remodels, operational upgrades, and engagement planning.
* Manage daily site support activities such as maintenance coordination, executive visits, team events, communications, and business continuity documentation.
* Support HBM leadership with high‑impact presentations, visual communication materials, and roadmap alignment for business reviews and decision‑making.
* Drive operational cadence for HBM dependencies, including resource planning, capital adjustments, quarterly business planning, achievement tracking, and financial performance updates.
* Build dashboards and reporting tools that monitor headcount ramps, program health, operational efficiency, and resource utilization using important metrics.
* Oversee program budgets, capacity planning, OpEx/CapEx cycles, headcount modeling, and discretionary spending to maintain financial and operational accuracy.
* Drive continuous improvement initiatives, workflow automation, compliance with Micron standards, and process efficiencies across site and program operations.
**Minimum Qualifications**
==========================
* Bachelor’s degree in Business, Operations Management, or a related field.
* 5\+ years of experience in business operations or program management, including managing cross‑functional initiatives and schedules/budgets.
* Strong collaboration skills across diverse functions and geographical locations.
* Ability to operate effectively in fast‑paced, ambiguous, start‑up–like environments.
* Proficiency in data analysis and reporting tools such as Excel, Power BI, and Workday reporting.
**Preferred Qualifications**
============================
* Bachelor’s or Master’s degree in Business, Engineering, Data Analytics, or related field.
* 5\+ years of experience in business operations, data analytics, business intelligence, or long\-term project development, with proficiency in SQL, data visualization tools (Power BI/Tableau), and AI\-based analysis.
* Experience with cloud data platforms (Snowflake, BigQuery, Azure Synapse), dashboard development, and translating business needs into analytical insights for executive collaborators.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135">
      <c r="A135" t="inlineStr">
        <is>
          <t>in-020f2a6bd49ddd12</t>
        </is>
      </c>
      <c r="B135" t="inlineStr">
        <is>
          <t>Retail Snack Program Manager</t>
        </is>
      </c>
      <c r="C135" t="inlineStr">
        <is>
          <t>Sodexo</t>
        </is>
      </c>
      <c r="D135" t="inlineStr">
        <is>
          <t>indeed</t>
        </is>
      </c>
      <c r="E135">
        <f>HYPERLINK("https://www.indeed.com/viewjob?jk=020f2a6bd49ddd12", "https://www.indeed.com/viewjob?jk=020f2a6bd49ddd12")</f>
        <v/>
      </c>
      <c r="F135">
        <f>HYPERLINK("https://click.appcast.io/t/rSCKfcOyyds6CAXhFA4_BGeNTJ0lw6GkDdVAQx_m-V0=", "https://click.appcast.io/t/rSCKfcOyyds6CAXhFA4_BGeNTJ0lw6GkDdVAQx_m-V0=")</f>
        <v/>
      </c>
      <c r="G135" t="inlineStr">
        <is>
          <t>Washington, DC, US</t>
        </is>
      </c>
      <c r="H135" s="3" t="n">
        <v>46056</v>
      </c>
      <c r="I135" t="inlineStr">
        <is>
          <t>Role Overview:
**Retail Snack Program Manager \- Corporate Services**
======================================================
We’re looking for a dynamic, highly organized, and creatively driven Retail Snack Program Manager to lead the strategy, execution, and daily operations of our workplace retail snack program. This role blends merchandising, guest experience, data‑driven decision‑making, and cross‑functional partnership to create a snack ecosystem that feels curated, modern, and aligned with the expectations of a world‑class workplace environment.
You’ll own everything from product selection and vendor relationships to merchandising standards, inventory accuracy, and promotional programming. This is a role for someone who sees retail not as shelves and SKUs, but as a hospitality moment — a chance to surprise, delight, and energize people throughout their day.
**Why This Role Matters**
-------------------------
The snack program is one of the most visible and frequently used touchpoints in the workplace food ecosystem. When done well, it becomes a signature experience — a moment of joy, convenience, and discovery. You’ll be the person who brings that to life.
What You'll Do:
* Lead the end‑to‑end retail snack program across multiple spaces, ensuring offerings are fresh, relevant, and thoughtfully curated.
* Curate a rotating assortment of snacks, beverages, and grab‑and‑go items using trend insights, guest feedback, and data analytics.
* Develop seasonal, cultural, and thematic retail moments that bring energy and storytelling to the space.
* Partner with culinary, marketing, and operations teams to integrate retail into broader food program experiences.
What We Offer:
Compensation is fair and equitable, partially determined by a candidate's education level or years of relevant experience. Salary offers are based on a candidate's specific criteria, like experience, skills, education, and training. Sodexo offers a comprehensive benefits package that may include:  
* Medical, Dental, Vision Care and Wellness Programs
* 401(k) Plan with Matching Contributions
* Paid Time Off and Company Holidays
* Career Growth Opportunities and Tuition Reimbursement
More extensive information is provided to new employees upon hire.
What You Bring:
* Experience in retail, micro markets, convenience, or hospitality environments.
* Strong merchandising instincts and an eye for visual detail.
* Comfort with data — you don’t need to be an analyst, but you know how to read trends and act on them.
* Ability to juggle multiple priorities in a fast‑paced, client‑facing environment.
* Creativity, curiosity, and a passion for elevating everyday experiences.
* Excellent communication and relationship‑building skills.
Who We Are:
At Sodexo, our purpose is to create a better everyday for everyone and build a better life for all. We believe in improving the quality of life for those we serve and contributing to the economic, social, and environmental progress in the communities where we operate. Sodexo partners with clients to provide a truly memorable experience for both customers and employees alike. We do this by providing food service, catering, facilities management, and other integrated solutions worldwide.  
Our company values you for you; you will be treated fairly and with respect, and you can be yourself. You will have your ideas count and your opinions heard because we can be a stronger team when you’re happy at work. This is why we embrace diversity and inclusion as core values, fostering an environment where all employees are valued and respected. We are committed to providing equal employment opportunities to individuals regardless of race, color, religion, national origin, age, sex, gender identity, pregnancy, disability, sexual orientation, military status, protected veteran status, or any other characteristic protected by applicable federal, state, or local law. If you need assistance with the application process, please complete this form.
Qualifications \&amp; Requirements:
Minimum Education Requirement \- Bachelor’s Degree or equivalent experience
Minimum Management Experience \- 3 years
Minimum Functional Experience \- 3 years of project management experience</t>
        </is>
      </c>
    </row>
    <row r="136">
      <c r="A136" t="inlineStr">
        <is>
          <t>in-022fbb0d05d9b5f9</t>
        </is>
      </c>
      <c r="B136" t="inlineStr">
        <is>
          <t>Print Software Technical Program Manager</t>
        </is>
      </c>
      <c r="C136" t="inlineStr">
        <is>
          <t>HP</t>
        </is>
      </c>
      <c r="D136" t="inlineStr">
        <is>
          <t>indeed</t>
        </is>
      </c>
      <c r="E136">
        <f>HYPERLINK("https://www.indeed.com/viewjob?jk=022fbb0d05d9b5f9", "https://www.indeed.com/viewjob?jk=022fbb0d05d9b5f9")</f>
        <v/>
      </c>
      <c r="F136">
        <f>HYPERLINK("http://www.respondhr.com/150912582", "http://www.respondhr.com/150912582")</f>
        <v/>
      </c>
      <c r="G136" t="inlineStr">
        <is>
          <t>Vancouver, WA, US</t>
        </is>
      </c>
      <c r="H136" s="3" t="n">
        <v>46056</v>
      </c>
      <c r="I136" t="inlineStr">
        <is>
          <t>The Print Software Program Delivery team is looking for a strong candidate to drive programs across our organization. The candidate will be responsible for managing schedules, commitments, monitoring progress against milestones, managing escalations, and providing concise updates to senior leadership.
Responsible for scoping and defining the technical design, driving execution, and delivery of a software feature, solution, or product. Serves as the bridge between cross\-functional teams including marketing, Design, and R\&amp;D.
**Responsibilities:**
* Plays a critical role in the planning and execution of the organization's most complex and visible projects or programs in support of the continuing evolution of the organization's software products.
* Partners across functions to prioritize, plan, track and execute complex, cross organizational programs while maintaining focus on building high quality programs.
* Defines processes that comprise the software development lifecycle and mentors, other members of the team, to do the same.
* Reaches across functions or de\[artments to mitigate program risks and resolves issues that affect release, scope, schedule, and quality.
* Drives and tracks software releases, features and bug fixes, testing, and documentation.
 **Knowledge \&amp; Skills:**
* Comprehensive experience in developing commercial software products using agile development practices.
* Expertise in managing cross\-organizational software development projects from initiation through delivery.
* Hands\-on experience with developing and reporting on metrics for engineering development.
* Analytical and problem\-solving experiences with large\-scale systems.
* Comprehensive experience with a controlled software release process involving a product lifecycle management tool.
 **Scope \&amp; Impact:**
* Viewed as leaders within the program management practice.
* Decision significantly affect the quality and success of team projects and have impacts on programs that may last up to a year.
* Provides guidance for junior team members.
* Acts as a subject matter expert within the organization.
 **Complexity:**
* High: Extensive cross\-functional/cross\-organizational senior management interface; deals with complex strategic issues.
* Unique mastery and recognized authority on relevant subject matter knowledge including technologies, theories, and techniques. Contributes to the development of innovative principles and ideas. Successfully operates in HP’s most complex disciplines.
* Provides highly innovative solutions. Leads large, cross\-division functional teams or projects that affect the organization's long\-term goals and objectives. May participate in cross\-division, multi\-function teams. Provides mentoring and guidance to lower level employees.
 **Education \&amp; Experience:**
* Bachelor's degree in relevant area or demonstrated competence. Typically 10\+ years of relevant experience.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\[https://hpbenefits.ce.alight.com/])  
The compensation and benefits information is accurate as of the date of this  
posting. The Company reserves the right to modify this information at any time,  
with or without notice, subject to applicable law.</t>
        </is>
      </c>
    </row>
    <row r="137">
      <c r="A137" t="inlineStr">
        <is>
          <t>in-d4dc17baa8353766</t>
        </is>
      </c>
      <c r="B137" t="inlineStr">
        <is>
          <t>Product Manager</t>
        </is>
      </c>
      <c r="C137" t="inlineStr">
        <is>
          <t>Macy's</t>
        </is>
      </c>
      <c r="D137" t="inlineStr">
        <is>
          <t>indeed</t>
        </is>
      </c>
      <c r="E137">
        <f>HYPERLINK("https://www.indeed.com/viewjob?jk=d4dc17baa8353766", "https://www.indeed.com/viewjob?jk=d4dc17baa8353766")</f>
        <v/>
      </c>
      <c r="F137">
        <f>HYPERLINK("https://jsv3.recruitics.com/redirect?rx_cid=1329&amp;rx_jobId=83702_rxr-1&amp;rx_url=https%3A%2F%2Febwh.fa.us2.oraclecloud.com%2FhcmUI%2FCandidateExperience%2Fen%2Fsites%2FCX_1001%2Frequisitions%2Fpreview%2F83702%3Frx_c%3Dmacys%26rx_campaign%3Dindeed0%26rx_ch%3Djobp4p%26rx_group%3D403181%26rx_id%3Df68be551-0248-11f1-bbf5-6f0a9bfc26fa%26rx_job%3D83702_rxr-1%26rx_medium%3Dcpc%26rx_r%3Dnone%26rx_source%3DIndeed%26rx_ts%3D20260205T080148Z%26rx_vp%3Dcpc%26source%3DJB-12761%26utm_medium%3Djobboard%26utm_source%3Dindeed", "https://jsv3.recruitics.com/redirect?rx_cid=1329&amp;rx_jobId=83702_rxr-1&amp;rx_url=https%3A%2F%2Febwh.fa.us2.oraclecloud.com%2FhcmUI%2FCandidateExperience%2Fen%2Fsites%2FCX_1001%2Frequisitions%2Fpreview%2F83702%3Frx_c%3Dmacys%26rx_campaign%3Dindeed0%26rx_ch%3Djobp4p%26rx_group%3D403181%26rx_id%3Df68be551-0248-11f1-bbf5-6f0a9bfc26fa%26rx_job%3D83702_rxr-1%26rx_medium%3Dcpc%26rx_r%3Dnone%26rx_source%3DIndeed%26rx_ts%3D20260205T080148Z%26rx_vp%3Dcpc%26source%3DJB-12761%26utm_medium%3Djobboard%26utm_source%3Dindeed")</f>
        <v/>
      </c>
      <c r="G137" t="inlineStr">
        <is>
          <t>New York, NY, US</t>
        </is>
      </c>
      <c r="H137" s="3" t="n">
        <v>46056</v>
      </c>
      <c r="I137" t="inlineStr">
        <is>
          <t>**Be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Product Manager brings a high\-energy approach to developing customer\-centric e\-commerce user experiences and features that grow the customer base, drive user engagement, and improve the overall site experience. The role develops and owns execution of the product roadmap for the assigned product area and collaborates with cross\-functional partners across design, engineering, analytics, and business throughout the product lifecycle, from ideation through execution. The Product Manager works in an agile environment focused on continuous improvement, where ideas and feedback are encouraged, and is empowered to make decisions that create memorable, loyalty\-building experiences for every Macy’s customer.
**What You Will Do**
* Develop and maintain a product roadmap aligned to business goals and product strategy by delivering key milestones and achieving defined KPIs.
* Communicate product vision, roadmap, and progress to partners across Macy’s.
* Identify and prioritize opportunities to improve customer experiences through cross\-functional collaboration, data analysis, and deep understanding of customer needs.
* Define product and customer experiences through clear, detailed, and timely artifacts, including product requirements and user stories.
* Collaborate with design, engineering, analytics, and other product managers to design, build, and launch product features that drive growth and engagement.
* Maintain a healthy, prioritized backlog of well\-groomed, insight\-driven user stories.
* Partner with engineering scrum teams and technical leads to refine requirements that support simple, intuitive user experiences.
* Define success metrics, ramp plans, and measurement criteria.
* Design and run experiments to test hypotheses and identify solutions that improve conversion, engagement, and customer loyalty.
* Foster an environment of acceptance and respect that strengthens relationships, and ensures authentic connections with colleagues, customers, and communities.
* In addition to the essential duties mentioned above, other duties may be assigned.
**Skills You Will Need**
**Product Strategy \&amp; Roadmap Ownership** – Proven ability to define, maintain, and execute product roadmaps that align with business goals, product strategy, and KPIs while delivering measurable customer and commercial impact.
**Customer\-Centric Product Thinking** – Deep commitment to understanding customer needs and behaviors, translating insights into intuitive, loyalty\-building e\-commerce experiences that improve engagement and satisfaction.
**Analytical Thinking \&amp; Data\-Driven Decisions** – Strong analytical rigor and first\-principles problem\-solving skills, with the ability to define success metrics, run experiments, interpret data, and apply insights to optimize conversion, engagement, and retention.
**Cross\-Functional Leadership \&amp; Collaboration** – Demonstrated ability to lead through influence and collaborate effectively with design, engineering, analytics, and business partners across the full product lifecycle.
**Execution Excellence in Agile Environments** – Strong execution skills with experience managing backlogs, grooming user stories, partnering with scrum teams, and delivering high\-quality outcomes in an agile, fast\-paced environment.
**Business Acumen \&amp; E\-commerce Expertise** – Solid understanding of retail and e\-commerce economics and business strategy frameworks, with the ability to balance customer value and commercial outcomes.
**Technical \&amp; Product Development Fluency** – Working knowledge of technical concepts, agile methodologies, and modern product development practices to effectively partner with engineering teams and make informed trade\-offs.
**Innovation \&amp; Emerging Technology Awareness** – Ability to stay ahead of emerging technologies and leverage them to build differentiated, scalable digital experiences.
**Communication \&amp; Stakeholder Influence** – Confident written and verbal communication skills, with the ability to clearly articulate product vision, progress, and trade\-offs to cross\-functional partners and senior leaders.
**Continuous Learning \&amp; Growth Mindset** – Curiosity\-driven, adaptable learner who actively seeks new methodologies, industry trends, and feedback to continuously improve products and ways of working.
**Who You Are**
* Candidates with a bachelor’s degree or equivalent work experience in a related field are encouraged to apply. Previous work experience related to product strategy, product management, design, engineering, site merchandising, or management consulting preferably in a retail or ecommerce company required.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DIGITAL00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t>
        </is>
      </c>
    </row>
    <row r="138">
      <c r="A138" t="inlineStr">
        <is>
          <t>in-2b57ff32cc8aa356</t>
        </is>
      </c>
      <c r="B138" t="inlineStr">
        <is>
          <t>Assistant, Product Manager</t>
        </is>
      </c>
      <c r="C138" t="inlineStr">
        <is>
          <t>Macy's</t>
        </is>
      </c>
      <c r="D138" t="inlineStr">
        <is>
          <t>indeed</t>
        </is>
      </c>
      <c r="E138">
        <f>HYPERLINK("https://www.indeed.com/viewjob?jk=2b57ff32cc8aa356", "https://www.indeed.com/viewjob?jk=2b57ff32cc8aa356")</f>
        <v/>
      </c>
      <c r="F138">
        <f>HYPERLINK("https://jsv3.recruitics.com/redirect?rx_cid=1329&amp;rx_jobId=83758_rxr-1&amp;rx_url=https%3A%2F%2Febwh.fa.us2.oraclecloud.com%2FhcmUI%2FCandidateExperience%2Fen%2Fsites%2FCX_1001%2Frequisitions%2Fpreview%2F83758%3Frx_c%3Dmacys%26rx_campaign%3Dindeed0%26rx_ch%3Djobp4p%26rx_group%3D403181%26rx_id%3Df3041d63-0248-11f1-bbf5-8b12bf2eb262%26rx_job%3D83758_rxr-1%26rx_medium%3Dcpc%26rx_r%3Dnone%26rx_source%3DIndeed%26rx_ts%3D20260205T080148Z%26rx_vp%3Dcpc%26source%3DJB-12761%26utm_medium%3Djobboard%26utm_source%3Dindeed", "https://jsv3.recruitics.com/redirect?rx_cid=1329&amp;rx_jobId=83758_rxr-1&amp;rx_url=https%3A%2F%2Febwh.fa.us2.oraclecloud.com%2FhcmUI%2FCandidateExperience%2Fen%2Fsites%2FCX_1001%2Frequisitions%2Fpreview%2F83758%3Frx_c%3Dmacys%26rx_campaign%3Dindeed0%26rx_ch%3Djobp4p%26rx_group%3D403181%26rx_id%3Df3041d63-0248-11f1-bbf5-8b12bf2eb262%26rx_job%3D83758_rxr-1%26rx_medium%3Dcpc%26rx_r%3Dnone%26rx_source%3DIndeed%26rx_ts%3D20260205T080148Z%26rx_vp%3Dcpc%26source%3DJB-12761%26utm_medium%3Djobboard%26utm_source%3Dindeed")</f>
        <v/>
      </c>
      <c r="G138" t="inlineStr">
        <is>
          <t>New York, NY, US</t>
        </is>
      </c>
      <c r="H138" s="3" t="n">
        <v>46056</v>
      </c>
      <c r="I138" t="inlineStr">
        <is>
          <t>**Be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Assistant Product Manager brings a high\-energy approach to developing customer\-centric e\-commerce experiences and features that grow the customer base, drive user engagement, and improve the overall site and app experience. The role executes the product roadmap for the assigned product area and partners with other product managers to deliver domain objectives and key results. The Assistant Product Manager works in an agile environment focused on continuous improvement, where ideas and feedback are actively encouraged.
**What You Will Do**
* Execute a pre\-defined product roadmap by owning product milestones and tracking key performance indicators (KPIs).
* Understand and synthesize customer and business needs through market analysis, customer research, hands\-on experience, and business data.
* Partner with business teams, UX, engineering, and analytics to define, build, and launch product and platform features.
* Write discovery briefs and detailed product requirements.
* Contribute to the development and documentation of Objectives and Key Results (OKRs).
* Collaborate with product analysts to design, launch, and interpret A/B tests.
* Manage communication and set clear expectations with internal stakeholders.
* Foster an environment of acceptance and respect that strengthens relationships, and ensures authentic connections with colleagues, customers, and communities.
* In addition to the essential duties mentioned above, other duties may be assigned.
**Skills You Will Need**
**Product Management Fundamentals** – Foundational knowledge of product management principles, including roadmaps, requirements, and product lifecycles, with the ability to execute against a pre\-defined roadmap and own product milestones.
**Customer\-Centric Mindset** – Deep passion for understanding customer needs and behaviors, translating insights into customer\-centric e\-commerce experiences that improve engagement across site and app journeys.
**Analytical Thinking \&amp; Data\-Driven Decisions** – Ability to use data, analytics, KPIs, and A/B testing to inform product decisions, evaluate performance, and continuously optimize features and experiences.
**Cross\-Functional Collaboration** – Proven ability to partner effectively with engineering, UX, analytics, and business teams to define, build, and launch product and platform capabilities.
**Execution \&amp; Delivery Excellence** – Strong execution skills with the ability to manage priorities, milestones, and dependencies in an agile environment while delivering measurable outcomes.
**Problem Solving \&amp; Curiosity** – Naturally curious and solutions\-oriented, with a structured approach to root\-cause analysis and comfort navigating ambiguity to solve complex problems.
**Communication \&amp; Stakeholder Management** – Clear, concise written and verbal communication skills, with the ability to manage stakeholder expectations and align teams around shared objectives.
**Continuous Learning \&amp; Adaptability** – Eagerness to learn industry trends, emerging technologies, and new methodologies, with a growth mindset focused on continuous improvement.
**Who You Are**
* Candidates with a bachelor’s degree or equivalent work experience in a related field are encouraged to apply.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DIGITAL00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t>
        </is>
      </c>
    </row>
    <row r="139">
      <c r="A139" t="inlineStr">
        <is>
          <t>in-3407defdb1cec39a</t>
        </is>
      </c>
      <c r="B139" t="inlineStr">
        <is>
          <t>Assistant, Product Manager</t>
        </is>
      </c>
      <c r="C139" t="inlineStr">
        <is>
          <t>Macy's</t>
        </is>
      </c>
      <c r="D139" t="inlineStr">
        <is>
          <t>indeed</t>
        </is>
      </c>
      <c r="E139">
        <f>HYPERLINK("https://www.indeed.com/viewjob?jk=3407defdb1cec39a", "https://www.indeed.com/viewjob?jk=3407defdb1cec39a")</f>
        <v/>
      </c>
      <c r="F139">
        <f>HYPERLINK("https://jsv3.recruitics.com/redirect?rx_cid=1329&amp;rx_jobId=83705_rxr-1&amp;rx_url=https%3A%2F%2Febwh.fa.us2.oraclecloud.com%2FhcmUI%2FCandidateExperience%2Fen%2Fsites%2FCX_1001%2Frequisitions%2Fpreview%2F83705%3Frx_c%3Dmacys%26rx_campaign%3Dindeed0%26rx_ch%3Djobp4p%26rx_group%3D403181%26rx_id%3Df98ddaa1-0248-11f1-bbf5-9194c0880289%26rx_job%3D83705_rxr-1%26rx_medium%3Dcpc%26rx_r%3Dnone%26rx_source%3DIndeed%26rx_ts%3D20260205T080148Z%26rx_vp%3Dcpc%26source%3DJB-12761%26utm_medium%3Djobboard%26utm_source%3Dindeed", "https://jsv3.recruitics.com/redirect?rx_cid=1329&amp;rx_jobId=83705_rxr-1&amp;rx_url=https%3A%2F%2Febwh.fa.us2.oraclecloud.com%2FhcmUI%2FCandidateExperience%2Fen%2Fsites%2FCX_1001%2Frequisitions%2Fpreview%2F83705%3Frx_c%3Dmacys%26rx_campaign%3Dindeed0%26rx_ch%3Djobp4p%26rx_group%3D403181%26rx_id%3Df98ddaa1-0248-11f1-bbf5-9194c0880289%26rx_job%3D83705_rxr-1%26rx_medium%3Dcpc%26rx_r%3Dnone%26rx_source%3DIndeed%26rx_ts%3D20260205T080148Z%26rx_vp%3Dcpc%26source%3DJB-12761%26utm_medium%3Djobboard%26utm_source%3Dindeed")</f>
        <v/>
      </c>
      <c r="G139" t="inlineStr">
        <is>
          <t>New York, NY, US</t>
        </is>
      </c>
      <c r="H139" s="3" t="n">
        <v>46056</v>
      </c>
      <c r="I139" t="inlineStr">
        <is>
          <t>**Be part of an amazing story.**
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
**Job Overview**
The Assistant Product Manager brings a high\-energy approach to developing customer\-centric e\-commerce experiences and features that grow the customer base, drive user engagement, and improve the overall site and app experience. The role executes the product roadmap for the assigned product area and partners with other product managers to deliver domain objectives and key results. The Assistant Product Manager works in an agile environment focused on continuous improvement, where ideas and feedback are actively encouraged.
**What You Will Do**
* Execute a pre\-defined product roadmap by owning product milestones and tracking key performance indicators (KPIs).
* Understand and synthesize customer and business needs through market analysis, customer research, hands\-on experience, and business data.
* Partner with business teams, UX, engineering, and analytics to define, build, and launch product and platform features.
* Write discovery briefs and detailed product requirements.
* Contribute to the development and documentation of Objectives and Key Results (OKRs).
* Collaborate with product analysts to design, launch, and interpret A/B tests.
* Manage communication and set clear expectations with internal stakeholders.
* Foster an environment of acceptance and respect that strengthens relationships, and ensures authentic connections with colleagues, customers, and communities.
* In addition to the essential duties mentioned above, other duties may be assigned.
**Skills You Will Need**
**Product Management Fundamentals** – Foundational knowledge of product management principles, including roadmaps, requirements, and product lifecycles, with the ability to execute against a pre\-defined roadmap and own product milestones.
**Customer\-Centric Mindset** – Deep passion for understanding customer needs and behaviors, translating insights into customer\-centric e\-commerce experiences that improve engagement across site and app journeys.
**Analytical Thinking \&amp; Data\-Driven Decisions** – Ability to use data, analytics, KPIs, and A/B testing to inform product decisions, evaluate performance, and continuously optimize features and experiences.
**Cross\-Functional Collaboration** – Proven ability to partner effectively with engineering, UX, analytics, and business teams to define, build, and launch product and platform capabilities.
**Execution \&amp; Delivery Excellence** – Strong execution skills with the ability to manage priorities, milestones, and dependencies in an agile environment while delivering measurable outcomes.
**Problem Solving \&amp; Curiosity** – Naturally curious and solutions\-oriented, with a structured approach to root\-cause analysis and comfort navigating ambiguity to solve complex problems.
**Communication \&amp; Stakeholder Management** – Clear, concise written and verbal communication skills, with the ability to manage stakeholder expectations and align teams around shared objectives.
**Continuous Learning \&amp; Adaptability** – Eagerness to learn industry trends, emerging technologies, and new methodologies, with a growth mindset focused on continuous improvement.
**Who You Are**
* Candidates with a bachelor’s degree or equivalent work experience in a related field are encouraged to apply.
* Regularly required to sit, talk, hear; use hands/fingers to touch, handle, and feel. Occasionally required to move about the workplace and reach with hands and arms. Requires close vision.
* Able to work a flexible schedule based on department and company needs.
**What We Can Offer You**
Join a team where work is as rewarding as it is fun! We offer a dynamic, inclusive environment with competitive pay and benefits. Enjoy comprehensive health and wellness coverage and a 401(k) match to invest in your future. Prioritize your well\-being with paid time off and eight paid holidays. Grow your career with continuous learning and leadership development. Plus, build community by joining one of our Colleague Resource Groups and make a difference through our volunteer opportunities.
*Some additional benefits we offer include:*
* Merchandise discounts
* Performance\-based incentives
* Annual merit review
* Employee Assistance Program with mental health counseling and legal/financial advice
* Tuition reimbursement
Access the full menu of benefits offerings here.
**About Us**
This is a great time to join Macy’s! Whether you’re helping a customer find the perfect gift, streamlining operations in one of our distribution centers, enhancing our online shopping experience, buying in\-style and on\-trend merchandise to outfit our customers, or designing a balloon for the Thanksgiving Day Parade, we offer unique opportunities to be part of some of the most memorable moments in people’s lives.
**Join us and help write the next chapter in our story \- apply today!**
*This job description is not all\-inclusive. Macy's, Inc. reserves the right to amend this job description at any time. Macy's, Inc. is an Equal Opportunity Employer, committed to a diverse and inclusive work environment.*
DIGITAL00
This position may be eligible for performance\-based incentives/bonuses. Benefits include 401k, medical/vision/dental/life/disability insurance options, PTO accruals, Holidays, and more. Eligibility requirements may apply based on location, job level, classification, and length of employment. Additional benefit details are available at macysJOBS.com.</t>
        </is>
      </c>
    </row>
    <row r="140">
      <c r="A140" t="inlineStr">
        <is>
          <t>in-53af80fe9cec43ff</t>
        </is>
      </c>
      <c r="B140" t="inlineStr">
        <is>
          <t>Program Manager</t>
        </is>
      </c>
      <c r="C140" t="inlineStr">
        <is>
          <t>Cayuse Holdings</t>
        </is>
      </c>
      <c r="D140" t="inlineStr">
        <is>
          <t>indeed</t>
        </is>
      </c>
      <c r="E140">
        <f>HYPERLINK("https://www.indeed.com/viewjob?jk=53af80fe9cec43ff", "https://www.indeed.com/viewjob?jk=53af80fe9cec43ff")</f>
        <v/>
      </c>
      <c r="F140">
        <f>HYPERLINK("https://careers-cayuseholdings.icims.com/jobs/3226/job", "https://careers-cayuseholdings.icims.com/jobs/3226/job")</f>
        <v/>
      </c>
      <c r="G140" t="inlineStr">
        <is>
          <t>Albuquerque, NM, US</t>
        </is>
      </c>
      <c r="H140" s="3" t="n">
        <v>46055</v>
      </c>
      <c r="I140" t="inlineStr">
        <is>
          <t>The Program Manager is responsible for planning, executing, and overseeing programs that align with organizational objectives and client requirements. This role serves as a leader in coordinating cross\-functional teams, managing resources, and ensuring program deliverables meet performance standards. The Program Manager will lead efforts to address strategic priorities while maintaining compliance with policies, timelines, budgets, and client expectations.
This position aligns with Cayuse’s core values of Innovation, Excellence, Collaboration, Adaptability, and Integrity by fostering technical solutions that meet customer needs, promoting teamwork, and prioritizing quality in deliverables.
* Provide strategic leadership, operational oversight, and performance accountability for the delivery of comprehensive IT user support services for our client, ensuring seamless Tier I and Tier II desktop and helpdesk support across 43\+ geographically dispersed sites.
* Review and prioritize real\-time ticket resolution status, first\-contact resolution rates, and customer satisfaction metrics.
* Track and report on daily performance against key deliverables.
* Ensure all contractor personnel adhere to daily security and safety protocols while on\-site at BIA locations and address any immediate non\-compliance.
* Coordinate daily resource scheduling and travel approvals for technicians supporting sites outside primary duty stations.
* Maintain daily awareness of systems outages, network incidents, or emergency support needs, directing after\-hours on\-call rotations and ensuring continuity of service.
* Other duties as assigned.
* Bachelor's degree (or higher) in IT, Computer Science, Business Admin, Project Management, or a closely related field; equivalent combination of education, training, and experience may be considered in lieu of degree.
* Minimum of 5 years of progressive experience in IT program or project management, with at least 3 years in a lead or supervisory role managing multi\-server environments, desktop/laptop support, helpdesk operations, and network troubleshooting.
* Demonstrated experience leading teams of 20\+ IT professionals (e.g., Desktop Technicians, Service Center Technicians) in geographically dispersed locations, including urban and remote/rural/tribal settings, with proven ability to maintain full staffing and high retention rates.
* Specialized experience (minimum 3 years) in BMC Helix, ServiceNow, or similar ticketing/knowledge base platforms for incident management, reporting, knowledge article development, and performance metric tracking (e.g., first\-contract resolution rate, ticket aging, customer satisfaction (KPIs).
* Proven track record managing IT support services in federal government environments, and Field Support Manager (FSM) coordination.
* Experience implementing process improvements, quality assurance plans, and cost\-saving innovations to enhance operational efficiency and reduce ticket volume.
* Strong background ensuring compliance with federal security and training requirements, including NACI/fingerprinting/PIV/HSPD\-12 processes, FISSA training, NDAs, and Rules of Behavior.
* Must be able to pass a background check. May require additional background checks as required by projects and/or clients at any time during employment.
**Minimum Skills:**
* Exceptional interpersonal skills with the ability to communicate in a clear, professional, and articulate manner.
* Exceptional verbal and written communication skills.
* Excellent organizational, analytical, and problem\-solving skills with high\-level attention to detail.
* Proven ability to multitask and prioritize in a fast past environment with changing priorities; adaptable to change and a quick learner.
* Must be self\-motivated and able to work well independently as well as on a multi\-functional team.
* Ability to handle sensitive and confidential information appropriately.
* Proficient in MS Office, Word, Outlook, PowerPoint, and Excel.
* Proven ability to lead daily stand\-ups, prepare executive\-level reports, engage with Government Technical Monitors (GTMs) and CORs, and maintain positive customer relations in high\-visibility, mission\-critical settings.
* Advanced proficiency in IT service management tools.
* Strong project and program management skills, including resource allocation, risk management, stakeholder coordination, and process improvement.
* Excellent leadership and team management abilities.
* Cultural competency and sensitivity to work effectively in tribal communities and environments.
**Preferred Qualifications:**
Preferred certifications include PMP, ITIL Foundation (or higher), CompTIA Security\+, Microsoft Certified: Azure Administrator Associate, or equivalent, demonstrating expertise in IT service management and cloud technologies (e.g., Entra ID, Intune).
 **Other Duties:** *Please note this job description is not designed to cover or contain a comprehensive list of activities, duties or responsibilities that are required of the employee for this job. Duties, responsibilities, and activities may change at any time with or without notice.*
 ***Cayuse is an Equal Opportunity Employer. All employment decisions are based on merit, qualifications, skills, and abilities. All qualified applicants will receive consideration for employment in accordance with any applicable federal, state, or local law.***</t>
        </is>
      </c>
    </row>
    <row r="141">
      <c r="A141" t="inlineStr">
        <is>
          <t>in-8586282d01a9205f</t>
        </is>
      </c>
      <c r="B141" t="inlineStr">
        <is>
          <t>Technical Program Manager, EE - AI Glasses</t>
        </is>
      </c>
      <c r="C141" t="inlineStr">
        <is>
          <t>Meta</t>
        </is>
      </c>
      <c r="D141" t="inlineStr">
        <is>
          <t>indeed</t>
        </is>
      </c>
      <c r="E141">
        <f>HYPERLINK("https://www.indeed.com/viewjob?jk=8586282d01a9205f", "https://www.indeed.com/viewjob?jk=8586282d01a9205f")</f>
        <v/>
      </c>
      <c r="F141">
        <f>HYPERLINK("https://jsv3.recruitics.com/redirect?rx_cid=3239&amp;rx_jobId=a1KDp00000CZLj4MAH&amp;rx_url=https%3A%2F%2Fwww.metacareers.com%2Fjobs%2F25637373352571650%2F%3Frx_campaign%3Dindeed0%26rx_ch%3Dvp%26rx_group%3D187943%26rx_id%3Db22b5e8a-0228-11f1-8c1c-1daa23b27cc8%26rx_job%3Da1KDp00000CZLj4MAH%26rx_medium%3Dcpc%26rx_r%3Dnone%26rx_source%3Dindeed%26rx_ts%3D20260205T121201Z%26rx_vp%3Dcpc%26utm_campaign%3DJob%252Bboard%26utm_medium%3Djobs%26utm_source%3Dindeedorganic", "https://jsv3.recruitics.com/redirect?rx_cid=3239&amp;rx_jobId=a1KDp00000CZLj4MAH&amp;rx_url=https%3A%2F%2Fwww.metacareers.com%2Fjobs%2F25637373352571650%2F%3Frx_campaign%3Dindeed0%26rx_ch%3Dvp%26rx_group%3D187943%26rx_id%3Db22b5e8a-0228-11f1-8c1c-1daa23b27cc8%26rx_job%3Da1KDp00000CZLj4MAH%26rx_medium%3Dcpc%26rx_r%3Dnone%26rx_source%3Dindeed%26rx_ts%3D20260205T121201Z%26rx_vp%3Dcpc%26utm_campaign%3DJob%252Bboard%26utm_medium%3Djobs%26utm_source%3Dindeedorganic")</f>
        <v/>
      </c>
      <c r="G141" t="inlineStr">
        <is>
          <t>Sunnyvale, CA, US</t>
        </is>
      </c>
      <c r="H141" s="3" t="n">
        <v>46055</v>
      </c>
      <c r="I141" t="inlineStr">
        <is>
          <t>As an Electrical Technical Program Manager for Wearables Hardware Engineering, you will lead multidisciplinary programs through the NPI process to develop the next generation of AI Glasses. You will establish requirements with internal and external customers, manage program schedules, identify risks, mitigation plans, and clearly communicate them to program stakeholders. We look for technical program managers with a proven technical foundation and a demonstrated track record of success. The candidate will also have experience managing time\-sensitive projects while effectively adapting to shifting priorities.  
### **Technical Program Manager, EE \- AI Glasses Responsibilities:**
* Partner with the electrical engineering team, enabling the definition, design, and execution of hardware
* Manage the development of main logic boards (MLB), flexible printed circuits (FPC), development platforms, and other EE driven designs
* Work with key silicon and electro\-mechanical vendors, ensuring technical deliverables for the project are met. Partner with supply chain managers for vendor selection
* Coordinate with other internal cross functional design and operations teams including product design, manufacturing engineering, firmware, and software to develop cohesive development plans
* Manage external design resources, and contract manufacturers (CM, ODM, or JDM)
* Responsible for running the “SMT” portion of development builds. Create the build and allocation plans, address critical issues during the build, direct failure analysis, and drive yield improvement
* Develop project schedule, communicate program statuses, and identify/address potential setbacks
* Work cross\-functionally to develop best practices and technology development processes in a quickly\-changing and dynamic environment to ensure on time delivery
* Coordinate and contribute to engineering deliverables such as architecture definition, product specifications, data reviews and test plans
* Ensure program documents are complete, current and available for staff and leadership review
* Up to 20% travel
### **Minimum Qualifications:**
* 3\+ years of experience in consumer electronics or silicon industry
* 3\+ years experience managing technical projects
* Working knowledge of the latest standards and industry trends in USB, HDMI, PCIe, MIPI, etc
* Experience with phase gate approach to technology development projects
* Experience with board level electrical system development, validation and characterization processes
* Experience with program and issue tracking and building complex development schedules
* Experience with product development phases from initial concept to mass production
### **Preferred Qualifications:**
* MSEE or equivalent with 3\+ years of experience in consumer electronics or silicon industry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$108,000/year to $164,000/year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2">
      <c r="A142" t="inlineStr">
        <is>
          <t>in-2da1ab3873e6ef22</t>
        </is>
      </c>
      <c r="B142" t="inlineStr">
        <is>
          <t>Services Program Manager 14 - Washtenaw County</t>
        </is>
      </c>
      <c r="C142" t="inlineStr">
        <is>
          <t>State of Michigan</t>
        </is>
      </c>
      <c r="D142" t="inlineStr">
        <is>
          <t>indeed</t>
        </is>
      </c>
      <c r="E142">
        <f>HYPERLINK("https://www.indeed.com/viewjob?jk=2da1ab3873e6ef22", "https://www.indeed.com/viewjob?jk=2da1ab3873e6ef22")</f>
        <v/>
      </c>
      <c r="F142">
        <f>HYPERLINK("https://www.governmentjobs.com/careers/michigan/jobs/5215746/services-program-manager-14-washtenaw-county", "https://www.governmentjobs.com/careers/michigan/jobs/5215746/services-program-manager-14-washtenaw-county")</f>
        <v/>
      </c>
      <c r="G142" t="inlineStr">
        <is>
          <t>Ypsilanti, MI, US</t>
        </is>
      </c>
      <c r="H142" s="3" t="n">
        <v>46050</v>
      </c>
      <c r="I142" t="inlineStr">
        <is>
          <t>**Job Description**
-------------------
The Michigan Department of Health and Human Services mission is to provide opportunities, services, and programs that promote a healthy, safe, and stable environment for residents to be self\-sufficient. We are committed to ensuring a diverse workforce and a work environment whereby all employees are treated with dignity, respect and fairness. For more information, please visit MDHHS Diversity Equity and Inclusion.  
Provide direct management of professional Children's Service's staff who investigate allegations of abuse and/or neglect of children and who provide supervision of children foster care placement. Assign all new CPS and Foster Care cases and review cases to ensure compliance with agency policies, procedures, children's placement agency rules and federal laws. Monitor compliance with time and attendance expectations and follow progressive discipline guidelines when indicated. Provide children's service training to staff and implement new CPS and Foster Care Programs and Policies.  
Position Description  
(Download PDF reader)  
View the job specification at: Job Specification (Download PDF reader)  
**To be considered for this position you must:**
* apply for this position online via NEOGOV; click on "Apply" in the job posting for instructions in submitting your electronic application. Hard copy applications are not accepted.
* relevant experience and/or education referred to in supplemental questions must be documented in resume, transcript and/or application to allow for accurate screening.
* attach a resume identifying specific experience and dates of employment. Dates of employment should include month and year and hours per week.
* attach a cover letter.
* attach a copy of an official transcript(s). We accept scanned copies of official transcripts. We do not accept web\-based, internet, or copies of unofficial transcripts. Official transcripts provide the name of the institution, confirmation that a degree was awarded and on what date, and the registrar's signature.
**Failure to complete any of the above items may result in your application not being considered.**  
**The use of artificial intelligence (AI) software of any kind is prohibited in all areas of the selection process; including, but not limited to, responses to application questions, and responses to interview questions or exercises.**
**Required Education and Experience**
-------------------------------------
**Education**
Possession of a bachelor's or master’s degree with a major in one of the following human services areas: social work, sociology, psychology, forensic psychology, interdisciplinary studies in social science, education, community development, law enforcement, behavioral science, gerontology, special education, education of the emotionally disturbed, education of the gifted, family ecology, community services, family studies, family and/or child development, counseling psychology, criminal justice, human services, or in a human services\-related counseling major.
OR
Possession of a bachelor's degree in any major with at least 30 semester (45 term) credits in one or a combination of the following human services areas: social work, sociology, psychology, forensic psychology, interdisciplinary studies in social science, education, community development, law enforcement, behavioral science, gerontology, special education, education of the emotionally disturbed, education of the gifted, family ecology, community services, family studies, family and/or child development, counseling psychology, criminal justice, human services, or in a human services\-related counseling major.
 **Experience**  
Three years of professional experience equivalent to a Services Specialist or Family Independence Specialist, including one year equivalent to a Services Specialist P11 or Family Independence Specialist P11\.  
OR  
Two years of experience equivalent to a Family Independence Manager 12\.  
OR  
One year of experience equivalent to a Services Program Manager 13 , General Services Program Manager 13 or Family Independence Manager 13\.  
**SELECTIVE POSITION REQUIREMENT (SPR):**At least three years of child welfare experience equivalent to a Services Specialist  
**Alternate Education and Experience**
--------------------------------------
**Services Program Manager 13 \- 14**  
Two years of experience as a Services Specialist or a Family Independence Specialist in addition to one year of experience in one of the following areas:  
* Human Resource Developer providing training to services staff in a services program area (e.g., a trainer for the Child Welfare Institute).
* Resource Program Analyst or Departmental Analyst work as a services program analyst responsible for activities such as assessing legislation, developing program policy, or serving as a policy and case consultant (e.g., foster care analyst, protective services analyst, zone service specialist)
* Departmental Analyst work in the Business Service Center (BSC) as a Child Welfare (CW) Analyst providing consultation and support from extensive policy knowledge across child welfare programs; tracking and monitoring performance and improvement efforts.
* Departmental Analyst work in the Business Service Center (BSC) as a Quality Assurance (QA) Analyst providing consultation and support from extensive policy knowledge across child welfare programs; tracking and monitoring performance and improvement efforts.
**Additional Requirements and Information**
-------------------------------------------
LOCATION INFORMATION
The physical location of this position is Washtenaw County MDHHS, 22 Center Street, Ypsilanti, MI 48197\. Based on operational needs and within established limits, remote work and alternate or hybrid work schedule requests for this position may be considered.
Selected candidates who have been approved to work remotely or a hybrid schedule must complete that work within Michigan. Candidates should confirm work location and schedule at the time of interview.
 *This posting may use the resulting candidate pool from this interview process for filling current and future WOC assignments, limited term vacancies, and Permanent vacancies occurring in the next six months. Limited term appointments have the potential to become permanent, but this is not guaranteed.*  
An applicant hired or promoted to a Services Program Manager position that involves the management of protective services, foster care services or adoption services must successfully complete a supervisory training program of at least 40 class hours; and, pass a competency\-based performance evaluation of that training within three months after assuming the Services Program Manager position. The competency\-based performance evaluation shall include a written examination.  
For further information regarding this posting, please contact Tamika Parks at ParksT@michigan.gov. Please reference the job posting number in the subject line.  
**The department reserves the right to close this posting prior to its original end date once a sufficient number of applications have been received.**  
Follow us on LinkedIn for more job opportunities!\#MDHHSjobs \#Veteranfriendly \#Careerswithpurpose \#CommunityHeroes
MDHHS is proud to be a Michigan Veteran’s Affairs Agency (MVAA) Gold Level Veteran\-Friendly Employer.
**Accommodations**  
If you require a reasonable accommodation to participate in the application or selection processes, please contact the ADA coordinator (Download PDF reader) for the agency that posted this position vacancy.</t>
        </is>
      </c>
    </row>
    <row r="143">
      <c r="A143" t="inlineStr">
        <is>
          <t>in-5eeac9e191003615</t>
        </is>
      </c>
      <c r="B143" t="inlineStr">
        <is>
          <t>Senior Business Program Manager</t>
        </is>
      </c>
      <c r="C143" t="inlineStr">
        <is>
          <t>Microsoft</t>
        </is>
      </c>
      <c r="D143" t="inlineStr">
        <is>
          <t>indeed</t>
        </is>
      </c>
      <c r="E143">
        <f>HYPERLINK("https://www.indeed.com/viewjob?jk=5eeac9e191003615", "https://www.indeed.com/viewjob?jk=5eeac9e191003615")</f>
        <v/>
      </c>
      <c r="F143">
        <f>HYPERLINK("https://apply.careers.microsoft.com/careers/job/1970393556749053?utm_source=indeed&amp;domain=microsoft.com", "https://apply.careers.microsoft.com/careers/job/1970393556749053?utm_source=indeed&amp;domain=microsoft.com")</f>
        <v/>
      </c>
      <c r="G143" t="inlineStr">
        <is>
          <t>Seattle, WA, US</t>
        </is>
      </c>
      <c r="H143" s="3" t="n">
        <v>46049</v>
      </c>
      <c r="I143"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Global Customer Success (GCS) organization, an organization within CE\&amp;S, is leading the effort to enable customer success on the Microsoft Cloud by harnessing leading, AI\-powered capabilities and human expertise to deliver innovation solutions that accelerate business value, drive operational excellence and nurture long term loyalty. They are currently looking for a **Senior Business Program Manager.**
The Success Program is a strategic, outcome\-focused program included in Unified Support at no cost to customers, driving key outcomes in cloud deployment and AI adoption. It ensures Microsoft delivers proactive value (through Digital reports, workshops, and follow\-ups) to help customers maximize their investment in Unified.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Build and Deploy Cloud Usage and AI Programs end to end, consistently improving programs based on stakeholder feedback (Design and Build only for Success Programs related programs).
* Develops a point of view on what needs to change regarding Cloud Usage and AI related processes, systems, digital experiences, and products.
* Program/Project Management Cloud Usage and AI Initiatives, developing project plan, driving accountability, proactively flagging concerns, blockers to address etc.
* Creates clear documentation and messaging (e.g., data visualization, presentation decks) that shares the Connected Cloud Usage and AI narrative for launch and awareness assets. Where needed follow through with regular updates post launch insights and how to address issues.
* Navigate and communicates complex findings and proposals across the Microsoft organization, hierarchies, and uses knowledge of key business drivers and stakeholder priorities to influence peer groups and partner teams in other organizations.
* Represent the CSAM Role on Global Community calls, stakeholder alignment and executive status discussions.
* Collaborate with multiple stakeholders from across the Microsoft ecosystem (e.g., region or segment teams, Offerings, Engineering, Solution Areas) to successfully Lead programs and pilots – launch and remove blockers"
**Qualifications** **Required/Minimum Qualifications**
* Bachelor's Degree in Business, Operations, Finance, or related field AND 4\+ years experience in program management, process management, or process improvement.  
	+ OR equivalent experience.
* Proven Experience in Customer Success and Global Support functions, demonstrating a strong understanding of customer\-centric service delivery and support models.
* Proven ability to orchestrate, lead, and influence virtual teams.
* Comfortable presenting to both large and small audiences at various levels of an organization
 **Additional or Preferred Qualifications*** Master's Degree in Business, Operations, Finance, or related field AND 6\+ years experience in program management, process management, or process improvement
	+ OR Bachelor's Degree in Business, Operations, Finance, or related field AND 8\+ years experience in program management, process management, or process improvement
	+ OR equivalent experience.
Business Program Management IC4 \- The typical base pay range for this role across the U.S. is USD $96,500 \- $188,400 per year. There is a different range applicable to specific work locations, within the San Francisco Bay area and New York City metropolitan area, and the base pay range for this role in those locations is USD $123,500 \- $206,400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4">
      <c r="A144" t="inlineStr">
        <is>
          <t>in-ea76cc46cec852cf</t>
        </is>
      </c>
      <c r="B144" t="inlineStr">
        <is>
          <t>Senior Product Manager</t>
        </is>
      </c>
      <c r="C144" t="inlineStr">
        <is>
          <t>Microsoft</t>
        </is>
      </c>
      <c r="D144" t="inlineStr">
        <is>
          <t>indeed</t>
        </is>
      </c>
      <c r="E144">
        <f>HYPERLINK("https://www.indeed.com/viewjob?jk=ea76cc46cec852cf", "https://www.indeed.com/viewjob?jk=ea76cc46cec852cf")</f>
        <v/>
      </c>
      <c r="F144">
        <f>HYPERLINK("https://apply.careers.microsoft.com/careers/job/1970393556748672?utm_source=indeed&amp;domain=microsoft.com", "https://apply.careers.microsoft.com/careers/job/1970393556748672?utm_source=indeed&amp;domain=microsoft.com")</f>
        <v/>
      </c>
      <c r="G144" t="inlineStr">
        <is>
          <t>Redmond, WA, US</t>
        </is>
      </c>
      <c r="H144" s="3" t="n">
        <v>46048</v>
      </c>
      <c r="I144" t="inlineStr">
        <is>
          <t>**Overview**  
Are you ready to shape the future of AI, PC performance, power efficiency, and silicon innovation? The **Windows \&amp; Devices (W\+D)** organization is at the forefront of transforming the Windows ecosystem for the AI era—and we are looking for a **Senior Product Manager** to lead the next generation of AI fundamentals that make Windows the most performant, energy‑efficient, reliable, and trustworthy AI platform in the world.
As a **Senior Product Manager**, you’ll sit at the strategic intersection of AI, silicon, and system fundamentals. You will define the fundamentals strategy for AI workloads across diverse hardware configurations, partner deeply with engineering and silicon teams, and build the tools, telemetry, and data pipelines that illuminate model behavior, system impact, and user experience. Your work will directly influence how AI experiences are built, measured, optimized, and delivered at global scale.
This **Senior Product Manager** role is part of the **Windows Fundamentals team**—whose mission is to uphold a high, principled bar for Windows quality and to ensure that every marquee experience ships with exceptional performance, efficiency, and reliability. We take a data‑driven approach to product truth, invest in optics that reveal regressions before customers feel them, and drive cross‑company partnerships that keep Windows competitive and best‑in‑class. You’ll help us continue this legacy by shaping the AI fundamentals that power the future of Windows across OEMs, IHVs, and the broader ecosystem.
 **Responsibilities**  
* **Strategic leadership**: You will work with the team and peers to define priorities for investment, strategies for product improvement, delivering at scale, and investing in systems and tools to improve fundamentals.
* **Partner engagement:** You will be engaging deeply with partners to achieve our shared goals.
* **Technical depth**: Our problem space is often deeply technical. You don’t have to be a perf/power/silicon expert today, but you should have an affinity for technical challenges and diving deep.
* **Data\-driven**: Skilled at using data to draw insights, answer hard questions, and guide actions.
* **Communication and influence**: Able to conduct insightful conversations with senior business and technical decision makers inside and outside Microsoft. Communicate complex ideas to others in a clear, effective, and motivating manner.
* **Collaboration**: Generous collaborator, able to work effectively across broad teams and influence stakeholders of all levels and of all disciplines across Microsoft.
**Qualifications** **Required/minimum qualifications**
* Bachelor's Degree AND 5\+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AND 8\+ years experience in product/service/program management or software development  
	+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5\+ years of experience shipping products in a Product Manager, TPM, Program Manager, or Developer role
* Experience in stakeholder management and partner engagement.  
Ability to navigate and influence across complex technical stacks and organizational boundaries.  
Experience working with external partners in a product development context.
\#W\+DJOBS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5">
      <c r="A145" t="inlineStr">
        <is>
          <t>in-7f04ba98a81706e7</t>
        </is>
      </c>
      <c r="B145" t="inlineStr">
        <is>
          <t>Principal Product Manager</t>
        </is>
      </c>
      <c r="C145" t="inlineStr">
        <is>
          <t>Microsoft</t>
        </is>
      </c>
      <c r="D145" t="inlineStr">
        <is>
          <t>indeed</t>
        </is>
      </c>
      <c r="E145">
        <f>HYPERLINK("https://www.indeed.com/viewjob?jk=7f04ba98a81706e7", "https://www.indeed.com/viewjob?jk=7f04ba98a81706e7")</f>
        <v/>
      </c>
      <c r="F145">
        <f>HYPERLINK("https://apply.careers.microsoft.com/careers/job/1970393556748150?utm_source=indeed&amp;domain=microsoft.com", "https://apply.careers.microsoft.com/careers/job/1970393556748150?utm_source=indeed&amp;domain=microsoft.com")</f>
        <v/>
      </c>
      <c r="G145" t="inlineStr">
        <is>
          <t>Redmond, WA, US</t>
        </is>
      </c>
      <c r="H145" s="3" t="n">
        <v>46047</v>
      </c>
      <c r="I145" t="inlineStr">
        <is>
          <t>**Overview** **Job Overview**  
Microsoft is a company where passionate innovators come to collaborate, envision what can be and take their careers further. This is a world of more possibilities, more innovation, more openness, and the sky is the limit of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Withing Azure Data, the Fabric App Dev team builds and maintains services and tools that help professional developers get the most out of Fabric. This includes Fabric API for GraphQL, User Data Functions, VS Code tooling, frameworks, and more. Our mission is to innovate at the cutting edge of developer experiences to keep Fabric as the most productive data platform for professional developers, including how coding agents are changing the state of development.
We do not just value differences or different perspectives. We seek them out and invite them in so we can tap into the collective power of everyone in the company. As a result, our customers are better served.
 **Responsibilities** **Job Responsibilities**
* Drive the e2e product strategy for one or more services
* Collaborate with engineering via specs and RFCs
* Be hands on by being the first and best user of the product and helping diagnose user issues
* Create \&amp; present exec ready pitches and demos for internal and external audiences
* Define and implement business metrics, success criteria, and dashboards/reports
* Manage rhythm of business via cross\-organizational planning, business reviews, and fundamentals
* Drive cross organization alignment of partner product teams, external partners, marketing, sales, and business planning
* Embody our culture and values
 **Qualifications** **Required/Minimum Qualifications**
* Bachelor's Degree AND 8\+ years’ experience in product/service/program management or software development OR equivalent experience.
**Job Requirements: Other \&amp; Additional**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Bachelor's Degree AND 12\+ years’ experience in product/service/program management or software development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product).3\+ years’ experience working with databases and data modeling
* Any experience shipping a product involving agentic protocols (e.g. exposing/consuming endpoints with MCP/A2A)
* 4\+ years’ experience (engineering or product) of any of the following:
* Experience with technical user interface design (e.g. SDK, OpenAPI specs, terminal applications, code editor extensions)
* Experience with at least 1 modern frontend tech stack (e.g. React, Vite, Nextjs, Svelte)
* Experience with authentication/authorization standards (e.g. OAuth2\.0, OIDC)
**Equal Opportunity Employer (EOP)**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reasonable accommodation due to a disability during the application or the recruiting process, please send a request via the Accommodation request form (Accessibility \| Microsoft Careers).
Benefits/perks listed below may vary depending on the nature of your employment with Microsoft and the country where you work.
\#azdat  
\#azuredata  
\#mcp \#react \#javascript \#databases \#vscode \#agents \#devex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6">
      <c r="A146" t="inlineStr">
        <is>
          <t>in-666bae2b524a5f5a</t>
        </is>
      </c>
      <c r="B146" t="inlineStr">
        <is>
          <t>Principal Product Manager</t>
        </is>
      </c>
      <c r="C146" t="inlineStr">
        <is>
          <t>Microsoft</t>
        </is>
      </c>
      <c r="D146" t="inlineStr">
        <is>
          <t>indeed</t>
        </is>
      </c>
      <c r="E146">
        <f>HYPERLINK("https://www.indeed.com/viewjob?jk=666bae2b524a5f5a", "https://www.indeed.com/viewjob?jk=666bae2b524a5f5a")</f>
        <v/>
      </c>
      <c r="F146">
        <f>HYPERLINK("https://apply.careers.microsoft.com/careers/job/1970393556745439?utm_source=indeed&amp;domain=microsoft.com", "https://apply.careers.microsoft.com/careers/job/1970393556745439?utm_source=indeed&amp;domain=microsoft.com")</f>
        <v/>
      </c>
      <c r="G146" t="inlineStr">
        <is>
          <t>Redmond, WA, US</t>
        </is>
      </c>
      <c r="H146" s="3" t="n">
        <v>46042</v>
      </c>
      <c r="I146"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Withing Azure Data, the Fabric App Dev team builds and maintains services and tools that help professional developers get the most out of Fabric. This includes Fabric API for GraphQL, User Data Functions, VS Code tooling, frameworks, and more. Our mission is to innovate at the cutting edge of developer experiences to keep Fabric as the most productive data platform for professional developers, including how coding agents are changing the state of development.
We do not just value differences or different perspectives. We seek them out and invite them in so we can tap into the collective power of everyone in the company. As a result, our customers are better served.
 **Responsibilities** **Job Responsibilities**
* Drive the e2e product strategy for one or more services
* Collaborate with engineering via specs and RFCs
* Be hands on by being the first and best user of the product and helping diagnose user issues
* Create \&amp; present exec ready pitches and demos for internal and external audiences
* Define and implement business metrics, success criteria, and dashboards/reports
* Manage rhythm of business via cross\-organizational planning, business reviews, and fundamentals
* Drive cross organization alignment of partner product teams, external partners, marketing, sales, and business planning
**Qualifications** **Required/Minimum Qualifications**
* Bachelor's Degree AND 8\+ years’ experience in product/service/program management or software development OR equivalent experience.
**Job Requirements: Other \&amp; Additional**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Bachelor's Degree AND 12\+ years’ experience in product/service/program management or software development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product).3\+ years’ experience working with databases and data modeling
* Any experience shipping a product involving agentic protocols (e.g. exposing/consuming endpoints with MCP/A2A)
* 4\+ years’ experience (engineering or product) of any of the following:
* Experience with technical user interface design (e.g. SDK, OpenAPI specs, terminal applications, code editor extensions)
* Experience with at least 1 modern frontend tech stack (e.g. React, Vite, Nextjs, Svelte)
* Experience with authentication/authorization standards (e.g. OAuth2\.0, OIDC)
**Equal Opportunity Employer (EOP)**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reasonable accommodation due to a disability during the application or the recruiting process, please send a request via the Accommodation request form (Accessibility \| Microsoft Careers).
Benefits/perks listed below may vary depending on the nature of your employment with Microsoft and the country where you work.
\#azdat  
\#azuredata  
\#mcp \#react \#javascript \#databases \#vscode \#agents \#devex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7">
      <c r="A147" t="inlineStr">
        <is>
          <t>in-94e2d68b54cb7dc7</t>
        </is>
      </c>
      <c r="B147" t="inlineStr">
        <is>
          <t>Senior Product Manager - Web &amp; Mac Experiences (AI/ML)</t>
        </is>
      </c>
      <c r="C147" t="inlineStr">
        <is>
          <t>Microsoft</t>
        </is>
      </c>
      <c r="D147" t="inlineStr">
        <is>
          <t>indeed</t>
        </is>
      </c>
      <c r="E147">
        <f>HYPERLINK("https://www.indeed.com/viewjob?jk=94e2d68b54cb7dc7", "https://www.indeed.com/viewjob?jk=94e2d68b54cb7dc7")</f>
        <v/>
      </c>
      <c r="F147">
        <f>HYPERLINK("https://apply.careers.microsoft.com/careers/job/1970393556735186?utm_source=indeed&amp;domain=microsoft.com", "https://apply.careers.microsoft.com/careers/job/1970393556735186?utm_source=indeed&amp;domain=microsoft.com")</f>
        <v/>
      </c>
      <c r="G147" t="inlineStr">
        <is>
          <t>Mountain View, CA, US</t>
        </is>
      </c>
      <c r="H147" s="3" t="n">
        <v>46037</v>
      </c>
      <c r="I147" t="inlineStr">
        <is>
          <t>**Overview**  
Help deliver best\-in\-class Web \&amp; Mac experiences for Microsoft AI. You’ll support the lead PM in shaping desktop\-class and modern web interfaces that are beautiful, accessible, and fast—crafting information architecture, interaction patterns, and performance goals across breakpoints and devices.
We’re looking for a highly motivated, detail\-oriented PM who thrives in execution and collaboration:* Ships user\-facing desktop/web products with high UX fidelity and accessibility.
* Partners with Design Systems to scale components/tokens and ensure cross\-surface cohesion.
* Balances performance and fidelity with rigorous experimentation and telemetry.
* Aligns multi\-team dependencies to deliver seamless journeys end\-to\-end.
* Communicates clearly, drives clarity, and removes blockers in fast\-moving environments.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Execute on web/macOS scenarios end\-to\-end; define IA, interaction patterns, and component reuse.
Drive performance \&amp; reliability KPIs (FMP, input latency, memory) and support experimentation.
Partner with Design on design\-system alignment, accessibility (WCAG), internationalization, and responsive behavior.
Coordinate dependencies (identity, payments, content, safety) to deliver cohesive multi\-surface journeys.
Report progress and risks to stakeholders; anticipate blockers and drive mitigation.
Build durable telemetry, quality bars, and operational rhythms to sustain velocity and UX quality.
 **Qualifications**  
**Required Qualifications*** Bachelor’s degree in STEM (or equivalent experience) AND 5\+ years in Product Management.
* Proven track record shipping desktop and/or web experiences at scale with accessibility baked in.
* Strong system\-level thinking across platform capabilities, browser constraints, and performance tradeoffs.
**Preferred Qualifications*** Design/UX background strongly preferred; ability to read/write detailed UX specs.
* Familiarity with macOS HIG and modern web app foundations (React/TypeScript, perf tooling).
* Experience with AI features and data\-informed iteration.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8">
      <c r="A148" t="inlineStr">
        <is>
          <t>in-84e66b6e8acbcbb9</t>
        </is>
      </c>
      <c r="B148" t="inlineStr">
        <is>
          <t>Manufacturing Program Manager - Data Center Design, Engineering, &amp; Construction</t>
        </is>
      </c>
      <c r="C148" t="inlineStr">
        <is>
          <t>Meta</t>
        </is>
      </c>
      <c r="D148" t="inlineStr">
        <is>
          <t>indeed</t>
        </is>
      </c>
      <c r="E148">
        <f>HYPERLINK("https://www.indeed.com/viewjob?jk=84e66b6e8acbcbb9", "https://www.indeed.com/viewjob?jk=84e66b6e8acbcbb9")</f>
        <v/>
      </c>
      <c r="F148">
        <f>HYPERLINK("https://jsv3.recruitics.com/redirect?rx_cid=3239&amp;rx_jobId=a1KDp00000CZL6lMAH_1001&amp;rx_url=https%3A%2F%2Fwww.metacareers.com%2Fjobs%2F1199054441844178%2F%3Frx_campaign%3Dindeed0%26rx_ch%3Dvp%26rx_group%3D187943%26rx_id%3D5153e7d1-0218-11f1-a77e-15ecb04864b2%26rx_job%3Da1KDp00000CZL6lMAH_1001%26rx_medium%3Dcpc%26rx_r%3Dnone%26rx_source%3Dindeed%26rx_ts%3D20260205T121201Z%26rx_vp%3Dcpc%26utm_campaign%3DJob%252Bboard%26utm_medium%3Djobs%26utm_source%3Dindeedorganic", "https://jsv3.recruitics.com/redirect?rx_cid=3239&amp;rx_jobId=a1KDp00000CZL6lMAH_1001&amp;rx_url=https%3A%2F%2Fwww.metacareers.com%2Fjobs%2F1199054441844178%2F%3Frx_campaign%3Dindeed0%26rx_ch%3Dvp%26rx_group%3D187943%26rx_id%3D5153e7d1-0218-11f1-a77e-15ecb04864b2%26rx_job%3Da1KDp00000CZL6lMAH_1001%26rx_medium%3Dcpc%26rx_r%3Dnone%26rx_source%3Dindeed%26rx_ts%3D20260205T121201Z%26rx_vp%3Dcpc%26utm_campaign%3DJob%252Bboard%26utm_medium%3Djobs%26utm_source%3Dindeedorganic")</f>
        <v/>
      </c>
      <c r="G148" t="inlineStr">
        <is>
          <t>Remote, US</t>
        </is>
      </c>
      <c r="H148" s="3" t="n">
        <v>46036</v>
      </c>
      <c r="I148" t="inlineStr">
        <is>
          <t>Manufacturing is a pillar within Meta’s Preconstruction Team supporting datacenter construction. We exist to support the predictable delivery of capacity at scale through manufactured solutions.The Manufacturing Team’s primary focus is supply chain engagement and optimization. We facilitate Manufacturing Informed Designed (MID) components and orchestrate their detailing and prototyping to optimum manufacturability, then work with our partners to plan logistics, production, and integration to optimize construction. This team is comprised of strategic designers, strategic builders, tactical specialists, plus internal and external subject matter experts (SME) including Preconstruction Managers, Contractors, Schedulers, Equipment Reliability Engineers, and Sourcing Specialists.This position will lead program management of designated manufactured components in support of Meta's North America construction program. This program is of such scale that it requires a results\-oriented PM to drive strategic and tactical aspects of first\-of\-kind prototyping, logistics, and integration.Never before has the datacenter industry relied so heavily on offsite construction; a necessity here to deliver a program of this magnitude on a fast\-paced timeline. The Program Manager will be responsible for leading the full lifecycle of major infrastructure offsite\-manufactured components culminating in timely delivery and integration.  
### **Manufacturing Program Manager \- Data Center Design, Engineering, \&amp; Construction Responsibilities:**
* Program Management – lead coordination, document, and anticipate program needs to ensure cost, schedule, and quality in concert with the offsite manufacturing and integration with onsite construction
* Supplier Production (manufacturing execution) – configure supply chain, production, scheduling, strategic inventory, logistics, and integration in collaboration with our procurement, construction management, and quality teams
* Manage GC (General Contractor) Coordinators for logistics, planning, coordination, reporting, lessons learned, etc
* Risk Matrix development, maintenance, and related reporting
* Cost \&amp; Change Coordination with cross functional partners
* Schedule Development with Engineering/Scheduling, GCs, \&amp; Suppliers
* Regular Debriefs / Lessons Learned development, summary and communication to Engineering, Leadership, \&amp; cross\-functional partners
* Partner with cross functional teams on related efforts to ensure alignment and transparency across Design, Engineering, \&amp; Construction (DEC)
* Partner closely with Sourcing Team for strategy and deployment of owner furnished equipment
* Partner with Global QA/QC Team to identify and strategically shift to the vendors and manufacturers, appropriate elements of the multi\-trade integration and commissioning efforts to reduce onsite efforts. Your objective is to embed as much trade work and commissioning as is appropriate at the optimum points of fabrication from start through to the final point of integration
* Support team learning by bringing lessons learned, vendors, new technology, and other topics to the group for exploration
* Travel approximately 40% Domestic Travel to suppliers and construction sites
### **Minimum Qualifications:**
* Bachelor’s degree or equivalent work experience in Program Management
* 10\+ years’ experience in construction, manufacturing, and/or project planning
* Experience in large scale construction management and/or scalable manufacturing
* Manufacturing\-for\-construction background with understanding of lean manufacturing and supply\-chain management plus knowledge of production machinery, processes, and standards in the field or industry experience with developing workflows and their associated flowcharts, schedules, and action plans
* Experience building consensus and communicate effectively with a wide range of audiences (stakeholders to executive leadership)
* Proven track record of adaptability and complex problem\-solving in a dynamic work environment
* Proficient working knowledge of Google Workspace and Bluebeam
### **Preferred Qualifications:**
* Experience with off\-site fabrication, pre\-assembly and/or modularization of complex elements for construction projects
* Mission Critical, infrastructure, and/or data center construction experience
* Experience working with blended architecture, engineering, manufacturing/assembly and construction teams
* Familiarity with Statistical Process Control (SPC), Just In Time (JIT) strategizing, and manufacturing data analytics
* PMP Certification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$150,000/year to $209,000/year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9">
      <c r="A149" t="inlineStr">
        <is>
          <t>in-e5fd74b75dc46ce3</t>
        </is>
      </c>
      <c r="B149" t="inlineStr">
        <is>
          <t>Sr Product Manager</t>
        </is>
      </c>
      <c r="C149" t="inlineStr">
        <is>
          <t>UKG</t>
        </is>
      </c>
      <c r="D149" t="inlineStr">
        <is>
          <t>indeed</t>
        </is>
      </c>
      <c r="E149">
        <f>HYPERLINK("https://www.indeed.com/viewjob?jk=e5fd74b75dc46ce3", "https://www.indeed.com/viewjob?jk=e5fd74b75dc46ce3")</f>
        <v/>
      </c>
      <c r="F149">
        <f>HYPERLINK("https://apply.ukg.com/careers/job/893392573987", "https://apply.ukg.com/careers/job/893392573987")</f>
        <v/>
      </c>
      <c r="G149" t="inlineStr">
        <is>
          <t>Lowell, MA, US</t>
        </is>
      </c>
      <c r="H149" s="3" t="n">
        <v>46012</v>
      </c>
      <c r="I149" t="inlineStr">
        <is>
          <t>**Job description****Company and benefits**
Job ID**SRPRO016924**
Employment Type**Regular**
Work Style**hybrid**
Location**Lowell,MA,United States, Alpharetta,GA,United States**
Travel**Up to 25%**
Role**Sr Product Manager****Why UKG**:
At UKG, the work you do matters. The code you ship, the decisions you make, and the care you show a customer all add up to real impact. Today, tens of millions of workers start and end their days with our workforce operating platform. Helping people get paid, grow in their careers, and shape the future of their industries. That’s what we do.
We never stop learning. We never stop challenging the norm. We push for better, and we celebrate the wins along the way. Here, you’ll get flexibility that’s real, benefits you can count on, and a team that succeeds together. Because at UKG, your work matters—and so do you.  
Product Manager, Core Data Platform Services
**About the Role:**
Own delivery and evolution of foundational data services that support multiple products and teams across a large enterprise platform. This role operates with senior\-level autonomy and execution responsibility, while remaining hands\-on in day\-to\-day product management.
The focus is platform rigor, data correctness, and dependency management, not feature delivery or UI workflows.
What You Will Own
* One or more core data services with multiple internal consumers
* Backlog, roadmap, and delivery commitments for your services
* Cross\-team dependencies, risks, and decisions
* Clear service contracts and durable platform patterns
**Responsibilities:**
Product Ownership \&amp; Execution
* Own and prioritize the backlog based on platform value and consumer impact
* Write clear, unambiguous requirements for APIs and data services
* Drive delivery with engineering partners from discovery through launch
Platform \&amp; Data Leadership
* Partner with engineering on data models, schemas, and service boundaries
* Lead decisions on versioning, effective dating, and lifecycle management
* Ensure consistency across services while supporting valid consumer variation
Dependency \&amp; Stakeholder Management
* Actively manage dependencies across multiple teams and services
* Identify risks early and drive alignment without escalation
* Communicate status, tradeoffs, and impacts clearly to leadership
Documentation \&amp; Clarity
* Maintain high\-quality documentation in Confluence
* Capture decisions, rationale, and open questions
* Enable downstream teams to self\-serve with minimal hand\-holding
What Success Looks Like
* Engineering executes with minimal ambiguity
* Consumers trust and adopt the services
* Dependencies do not surprise leadership
* Platform decisions hold up over time
* You operate independently with strong judgment
**Basic Qualifications**
* 4–7 years product management experience
* Ownership of platform, data, or shared services products
* Experience delivering APIs or data contracts used by multiple teams
* Proven ability to manage cross\-team dependencies end to end
* Strong written communication and documentation discipline
* Comfort making tradeoffs in ambiguous, horizontal problem spaces
**Preferred Qualifications**
* Experience with HR, HCM, or workforce platforms
* Familiarity with effective dating, versioned data, or temporal models
* SQL or hands\-on data experience
* Prior work on global or multi\-tenant platforms
* Experience working with external integrations or public APIs
* Platform\-first mindset over feature\-first thinking
* Strong ownership and follow\-through
* Comfortable operating without heavy process
* Bias toward clarity, alignment, and delivery
**Company Overview:**
UKG is the Workforce Operating Platform that puts workforce understanding to work. With the world's largest collection of workforce insights, and people\-first AI, our ability to reveal unseen ways to build trust, amplify productivity, and empower talent, is unmatched. It's this expertise that equips our customers with the intelligence to solve any challenge in any industry — because great organizations know their workforce is their competitive edge. Learn more at ukg.com.
Equal Opportunity Employer
UKG is an equal opportunity employer. We evaluate qualified applicants without regard to race, color, disability, religion, sex, age, national origin, veteran status, genetic information, and other legally protected categories.
View **The EEO Know Your Rights poster**
UKG participates in E\-Verify.
It is unlawful in Massachusetts to require or administer a lie detector test as a condition of employment or continued employment. An employer who violates this law shall be subject to criminal penalties and civil liability.
Disability Accommodation in the Application and Interview Process
For individuals with disabilities that need additional assistance at any point in the application and interview process, please email UKGCareers@ukg.com.
The pay range for this position is $102,300\.00 to $147,050\.00\. The actual base pay offered may vary depending on skills, experience, job\-related knowledge and work location. In addition to base pay, employees may be eligible to participate in a performance\-based bonus plan and to receive restricted stock unit awards as part of total compensation. Learn more about UKG’s benefits and rewards at https://www.ukg.com/about\-us/careers/benefits
NOTICE ON HIRING SCAMS  
UKG will never ask you for a copy of your driver’s license, social security card, or passport during a job inter  
ABOUT OUR JOB DESCRIPTIONS  
All job descriptions are written to accurately reflect the open job and include general work responsibilities. They do not present a comprehensive, detailed inventory of all duties, responsibilities, and qualifications required for the job. Management reserves the right to revise the job or require that other or different tasks be performed if or when circumstances change.</t>
        </is>
      </c>
    </row>
    <row r="150">
      <c r="A150" t="inlineStr">
        <is>
          <t>in-f7d71a5ad33893fd</t>
        </is>
      </c>
      <c r="B150" t="inlineStr">
        <is>
          <t>Senior Program Manager, Precision Engagement Systems</t>
        </is>
      </c>
      <c r="C150" t="inlineStr">
        <is>
          <t>Dhara Consulting Group</t>
        </is>
      </c>
      <c r="D150" t="inlineStr">
        <is>
          <t>indeed</t>
        </is>
      </c>
      <c r="E150">
        <f>HYPERLINK("https://www.indeed.com/viewjob?jk=f7d71a5ad33893fd", "https://www.indeed.com/viewjob?jk=f7d71a5ad33893fd")</f>
        <v/>
      </c>
      <c r="F150">
        <f>HYPERLINK("https://www.clearancejobs.com/jobs/8740069/senior-program-manager-precision-engagement-systems", "https://www.clearancejobs.com/jobs/8740069/senior-program-manager-precision-engagement-systems")</f>
        <v/>
      </c>
      <c r="G150" t="inlineStr">
        <is>
          <t>Costa Mesa, CA, US</t>
        </is>
      </c>
      <c r="H150" s="3" t="n">
        <v>46057</v>
      </c>
      <c r="I150" t="inlineStr">
        <is>
          <t>Posted today
Top Secret
$132,000 \- $198,000
Unspecified
IT \- Software
Costa Mesa, CA (On\-Site/Office)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Tactical Recon \&amp; Strike (TRS) is a division with two missions: 1\) build highly capable autonomous drones, and 2\) build solid rocket motors at scale. We transform products like Ghost, Anvil, Bolt, and Altius from early concepts into fully operational capabilities by partnering closely with specialist engineering, operations, and production teams. Through our Anduril Rocket Motor Systems (RMS) team, we design and manufacture solid rocket motors using advanced materials, proprietary formulations, and high\-volume production methods\-delivering safe, reliable propulsion systems that support a wide range of mission requirements. TRS hires software engineers \&amp; hardware engineers, who are excited to build across a diverse and powerful portfolio\-from autonomous aerial systems to high\-performance solid rocket motors. Our teams contribute to highly capable autonomous robotics systems and propulsion products that operate reliably in the most demanding mission environment.  
**ABOUT THE JOB**  
We are looking for a Program Manager to join our rapidly growing team in Costa Mesa. In this role, you will lead day\-to\-day coordination and execution of program initiatives and tasks \- working alongside the Chief Engineer and Product Managers to meet the program's administrative, technical, and operational requirements. You will be expected to utilize your technical aptitude in conjunction with your program and project management skills to deliver the best outcome for Anduril and the customer. This role will be oriented to establish full program ownership from initial proposal to end of contract support centered around Bolt, Anvil, new development products, and program of records.  
**WHAT YOU'LL DO**  
* Contract Management: Oversee contract execution, monitor compliance with terms, and manage renewals or amendments.
* Proposal Development: Lead the generation of proposals, including the Basis of Estimate (BOE), scope review, and cost analysis. Facilitate contract awards and initiate kick\-off activities.
* Customer Relations : Cultivate and maintain strong customer relationships, swiftly address any issues, and expand business opportunities with existing clients.
* Risk Assessment : Identify and track potential contractual risks, requiring mitigation plans from relevant departments.
* Performance Monitoring : Ensure service delivery and payment terms meet contractual expectations, track budget and cost performance, and manage invoicing and revenue.
* Event Coordination : Plan and execute demonstrations and events, ensuring alignment with company goals and successful outcomes.
* Project Management : Direct development and unique project efforts within the program, coordinating weekly meetings with the engineering team.
* Problem Resolution: Proactively address and resolve challenges to meet customer deliverables, escalating issues to leadership as necessary.
* Systems Engineering : Understand all program requirements in\-depth, ensuring effective communication and coordination among technical teams.
* Accountability Enforcement : Maintain momentum and hold internal teams accountable for meeting deadlines and expectations.
**SKILLS NEEDED**  
* Ownership : Responsible for tracking the program's major metrics \- meeting cost and schedule targets, on\-time reporting, and managing the customer relationship.
* Embed/Engage : Integrate closely with our clients \+ partners, understand their technical capabilities, challenges and gaps to help inform how to adapt Anduril's platforms to meet key objectives.
* Build/Orchestrate : Work directly with Anduril engineers to support customer testing; coordinate and execute operational demonstrations.
* Plan : Coordinate tasking with technical and operational staff to ensure timely delivery of support to the program. Prepare weekly, bi\-weekly, monthly, etc. reporting as required. Regularly report program status updates to customers, the program team, and Anduril senior management.
* Deliver : Drive the execution and outcome of projects and programs assigned to you.
**REQUIRED QUALIFICATIONS**  
* BS/BA in a technical field plus 5 years or more of professional experience
* Ability to create and deliver presentations in technical and programmatic reports to key leadership and customers
* Comfortable with setting and achieving goals in a dynamic and amorphous environment
* Adaptive and introspective; willing to learn, teach, lead and follow
* Capable of driving coordination, collaboration, and communication across cross\-functional teams in order to achieve successful, time\-critical outcomes
* Comfortable working in limited resource environments
* Must be able to obtain and hold a U.S. Top Secret security clearance
* Ability to travel 25 \- 50% as needed.
**PREFERRED QUALIFICATIONS**  
* Science or Engineering discipline strongly preferred
* Current TS clearance strongly preferred
* Significant customer\-facing experience leading high profile and high stakes programs, including strong interpersonal skills
* Experience working on mission critical DOD systems
* Experience building and managing cross\-functional teams focused around a common vision
US Salary Range  
$132,000 \- $198,000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 Anduril covers life and disability insurance for all employees.
* Generous time off :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 .
Create a Job Alert  
Interested in building your career at Anduril Industries? Get future opportunities sent straight to your email.  
Create alert**GROUP ID:** 91095925**R****Recruiter**
**APPLY NOW**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li-4366354016</t>
        </is>
      </c>
      <c r="B2" t="inlineStr">
        <is>
          <t>Principal Product Manager, Data Innovation</t>
        </is>
      </c>
      <c r="C2" t="inlineStr">
        <is>
          <t>Cint</t>
        </is>
      </c>
      <c r="D2" t="inlineStr">
        <is>
          <t>linkedin</t>
        </is>
      </c>
      <c r="E2" t="inlineStr"/>
      <c r="F2" t="inlineStr"/>
      <c r="G2" t="inlineStr">
        <is>
          <t>New York, NY</t>
        </is>
      </c>
      <c r="H2" t="inlineStr"/>
      <c r="I2" t="inlineStr">
        <is>
          <t>**Who We Are**
 Cint is a pioneer in research technology (ResTech). Our customers use the Cint platform to post questions and get answers from real people to build business strategies, confidently publish research, accurately measure the impact of digital advertising, and more. The Cint platform is built on a programmatic marketplace, which is the world’s largest, with nearly 300 million respondents in over 130 countries.
 At Cint, we are committed to innovation and are rapidly expanding our portfolio of data solutions to power the next generation of insights. We are looking for passionate, results\-oriented leaders to join us on this journey.
**Job Description**
**The Role**
 This is a strategic, high\-impact opportunity to own and build the future of data at Cint. As the Principal Product Manager for Data Innovation, you will be responsible for defining and executing the product strategy for our emerging synthetic data and data collaboration products.
 This role requires a unique blend of deep technical understanding, commercial acumen, and a "build\-from\-scratch" entrepreneurial mindset. You will be the company's subject matter expert, partnering closely with R\&amp;D, data science, and commercial leadership to bring a new category of products to market.
**What You Will Do**
* **Own the Product Vision:** 
 Develop and promote a multi\-year product vision for Cint's Data Innovation portfolio. This includes synthetic data products and other new data collaboration solutions. You will be responsible for driving key business KPIs, such as product adoption, revenue, and market penetration.
* **Tell the Story:** 
 Masterfully articulate the "why" behind your product strategy. Bring complex customer and technical problems to life, inspiring and aligning senior leadership and the broader organization around your vision.
* **Execute with Excellence:** 
 Conduct thorough opportunity assessments, backed by data and customer research, to validate assumptions and prioritize initiatives. Author clear, comprehensive product requirements and partner with R\&amp;D leadership to navigate complex technical trade\-offs.
* **Partner to Win:** 
 Build strong, trusted relationships with key stakeholders across R\&amp;D, Data Science, Commercial, Legal, and Marketing to ensure cross\-functional alignment and a successful go\-to\-market.
**Qualifications**
**What We Are Looking For**
* **Proven Product Leader:** 
 You have a proven track record of launching and scaling complex data products, platforms, or services from concept to market.
* **Customer\-Obsessed:** 
 You are an expert in translating customer problems from the ResTech and data space into clear, well\-structured product requirements, backed by data and qualitative insights.
* **Technical Data Expertise:** 
 You have direct experience managing the full lifecycle of AI/ML products: building, training, and fine\-tuning models (e.g., LLMs). You have a solid understanding of the processes used to create, validate, and filter large\-scale synthetic datasets and are comfortable discussing the trade\-offs of alignment techniques (e.g., SFT, RLHF).
* **Exceptional Communicator:** 
 You possess outstanding written and verbal communication skills and are seen as an expert storyteller. You can effectively partner with senior leadership and are skilled at managing complex stakeholder maps.
**Why Join Us?**
* **Strategic Impact:** 
 You will be building a new, high\-growth business line that is central to Cint's long\-term strategy.
* **Innovation:** 
 You will be on the cutting edge of ResTech and data technology, solving novel problems with a world\-class R\&amp;D team.
* **Global Reach:** 
 Cint is a global company with a distributed, flexible, and collaborative culture.
* **Ownership:** 
 We empower our product leaders. You will have the autonomy and accountability to make a measurable impact on the business.
**Additional Information**
 The anticipated pay range for this role is $175,000 to $218,000 annual base salary. In addition, this position is also eligible for the following benefits:
* Medical, Dental, and Vision insurance options to suit you and your family’s needs
* 401K with company matching
* PTO, unlimited sick days
* Remote Work
* Paid maternity and paternity leave
* Annual bonus opportunity
**Our Values**
**Collaboration is our superpower**
* We uncover rich perspectives across the world
* Success happens together
* We deliver across borders.
**Innovation is in our blood**
* We’re pioneers in our industry
* Our curiosity is insatiable
* We bring the best ideas to life.
**We do what we say**
* We’re accountable for our work and actions
* Excellence comes as standard
* We’re open, honest and kind, always.
**We are caring**
* We learn from each other’s experiences
* Stop and listen; every opinion matters
* We embrace diversity, equity and inclusion.
**More About Cint**
 We’re proud to be recognised in Newsweek’s 2025 Global Top 100 Most Loved Workplaces®, reflecting our commitment to a culture of trust, respect, and employee growth.
 In June 2021, Cint acquired Berlin\-based GapFish – the world’s largest ISO certified online panel community in the DACH region – and in January 2022, completed the acquisition of US\-based Lucid – a programmatic research technology platform that provides access to first\-party survey data in over 110 countries.
 Cint Group AB (publ), listed on Nasdaq Stockholm, this growth has made Cint a strong global platform with teams across its many global offices, including Stockholm, London, New York, New Orleans, Singapore, Tokyo and Sydney. (www.cint.com)
 Additionally, in a world of AI, we want our candidates to understand our approach to the use of AI during the interview and hiring process, so we'd appreciate you reading our AI usage guide.</t>
        </is>
      </c>
    </row>
    <row r="3">
      <c r="A3" t="inlineStr">
        <is>
          <t>li-4354047658</t>
        </is>
      </c>
      <c r="B3" t="inlineStr">
        <is>
          <t>Senior Product Manager</t>
        </is>
      </c>
      <c r="C3" t="inlineStr">
        <is>
          <t>Cint</t>
        </is>
      </c>
      <c r="D3" t="inlineStr">
        <is>
          <t>linkedin</t>
        </is>
      </c>
      <c r="E3" t="inlineStr"/>
      <c r="F3" t="inlineStr"/>
      <c r="G3" t="inlineStr">
        <is>
          <t>New York, NY</t>
        </is>
      </c>
      <c r="H3" t="inlineStr"/>
      <c r="I3" t="inlineStr">
        <is>
          <t>**Who We Are**
 Cint is a pioneer in research technology (ResTech). Our customers use the Cint platform to post questions and get answers from real people to build business strategies, confidently publish research, accurately measure the impact of digital advertising, and more. The Cint platform is built on a programmatic marketplace, which is the world’s largest, with nearly 300 million respondents in over 150 countries who consent to sharing their opinions, motivations, and behaviours.
 We are feeding the world’s curiosity!
**Job Description**
**The Opportunity**
 Cint delivers innovative cross\-platform measurement products to help brand advertisers analyze and optimize their media spend across TV, Digital and Social. As Senior Product Manager for Measurement, you will work closely with business and technology teams at Cint to create, refine and execute the product roadmap for Cint’s Measurement portfolio. Ideal candidates have a passion for developing software\-first solutions to help marketers understand the impact of their investments across platforms.
 This remote role (but must be based out of the country it is posted in), requires collaboration with our European and U.S. teams during GMT or EDT hours.
**What You Will Do**
 As a product manager at Cint, you are primarily responsible for:
1. Understanding and communicating the problems of our users and customers.
2. Defining requirements for a solution that our users and customers love.
3. Ensuring our products add value and contribute to the future vision of Cint.
 As a Senior Product Manager, your mission will be to:
* Have a deep understanding of the customer and a passion for solving real\-world problems. You'll need to be a strong storyteller, with the ability to articulate the customer’s needs to a wide group of stakeholders.
* Be responsible for developing vision \&amp; roadmap of key platform components, and executing on a customer\-driven roadmap within an agile environment.
* Work closely with business and technical leads to drive alignment \- leveraging user interviews, stakeholder feedback, and beta programs to meet customer expectations.
* Ability to work independently in a remote\-first environment.
* Drive strategic, data\-driven thinking, insight, and context around complex business trade\-offs, framing strategic and tactical investments.
* Develop epics and user stories that are informative, concise, and drive effective decision making and collaboration with engineering
* Familiar with product design and UX principles to improve customer experience and enhance understanding through data visualization.
* Engage closely with marketing, training, support, and sales teams to develop successful go\-to\-market and positioning plans for new products and features. Be seen as a thought leader for your product area.
**Qualifications**
**What We Are Looking For**
* Minimum of 5 years of product management within a B2B portfolio, managing product and feature development from concept to GTM.
* Minimum of 5 years of experience working with data products and customer facing reporting that informs decisioning.
* Strong understanding of software development, agile, SDLC and SaaS
* Exceptional communication skills, capable of influencing outcomes and collaborating with distributed teams.
* Experience working within remote teams
**Bonus Points If You Have**
* Experience supporting end\-to\-end workflows for API\-driven SaaS products with a global scale.
* Familiar with media measurement, media buying and/or ad operations.
* Proficient in SQL and working with large\-scale databases.
**Additional information**
**Anticipated Salary Range (US Only):**
 In California, Colorado, New York City and Washington, the anticipated pay range for this role is $135,000 to $175,000 annual base salary. This base pay range is specific to California, Colorado, New York City and Washington and may not be applicable to other locations. In addition, this position is also eligible for the following benefits:
* Medical, Dental, and Vision insurance options to suit you and your family’s needs
* 401K with company matching
* PTO, unlimited sick days
* Remote Work
* Paid maternity and paternity leave
* Annual bonus opportunity
**Additional Information**
**Our Values**
**Collaboration is our superpower**
* We uncover rich perspectives across the world
* Success happens together
* We deliver across borders.
**Innovation is in our blood**
* We’re pioneers in our industry
* Our curiosity is insatiable
* We bring the best ideas to life.
**We do what we say**
* We’re accountable for our work and actions
* Excellence comes as standard
* We’re open, honest and kind, always.
**We are caring**
* We learn from each other’s experiences
* Stop and listen; every opinion matters
* We embrace diversity, equity and inclusion.
**More About Cint**
 We’re proud to be recognised in Newsweek’s 2025 Global Top 100 Most Loved Workplaces®, reflecting our commitment to a culture of trust, respect, and employee growth.
 In June 2021, Cint acquired Berlin\-based GapFish – the world’s largest ISO certified online panel community in the DACH region – and in January 2022, completed the acquisition of US\-based Lucid – a programmatic research technology platform that provides access to first\-party survey data in over 110 countries.
 Cint Group AB (publ), listed on Nasdaq Stockholm, this growth has made Cint a strong global platform with teams across its many global offices, including Stockholm, London, New York, New Orleans, Singapore, Tokyo and Sydney. (www.cint.com)
 Additionally, in a world of AI, we want our candidates to understand our approach to the use of AI during the interview and hiring process, so we'd appreciate you reading our AI usage guide.</t>
        </is>
      </c>
    </row>
    <row r="4">
      <c r="A4" t="inlineStr">
        <is>
          <t>li-4369601412</t>
        </is>
      </c>
      <c r="B4" t="inlineStr">
        <is>
          <t>Product Manager - US</t>
        </is>
      </c>
      <c r="C4" t="inlineStr">
        <is>
          <t>Handoff</t>
        </is>
      </c>
      <c r="D4" t="inlineStr">
        <is>
          <t>linkedin</t>
        </is>
      </c>
      <c r="E4" t="inlineStr"/>
      <c r="F4" t="inlineStr"/>
      <c r="G4" t="inlineStr">
        <is>
          <t>Austin, TX</t>
        </is>
      </c>
      <c r="H4" t="inlineStr"/>
      <c r="I4" t="inlineStr">
        <is>
          <t>**Why join us?**
**Handoff is the AI agent that runs a construction company.** 
 We help remodelers automate estimating, streamline operations, and win more work \- backed by real\-time cost data, intuitive design, and workflows that “speak contractor.” With over 10,000 monthly active users and $6B in annualized project volume already flowing through our platform, we’re becoming the trusted partner for the people who build our homes.
 We are backed by $25M\+ raised from Y Combinator, Initialized, and Greycroft. Our team is distributed across hubs in Austin, São Paulo, and Buenos Aires, and we are deeply focused on building intuitive, high\-impact solutions that make a real difference for our users.
 Product Manager at Handoff
 We’re hiring a
 **Product Manager** 
 to own the roadmap, strategy, and execution of a core product squad. In this role, you’ll lead engineers and designers to ship high\-quality, high\-impact features that improve contractor workflows, while connecting product decisions to measurable business and growth outcomes. This role is ideal for someone who combines a strong product mindset with customer obsession and a high bar for execution.
**What You'll Do**
* Own the squad roadmap, strategy, and execution for a core product area
* Conduct continuous customer discovery \- interviews, prototypes, field visits \- and turn insights into clear specs, user stories, and priorities
* Partner closely with engineering and design to iterate quickly and deliver intuitive, polished experiences
* Define adoption, activation, and retention metrics; set up tracking, analyze performance, and iterate based on data
* Produce and update our roadmap and communicate product direction across leadership and GTM teams
* Translate features into benefits and customer outcomes, supporting sales, marketing, and onboarding with clear collateral
* Sweat the details \- QA, polish, and validate every flow and edge case before launch
* Apply Handoff’s product principles \- simplemaxxing, mobile\-first, AI\-first, and customer\-obsession \- to every design, feature, and product decision
**About You**
* 5\+ years of experience in Product Management, ideally in vertical SaaS
* Experience building B2B SaaS products; with AI experience strongly preferred
* Track record of shipping 0→1 or early\-stage features
* Strong skills in customer discovery, research, and ruthless prioritization
* Proven ability to work hand\-in\-hand with engineers and designers in agile environments
* Excellent writing and communication \- able to produce crisp specs, epics, and roadmap docs
* Excitement about construction, remodeling, and home services \- genuine curiosity about contractors’ world
* Bonus experience: CRM, project management tools, payments/fintech, AI\-driven products, or PLG (product\-led growth)
* Startup DNA \- comfort in ambiguity, bias for action, stamina for fast\-moving environments
**What We Offer**
* Competitive Salary \+ Equity
* Unlimited Paid Time Off (PTO)
* 401(k)
* Medical, Dental \&amp; Vision Insurance
* Life \&amp; Disability Insurance
* Flexible Spending Account (FSA)
* Dependent Care FSA (DC FSA)
* Relocation Allowance
* Top\-Notch Equipment
* Team Offsites
 If you’re excited to build products that transform how contractors run their businesses \- and you thrive in a fast\-paced, high\-impact environment \- we’d love to meet you.
 Handoff is an Equal Opportunity Employer. Handoff is committed to the principle of equal employment opportunity for all employees and to providing employees with a work environment free of discrimination and harassment. Handoff will not tolerate discrimination or harassment based on any of these characteristics. Handoff encourages applicants of all ages. Handoff also participates in E\-Verify.</t>
        </is>
      </c>
    </row>
    <row r="5">
      <c r="A5" t="inlineStr">
        <is>
          <t>li-4360533598</t>
        </is>
      </c>
      <c r="B5" t="inlineStr">
        <is>
          <t>Product Manager</t>
        </is>
      </c>
      <c r="C5" t="inlineStr">
        <is>
          <t>Binta Financial</t>
        </is>
      </c>
      <c r="D5" t="inlineStr">
        <is>
          <t>linkedin</t>
        </is>
      </c>
      <c r="E5" t="inlineStr"/>
      <c r="F5" t="inlineStr"/>
      <c r="G5" t="inlineStr"/>
      <c r="H5" t="inlineStr"/>
      <c r="I5" t="inlineStr">
        <is>
          <t>We are seeking an experienced Product Manager to lead the development and optimization of our payments and monetization strategies. In this role, you will work closely with engineering, design, and business teams to build innovative solutions that enhance user experiences and drive revenue growth. The ideal candidate has a deep understanding of payments ecosystems, monetization models, and user\-centric product development.
**Key Responsibilities**
* Define and execute the product road\-map for payments and monetisation strategies, aligned with company goals.
* Collaborate with cross\-functional teams to design, develop, and launch new payment methods, subscription models, and pricing strategies.
* Analyze user behavior and payment data to identify trends, pain points, and opportunities for optimization.
* Partner with stakeholders to integrate third\-party payment processors, gateways, and APIs.
* Ensure compliance with global payment regulations, data security, and privacy standards.
* Monitor and report on key performance metrics, iterating on strategies to maximize revenue and user satisfaction.
* Conduct market research to stay ahead of industry trends and competitor offerings.
**Qualifications**
* Bachelor’s degree in Business, Computer Science, or a related field; MBA is a plus.
* 3\+ years of product management experience in payments, fintech, or related domains.
* Strong understanding of global payment systems, subscription services, and digital monetization models.
* Proven track record of delivering impactful product features and driving business results.
* Excellent analytical skills with the ability to interpret data and translate it into actionable insights.
* Experience working with cross\-functional teams in an agile environment.
* Strong communication and stakeholder management skills.
* Familiarity with tools such as Jira, Confluence, or similar product management platforms.
**What We Offer**
* Competitive salary and performance\-based incentives.
* Opportunities to lead impactful projects in a fast\-paced environment.
* Professional development and learning resources.
* Inclusive culture that values innovation and collaboration.
 Join us in shaping the future of payments and creating exceptional user experiences. Apply today!</t>
        </is>
      </c>
    </row>
    <row r="6">
      <c r="A6" t="inlineStr">
        <is>
          <t>li-4368990724</t>
        </is>
      </c>
      <c r="B6" t="inlineStr">
        <is>
          <t>Technical AI Product Manager
Global/Remote</t>
        </is>
      </c>
      <c r="C6" t="inlineStr">
        <is>
          <t>CryptoCurrency ICO/Airdrop</t>
        </is>
      </c>
      <c r="D6" t="inlineStr">
        <is>
          <t>linkedin</t>
        </is>
      </c>
      <c r="E6" t="inlineStr"/>
      <c r="F6" t="inlineStr"/>
      <c r="G6" t="inlineStr"/>
      <c r="H6" t="inlineStr"/>
      <c r="I6" t="inlineStr">
        <is>
          <t>**About The Role**
 CoinMarketCap is building AI products to help users discover, understand, and act on crypto information more effectively. We’re hiring a Technical AI Product Manager to join our AI team. This is an individual contributor role in the Product org. You’ll spend most of your time building and iterating: identifying user pain points, prototyping in Python, prompt engineering, context engineering, and improving AI features we’ve already shipped based on real usage and feedback.Once an MVP is validated, you’ll partner with Engineering to productionize and scale it. You are not responsible for long\-term platform scalability or owning the full engineering surface area. You are responsible for producing strong prototypes and handing Engineering a clear, validated direction.
 What you’ll do
**Includes But Not Limited To**
* Identify the biggest user pain points where a crypto AI can materially improve outcomes.
* Turn ambiguous ideas into a clear MVP, with crisp scope, constraints, and success metrics.
* Prototype full AI experiences in Python to validate value and quality before we ship to production.
* Own prompts and context engineering: instruction design, context shaping, guardrails, tool/function calling patterns, and output formatting.
* Build practical evaluation loops: golden sets, scenario coverage, qualitative rubrics, regressions, and acceptance criteria.
* Design the AI user experience: make it clear, trustworthy, and resilient if things go wrong.
* Run fast experiments, learn from real outputs and usage data, and iterate quickly.
* Partner with Engineering to ship: provide handoff specs, edge cases, evaluation results, and support debugging and iteration post\-launch.
* Work on whatever surface is the highest leverage.
 What we’re looking for
* Strong product judgment and the ability to make good calls under ambiguity.
* Hands\-on Python prototyping ability: you move fast, write clean code, and can translate ideas into working prototypes.
* Practical LLM experience \+ intuition: you understand prompt iteration, context design, and have a strong intuition for how to build useful products on top of LLMsA strong evaluation mindset: you can define quality, test for failure modes, and prevent regressions without heavy process.
* High\-agency execution: you can go from “vague problem” → “shipped learning” with minimal supervision.
* Excellent communication skills (verbal and written): convey complex messages clearly and simply, and driving conviction across stakeholders.
 Nice to have
* Shipped user\-facing AI features (chat, agents, copilots, summarization, search/Q\&amp;A, personalization).
* 0 to 1 experience in fast\-moving environments and owning ambiguous problems end\-to\-end.
* Experience building tool\-using and agent\-like workflows.
* Experience and interest in cryptocurrency.
 We have a strong preference for candidates who can point to things they’ve built (prototypes, side projects, or shipped features) and explain how they navigated ambiguity to reach a useful outcome. To stand out, include examples of these in your application.
 Apply for this job</t>
        </is>
      </c>
    </row>
    <row r="7">
      <c r="A7" t="inlineStr">
        <is>
          <t>li-4359383806</t>
        </is>
      </c>
      <c r="B7" t="inlineStr">
        <is>
          <t>Senior Product Manager</t>
        </is>
      </c>
      <c r="C7" t="inlineStr">
        <is>
          <t>Ramp Talent</t>
        </is>
      </c>
      <c r="D7" t="inlineStr">
        <is>
          <t>linkedin</t>
        </is>
      </c>
      <c r="E7" t="inlineStr"/>
      <c r="F7" t="inlineStr"/>
      <c r="G7" t="inlineStr"/>
      <c r="H7" t="inlineStr"/>
      <c r="I7" t="inlineStr">
        <is>
          <t>Our client, Filevine, is looking for a Senior Product Manager. See details below.
**Senior Product Manager, Depositions** 
 Filevine is forging the future of legal work with cloud\-based workflow tools. We have a reputation for intuitive, streamlined technology that helps professionals manage their organization and serve their clients better. We’re also known for our team of extraordinary and passionate professionals who love working together to help organizations thrive. Our success has catapulted Filevine to the forefront of our field—we are ranked as one of the most innovative and fastest\-growing technology companies in the country by both Deloitte and Inc.
**Our Mission** 
 Filevine is building the seamless intersection between legal and business by creating a world\-class platform to help professionals scale.
**Role Summary:** 
 As a Sr. Product Manager at Filevine, you'll be a critical force in shaping the future of our legal technology platforms. You'll take ownership of new product initiatives, from conception to market launch, with a focus on exceeding customer expectations and driving business growth.
 You’ll work on products in the Depositions by Filevine platform, an AI\-powered legal\-tech solution that revolutionizes how law firms and legal teams manage depositions. From automated scheduling and seamless hosting to real\-time AI analysis, goal tracking, and post\-deposition synthesis, a product transforming a traditionally manual process into an integrated, data\-driven system.
**Responsibilities** 
* Delivering the product vision: Develop comprehensive product plans, specifications, and user stories that bring high\-quality features and enhancements to life.
* Roadmap Execution: Work collaboratively with product leadership and teams to continually execute against the product roadmap.
* Championing the user experience: Closely collaborate with UX designers, ensuring a seamless and delightful experience for every user.
* Building strong partnerships: Collaborate closely with engineering teams to craft usable user experiences and deliver effective solutions. You'll be the voice of the customer in the development process, ensuring features are built to solve real\-world problems.
* Bridging the gap: Translate complex customer and business needs into clear, actionable specifications, business rules, flows, and use cases.
* Customer Adoption: Actively hop on customer calls to understand their needs and pain points firsthand to inform product decisions and improve their experience.
* Data\-driven decision\-making: Analyze data and customer feedback to identify problems, measure results, and prioritize opportunities.
* Agile work style: Slice user stories into manageable chunks, define acceptance criteria, and work iteratively with engineers.
* Prioritization master: Anticipate bottlenecks, collaborate with teams to optimize the backlog, and ensure projects align with business needs and long\-term goals.
* Quality assurance champion: Help with product acceptance testing, working with QA, engineers, and customers.
* Launch leader: Drive zero\-to\-one product launches and contribute to go\-to\-market. Partner with the GTM team to build value propositions, marketing videos, email copy, and one\-pagers that capture the essence of your product and resonate with target audiences.
* Evangelizing your product: Proactively educate everyone within the organization about your product area, creating excitement, and buy\-in. Ensure everyone is equipped to advocate for your creations.
**Qualifications** 
* B.S. or M.S. in business, accounting, engineering, computer science, information systems, or a related field; comparable certifications; or equivalent direct work experience.
* 5\+ years of experience in software product or project management in SaaS.
* Experience delivering software related to the legal industry/depositions is welcomed but not a must.
* Strong knowledge and experience of software development methodologies and working within a software development life cycle. Ability to bring creative problem\-solving and an innovative mindset to challenges.
* Ability to adapt and remain flexible to changing priorities and consider new ideas while having the business's success firmly in your focus.
* Excellent communication and interpersonal skills. Strong attention to detail and organizational skills.
* Strong problem\-solving, decision\-making, and analytical skills.
* Data\-driven decision maker.
* Experienced with Agile/lean delivery frameworks.
* A passion for driving efficiency and quality metrics.
* Ability to travel as business needs dictate.
* Travel can include time at our Salt Lake City headquarters or visiting customers, prospects and attending conferences throughout the US and Canada.</t>
        </is>
      </c>
    </row>
    <row r="8">
      <c r="A8" t="inlineStr">
        <is>
          <t>li-4369473479</t>
        </is>
      </c>
      <c r="B8" t="inlineStr">
        <is>
          <t>Platform Product Manager, Monetization</t>
        </is>
      </c>
      <c r="C8" t="inlineStr">
        <is>
          <t>Square</t>
        </is>
      </c>
      <c r="D8" t="inlineStr">
        <is>
          <t>linkedin</t>
        </is>
      </c>
      <c r="E8" t="inlineStr"/>
      <c r="F8" t="inlineStr"/>
      <c r="G8" t="inlineStr"/>
      <c r="H8" t="inlineStr"/>
      <c r="I8"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The Platform Product Manager, Monetization owns the platform that powers our SaaS business and our strategy for large scale pricing and packaging updates for our existing sellers. This role is responsible for the full lifecycle of our subscription products including: billing, subscription management experiences, reporting and administration, internal tooling, compliance, feature access control, and platform reliability. This is a highly visible role that provides an opportunity to oversee a critical driver of Square's monetization strategy.
 As the Platform Product Manager, Monetization, you will oversee platform and product development from ideation through to creation and delivery. You will advocate for the voice of our sellers as well as 1st and 3rd party developers to build platform and user experiences that are not just reliable, scalable, and secure, but also create a competitive advantage for Square.
 In this role, you will collaborate closely with designers, engineers, analysts, marketers, and other cross\-functional team members within the organization to ensure our products provide a remarkable, delightful experience. On any given day, your job may include researching seller feedback, analyzing seller data, building a new strategy, presenting to executive leadership, building new experiences, iterating on experiments, and planning or prioritizing initiatives. You will oversee the full stack product management of the platform, APIs, and user\-experiences that empower internal teams and sellers with solutions to succeed.
**You Will**
* Run your product like a business \- define the vision, strategy, roadmap for your domain, grounded in clear objectives, metrics and the needs of our partnership teams and end customers.
* Partner cross\-functionally with engineering, data science, design, marketing, sales, and multiple other partner product teams across Square to define roadmaps and deliver platform capabilities.
* Own the end\-to\-end lifecycle of your capabilities \- from opportunity discovery and requirements definition through launch, adoption, and ongoing optimization — balancing new feature delivery with reliability, tech debt, and platform work.
* Use data to improve platform performance: own KPIs and OKRs for your product domain, instrument the platform to measure them, and feed insights back into your roadmap and prioritization.
* Drive cross\-functional programs across Square, aligning priorities, sequencing work, clearly communicating progress and trade\-offs.
* Deeply understand our platform and capabilities, advise other partner teams on best practices and define solutions, and collaborate to implement solutions.
**You Have**
* 8\+ years of professional experience as a Product Manager for a platform, SaaS, and/or payments product.
* Experience working with a high\-performing team of software engineers, using AI and agile software development practices.
* A system‑thinking mindset and technical fluency that allow you to work closely with senior engineers, understand service architectures, and translate product goals into pragmatic technical requirements and trade‑offs.
* Ability to prioritize ruthlessly across KLO / run‑the‑business work, strategic platform investments, and new product enablement, using data and clear frameworks to make and communicate trade‑offs.
* A collaborative, low‑ego working style with a track record of building strong partnerships across engineering, operations, finance, compliance, risk and partner product teams — especially in matrixed organizations.
* The ability to simplify complex topics for diverse audiences and to drive alignment with senior stakeholders across Block.
* A metrics‑driven approach to decision‑making; you are comfortable defining KPIs, digging into dashboards, and using both quantitative and qualitative insights to guide your roadmap.
* Curiosity, ownership, and a bias for action — you are enthusiastic, move quickly while bringing others along, and care deeply about building resilient, long‑lived infrastructure that earns our customers’ trust.
* Passion for Square's mission, with new technology and for solving complex problems.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also consider qualified applicants with criminal histories for employment on our team, and always assess candidates on an individualized basis.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Block will consider qualified applicants with arrest or conviction records for employment in accordance with state and local laws and “fair chance” ordinances.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$198,000—$297,000 USD
**Zone B**
 $188,100—$282,100 USD
**Zone C**
 $178,200—$267,400 USD
**Zone D**
 $168,300—$252,500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9">
      <c r="A9" t="inlineStr">
        <is>
          <t>li-4339770255</t>
        </is>
      </c>
      <c r="B9" t="inlineStr">
        <is>
          <t>Product Manager, IT</t>
        </is>
      </c>
      <c r="C9" t="inlineStr">
        <is>
          <t>OpenAI</t>
        </is>
      </c>
      <c r="D9" t="inlineStr">
        <is>
          <t>linkedin</t>
        </is>
      </c>
      <c r="E9" t="inlineStr"/>
      <c r="F9" t="inlineStr"/>
      <c r="G9" t="inlineStr">
        <is>
          <t>San Francisco, CA</t>
        </is>
      </c>
      <c r="H9" t="inlineStr"/>
      <c r="I9" t="inlineStr">
        <is>
          <t>**About The Team**
 The IT organization is a cohesive team that improves security, productivity, and user experience for everyone at OpenAI. We build and operate the technology foundation that enables every employee to work securely, efficiently, and with high velocity from day one, helping OpenAI remain the most secure and productive AI lab in the world. Our work spans building and maintaining reliable networks, identity and access systems, secure client platforms, and intuitive automation and self\-service tools. We also support the full employee journey through smooth onboarding, well\-managed hardware and logistics, and responsive global support. As OpenAI grows, we design the technology that powers our offices and keeps collaboration seamless across locations. Through strong security, scale, and simplicity, we enable teams to do their best work.
**About The Role**
 As a Product Manager, you will lead vision, strategy, and execution for internal systems and platforms that enable secure, reliable, and efficient operations. You will translate technical and operational needs into clear product roadmaps, working closely with IT, engineering, and security to build scalable, intuitive, and resilient products that remove friction and improve productivity across the company.
 You are systems\-minded, pragmatic and iterative. You thrive in ambiguity, move quickly with good judgment, and learn through iteration and usage data. You understand how internal systems fit together end\-to\-end and design solutions that balance usability, scale, and security.
 This role is based in San Francisco, CA. We use a hybrid work model of 3 days in the office per week and offer relocation assistance to new employees.
**In This Role, You Will**
**Set direction and drive alignment**
* Define and evolve product vision and roadmaps for core internal systems and platforms
* Ensure tools enable productivity, scale securely, and deliver a seamless employee experience
* Align priorities across IT, engineering, security, workplace and operational teams
**Iterate and ship with purpose**
* Translate operational workflows and technical constraints into clear product requirements
* Partner with engineering, security, and IT teams to ship reliable, well\-designed systems
* Use OpenAI models and existing internal capabilities to simplify processes, reduce toil, and increase autonomy and efficiency
* Validate impact in production, and scale improvements over time
**Measure and improve**
* Define success metrics and measure user experience, operational efficiency, and system reliability
* Use data, telemetry, usage insights, and feedback loops to drive prioritization and continuous improvement
* Deliver measurable reductions in friction and support effort
**Build deep systems \&amp; domain understanding**
* Develop deep understanding of identity, access, onboarding, endpoint, and network systems
* Understand systems end\-to\-end, from identity and access to endpoints and network surfaces
* Serve as a voice of the user, balancing usability, scale, reliability, and security requirements
**You Might Thrive In This Role If You**
* Have 10\+ years of product management or closely related experience, including leading complex, cross\-functional products or platforms in high\-growth or enterprise environments.
* Have a strong record of driving product strategy and execution for complex internal systems and applications, taking products from 0 to 1 and scaling from 1 to 10\.
* Bring systems thinking and technical depth to partner with IT, platform engineering, and security.
* Lead with clarity and curiosity, guide autonomous teams, bring focus in ambiguity, define measurable outcomes, and iterate based on user feedback and data.
* Have a software engineering background with an understanding of modern architectures, APIs, Python, and front\-end frameworks such as React, enabling close collaboration with engineering teams.
* Thrive in fast\-changing environments where secure, reliable, and intuitive systems power people’s ability to do their best work.
* Are excited to build on OpenAI models and internal agentic platforms, and to use our own technology to improve how we operate.
**Nice To Have**
* Experience applying AI and agentic technologies to build intelligent systems that automate workflows, improve reliability, and enhance the employee experience.
* Working knowledge of enterprise and infrastructure domains such as identity, access, endpoint, and network systems, and how they integrate through APIs and shared platform services.
* Proficiency using data, telemetry, or lightweight code to prototype automation, measure impact, and drive continuous improvement across IT, engineering, and security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$293K \- $385K</t>
        </is>
      </c>
    </row>
    <row r="10">
      <c r="A10" t="inlineStr">
        <is>
          <t>li-4317388898</t>
        </is>
      </c>
      <c r="B10" t="inlineStr">
        <is>
          <t>Product Manager, Gemini in Chrome, Gemini App</t>
        </is>
      </c>
      <c r="C10" t="inlineStr">
        <is>
          <t>Google DeepMind</t>
        </is>
      </c>
      <c r="D10" t="inlineStr">
        <is>
          <t>linkedin</t>
        </is>
      </c>
      <c r="E10" t="inlineStr"/>
      <c r="F10" t="inlineStr"/>
      <c r="G10" t="inlineStr">
        <is>
          <t>Mountain View, CA</t>
        </is>
      </c>
      <c r="H10" t="inlineStr"/>
      <c r="I10" t="inlineStr">
        <is>
          <t>**About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This is an opportunity to join DeepMind’s Gemini App team where you will define and lead the product vision for how users interact with AI, strategically integrating cutting\-edge AI capabilities amidst a rapidly evolving technological landscape. Gemini in Chrome is a powerful agent that works on your behalf, autonomously handling tedious online tasks, navigating across your tabs, and accomplishing multi\-step actions. Join the team pioneering this agentic browsing experience, pushing the boundaries of what Gemini can proactively accomplish for users on the web.
 This role requires someone who is comfortable driving innovation in a space where foundational AI technologies and user needs are co\-evolving rapidly. By leveraging cutting\-edge large language models (LLMs), you will contribute to the advancement of generative AI technologies, enabling them to serve as intelligent assistants, researchers, collaborators, and coaches. This role offers the opportunity to make a profound impact by creating an AI experience that deeply understands and supports individual user needs and ambitions. This is especially critical as product\-market fit for novel LLM\-powered experiences is still emerging, requiring keen insight to translate subtle user needs into intuitive AI solutions. You will work with a talented team passionate about pushing the boundaries of what's possible in conversational AI. If you're excited about shaping the future of human\-AI interaction and developing innovative products that seamlessly integrate into users' daily lives, this is your chance to be at the forefront of this transformative field.
**Key responsibilities:**
* Define and champion a clear product vision, roadmap, and strategic plan for extending LLM capabilities via tools, effectively integrating emerging AI technologies and ensuring alignment with organizational mission and evolving user needs
* Develop and prioritize product requirements by synthesizing user feedback, UX research, rigorous AI model performance metrics, market trends, and competitive analysis, proactively clarifying ambiguities specific to AI's evolving nature and generating insights from complex AI model behaviors to deliver impactful product improvements
* Lead and influence cross\-functional teams (Engineering, Research, UX, Legal, etc.) to design, implement, and launch innovative features, effectively bridging AI's technical complexity with organizational goals and user needs through clear communication and strategic narratives
* Own and drive masterful go\-to\-market strategies for new AI features and products, including strategic positioning, market understanding, and impactful messaging to ensure successful launch and sustained market relevance in a rapidly paced AI landscape
* Maintain deep technical expertise in advanced AI (including LLMs, Diffusion Models, RAG), intuitively understanding and predicting emerging model capabilities. Drive rapid prototyping cycles, gathering targeted user feedback to iteratively refine AI products and swiftly respond to technical breakthroughs
* Lead innovative product development amidst foundational uncertainty, enabling swift strategic pivots and responsive decision\-making in response to rapidly changing AI and market conditions, ensuring continuous progress and clear direction
**About You**
 In order to set you up for success as a Product Manager at Google DeepMind, we look for the following skills and experience:
* Bachelor's degree or equivalent practical experience.
* 10 years of experience in product management or related technical role.
* 5 years of experience taking technical products from conception to launch.
* Demonstrable, extensive technical knowledge and hands\-on product experience with advanced AI technologies, including Large Language Models (LLMs), and ideally familiarity with concepts like Diffusion Models or Retrieval\-Augmented Generation (RAG). Proven ability to intuitively understand and predict emerging AI model capabilities and engage in credible, informed collaborations with highly technical teams.
* Proven experience in designing, managing, and continuously refining rigorous evaluation methods and success metrics for AI models and AI\-powered products, converting performance insights into impactful product enhancements.
* Demonstrated ability to independently drive complex product initiatives forward in ambiguous and rapidly evolving AI contexts, proactively clarifying uncertainties, generating insights from model behaviors, and adapting strategies decisively
* Experience working cross\-functionally with engineering, UX/UI, legal, marketing and other stakeholders to deliver successful products
* Proven ability to prepare and deliver compelling technical presentations to senior leadership, effectively communicating product vision and strategy
**In addition, the following would be an advantage:**
* Strong aptitude for deeply understanding user perspectives for novel AI products, proactively identifying pain points, and translating nuanced user insights into refined and intuitive AI\-powered user experiences
* Hands\-on experience in software development or engineering, with a strong understanding of technical concepts and the ability to collaborate with development teams
* Demonstrated success in being a self\-starter, and fostering a culture of innovation and driving exceptional results
* Experience in proactively identifying ethical risks in AI systems, familiarity with adversarial analysis, or a background in embedding safety protocols in AI product development
*The US base salary range for this full\-time position is between $227,000 \- $320,000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11">
      <c r="A11" t="inlineStr">
        <is>
          <t>li-4359585289</t>
        </is>
      </c>
      <c r="B11" t="inlineStr">
        <is>
          <t>Product Owner</t>
        </is>
      </c>
      <c r="C11" t="inlineStr">
        <is>
          <t>Cloud and Things</t>
        </is>
      </c>
      <c r="D11" t="inlineStr">
        <is>
          <t>linkedin</t>
        </is>
      </c>
      <c r="E11" t="inlineStr"/>
      <c r="F11" t="inlineStr"/>
      <c r="G11" t="inlineStr">
        <is>
          <t>Albany, NY</t>
        </is>
      </c>
      <c r="H11" t="inlineStr"/>
      <c r="I11" t="inlineStr">
        <is>
          <t>*Our goal is to solve problems and deliver results for our clients. At Cloud and Things, you can be a part of transforming the public sector’s IT environment. Our team is on the forefront of helping to solve the government's most complex IT challenges. If you are seeking a role that offers the opportunity to work on rewarding projects, consider a career with Cloud and Things.* 
**\*This is an exempt position. Salary commensurate with experience\*** 
**Overview** 
 :
***Location: Remote
 Salary: $50,000 \- $65,000***
 We are seeking a 
 **Product Owner** 
 with a strong IT background who will support our client on their Agile development team. This role will work closely with stakeholders, business analysts, developers, and UX/UI teams to deliver high\-quality software solutions that meet business and customer needs. The ideal candidate for this role will have strong skills to translate business requirements into user stories, manage the product backlog, and ensure that the development team understands the product goals. 
**Duties** 
 :  
* Ability to gather, translate, and prioritize business requirements into clear user stories
* Review of acceptance criteria.
* Ensure functional specifications while maintaining a well\-organized and strategically aligned product backlog.
* Lead Agile ceremonies (sprint planning, grooming, standups).
* Act as the primary liaison between stakeholders, developers, UX/UI teams, and QA to ensure shared understanding of product goals and feature priorities.
* Strong understanding of IT systems, SDLC, cloud/APIs, and product performance metrics.
* Communicate complex technical concepts in a way that drives successful product outcomes.
* Manage stakeholder expectations, gather continual feedback, and facilitate discussions.
* Present product vision and updates to ensure alignment across business and technical teams.
* Make decisions on product features and scope in collaboration with stakeholders.
* Monitor the product lifecycle and suggest enhancements for future iterations.
* Collaborate with QA to ensure proper testing coverage and acceptance criteria are met.
* Track and report on product performance, using metrics to inform future Development.
**Mandatory Qualifications:** 
* Bachelor’s degree in computer science, Information Systems, Business, or related field
* 1 – 3 years of experience collaborating with stakeholders and development teams.
* 1 – 3 years of experience defining and prioritizing product backlog to ensure clarity and alignment with business goals.
* 1 – 3 years of experience creating detailed user stories, acceptance criteria, and functional requirements.
* 1 – 3 years of experience leading sprint planning, backlog grooming, and daily standups with Agile teams.
**Desirable Qualifications** 
 :  
* Certified Scrum Product Owner (CSPO) or equivalent certification
* Experience with cloud platforms (AWS, Azure), APIs, and/or enterprise IT systems
* Experience in UX/UI design principles and tools
* Background in software engineering or technical analysis is a plus
*Cloud and Things complies with all applicable federal, state, and local laws regarding recruitment and hiring. All qualified applicants are considered for employment without regard to race, color, religion, sex, sexual orientation, gender identity, national origin, age, disability, protected veteran status, or any other category protected by applicable federal, state, or local laws.*
**AI\-Assisted Resume Evaluation Notice** 
**Cloud and Things – Talent Management** 
**Notice to Candidates** 
 Cloud and Things utilizes artificial intelligence (AI) tools to assist our recruiting team in evaluating candidate applications for streamlining; consistency, efficiency, and thoroughness.  All hiring decisions are ultimately made by our human recruiting professionals.
**How AI Is Used** 
 Our AI tools assist by:
* Analyzing resumes against job requirements
* Supporting our recruiters in candidate data evaluation
* Ensuring consistent review standards across all applications
**Important:** 
 AI serves as a support tool only. As noted above, all candidate selection and hiring decisions are made by experienced human recruiters. Your unedited resume will be processed by our AI tools as part of this evaluation.
**Your Data and Privacy** 
**Cloud and Things Data Handling:** 
* Your information is processed securely and used exclusively for recruitment purposes
* Cloud and Things may store your resume in our Applicant Tracking System (ATS) indefinitely for future job matching opportunities
* You may opt out of long\-term ATS storage by emailing your name  and your request to opt out of storing your resume in the ATS to: security@cloudandthings.com
* All personal information is handled confidentially in accordance with our privacy policy
**AI Tool Data Processing:** 
* AI processing data is retained for a maximum of 90 days, after which it is deleted
* All data sent to AI tools is encrypted in transit and at rest
* AI tools comply with applicable privacy laws including GDPR and CCPA
* Personal data is anonymized or minimized wherever possible during AI processing
**Your Participation** 
 By submitting your application, you acknowledge this notice and consent to AI\-assisted evaluation as part of our recruitment process. You may opt out only by choosing not to submit your resume for consideration.</t>
        </is>
      </c>
    </row>
    <row r="12">
      <c r="A12" t="inlineStr">
        <is>
          <t>li-4359083509</t>
        </is>
      </c>
      <c r="B12" t="inlineStr">
        <is>
          <t>Product Manager</t>
        </is>
      </c>
      <c r="C12" t="inlineStr">
        <is>
          <t>Envoy</t>
        </is>
      </c>
      <c r="D12" t="inlineStr">
        <is>
          <t>linkedin</t>
        </is>
      </c>
      <c r="E12" t="inlineStr"/>
      <c r="F12" t="inlineStr"/>
      <c r="G12" t="inlineStr">
        <is>
          <t>San Francisco, CA</t>
        </is>
      </c>
      <c r="H12" t="inlineStr"/>
      <c r="I12" t="inlineStr">
        <is>
          <t>Envoy builds workspace management technology that makes it simple to run secure, compliant, and connected workplaces across every location. Over 16,000 workplaces and properties around the world rely on Envoy to create great experiences for employees and visitors while meeting safety, security, and compliance needs at scale. From corporate headquarters and labs to manufacturing sites, Envoy powers the places where people work best together.
**Learn more at** 
 envoy.com
**About The Role**
 Product management here at Envoy is the most critical role for ensuring customers and their end\-users love the products they're using. Every decision you make will directly impact tens of thousands of workplaces around the world and their millions of occupants, be them employees, visitors, contractors, etc. Envoy seeks to deliver next\-level operational efficiency, data\-drivenness, safety, and security for everyone involved, and our solutions must be highly thoughtful about this at scale. You will be responsible for this for your product or product line. This isn't an easy job, but if high stakes is your game, you'll enjoy things a lot.
 We are currently looking for product leadership in multiple areas: the core Visitors product, our Enterprise and analytics team, creating a new self\-serve PLG team, parts of our Workplace offerings including our newer Screens product, our developer\-facing API/MCP team, the real\-estate focused Connect product line, our consumer\-focused Envoy Passport/Mobile product, and our internal tooling and localization efforts. Let us know your preference, and we'll help you choose based on the right values alignment, experience and company priorities.
 We're currently a very small and nimble product team with most leadership spread throughout product design roles, product marketing, engineering management, and we even have some IC engineers running their products externally. Needless to say, we recognize this isn't going to scale, and we want to get ahead of it with your ownership and help. This brings inward opportunity too – as the product team grows, we'll need product line leaders and organizers, and we'd much rather promote from within when possible. But for now, this is an IC PM role as that's what's on fire and needs help.
 This is a full\-time, five\-day onsite role in San Francisco. Please remember we are a workplace company – we build products for workplaces. We believe that we can only become experts in something when we surround ourselves in it. We're happy to help move you out here if necessary. We also help with visa transfers if needed.
 We hope this all sounds great to you so far!
**This is an on\-site position requiring at least 5 days per week (Monday \- Friday) at our San Francisco HQ.**
****As a baseline, you will need****
* 5\+ years of experience in Product Management, preferably in B2B with enterprise exposure and 0\-1 product building experience
* An undergraduate degree in Computer Science, Engineering, or a quantitative field
****In this role, you will****
* Meticulously own vision, roadmap, strategy, and execution of your products
* Launch products and be ultimately responsible for the success/failure of the products/features based on the goals/metrics you define.
* Push for quality and urgency despite constant challenges for one or the other. You need to enjoy this battle.
* Be the primary switchboard and gather feedback from customers directly, our sales/success teams, and others cross\-functionally to create an opinion and get things iterated, built, and launched. You must be good at rational decision\-making; not everyone will always agree, yet you'll still need their support.
* Be the point person to customers during beta or high\-iteration periods in products. And you'll run internal dogfooding.
* Story\-tell internally the importance of what we're building to engineering ICs, designers, researchers and the general company, encouraging bottoms up ownership, creative thinking and internal contribution.
* Own much of pricing and packaging, and you'll ensure sales training happens as you expect for your products. There is no throwing\-over\-the\-wall allowed here.
* You'll bring your existing product processes and help us all elevate our product execution.
* And yes, it has to be said, roles change over time; this job description is dynamic, you need to be comfortable in an environment where things can change a lot.
****Your values****
 Every company is unique, with its own culture and community, and specific values that make things gel. There is no one general fingerprint for what makes a 'good' company or a 'bad' one, it's all dependent on your personal values and how well they map to the values of the company you're part of. It's therefore critical you and us match well together. As you explore the list below, please be real with yourself – is this the kind of environment you really want? If not "yes absolutely", it's best to not apply, trust us, you're going to have a bad time. If however, these describe you, you're going to have an amazing time here with friends you'll retain for years to come. We hope this describes you!
* You have a passion for workplaces, have strong end\-user intuition and demand products you yourself can proudly use daily
* You thrive in ambiguous, low\-guidance environments. You seek accountability and to own the success (and failure!) of everything you work on.
* You have a high bar for everything you build, including the way it looks and feels, spending the time necessary to achieve quality to winning standards. Especially in Enterprise software, notorious for putting quality by the wayside.
* You create and hold yourself and your team to success metrics. You are data\-driven, relying on numbers to persuade versus necessarily just high\-paying customer anecdotes.
* You are impatient and expect things sooner than in a couple weeks, months or quarters
* You have high empathy and humility and understand you're always learning. You're also aggressively a believer that everyone you work with must be this way too.
* You often tinker with new AI tooling and general automation at home and work to always be better and more effective.
* You believe teams being in\-office are the best way to solve problems fast and build great products.
* You look for all these same values from your current and future teammates and would be disappointed and even consider departing if we compromised too often. You want to be part of a like\-minded team and culture.
*By applying for this position, you acknowledge that you have fully read and understand the job requirements and received the Envoy Privacy Notice for applicants, which is linked* 
*here* 
*. Completing this application requires you to provide personal data, such as your name and contact information, which is mandatory for Envoy to process your application. Envoy is an EEO Employer and does not discriminate on the basis of any characteristic protected by local, state or federal law.*
 Compensation Range: $210K \- $225K</t>
        </is>
      </c>
    </row>
    <row r="13">
      <c r="A13" t="inlineStr">
        <is>
          <t>li-4314987109</t>
        </is>
      </c>
      <c r="B13" t="inlineStr">
        <is>
          <t>Product Manager</t>
        </is>
      </c>
      <c r="C13" t="inlineStr">
        <is>
          <t>Meta</t>
        </is>
      </c>
      <c r="D13" t="inlineStr">
        <is>
          <t>linkedin</t>
        </is>
      </c>
      <c r="E13" t="inlineStr"/>
      <c r="F13" t="inlineStr"/>
      <c r="G13" t="inlineStr">
        <is>
          <t>Sunnyvale, CA</t>
        </is>
      </c>
      <c r="H13" t="inlineStr"/>
      <c r="I13"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
      <c r="A14" t="inlineStr">
        <is>
          <t>li-4369103406</t>
        </is>
      </c>
      <c r="B14" t="inlineStr">
        <is>
          <t>Associate Product Manager</t>
        </is>
      </c>
      <c r="C14" t="inlineStr">
        <is>
          <t>Haystack</t>
        </is>
      </c>
      <c r="D14" t="inlineStr">
        <is>
          <t>linkedin</t>
        </is>
      </c>
      <c r="E14" t="inlineStr"/>
      <c r="F14" t="inlineStr"/>
      <c r="G14" t="inlineStr"/>
      <c r="H14" t="inlineStr"/>
      <c r="I14" t="inlineStr">
        <is>
          <t>**Associate Product Manager \| Pleasant Prairie, WI \| Hybrid** 
 We're working with Uline on this exciting opportunity.
 Ignite your career in product management! At Uline, you'll dive into managing your own product line, researching new products, and collaborating with cross\-functional teams to drive profitability and growth. This is your chance to make a real impact on a diverse product portfolio.
**The Role** 
 • Become a product expert by deeply understanding your assigned product category.
 • Discover and source innovative new products from both domestic and international vendors.
 • Strategize and participate in vendor negotiations, ensuring optimal agreements.
 • Collaborate with Purchasing, Creative, Quality Control, Compliance, and Pricing teams to bring products to market.
 • Contribute to catalog layout and new product placement to maximize impact.
**What You'll Need** 
 • Bachelor's degree in a relevant field.
 • 2 to 5 years of experience in Product Management, Supply Chain, or Marketing.
 • Strong proficiency in Microsoft Office, with advanced Excel skills.
 • Exceptional written and verbal communication abilities.
 • Highly organized, analytical, and possessing an unwavering attention to detail.
**What's On Offer** 
 • Comprehensive health insurance and a 401(k) with a 6% employer match from day one.
 • Excellent bonus programs and generous paid time off.
 • Tuition Assistance Program for your professional development.
 • Access to an on\-site café and a first\-class fitness center with complimentary personal trainers.
**Apply via Haystack today!**</t>
        </is>
      </c>
    </row>
    <row r="15">
      <c r="A15" t="inlineStr">
        <is>
          <t>li-4369601802</t>
        </is>
      </c>
      <c r="B15" t="inlineStr">
        <is>
          <t>Product Manager</t>
        </is>
      </c>
      <c r="C15" t="inlineStr">
        <is>
          <t>Wabash</t>
        </is>
      </c>
      <c r="D15" t="inlineStr">
        <is>
          <t>linkedin</t>
        </is>
      </c>
      <c r="E15" t="inlineStr"/>
      <c r="F15" t="inlineStr"/>
      <c r="G15" t="inlineStr">
        <is>
          <t>Indianapolis, IN</t>
        </is>
      </c>
      <c r="H15" t="inlineStr"/>
      <c r="I15" t="inlineStr">
        <is>
          <t>**About the Role:**
 As a Product Manager, you are responsible for Product Ownership, customer advocacy, strategic alignment, and single point orchestration of a visionary product strategy. You will plan, manage, and support a portfolio of products and solutions.
**Your**
**Responsibilities:**
* Support the selling process, gather the voice of the customer, and translate insights into a tangible product strategy
* Develop and maintain product roadmaps, in alignment with corporate strategy, business plans, market and customer assessments to fully leverage customer value creation opportunities.
* Utilize product roadmaps to prioritize resource allocation in the execution of product strategy
* Oversee the developing and managing of new product idea funnels
* Understand and articulate the alignment of Customer problems, company capabilities and technology solutions
* Assist and create go\-to\-market programs that align with the buying process
* Support commercial organization with market and product expertise
* Seek opportunities to enhance our value proposition, product and service coverage, capabilities, and speed to market
* Develop tools and processes that promote high levels of open communication, critical thinking, and accountability throughout the enterprise
 **.**
* Other duties as assigned
**Let's Talk About Your Qualifications:**
* Bachelor's Degree (Preferred Major: Engineering, Finance or other technical or business major)
* 5\-10 years of experience in a B2B or B2C Product Development environment
* At least 7 years of experience working in a manufacturing environment
* Knowledge in operational level financial management and decision making
* Familiarity with value proposition design, market definition, and segmentation
* Six Sigma (Green Belt, Black Belt or Master Black Belt) Certification preferred
* Master's Degree (Degree Desired: MS or MBA) preferred
**Leadership Attributes:**
 At Wabash, we pride ourselves on being empowering, and there are some things we feel very strongly about:
* Embrace Diversity and Inclusion \-\- Solicit and respect the input of others, celebrate differences, and strive for transparency and inclusiveness
* Seek to Listen \-\- Actively listen to reach the best solution and make the strongest decisions
* Always Learn \-\- Strive to improve; do not quit or settle for the status quo
* Be Authentic \-\- Demonstrate honesty, incredible energy, and grit in everything you do
* Win Together \-\- Collaborate, seek alignment, and excel at cross\-group communication to success as one team and One Wabash
 Join us in turning ideas into world\-changing realities. Curate and build your high\-impact professional career at Wabash!
**Affirmative Action/EEO Statement:**
 Wabash is committed to providing equal employment opportunity for its associates and applicants without regard to race, color, religion, sex, age, national origin, veteran status, disability, or other protected class or activity under federal, state, or local law. All employment decisions must be based on neutral, legitimate criteria. All employment policies and rules shall be applied equally to similarly situated associates.</t>
        </is>
      </c>
    </row>
    <row r="16">
      <c r="A16" t="inlineStr">
        <is>
          <t>li-4314986128</t>
        </is>
      </c>
      <c r="B16" t="inlineStr">
        <is>
          <t>Product Manager</t>
        </is>
      </c>
      <c r="C16" t="inlineStr">
        <is>
          <t>Meta</t>
        </is>
      </c>
      <c r="D16" t="inlineStr">
        <is>
          <t>linkedin</t>
        </is>
      </c>
      <c r="E16" t="inlineStr"/>
      <c r="F16" t="inlineStr"/>
      <c r="G16" t="inlineStr">
        <is>
          <t>Menlo Park, CA</t>
        </is>
      </c>
      <c r="H16" t="inlineStr"/>
      <c r="I16"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
      <c r="A17" t="inlineStr">
        <is>
          <t>li-4359884671</t>
        </is>
      </c>
      <c r="B17" t="inlineStr">
        <is>
          <t>Senior Product Manager</t>
        </is>
      </c>
      <c r="C17" t="inlineStr">
        <is>
          <t>CHEQ</t>
        </is>
      </c>
      <c r="D17" t="inlineStr">
        <is>
          <t>linkedin</t>
        </is>
      </c>
      <c r="E17" t="inlineStr"/>
      <c r="F17" t="inlineStr"/>
      <c r="G17" t="inlineStr">
        <is>
          <t>New York, United States</t>
        </is>
      </c>
      <c r="H17" t="inlineStr"/>
      <c r="I17" t="inlineStr">
        <is>
          <t>CHEQ is the global leader in Go\-to\-Market Security, trusted by over 15,000 customers worldwide to protect every aspect of their marketing, sales, and data operation from bots, fake users, fraud, and cyber attacks.
 Powered by award\-winning cybersecurity technology, CHEQ offers the broadest suite of solutions for securing the entire funnel, from paid marketing to on\-site conversion, data, and analytics.
 CHEQ is a global company with offices in Tel Aviv, New York, London, and Tokyo.
 We are seeking a talented and results\-driven Senior Product Manager to join our team and take ownership of some of our Consent Management, Tag Management, and Client\-Side Security products.
 As a Senior Product Manager, you will play a vital role in defining and executing the product plan, ensuring that our products meet the needs of our customers and drive business growth.
 You will collaborate closely with cross\-functional teams, including engineering, design, marketing, and customer support, to develop and deliver innovative solutions that empower our clients to optimize their website performance and data management.
**Responsibilities:** 
* Product Strategy and Roadmap
 : Work alongside leadership, customers, sales,and professional services to develop and communicate a clear and compelling product strategy for your products, aligned with the company's vision and market trends. Collaborate with key stakeholders to define the product roadmap and prioritize features based on customer needs, market opportunities, and business goals.
* Product Development and Execution
 : Work closely with the engineering and design teams to translate product requirements into actionable plans. Define user stories, prioritize feature development, and ensure timely delivery of high\- quality solutions. Collaborate with engineering teams to address technical challenges and ensure product scalability, reliability, and security.
* Cross\-functional Collaboration
 : Partner with marketing and sales teams to gather customer feedback, understand market demands, and ensure successful product launches. Provide product expertise and support to these teams, enabling them to effectively promote, sell, and support Ensighten.com products.
* Product Performance Analysis
 : Define and track key performance indicators (KPIs) to evaluate the success and impact of the products. Monitor user adoption, customer satisfaction, and revenue growth metrics. Analyze data and user feedback to identify areas for improvement and drive product optimization.
* Market Research and Competitive Analysis
 : Conduct market research and stay informed about the competitive landscape and emerging industry trends related to website performance, data management, and customer experience. Conduct competitive analysis to identify product gaps and opportunities for differentiation. Use this information to drive innovation, refine the product roadmap, and drive competitive advantage.
* Customer Advocacy
 : Serve as a customer advocate throughout the product development process. Engage with customers, gather their insights, understand their pain points, and incorporate their feedback into product requirements and enhancements. Continuously seek opportunities to improve the customer experience and drive customer success with Ensighten.com products.
**Requirements:** 
* Proven Experience
 : At least 3 years of experience in product management, preferably in digital marketing technologies, website performance or client\-side security. Experience with enterprise software products and B2B markets is highly desirable.
* Technical Knowledge
 : Solid understanding of web technologies, website performance optimization, data management, and analytics. Familiarity with tag management systems, consent management platforms, JS, HTML, CSS, and web analytics platforms is a plus.
* Customer Focus
 : Passion for understanding customer needs and delivering exceptional user experiences. Demonstrated ability to translate customer requirements into actionable product features.
* Strategic Thinking
 : Ability to think strategically and align product initiatives with business goals. Proven track record of developing and executing product strategies that drive revenue growth and market success.
* Strong Communication Skills
 : Excellent written and verbal communication skills, with the ability to effectively collaborate with cross\-functional teams, present ideas, and influence stakeholders at all levels.
* Analytical and Data\-driven
 : Proficient in data analysis, using metrics and analytics tools to inform product decision\-making. Ability to draw insights from data, identify trends, and make informed decisions.
* Project Management:
 Strong project management skills, with the ability to manage multiple priorities, meet deadlines, and drive results in a fast\-paced environment.
* Bachelor or Masters degree in
 computer science, engineering, business administration, or a related field is preferred.
*The pay range for this role is $160K\-$180K per year.* 
*Actual compensation packages are based on several factors that are unique to each candidate, including but not limited to skill set, depth of experience, certifications, and specific work location.* 
*This information is provided per New York City’s salary disclosure law.*</t>
        </is>
      </c>
    </row>
    <row r="18">
      <c r="A18" t="inlineStr">
        <is>
          <t>li-4314928142</t>
        </is>
      </c>
      <c r="B18" t="inlineStr">
        <is>
          <t>Product Manager - Automation Platform and Insights</t>
        </is>
      </c>
      <c r="C18" t="inlineStr">
        <is>
          <t>Netflix</t>
        </is>
      </c>
      <c r="D18" t="inlineStr">
        <is>
          <t>linkedin</t>
        </is>
      </c>
      <c r="E18" t="inlineStr"/>
      <c r="F18" t="inlineStr"/>
      <c r="G18" t="inlineStr">
        <is>
          <t>Los Gatos, CA</t>
        </is>
      </c>
      <c r="H18" t="inlineStr"/>
      <c r="I18"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Client and Partner Technologies (CPT) team builds tools and services to scale the Netflix application platform to over half a billion devices while maintaining high\-quality standards. We are seeking a tooling platform product manager to shape the future of our test automation and productivity ecosystem, guiding the evolution of our tools and services to enable streamlined workflows, efficient governance, and actionable insights for our internal engineering and QA teams.
 As a Product Manager in the Client and Partner Technologies (CPT) Product Management team at Netflix, you will strategize, prioritize, and execute initiatives that drive operational efficiency and quality within our organization, operating at the center of a fast\-paced, cross\-functional environment, collaborating daily with engineering, QA, and operations experts. Your ability to foster alignment across engineering teams working on various devices and technology platforms will be key. You should also be comfortable leading through ambiguity and driving progress even when some stakeholders remain unconvinced. Your leadership will directly impact these teams' productivity and pace of innovation.
 Deep technical experience with demonstrated excellence in delivering mobile, web, and/or TV client application test automation platforms and test automation workflow applications is highly valued. Excellent candidates have deep experience in product management for Data, Web, and Mobile platforms. The best candidates demonstrate initiative, especially in disambiguating areas with complex ownership models. They’ll already have strong communication skills and a proven ability to align different teams to drive initiatives with a high degree of clarity and speed.
 This role is based in our Los Gatos offices and is hybrid\-remote; the expectation is easy access to the LG office for a few days every couple of weeks.
**What You’ll Be Doing**
* Define and communicate the product vision, strategy, and roadmap for our internal CI/CD tools and test automation platforms
* Shape the platform strategy and north star vision for test automation, productivity tooling, and insights, ensuring alignment across engineering stakeholders.
* Translate the strategy into a product roadmap that balances the near\-term needs of our stakeholder teams while prioritizing what is most impactful over the long term.
* Collaborate and drive cross\-functional teams including experience design, engineering, and tooling to deliver outstanding product solutions that enable seamless integration of testing frameworks, device platforms, and actionable insights.
* Create strong partnerships with internal product, engineering, and QA teams, establishing feedback loops for product input.
* Guide our product evolution to address the entire product life cycle, adoption, and migration experience, while providing clear guidance and recommendations to product and engineering teams for successful onboarding and transition.
* Engage and thrive in a healthy debate of ideas, fostering an environment of innovation and collaboration, and communicate product plans and progress broadly throughout the organization.
* Define how we will measure the success and effectiveness of our products—such as improvements in test coverage, operational efficiency, and automation health—and drive the execution and continuous evaluation of those metrics to ensure ongoing impact.
* Drive the evolution of our CI/CD ecosystem, including enhancing our Jenkins and Spinnaker platforms, expanding our use of GitHub Actions, and integrating with automated testing frameworks and physical device labs.
**Qualifications**
* 7\+ years of Product Management experience, ideally focusing on internal platforms, developer tools, or test automation services.
* Experience contributing to the development of B2B enterprise services, either as a product manager, designer, or engineer.
* Proficient in using data and qualitative insights to prioritize high\-impact areas, measure success, and inform product decisions, especially in operational efficiency and quality assurance.
* Comfortable making decisions under uncertainty, particularly as we evolve our strategy.
* Excellent written and verbal communication skills, with the ability to distill complex technical topics—such as automation frameworks, device lab management, and testing insights—into clear, compelling stories for various audiences.
* Inquisitive and fast learner, able to quickly orient and understand a complex domain.
* Strong understanding of modern software development lifecycles, CI/CD principles, and DevOps methodologies.
* Knowledge and experience in defining, measuring, and improving developer productivity.
* Strategic thinking and ability to craft and drive a vision for maximum positive business impact.
* Demonstrated initiative in clarifying ambiguous projects and driving them to completion.
* Experience in identifying tradeoffs, surfacing needs for clarity, and driving decision\-making.
* Experience contributing to internal/operational products and services.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$310,000\.00 \- $545,000\.00\.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9">
      <c r="A19" t="inlineStr">
        <is>
          <t>li-4368998433</t>
        </is>
      </c>
      <c r="B19" t="inlineStr">
        <is>
          <t>Associate Product Manager</t>
        </is>
      </c>
      <c r="C19" t="inlineStr">
        <is>
          <t>Haystack</t>
        </is>
      </c>
      <c r="D19" t="inlineStr">
        <is>
          <t>linkedin</t>
        </is>
      </c>
      <c r="E19" t="inlineStr"/>
      <c r="F19" t="inlineStr"/>
      <c r="G19" t="inlineStr"/>
      <c r="H19" t="inlineStr"/>
      <c r="I19" t="inlineStr">
        <is>
          <t>**Associate Product Manager \| Pleasant Prairie, WI \| Hybrid** 
 We're working with Uline on this exciting opportunity.
 Ignite your career in product management! At Uline, you'll dive into managing your own product line, researching new products, and collaborating with cross\-functional teams to drive profitability and growth. This is your chance to make a real impact on a diverse product portfolio.
**The Role** 
 • Become a product expert by deeply understanding your assigned product category.
 • Discover and source innovative new products from both domestic and international vendors.
 • Strategize and participate in vendor negotiations, ensuring optimal agreements.
 • Collaborate with Purchasing, Creative, Quality Control, Compliance, and Pricing teams to bring products to market.
 • Contribute to catalog layout and new product placement to maximize impact.
**What You'll Need** 
 • Bachelor's degree in a relevant field.
 • 2 to 5 years of experience in Product Management, Supply Chain, or Marketing.
 • Strong proficiency in Microsoft Office, with advanced Excel skills.
 • Exceptional written and verbal communication abilities.
 • Highly organized, analytical, and possessing an unwavering attention to detail.
**What's On Offer** 
 • Comprehensive health insurance and a 401(k) with a 6% employer match from day one.
 • Excellent bonus programs and generous paid time off.
 • Tuition Assistance Program for your professional development.
 • Access to an on\-site café and a first\-class fitness center with complimentary personal trainers.
**Apply via Haystack today!**</t>
        </is>
      </c>
    </row>
    <row r="20">
      <c r="A20" t="inlineStr">
        <is>
          <t>li-4314978212</t>
        </is>
      </c>
      <c r="B20" t="inlineStr">
        <is>
          <t>Product Manager</t>
        </is>
      </c>
      <c r="C20" t="inlineStr">
        <is>
          <t>Meta</t>
        </is>
      </c>
      <c r="D20" t="inlineStr">
        <is>
          <t>linkedin</t>
        </is>
      </c>
      <c r="E20" t="inlineStr"/>
      <c r="F20" t="inlineStr"/>
      <c r="G20" t="inlineStr">
        <is>
          <t>Bellevue, WA</t>
        </is>
      </c>
      <c r="H20" t="inlineStr"/>
      <c r="I20"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1">
      <c r="A21" t="inlineStr">
        <is>
          <t>li-4369468503</t>
        </is>
      </c>
      <c r="B21" t="inlineStr">
        <is>
          <t>Product Manager II, Uber Gifting</t>
        </is>
      </c>
      <c r="C21" t="inlineStr">
        <is>
          <t>Uber</t>
        </is>
      </c>
      <c r="D21" t="inlineStr">
        <is>
          <t>linkedin</t>
        </is>
      </c>
      <c r="E21" t="inlineStr"/>
      <c r="F21" t="inlineStr"/>
      <c r="G21" t="inlineStr">
        <is>
          <t>San Francisco, CA</t>
        </is>
      </c>
      <c r="H21" t="inlineStr"/>
      <c r="I21" t="inlineStr">
        <is>
          <t>**About The Role**
 Are you passionate about building innovative social and commerce experiences that drive engagement, platform loyalty, and the joy of sharing? At Uber, we're redefining how people show appreciation and stay connected by making our global services from rides, meals, to retail; the ultimate gift.
 As a
 **Product Manager for Uber Gifting** 
 , you will lead the evolution of how millions of users share the magic of Uber with friends, family, and colleagues. You will play a key role in shaping and scaling a global gifting ecosystem\-encompassing physical items, subscriptions, and gift cards. By building seamless gifting products, you'll empower users to unlock Uber's platform for others, driving both new user acquisition and deep\-seated brand affinity.
**What The Candidate Will Do**
* Drive Innovation: Develop and execute a visionary roadmap for the financial products portfolio products, introducing groundbreaking features that delight users and drive engagement.
* Collaborate Cross\-Functionally : Work closely with engineering, design, marketing, and operations teams to build seamless and personalized gifting experiences across the Uber platform.
* Understand User Needs : Dive deep into user research and data analytics to create products that exceed expectations and foster meaningful connections.
* Forge Strategic Partnerships : Identify and manage relationships with external partners.
* Drive Global Impact: Tailor gifting solutions to resonate with diverse cultures and markets, scaling our products to reach a global audience.
* Measure Success: Monitor key performance metrics and feedback loops to continually enhance user satisfaction and business outcomes.
**Basic Qualifications**
* Experience: Minimum of 3 years as a Product Manager in a tech company with a strong focus on consumer\-facing products.
* Education: Bachelor's degree in Computer Science, Engineering, Business, or a related field.
* Technical Proficiency: Ability to collaborate effectively with engineering teams and understand technical integrations and challenges.
**Preferred Qualifications**
* Entrepreneurial Mindset: Experience launching products from 0 to 1 at scale, demonstrating creativity and a willingness to challenge the status quo.
* Data\-Driven Decision Making: Strong analytical skills with the ability to interpret complex data to inform product strategies.
* Exceptional Communication: Excellent interpersonal skills with the ability to inspire and lead cross\-functional teams toward a common goal.
* Global Perspective: Experience working on products with a global reach, adapting strategies to meet varied market needs.
* Strategic Vision: Ability to align product initiatives with overall company objectives, balancing immediate needs with long\-term goals.
 For San Francisco, CA\-based roles: The base salary range for this role is USD$161,000 per year \- USD$179,000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USD$161,000 per year \- USD$179,000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2">
      <c r="A22" t="inlineStr">
        <is>
          <t>li-4360534625</t>
        </is>
      </c>
      <c r="B22" t="inlineStr">
        <is>
          <t>Product Manager</t>
        </is>
      </c>
      <c r="C22" t="inlineStr">
        <is>
          <t>DIGI America (TERAOKA Group)</t>
        </is>
      </c>
      <c r="D22" t="inlineStr">
        <is>
          <t>linkedin</t>
        </is>
      </c>
      <c r="E22" t="inlineStr"/>
      <c r="F22" t="inlineStr"/>
      <c r="G22" t="inlineStr">
        <is>
          <t>Somerset, NJ</t>
        </is>
      </c>
      <c r="H22" t="inlineStr"/>
      <c r="I22" t="inlineStr">
        <is>
          <t>**Company Overview:** 
 DIGI America is a leading provider of innovative solutions in the Retail
 Grocery and Food Industry. We are committed to delivering exceptional products and services that
 meet the evolving needs of our customers. As part of our strategic growth plan, we are seeking a
 dynamic and experienced Product Manager to join our team.
**Position Overview:** 
 As a Product Manager, you will play a key role in the go\-to\-market strategy,
 cross\-functional collaboration, marketing, sales support, and product performance monitoring for
 the Innovation sector of our retail product line. You will work closely with cross\-functional teams
 including Sales, Marketing, Service, and Operations to deliver high\-quality products that meet
 customer needs and business goals. While this Product Manager position focuses on Innovation,
 ESL, AiO and our software tied to said products, via cross\-training you will also be responsible for
 other DIGI products such as Wrappers and Scales.
**Key Responsibilities:** 
* As a key member of the product team the Product Manager will provide market research and analysis, pre\-sales analysis, design, and recommendations for customer implementation.
* Support our Sales team by relaying knowledge of our products to create documentation and guides for our product listings.
* Continued support of our Sales team by traveling to visit with prospects and customers, customer\-facing with excellent communication skills in order to present functionality, benefits, and technical specifications of this product line.
* Work with our parent company to test and maintain images, files, documentation and knowledgebase articles, in addition to providing feedback on food industry products.
* Conduct thorough testing and debugging to ensure the quality and reliability of Innovation, Scale and Wrapper products software releases.
* Present and train our sales team members and new employees via onboarding of each product, including testing of each team member.
* Update and modify training material for all Innovation related products, including testing questionnaires and open\-ended questions.
* The Product Manager works to support connectivity between our customers’ business needs and to ensure our products meet these needs to deliver value.
* Stay up to date on industry trends, technologies, and regulations related to Innovation related equipment.
* Identify market opportunities and competitive landscape trends to influence product direction and maintain a competitive edge.
* Work closely with Sales and Marketing teams to ensure product messaging, positioning, and customer experience are aligned.
* Engage with customers to understand pain points, needs, and usage patterns through interviews, surveys, and data analysis. Use this information to relay features and improvements back to our parent company.
* Support our Service team to deliver successful customer installations with troubleshooting on\-site and remotely as needed.
* Being the company product expert through speaking engagements and article creation.
**Basic Qualifications:** 
* Flexibility to regularly rotate through different technical specialist and skill sets.
* Ability to thrive on change as products evolve
* The ability to communicate with differing business units from executive level to end users.
* Knowledge of PC and/or embedded based systems
* Knowledge of Networking, WiFi, and TCP/IP protocols
* Excellent verbal, written and presentation communications skills
* Travel as required to support sales team with addressable market and customer visits up to 40%
**Qualifications:** 
* Bachelor’s degree in business, Product Management, Information technology, or other related field
* Excellent communication, written and interpersonal skills
* Creative, strategic, and analytical abilities with strong presentation skills
* Must be able to work in an environment requiring extensive telephone and computer work
* and be able to handle multiple issues simultaneously
* Extensive background in creating market and competitor analysis
* Drive to dig into how a system operates and desire to learn how to manipulate how hardware and software works. Problem solving aptitude
* Strong understanding of product development processes and lifecycle management.
* Strong organizational skills with the ability to manage multiple projects simultaneously and prioritize effectively.
* Proactive attitude towards learning new technologies and self\-improvement.
* Ability to work effectively in a fast\-paced, dynamic environment and manage multiple priorities simultaneously.
**Benefits:** 
* Competitive salary
* Comprehensive benefits package (including Health, Dental, Vision, Disability and Life
* Insurance)
* Opportunities for career growth and advancement
* Dynamic and collaborative work environment
 DIGI is an equal opportunity employer and values diversity in the workplace.</t>
        </is>
      </c>
    </row>
    <row r="23">
      <c r="A23" t="inlineStr">
        <is>
          <t>li-4369607420</t>
        </is>
      </c>
      <c r="B23" t="inlineStr">
        <is>
          <t>Principal Product Manager - REMOTE</t>
        </is>
      </c>
      <c r="C23" t="inlineStr">
        <is>
          <t>Jobgether</t>
        </is>
      </c>
      <c r="D23" t="inlineStr">
        <is>
          <t>linkedin</t>
        </is>
      </c>
      <c r="E23" t="inlineStr"/>
      <c r="F23" t="inlineStr"/>
      <c r="G23" t="inlineStr">
        <is>
          <t>Arkansas, United States</t>
        </is>
      </c>
      <c r="H23" t="inlineStr"/>
      <c r="I23" t="inlineStr">
        <is>
          <t>This position is posted by Jobgether on behalf of a partner company. We are currently looking for a Principal Product Manager \- REMOTE. This role is vital in leading the product strategy, architecture, and execution for a new AI\-powered platform that will transform decision\-making processes. The ideal candidate will act as the single\-threaded owner for a foundational capability, collaborating across various teams including engineering, AI/ML, and design to create a seamless product experience. You'll have the opportunity to define how content is modeled and user intents are recognized, making a significant impact on the future of the platform.
**Accountabilities**
* Own the product vision, long\-term strategy, and roadmap for a foundational capability within the next\-gen discovery platform.
* Define data models, technical architecture, and platform interfaces for intelligent product experiences.
* Partner with engineering to design scalable APIs and system components.
* Collaborate with AI/ML teams to integrate advanced capabilities.
* Write PRFAQs and technical narratives to align senior leadership on product vision.
* Engage with CIOs and analysts to validate pain points and iterate on product\-market fit.
* Define success metrics and build strategies for continuous learning.
**Requirements**
* 7\+ years of product management experience, with 4\+ years in a technical or platform product role.
* Bachelor’s degree in Computer Science, Engineering, or equivalent technical experience.
* Proven experience in launching products in fast\-paced environments.
* Deep technical expertise in architecture and API design.
* Strong communication skills, capable of influencing high\-level stakeholders.
* Experience leading cross\-functional teams in engineering and design.
* Customer\-oriented with a track record of impactful results.
**Benefits**
* 15 vacation days (prorated based on start date)
* 12 company\-paid holidays
* 6 paid sick days (prorated based on start date)
* Medical, dental, and vision coverage
* 2 floating holidays (prorated based on start date)
* 1 volunteer day
* 401(k) company match (3% on the first 6% of employee contributions)
* Company\-paid short\-term disability
* Company\-paid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
      <c r="A24" t="inlineStr">
        <is>
          <t>li-4325308922</t>
        </is>
      </c>
      <c r="B24" t="inlineStr">
        <is>
          <t>Senior Product Manager</t>
        </is>
      </c>
      <c r="C24" t="inlineStr">
        <is>
          <t>Qualcomm</t>
        </is>
      </c>
      <c r="D24" t="inlineStr">
        <is>
          <t>linkedin</t>
        </is>
      </c>
      <c r="E24" t="inlineStr"/>
      <c r="F24" t="inlineStr"/>
      <c r="G24" t="inlineStr">
        <is>
          <t>Santa Clara, CA</t>
        </is>
      </c>
      <c r="H24" t="inlineStr"/>
      <c r="I24" t="inlineStr">
        <is>
          <t>**Company**
 Qualcomm Technologies, Inc.
**Job Area**
 Operations Group, Operations Group \&gt; Product Management
**General Summary**
 Qualcomm is looking for an experienced sensors/sensing hub Product Manager.
 Qualcomm Sensing Hub enables always\-on / low power experiences, designed to make Snapdragon devices contextually aware of its surroundings. This incredible combination of power efficiency and compute horsepower is very important for devices to run 24/7 without compromising battery life.
**Key Responsibilities**
* Define and execute the product strategy for Qualcomm Sensing Hub, ensuring alignment with the company’s vision and market needs.
* Conduct market research and competitive analysis to identify trends and opportunities.
* Collaborate with engineering teams to translate product strategy into detailed requirements.
* Manage the entire product lifecycle from planning to tactical activities.
* Work closely with sales and marketing teams to define product positioning and go\-to\-market strategies.
* Engage with customers and partners to gather feedback and incorporate it into product improvement.
* Collaborate with key partners and stakeholders to create buy\-in for the product vision and roadmap.
* Collaborate with sensor vendors, reviewing and aligning their roadmap with our reference designs
**Qualifications**
* Bachelor’s degree in business, engineering, or related field; Master’s degree is a plus.
* Minimum three (preferred five) years of professional experience in product management, business development in the sensors or related technology field.
* Five years of experience (preferably product management, business) working with sensors/MEMS technology.
* Excellent communication with the ability to drive cross\-functional teams.
* Ability to multi\-task, work cross\-functionally in a fast\-paced environment.
**Minimum Qualifications**
* Bachelor's degree in Engineering, Information Systems, Computer Science, Humanities, or related field.
* 4\+ years of Product Management or related work experience.
**Preferred Qualifications**
* 7\+ years of Product Management or related work experience.
* 2\+ years of working with operating budgets and/or project financials.
* 2\+ years of negotiating 3rd party business agreements.
* 2\+ years of working in a large matrixed organization.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$162,400\.00 \- $270,200\.00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25">
      <c r="A25" t="inlineStr">
        <is>
          <t>li-4348452770</t>
        </is>
      </c>
      <c r="B25" t="inlineStr">
        <is>
          <t>Product Manager</t>
        </is>
      </c>
      <c r="C25" t="inlineStr">
        <is>
          <t>Q2</t>
        </is>
      </c>
      <c r="D25" t="inlineStr">
        <is>
          <t>linkedin</t>
        </is>
      </c>
      <c r="E25" t="inlineStr"/>
      <c r="F25" t="inlineStr"/>
      <c r="G25" t="inlineStr">
        <is>
          <t>Austin, TX</t>
        </is>
      </c>
      <c r="H25" t="inlineStr"/>
      <c r="I25" t="inlineStr">
        <is>
          <t>**As passionate about our people as we are about our mission.**
**Why Join Q2?**
 Q2 is a leading provider of digital banking and lending solutions to banks, credit unions, alternative finance companies, and fintechs in the U.S. and internationally. Our mission is simple: build strong and diverse communities through innovative financial technology—and we do that by empowering our people to help create success for our customers.
**What Makes Q2 Special?**
 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
**Summary**
 Q2 is seeking a skilled Product Manager to lead the strategy, roadmap, and execution for our SDK, Developer Portal, and Marketplace experiences. In this role, you will provide product oversight for SDK development, partnering closely with engineering, design, and cross\-functional product lines to align investment with Q2’s broader platform strategy. You will gather and translate client, partner, and internal stakeholder feedback into clear requirements, prioritize work to maximize impact, and architect a roadmap that accelerates extensibility, partner innovation, and ecosystem growth. You will champion a clear vision for Q2’s developer experience—communicating direction broadly to financial institutions, partners, and internal teams—while operating in a flexible, fast\-paced environment where collaboration and strategic thinking are essential.
**The Job At\-A\-Glance**
* Drive roadmap and product strategy for money movement initiatives
* Collaborate closely with engineering to understand technical trade\-offs and influence product design
* Partner with support, observability, and other product leads to analyze root causes of issues
* Monitor and impact key metrics and efficiencies for products
* Provide guidance and mentorship to the product team on the product lifecycle
* Assist, train, and grow employees while evangelizing best practices
* Proactively identify opportunities for new trends, features, and products
* Conduct research and provide industry expertise for product business cases
* Establish and track business cases and financials
* Assess the risk of value, feasibility, and usability for product success Communicate value and vision effectively, establishing credibility with stakeholders
* Engage with clients and prospects via Relationship and Sales teams as needed
* Build effective relationships with Product, Sales, and Marketing teams
* Champion end\-user experience through integration of human interaction best practices and front\-end design
* Work with Product Owners to ensure security, availability, confidentiality, and privacy policies are adhered to
* Deliver product acceptance criteria for development teams to ensure high\-quality outcomes
* Collaborate with Release Management to develop release documentation and internal training materials
**Bring Your Passion, Do What You Love. Here’s What We’re Looking For:**
* Typically requires a Bachelor’s degree in (relevant degree) and a minimum of 5 years of related experience; or an advanced degree with 3\+ years of experience; or equivalent related work experience.
* emonstrable experience in software product management
* Strong team leadership, including building, growing, motivating, and mentoring high\-performance teams
* Excellent verbal, written, and interpersonal communication skills
* Strong teamwork, organization, and problem\-solving abilities
* Excel and data analysis proficiency
* Self\-starter with ability to deliver results independently
* Experience with Pendo or other user analytics applications is a plus
*This position requires fluent written and oral communication in English.*
*Applicants must be authorized to work for any employer in the U.S. We are unable to sponsor or take over sponsorship of an employment Visa at this time.*
**Health \&amp; Wellness**
* Hybrid Work Opportunities
* Flexible Time Off
* Career Development \&amp; Mentoring Programs
* Health \&amp; Wellness Benefits, including competitive health insurance offerings and generous paid parental leave for eligible new parents
* Community Volunteering \&amp; Company Philanthropy Programs
* Employee Peer Recognition Programs – “You Earned it”
 Click here to find out more about the benefits we offer.
**Our Culture \&amp; Commitment**
 We’re proud to foster a supportive, inclusive environment where career growth, collaboration, and wellness are prioritized. And our benefits go beyond healthcare—offering resources for physical, mental, and professional well\-being. Click here to find out more about the benefits we offer. Q2 employees are encouraged to give back through volunteer work and nonprofit support through our Spark Program (see more). We believe in making an impact—in the industry and in the community.
 We are an Equal Opportunity Employer. All qualified applicants will receive consideration for employment without regard to race, color, religion, sex, sexual orientation, gender identity, national origin, age, disability, genetic information, or veteran status.
*Applicants in California or Washington State may not be exempt from federal and state overtime requirements*</t>
        </is>
      </c>
    </row>
    <row r="26">
      <c r="A26" t="inlineStr">
        <is>
          <t>li-4368998086</t>
        </is>
      </c>
      <c r="B26" t="inlineStr">
        <is>
          <t>AI Product Manager - Remote</t>
        </is>
      </c>
      <c r="C26" t="inlineStr">
        <is>
          <t>RemoteHunter</t>
        </is>
      </c>
      <c r="D26" t="inlineStr">
        <is>
          <t>linkedin</t>
        </is>
      </c>
      <c r="E26" t="inlineStr"/>
      <c r="F26" t="inlineStr"/>
      <c r="G26" t="inlineStr"/>
      <c r="H26" t="inlineStr"/>
      <c r="I26"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7">
      <c r="A27" t="inlineStr">
        <is>
          <t>li-4359003668</t>
        </is>
      </c>
      <c r="B27" t="inlineStr">
        <is>
          <t>Principal Product Manager, AI Factory</t>
        </is>
      </c>
      <c r="C27" t="inlineStr">
        <is>
          <t>Domino Data Lab</t>
        </is>
      </c>
      <c r="D27" t="inlineStr">
        <is>
          <t>linkedin</t>
        </is>
      </c>
      <c r="E27" t="inlineStr"/>
      <c r="F27" t="inlineStr"/>
      <c r="G27" t="inlineStr"/>
      <c r="H27" t="inlineStr"/>
      <c r="I27" t="inlineStr">
        <is>
          <t>**Who We Are**
 At Domino, we build software that helps the world’s most sophisticated enterprises deliver mission\-critical AI systems. Our platform helps data science teams accelerate research, increase collaboration, and rapidly deploy models — while managing costs, risk, and security. Our customers — like Johnson \&amp; Johnson, GSK, Bristol Myers, FINRA and the US Navy — are using our software to solve some of the most important challenges in the world, such as developing new medicines, securing our financial markets, or defending our country. Backed by Sequoia Capital and other leading investors we have been in business for a decade but are still a small team operating with the spirit of a startup. Especially in the world of AI today, we believe that the future is still being invented — and we want to be the ones building it.
**What We Are Building**
 At Domino, we are reimagining what it means to build and operate AI at scale. As the Principal Product Manager for our “AI Factory,” you’ll own the set of product capabilities that streamline the model development lifecycle: developing, training, deploying, and monitoring models and AI systems.
 Domino has long been a trailblazer in the data science and MLOps space, offering an integrated, end\-to\-end product experience — from development and experimentation to model publishing and operationalization. As the industry’s MLOps maturity increases, and as Gen AI creates new challenges for building and deploying AI systems maturity, we are advancing our product to meet the emerging needs of our customers.
 Your mission? To define and execute the next chapter of Domino’s “AI Factory.” You'll be responsible for driving the strategy and vision that elevates our platform’s capabilities, empowering our customers to build, deploy, and manage cutting\-edge AI systems with greater ease and efficiency.
**What Your Impact Will Be**
 Some specific focus areas will include:
* Advancing our novel Governance feature set to integrate model validation/review into the model development lifecycle. Drive breakthrough innovations (e.g., automated model documentation) as well as modern implementations of longstanding industry requirements (e.g., attestation, periodic revalidation).
* Lead the development of the next generation of MLOps capabilities, ensuring that Domino continues to offer cutting\-edge solutions for the AI lifecycle
+ Evolve our platform to better support Generative AI models and advanced AI systems
+ Expand and enhance our MLOps capabilities, enabling customers to streamline their AI workflows
* Increase integration and coherence across our platform, accelerating the time it takes for AI projects to move from inception to production
**What We Look For In This Role**
* 5\+ years of product management experience, delivering enterprise software tailored to data scientists or similar personas (ML/AI engineers, quantitative researchers, etc.)
* Deeply plugged into the AI/ML ecosystem, with a passion for engaging the broader community. You’re comfortable speaking at conferences, contributing to discussions, and have a clear point of view on the future of AI and data science
* Strategic thinker with commercial acumen: You excel at crafting product strategies that align with both customer needs and broader market trends, always with a focus on driving business growth
* Expertise in DS/AI workflows and ecosystems, with a comprehensive understanding of the tools, platforms, and methodologies that power modern machine learning and AI
* High standards for product quality: You have a strong sense of taste and are discerning when it comes to design and user experience, ensuring that everything we ship is of exceptional quality
* Strong technical proficiency: With a background in computer science or a related field, you’re comfortable working closely with engineers, brainstorming approaches, and discussing technical trade\-offs
* Enterprise customer intuition: You bring strong communication skills and practical judgment when engaging with enterprise clients, having collaborated on enterprise sales and customer interactions in the past
* Nice to have: Experience in the financial services industry
**What We Value**
* We strongly believe in the value of growing a diverse team and encourage people of all backgrounds, genders, ethnicities, abilities, and sexual orientations to apply
* We value a growth mindset. High\-performing creative individuals who dig into problems and see the opportunities for success
* We believe in individuals who seek truth and speak the truth and can be their whole selves at work.
* We value all of you that believe improving is always possible. At Domino, everything is a work in progress – we can do better at everything.
* We emphasize an environment of teaching and learning to equip employees with the tools needed to be successful in their function and the company.
*The annual US base salary range for this role is listed below. For sales roles, the range provided is the role's On Target Earnings ("OTE") range, meaning that the range includes both the sales commissions/sales bonuses target and annual base salary for the role. This salary range will be narrowed during the interview process based on a number of factors, including the candidate's experience, qualifications, and location. Additional benefits for this role may include: equity, company bonus or sales commissions/bonuses; 401(k) plan; medical, dental, and vision benefits; and wellness stipends.*
 Compensation Range
 $250,000—$300,000 USD</t>
        </is>
      </c>
    </row>
    <row r="28">
      <c r="A28" t="inlineStr">
        <is>
          <t>li-4361698761</t>
        </is>
      </c>
      <c r="B28" t="inlineStr">
        <is>
          <t>Principal Product Manager - Fintech Platform - Wallets</t>
        </is>
      </c>
      <c r="C28" t="inlineStr">
        <is>
          <t>Intuit</t>
        </is>
      </c>
      <c r="D28" t="inlineStr">
        <is>
          <t>linkedin</t>
        </is>
      </c>
      <c r="E28" t="inlineStr"/>
      <c r="F28" t="inlineStr"/>
      <c r="G28" t="inlineStr">
        <is>
          <t>Mountain View, CA</t>
        </is>
      </c>
      <c r="H28" t="inlineStr"/>
      <c r="I28" t="inlineStr">
        <is>
          <t>**Overview**
 The Intuit Fintech Platform team is seeking a product leader to develop and deliver new payment capabilities and experiences. We are looking for a leader who has the drive, curiosity and technical experience to move fast, execute and iterate.
 Millions of our users rely on Intuit to manage their finances, pay bills, and interact with small and large merchants. Our mission is to find new ways to make those customers’ lives easier by providing seamless, secure, and intuitive wallet solutions. We are a highly customer\-centric organization committed to doing the best work of our lives on their behalf.
 As a Principal Product Manager leading wallet within the Intuit Fintech Platform team, you will be instrumental in transforming customer experiences. You will directly own the strategy and development of new wallet capabilities, encompassing everything from how users store and access funds to how they initiate and complete transactions across Intuit's ecosystem. Your role will be critical in bridging the gap between modern payment rails and emerging trends such as agentic commerce and stablecoin.
**Responsibilities**
* Develop and align the team, executives, and stakeholders around a bold vision and product strategy for the Wallet. Meet with senior leaders and stakeholders regularly to educate, inform, and align commitments.
* Develop deep customer empathy and customer\-backed solutions through immersing in customer research
* Partner with engineering to deliver scalable and flexible capabilities. Partner closely with other product managers and designers to craft simple and impactful product experiences across web and mobile platforms.
* Exhibit strong cross\-functional partnership that demonstrates a high bar for collaboration and one team mindset
* Act as a key figure within the Fintech Platform Product Management leadership, collaborating closely with other leaders to craft a cohesive vision, strategy, and multi\-quarter roadmap.
* Maintain a comprehensive understanding of the competitive landscape to ensure our offerings are superior and well\-positioned.
* Lead the product prioritization and development process, ensuring alignment with customer needs, market positioning, and long\-term business objectives.
**Qualifications**
* 10\+ years of experience delivering world class product experiences. Deep experience with business or consumer wallet applications that encompass two sided platforms and creating network effects is a must.
* Exposure to agentic providers, stablecoin partners, merchant issuer and acquirers, and familiarity with the landscape is critical.
* Track record of successfully launching and scaling new products. Demonstrated ability to establish and evangelize a compelling product vision and strategy.
* Creative, strategic, and innovative, with a history of executing and delivering results.
* Track record of partnering closely and building trust with cross functional teams to drive outcomes.
* Demonstrated ability to understand and discuss technical concepts, manage tradeoffs and evaluate opportunistic new ideas with internal and external partners.
* Outstanding analytical skills and the ability to assess disparate datastreams and distill them into meaningful, actionable strategic insights and recommendations.
* Excellent verbal and written communication skills with the ability to communicate at all organizational levels.
* Passionate for solving customer problems, both for businesses and consumers.
* Bachelor’s degree required. MBA or MS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$236,000 \- $319,000</t>
        </is>
      </c>
    </row>
    <row r="29">
      <c r="A29" t="inlineStr">
        <is>
          <t>li-4366154691</t>
        </is>
      </c>
      <c r="B29" t="inlineStr">
        <is>
          <t>Product Manager</t>
        </is>
      </c>
      <c r="C29" t="inlineStr">
        <is>
          <t>Underdog.io -Apply to top tech jobs in 60 seconds. A place where companies apply to you</t>
        </is>
      </c>
      <c r="D29" t="inlineStr">
        <is>
          <t>linkedin</t>
        </is>
      </c>
      <c r="E29" t="inlineStr"/>
      <c r="F29" t="inlineStr"/>
      <c r="G29" t="inlineStr"/>
      <c r="H29" t="inlineStr"/>
      <c r="I29" t="inlineStr">
        <is>
          <t>One of our hiring partners is looking to hire a Product Manager to join their growing team in NYC.
 This particular hiring partner is backed by top investors securing Series B funding and is looking to empower healthcare careers through accessible education.
**Why people join** 
* Transformative impact
* Innovation\-driven culture
* Proven success ecosystem
* Growth \&amp; recognition
**What you’ll do:**
* Craft delightful, data\-driven best\-in\-class product experiences to ensure students succeed from signup to graduation
* Evolve \&amp; expand strategies for prioritizing instructor/coach time to effectively support diverse student populations
* Strategize AI integration to enhance personalized learning experiences
* Advocate for students, instructors, and coaches by deeply understanding their needs
* Manage a proprietary learning platform while expanding curricula and learning modalities
* Collaborate with design, engineering, data, and operations teams to iterate quickly
* Communicate product vision clearly and manage tradeoffs between priorities
**This job is for you if you have:**
* 3\+ years of consumer\-facing product management experience
* BA/BS in a quantitative discipline (computer science, statistics, engineering, economics, etc.)
* Strong analytical skills (SQL/data visualization proficiency) and communication abilities
* Experience building cross\-functional relationships and influencing stakeholders
* Hands\-on execution mindset with comfort making data\-driven prioritization decisions
* Bias for action in fast\-paced environments
**Bonus points for:**
* Startup experience in B2B2C/B2C EdTech or healthcare sectors
* Background in A/B testing or data\-driven product development
* Technical familiarity with software development workflows (e.g., GitHub navigation)
 The Underdog.io team is available if you have any questions or would like to discuss other potential roles.</t>
        </is>
      </c>
    </row>
    <row r="30">
      <c r="A30" t="inlineStr">
        <is>
          <t>li-4369605459</t>
        </is>
      </c>
      <c r="B30" t="inlineStr">
        <is>
          <t>Sr. Product Manager - Remote</t>
        </is>
      </c>
      <c r="C30" t="inlineStr">
        <is>
          <t>Jobgether</t>
        </is>
      </c>
      <c r="D30" t="inlineStr">
        <is>
          <t>linkedin</t>
        </is>
      </c>
      <c r="E30" t="inlineStr"/>
      <c r="F30" t="inlineStr"/>
      <c r="G30" t="inlineStr">
        <is>
          <t>California, United States</t>
        </is>
      </c>
      <c r="H30" t="inlineStr"/>
      <c r="I30" t="inlineStr">
        <is>
          <t>This position is posted by Jobgether on behalf of a partner company. We are currently looking for a Principal Product Manager \- REMOTE. This role is vital in leading the product strategy, architecture, and execution for a new AI\-powered platform that will transform decision\-making processes. The ideal candidate will act as the single\-threaded owner for a foundational capability, collaborating across various teams including engineering, AI/ML, and design to create a seamless product experience. You'll have the opportunity to define how content is modeled and user intents are recognized, making a significant impact on the future of the platform.
**Accountabilities**
* Own the product vision, long\-term strategy, and roadmap for a foundational capability within the next\-gen discovery platform.
* Define data models, technical architecture, and platform interfaces for intelligent product experiences.
* Partner with engineering to design scalable APIs and system components.
* Collaborate with AI/ML teams to integrate advanced capabilities.
* Write PRFAQs and technical narratives to align senior leadership on product vision.
* Engage with CIOs and analysts to validate pain points and iterate on product\-market fit.
* Define success metrics and build strategies for continuous learning.
**Requirements**
* 7\+ years of product management experience, with 4\+ years in a technical or platform product role.
* Bachelor’s degree in Computer Science, Engineering, or equivalent technical experience.
* Proven experience in launching products in fast\-paced environments.
* Deep technical expertise in architecture and API design.
* Strong communication skills, capable of influencing high\-level stakeholders.
* Experience leading cross\-functional teams in engineering and design.
* Customer\-oriented with a track record of impactful results.
**Benefits**
* 15 vacation days (prorated based on start date)
* 12 company\-paid holidays
* 6 paid sick days (prorated based on start date)
* Medical, dental, and vision coverage
* 2 floating holidays (prorated based on start date)
* 1 volunteer day
* 401(k) company match (3% on the first 6% of employee contributions)
* Company\-paid short\-term disability
* Company\-paid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1">
      <c r="A31" t="inlineStr">
        <is>
          <t>li-4369604472</t>
        </is>
      </c>
      <c r="B31" t="inlineStr">
        <is>
          <t>Remote Principal Product Manager</t>
        </is>
      </c>
      <c r="C31" t="inlineStr">
        <is>
          <t>Jobgether</t>
        </is>
      </c>
      <c r="D31" t="inlineStr">
        <is>
          <t>linkedin</t>
        </is>
      </c>
      <c r="E31" t="inlineStr"/>
      <c r="F31" t="inlineStr"/>
      <c r="G31" t="inlineStr">
        <is>
          <t>Arizona, United States</t>
        </is>
      </c>
      <c r="H31" t="inlineStr"/>
      <c r="I31" t="inlineStr">
        <is>
          <t>This position is posted by Jobgether on behalf of a partner company. We are currently looking for a Principal Product Manager \- REMOTE. This role is vital in leading the product strategy, architecture, and execution for a new AI\-powered platform that will transform decision\-making processes. The ideal candidate will act as the single\-threaded owner for a foundational capability, collaborating across various teams including engineering, AI/ML, and design to create a seamless product experience. You'll have the opportunity to define how content is modeled and user intents are recognized, making a significant impact on the future of the platform.
**Accountabilities**
* Own the product vision, long\-term strategy, and roadmap for a foundational capability within the next\-gen discovery platform.
* Define data models, technical architecture, and platform interfaces for intelligent product experiences.
* Partner with engineering to design scalable APIs and system components.
* Collaborate with AI/ML teams to integrate advanced capabilities.
* Write PRFAQs and technical narratives to align senior leadership on product vision.
* Engage with CIOs and analysts to validate pain points and iterate on product\-market fit.
* Define success metrics and build strategies for continuous learning.
**Requirements**
* 7\+ years of product management experience, with 4\+ years in a technical or platform product role.
* Bachelor’s degree in Computer Science, Engineering, or equivalent technical experience.
* Proven experience in launching products in fast\-paced environments.
* Deep technical expertise in architecture and API design.
* Strong communication skills, capable of influencing high\-level stakeholders.
* Experience leading cross\-functional teams in engineering and design.
* Customer\-oriented with a track record of impactful results.
**Benefits**
* 15 vacation days (prorated based on start date)
* 12 company\-paid holidays
* 6 paid sick days (prorated based on start date)
* Medical, dental, and vision coverage
* 2 floating holidays (prorated based on start date)
* 1 volunteer day
* 401(k) company match (3% on the first 6% of employee contributions)
* Company\-paid short\-term disability
* Company\-paid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
      <c r="A32" t="inlineStr">
        <is>
          <t>li-4369619122</t>
        </is>
      </c>
      <c r="B32" t="inlineStr">
        <is>
          <t>Remote Technical Product Manager</t>
        </is>
      </c>
      <c r="C32" t="inlineStr">
        <is>
          <t>Jobgether</t>
        </is>
      </c>
      <c r="D32" t="inlineStr">
        <is>
          <t>linkedin</t>
        </is>
      </c>
      <c r="E32" t="inlineStr"/>
      <c r="F32" t="inlineStr"/>
      <c r="G32" t="inlineStr">
        <is>
          <t>Illinois, United States</t>
        </is>
      </c>
      <c r="H32" t="inlineStr"/>
      <c r="I32" t="inlineStr">
        <is>
          <t>This position is posted by Jobgether on behalf of a partner company. We are currently looking for a Principal Product Manager \- REMOTE. This role is vital in leading the product strategy, architecture, and execution for a new AI\-powered platform that will transform decision\-making processes. The ideal candidate will act as the single\-threaded owner for a foundational capability, collaborating across various teams including engineering, AI/ML, and design to create a seamless product experience. You'll have the opportunity to define how content is modeled and user intents are recognized, making a significant impact on the future of the platform.
**Accountabilities**
* Own the product vision, long\-term strategy, and roadmap for a foundational capability within the next\-gen discovery platform.
* Define data models, technical architecture, and platform interfaces for intelligent product experiences.
* Partner with engineering to design scalable APIs and system components.
* Collaborate with AI/ML teams to integrate advanced capabilities.
* Write PRFAQs and technical narratives to align senior leadership on product vision.
* Engage with CIOs and analysts to validate pain points and iterate on product\-market fit.
* Define success metrics and build strategies for continuous learning.
**Requirements**
* 7\+ years of product management experience, with 4\+ years in a technical or platform product role.
* Bachelor’s degree in Computer Science, Engineering, or equivalent technical experience.
* Proven experience in launching products in fast\-paced environments.
* Deep technical expertise in architecture and API design.
* Strong communication skills, capable of influencing high\-level stakeholders.
* Experience leading cross\-functional teams in engineering and design.
* Customer\-oriented with a track record of impactful results.
**Benefits**
* 15 vacation days (prorated based on start date)
* 12 company\-paid holidays
* 6 paid sick days (prorated based on start date)
* Medical, dental, and vision coverage
* 2 floating holidays (prorated based on start date)
* 1 volunteer day
* 401(k) company match (3% on the first 6% of employee contributions)
* Company\-paid short\-term disability
* Company\-paid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
      <c r="A33" t="inlineStr">
        <is>
          <t>li-4262767891</t>
        </is>
      </c>
      <c r="B33" t="inlineStr">
        <is>
          <t>Senior Product Manager</t>
        </is>
      </c>
      <c r="C33" t="inlineStr">
        <is>
          <t>SecurityScorecard</t>
        </is>
      </c>
      <c r="D33" t="inlineStr">
        <is>
          <t>linkedin</t>
        </is>
      </c>
      <c r="E33" t="inlineStr"/>
      <c r="F33" t="inlineStr"/>
      <c r="G33" t="inlineStr"/>
      <c r="H33" t="inlineStr"/>
      <c r="I33" t="inlineStr">
        <is>
          <t>**About SecurityScorecard**
 SecurityScorecard is the global leader in cybersecurity ratings, with over 12 million companies continuously rated, operating in 64 countries. Founded in 2013 by security and risk experts Dr. Alex Yampolskiy and Sam Kassoumeh and funded by world\-class investors, SecurityScorecard’s patented rating technology is used by over 25,000 organizations for self\-monitoring, third\-party risk management, board reporting, and cyber insurance underwriting; making all organizations more resilient by allowing them to easily find and fix cybersecurity risks across their digital footprint.
 Headquartered in New York City, our culture has been recognized by Inc Magazine as a "Best Workplace,” by Crain’s NY as a "Best Places to Work in NYC," and as one of the 10 hottest SaaS startups in New York for two years in a row. Most recently, SecurityScorecard was named to Fast Company’s annual list of the World’s Most Innovative Companies for 2023 and to the Achievers 50 Most Engaged Workplaces in 2023 award recognizing “forward\-thinking employers for their unwavering commitment to employee engagement.” SecurityScorecard is proud to be funded by world\-class investors including Silver Lake Waterman, Moody’s, Sequoia Capital, GV and Riverwood Capital.
**About The Role**
 If you are a Sr. Product Manager who is excited by Cybersecurity, its impact on business risk, and innovative technologies that enable customers to stay continuously secure \- this role might be for you!
 At SecurityScorecard we put our user’s first, strategically drive our decisions with data, and operate as a unit. We are customer obsessed and always seek to drive excellence, both in ourselves and others (and of course in our product!). As a Sr. Product Manager at Security Scorecard, you will work cross\-functionally to guide products from conception to launch by connecting the security and business worlds. You can break down complex problems into steps that drive product development at both speed and scale. You understand that as a Sr. Product Manager it is your job to align roadmap planning with key metrics and KPIs, and you critically focus on creating customer value, based on data as well as a strong understanding of the user journey. You will be a leader in our mission to help the world instantly and non\-intrusively measure, collaborate and reduce the cyber\-risk of any company in the world.
**Core Responsibilities**
* Understand complex customer needs and prioritize the customer \&amp; business value, while adapting to evolving market conditions
* Work closely and efficiently with product management leadership, engineering teams, designers, and customer success to ensure transparency, teamwork, and massive value add
* Prioritize, plan, and execute innovative product ideas, features, and enhancements
* Become subject matter expert, with a deep understanding of the market direction, user needs, competitive landscape and solutions ecosystems, and know how to align these to the company vision
* Define and analyze metrics that inform the success and quality of products and features
**Qualifications**
* 5\+ years of experience with software product management in an enterprise and/or startup environment
* 2\+ yeas of experience in the cybersecurity domain
* Bachelor's Degree, or equivalent experience required; MBA and/or Master's degree in Computer Science or related discipline preferred
* Experience contributing to engineering discussions around technology decisions and strategy related to a product
* Experience owning roadmap strategy and definition
* Exposure and awareness of Cybersecurity and compliance standards (NIST, PCI, SIG, etc.)
* Experience owning feature delivery and tradeoffs of a product
* Prior experience in cybersecurity, data science, compliance, or statistics is preferred
**Benefits**
 Specific to each country, we offer a competitive salary, stock options, Health benefits, and unlimited PTO, parental leave, tuition reimbursements, and much more!
 The estimated total compensation range for this position is $150,000 \- $200,000 (USD)(base plus bonus). Actual compensation for the position is based on a variety of factors, including, but not limited to affordability, skills, qualifications and experience, and may vary from the range. In addition to base salary, employees may also be eligible for annual performance\-based incentive compensation awards and equity, among other company benefits.
*SecurityScorecard is committed to Equal Employment Opportunity and embraces diversity. We believe that our team is strengthened through hiring and retaining employees with diverse backgrounds, skill sets, ideas, and perspectives. We make hiring decisions based on merit and do not discriminate based on race, color, religion, national origin, sex or gender (including pregnancy) gender identity or expression (including transgender status), sexual orientation, age, marital, veteran, disability status or any other protected category in accordance with applicable law.*
*We also consider qualified applicants regardless of criminal histories, in accordance with applicable law. We are committed to providing reasonable accommodations for qualified individuals with disabilities in our job application procedures. If you need assistance or accommodation due to a disability, please contact talentacquisitionoperations@securityscorecard.io.*
*Any information you submit to SecurityScorecard as part of your application will be processed in accordance with the Company’s privacy policy and applicable law.*
*SecurityScorecard does not accept unsolicited resumes from employment agencies. Please note that we do not provide immigration sponsorship for this position.I*</t>
        </is>
      </c>
    </row>
    <row r="34">
      <c r="A34" t="inlineStr">
        <is>
          <t>li-4369605477</t>
        </is>
      </c>
      <c r="B34" t="inlineStr">
        <is>
          <t>Remote Lead Principal Product Manager</t>
        </is>
      </c>
      <c r="C34" t="inlineStr">
        <is>
          <t>Jobgether</t>
        </is>
      </c>
      <c r="D34" t="inlineStr">
        <is>
          <t>linkedin</t>
        </is>
      </c>
      <c r="E34" t="inlineStr"/>
      <c r="F34" t="inlineStr"/>
      <c r="G34" t="inlineStr">
        <is>
          <t>Massachusetts, United States</t>
        </is>
      </c>
      <c r="H34" t="inlineStr"/>
      <c r="I34" t="inlineStr">
        <is>
          <t>This position is posted by Jobgether on behalf of a partner company. We are currently looking for a Principal Product Manager \- REMOTE. This role is vital in leading the product strategy, architecture, and execution for a new AI\-powered platform that will transform decision\-making processes. The ideal candidate will act as the single\-threaded owner for a foundational capability, collaborating across various teams including engineering, AI/ML, and design to create a seamless product experience. You'll have the opportunity to define how content is modeled and user intents are recognized, making a significant impact on the future of the platform.
**Accountabilities**
* Own the product vision, long\-term strategy, and roadmap for a foundational capability within the next\-gen discovery platform.
* Define data models, technical architecture, and platform interfaces for intelligent product experiences.
* Partner with engineering to design scalable APIs and system components.
* Collaborate with AI/ML teams to integrate advanced capabilities.
* Write PRFAQs and technical narratives to align senior leadership on product vision.
* Engage with CIOs and analysts to validate pain points and iterate on product\-market fit.
* Define success metrics and build strategies for continuous learning.
**Requirements**
* 7\+ years of product management experience, with 4\+ years in a technical or platform product role.
* Bachelor’s degree in Computer Science, Engineering, or equivalent technical experience.
* Proven experience in launching products in fast\-paced environments.
* Deep technical expertise in architecture and API design.
* Strong communication skills, capable of influencing high\-level stakeholders.
* Experience leading cross\-functional teams in engineering and design.
* Customer\-oriented with a track record of impactful results.
**Benefits**
* 15 vacation days (prorated based on start date)
* 12 company\-paid holidays
* 6 paid sick days (prorated based on start date)
* Medical, dental, and vision coverage
* 2 floating holidays (prorated based on start date)
* 1 volunteer day
* 401(k) company match (3% on the first 6% of employee contributions)
* Company\-paid short\-term disability
* Company\-paid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5">
      <c r="A35" t="inlineStr">
        <is>
          <t>li-4369606444</t>
        </is>
      </c>
      <c r="B35" t="inlineStr">
        <is>
          <t>Senior Principal Product Manager - REMOTE</t>
        </is>
      </c>
      <c r="C35" t="inlineStr">
        <is>
          <t>Jobgether</t>
        </is>
      </c>
      <c r="D35" t="inlineStr">
        <is>
          <t>linkedin</t>
        </is>
      </c>
      <c r="E35" t="inlineStr"/>
      <c r="F35" t="inlineStr"/>
      <c r="G35" t="inlineStr">
        <is>
          <t>Pennsylvania, United States</t>
        </is>
      </c>
      <c r="H35" t="inlineStr"/>
      <c r="I35" t="inlineStr">
        <is>
          <t>This position is posted by Jobgether on behalf of a partner company. We are currently looking for a Principal Product Manager \- REMOTE. This role is vital in leading the product strategy, architecture, and execution for a new AI\-powered platform that will transform decision\-making processes. The ideal candidate will act as the single\-threaded owner for a foundational capability, collaborating across various teams including engineering, AI/ML, and design to create a seamless product experience. You'll have the opportunity to define how content is modeled and user intents are recognized, making a significant impact on the future of the platform.
**Accountabilities**
* Own the product vision, long\-term strategy, and roadmap for a foundational capability within the next\-gen discovery platform.
* Define data models, technical architecture, and platform interfaces for intelligent product experiences.
* Partner with engineering to design scalable APIs and system components.
* Collaborate with AI/ML teams to integrate advanced capabilities.
* Write PRFAQs and technical narratives to align senior leadership on product vision.
* Engage with CIOs and analysts to validate pain points and iterate on product\-market fit.
* Define success metrics and build strategies for continuous learning.
**Requirements**
* 7\+ years of product management experience, with 4\+ years in a technical or platform product role.
* Bachelor’s degree in Computer Science, Engineering, or equivalent technical experience.
* Proven experience in launching products in fast\-paced environments.
* Deep technical expertise in architecture and API design.
* Strong communication skills, capable of influencing high\-level stakeholders.
* Experience leading cross\-functional teams in engineering and design.
* Customer\-oriented with a track record of impactful results.
**Benefits**
* 15 vacation days (prorated based on start date)
* 12 company\-paid holidays
* 6 paid sick days (prorated based on start date)
* Medical, dental, and vision coverage
* 2 floating holidays (prorated based on start date)
* 1 volunteer day
* 401(k) company match (3% on the first 6% of employee contributions)
* Company\-paid short\-term disability
* Company\-paid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6">
      <c r="A36" t="inlineStr">
        <is>
          <t>li-4235917201</t>
        </is>
      </c>
      <c r="B36" t="inlineStr">
        <is>
          <t>Principal Product Manager - Tech, Recommender Systems, Prime Video Personalization &amp; Discovery</t>
        </is>
      </c>
      <c r="C36" t="inlineStr">
        <is>
          <t>Prime Video &amp; Amazon MGM Studios</t>
        </is>
      </c>
      <c r="D36" t="inlineStr">
        <is>
          <t>linkedin</t>
        </is>
      </c>
      <c r="E36" t="inlineStr"/>
      <c r="F36" t="inlineStr"/>
      <c r="G36" t="inlineStr">
        <is>
          <t>Washington, IN</t>
        </is>
      </c>
      <c r="H36" t="inlineStr"/>
      <c r="I3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A2956622</t>
        </is>
      </c>
    </row>
    <row r="37">
      <c r="A37" t="inlineStr">
        <is>
          <t>li-4369618160</t>
        </is>
      </c>
      <c r="B37" t="inlineStr">
        <is>
          <t>Remote Lead Product Manager</t>
        </is>
      </c>
      <c r="C37" t="inlineStr">
        <is>
          <t>Jobgether</t>
        </is>
      </c>
      <c r="D37" t="inlineStr">
        <is>
          <t>linkedin</t>
        </is>
      </c>
      <c r="E37" t="inlineStr"/>
      <c r="F37" t="inlineStr"/>
      <c r="G37" t="inlineStr">
        <is>
          <t>Minnesota, United States</t>
        </is>
      </c>
      <c r="H37" t="inlineStr"/>
      <c r="I37" t="inlineStr">
        <is>
          <t>This position is posted by Jobgether on behalf of a partner company. We are currently looking for a Principal Product Manager \- REMOTE. This role is vital in leading the product strategy, architecture, and execution for a new AI\-powered platform that will transform decision\-making processes. The ideal candidate will act as the single\-threaded owner for a foundational capability, collaborating across various teams including engineering, AI/ML, and design to create a seamless product experience. You'll have the opportunity to define how content is modeled and user intents are recognized, making a significant impact on the future of the platform.
**Accountabilities**
* Own the product vision, long\-term strategy, and roadmap for a foundational capability within the next\-gen discovery platform.
* Define data models, technical architecture, and platform interfaces for intelligent product experiences.
* Partner with engineering to design scalable APIs and system components.
* Collaborate with AI/ML teams to integrate advanced capabilities.
* Write PRFAQs and technical narratives to align senior leadership on product vision.
* Engage with CIOs and analysts to validate pain points and iterate on product\-market fit.
* Define success metrics and build strategies for continuous learning.
**Requirements**
* 7\+ years of product management experience, with 4\+ years in a technical or platform product role.
* Bachelor’s degree in Computer Science, Engineering, or equivalent technical experience.
* Proven experience in launching products in fast\-paced environments.
* Deep technical expertise in architecture and API design.
* Strong communication skills, capable of influencing high\-level stakeholders.
* Experience leading cross\-functional teams in engineering and design.
* Customer\-oriented with a track record of impactful results.
**Benefits**
* 15 vacation days (prorated based on start date)
* 12 company\-paid holidays
* 6 paid sick days (prorated based on start date)
* Medical, dental, and vision coverage
* 2 floating holidays (prorated based on start date)
* 1 volunteer day
* 401(k) company match (3% on the first 6% of employee contributions)
* Company\-paid short\-term disability
* Company\-paid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8">
      <c r="A38" t="inlineStr">
        <is>
          <t>li-4348168004</t>
        </is>
      </c>
      <c r="B38" t="inlineStr">
        <is>
          <t>Product Manager, Enterprise Developer Enablement</t>
        </is>
      </c>
      <c r="C38" t="inlineStr">
        <is>
          <t>Netflix</t>
        </is>
      </c>
      <c r="D38" t="inlineStr">
        <is>
          <t>linkedin</t>
        </is>
      </c>
      <c r="E38" t="inlineStr"/>
      <c r="F38" t="inlineStr"/>
      <c r="G38" t="inlineStr"/>
      <c r="H38" t="inlineStr"/>
      <c r="I38"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Content and Business Products team builds technology to scale Netflix's content operations from concept to streaming. We create systems and services that enable teams worldwide to plan, produce, distribute, and promote our titles. This role sits within the Content Foundations team, which creates both end\-user applications and developer platforms that ensure reliable data and efficient workflows across our content lifecycle.
 We are looking for a Technical Product Manager to drive the strategy and evolution of our application development platforms. Your goal is to reduce cognitive load for engineers by abstracting infrastructure complexity and integrating AI\-native capabilities into our foundational systems. You will partner closely with engineering to simplify the software development lifecycle, transforming disparate tools into a seamless 'paved road' that accelerates innovation. This is a rare opportunity to build at the intersection of massive scale and developer experience, directly impacting how content is created, managed, and delivered to hundreds of millions of members worldwide.
**What You Will Do**
* Define Platform Strategy: Drive the long\-term vision and roadmap for foundational application platforms, balancing immediate engineering needs with long\-term architectural shifts (e.g., integrating AI\-driven development workflows).
* Simplify Developer Experience: Identify and eliminate friction points for Netflix engineers. Deliver cohesive managed runtimes and developer solutions that enable teams to build complex, stateful applications without managing underlying infrastructure.
* Champion a "no\-ops" mindset where platform tooling abstracts operational complexity.
* Accelerate Adoption: Partner with engineering leaders across Content and Studio teams to drive migration from legacy systems to modern platforms
* Measure Success: Define and track metrics related to platform reliability, and adoption, ensuring our investments deliver measurable improvements in engineering productivity.
* Evangelize the Platform: Act as the primary advocate for the application developer platform. Author strategy memos and represent the team's work to senior leadership.
**What We’re Looking For**
* 7\+ years in Product Management building and scaling technical developer platforms, or workflow automation tools
* Deep technical fluency in distributed systems, event\-driven architecture, and the software development lifecycle (SDLC) with the ability to debate architectural trade\-offs with engineering leads
* Developer\-Centric Mindset: You view internal platforms as products that must delight their users. You understand the high cost of context switching and are dedicated to removing friction from engineering development
* Strategic Thinking: Ability to Connect technical platform capabilities to broader business goals
* High AI Literacy: Experience launching or integrating AI\-enabled developer tools (e.g., coding assistants, AI agents) or leveraging AI to optimize workflow automation.
* Influence without authority: Proven ability to align cross\-functional teams and drive organization\-wide change management and platform adoption.
* Communication skills: Excellent written and verbal communication, with the ability to translate complex technical concepts for diverse audiences.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$310,000\.00 \- $545,000\.00\.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9">
      <c r="A39" t="inlineStr">
        <is>
          <t>li-4369498118</t>
        </is>
      </c>
      <c r="B39" t="inlineStr">
        <is>
          <t>Software Product Manager</t>
        </is>
      </c>
      <c r="C39" t="inlineStr">
        <is>
          <t>Eos Energy Enterprises, Inc.</t>
        </is>
      </c>
      <c r="D39" t="inlineStr">
        <is>
          <t>linkedin</t>
        </is>
      </c>
      <c r="E39" t="inlineStr"/>
      <c r="F39" t="inlineStr"/>
      <c r="G39" t="inlineStr">
        <is>
          <t>Edison, NJ</t>
        </is>
      </c>
      <c r="H39" t="inlineStr"/>
      <c r="I39" t="inlineStr">
        <is>
          <t>**About the Role:** 
 The
 **Product Manager** 
 will be a key contributor to Eos’ product development path to realize a growing battery energy storage product portfolio based on Eos’ unique battery technology.
 The Product Manager will be accountable for product drivers that is aligned to Eos product strategies and development roadmap leading to maintaining a stable product platform while contributing to the development of next generation product features.
**Location:** 
 Hybrid in Edison, NJ or Pittsburgh, PA, with travel between locations as needed
**Responsibilities:** 
* Proactively identify product gaps, industry needs/trends, and pain/value points for internal and external customers through rigorous market research. Focus on opportunities for product differentiation and growth.
* Quantify the value of new product features to help define a minimum viable product and product roadmap
* Collaborate with Commercial, Projects Field Service, and Engineering organizations to present a clear picture of current product capabilities and a future timeline of product types and capabilities
* Translate product roadmap and business strategy into detailed requirements which the software engineering organization can develop into software products and platform. Obtain buy\-in from key stakeholders across the organization.
* Participate in customer meetings with Sales/Business Development/Commercial teams to advise on questions about product capabilities
* Coordinate product development, testing, and release between internal and external stakeholders to ensure new products meet product requirements and expectations, and release commitments
* Write business cases as well as user stories, market requirements, product requirements, and other similar documents
* Create or lead internal efforts to create transition materials for platform and products for software introduction steps, and also to onboard new stakeholders
* Design and build operational processes to help engineering and development teams towards product delivery outcomes
* Visit Eos customer installations and production facilities depending on customer and business needs
* Manage multiple initiatives concurrently, both minor and major
* Additional job duties may be assigned at any time, with or without notice, as determined by business needs.
**Knowledge, Skills, and Abilities:** 
* Direct knowledge of Battery Energy Storage Systems (BESS), software platforms and products in the ESS industry
* Strong organizing skills and ability to balance multiple priorities at once.
* Facilitate agile team meetings
* Excellent interpersonal skills, including the ability to interact effectively with professional and technical staff, manufacturing and operations staff, third\-party partners, customers and customer\-facing department members.
* People management skills; supervising of direct reports including, but not limited to, Technical Project Managers.
* Ability to keep team members accountable for assigned deliverables in a matrixed organization.
* Excellent verbal and written communication skills, including strong professional presentation skills and the ability to develop effective presentation content for stakeholder communications.
* An understanding of how to manage and balance product costs, features, and development/launch schedules.
* A passion for solving complex problems with creative, innovative, elegant solutions.
**Education and Experience:** 
* Bachelor's degree in electrical engineering, computer science/engineering, or similar required.
* MBA or bachelor's degree in electrical engineering, computer science/engineering, or similar preferred.
* Minimum of 8 years' experience.
**Travel:** 
* Local Travel: 10\-25%
* Overnight/North America: 10\-25%
**Working Conditions:** 
* Office Environment \- Must be able to remain in a stationary position 50% of the time and occasionally move about inside the office to access file cabinets, office machinery, etc. Required to have close visual acuity to perform an activity such as: preparing and analyzing data and figures; transcribing; viewing a computer terminal; extensive reading. May be required to exert up to 25 pounds of force occasionally to lift, carry, push, pull or otherwise move objects, including the human body.
* Customer/Partner Locations – Employee may visit customer or partner locations that may be comprised of office, manufacturing floor, laboratory environments and construction sites depending on the location and reason for visit.</t>
        </is>
      </c>
    </row>
    <row r="40">
      <c r="A40" t="inlineStr">
        <is>
          <t>li-4331634941</t>
        </is>
      </c>
      <c r="B40" t="inlineStr">
        <is>
          <t>Senior Product Manager - Uber Eats Consumer Experience</t>
        </is>
      </c>
      <c r="C40" t="inlineStr">
        <is>
          <t>Uber</t>
        </is>
      </c>
      <c r="D40" t="inlineStr">
        <is>
          <t>linkedin</t>
        </is>
      </c>
      <c r="E40" t="inlineStr"/>
      <c r="F40" t="inlineStr"/>
      <c r="G40" t="inlineStr">
        <is>
          <t>Seattle, WA</t>
        </is>
      </c>
      <c r="H40" t="inlineStr"/>
      <c r="I40" t="inlineStr">
        <is>
          <t>**About The Role**
 Uber Eats is on a mission to deliver almost anything to our customers and we're looking for a visionary and strategic consumer experience Sr. Product Manager to join our dynamic and fast\-paced team. As a Sr. Product Manager on the Uber Eats Consumer Experience team, you will be directly responsible for aspects of the core consumer journey for the Uber Eats app that serves millions of users globally every day and is growing fast. You'll set strategy and vision for the experience, align with cross\-functional partners, and drive that vision forward daily with your partners across Product Design, Data Science, Engineering, and Business teams .
 In this role, you will lead with deep customer insights and empathy, relying on data and UXR to make informed decisions grounded in strong product intuition. You'll be both creative and bring deep expertise in consumer product to the table, as well as analytically rigorous, driving experimentation and knowing your metrics. You'll operate with an owner's mindset, obsessing over every detail of the end\-to\-end experience.
**What The Candidate Will Do**
* Collaborate with cross\-functional teams, including Design, Data Science, Engineering and Ops, to identify opportunities to make the experience better and drive business outcomes.
* Distill the vision and strategy for the team and effectively present and communicate to cross\-functional partners and leadership to generate enthusiasm and drive alignment.
* Develop and maintain a roadmap of product initiatives, and implement data\-driven experiments to improve the core consumer experience for Uber Eats.
**Basic Qualifications**
* 5\+ years of Product Management experience delivering highly successful and innovative consumer products with your fingerprints all over them. You should be familiar with systems thinking, analytics and experiment design, and have a solid understanding of software development processes and concepts.
* Leadership. Extensive experience setting and delivering on a strategy you crafted, where you were accountable for the outcomes.
* Customer obsession. You have a knack for taking on complex product challenges and finding elegant solutions that are delightfully simple for our users.
* Experience building scaled businesses, including ownership and optimization of business performance metrics.
* Experience working with geographically distributed cross\-functional teams in an energetic, high\-octane environment.
**Preferred Qualifications**
* A Driver" mindset. You are biased toward action, a great collaborator, a master disambiguator/simplifier, and constantly pushing toward clarity and delivery. You never hesitate to roll up your sleeves and tackle something hands\-on.
* A high bar across the board. From your own contributions to the people you work with, to the products you work on, you have a never\-ending desire to grow and learn.
* Attention to detail. Obsess over every pixel and underlying detail that drives the way users experience Uber Eats. No problem is too big or to small.
* Finger\-tippiness with data. You find a way to get the data you need and whip it into an insightful story with no help. You know how to demonstrate this data to make decisions without getting stuck in analysis paralysis
* A high bar across the board \-\- from your own contributions to the people you work with, to the products you work on
* A true passion for Uber's mission, our products, and the company's hybrid technology/operations nature
* A never\-ending desire to grow and learn
 For San Francisco, CA\-based roles: The base salary range for this role is USD$190,000 per year \- USD$211,000 per year. For Seattle, WA\-based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1">
      <c r="A41" t="inlineStr">
        <is>
          <t>li-4335324142</t>
        </is>
      </c>
      <c r="B41" t="inlineStr">
        <is>
          <t>Senior Product Manager</t>
        </is>
      </c>
      <c r="C41" t="inlineStr">
        <is>
          <t>Two Six Technologies</t>
        </is>
      </c>
      <c r="D41" t="inlineStr">
        <is>
          <t>linkedin</t>
        </is>
      </c>
      <c r="E41" t="inlineStr"/>
      <c r="F41" t="inlineStr"/>
      <c r="G41" t="inlineStr"/>
      <c r="H41" t="inlineStr"/>
      <c r="I41" t="inlineStr">
        <is>
          <t>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Senior Product Manager
 Are you a Product Manager passionate about transforming complex information into clear insights for policymakers and military operators? Join Two Six Technologies and lead Effects Planning, the central agentic AI product experience in our Pulse Suite for Information Advantage. Effects Planning empowers information professionals to rapidly pinpoint mission\-critical content and act to reach their target audiences around the globe.
 You'll own the product vision and strategy for a best\-in\-class user experience, collaborating closely with clients, end\-users, and a talented team of engineers and data scientists specializing in agentic AI, generative AI, LLMs, and mobile. If you're driven to make a significant impact by bringing government and military officials from question to answer to action with unparalleled speed and clarity, we want to hear from you.
 This is a fully remote position with flexibility to manage your day around collaboration with your team. DC location is preferred but not required. Some travel (10\-20%) will be required to interface with our customers and Two Six employees collaborating on cleared programs.
**What You Will Do**
* Work with customers and stakeholders to develop a product vision for Effects Planning
* Conduct market research, solicit customer feedback, and test new ideas to build our backlog and roadmap
* Collaborate in a cross functional team to build Effects Planning functionality
* Write clear and well\-bounded users stories that keep the team focused on delivering slices of user value every sprint
* Engage stakeholders in the innovation process and keep them informed of your work
* Advocate for solving customer problems by building functionality into the product line
* Collaborate with other PMs to build value across product lines
* Advocate for a user\-centered culture and drive change in that direction
* Be open and flexible to jump in where help is needed
**What You Will Need (basic Qualifications)**
* Experience collaborating with tech leads, designers, and domain experts to build intuitive user experiences
* Experience with data scientists to build AI into the pipeline is a key differentiator
* Experience working with leadership, customers, and internal stakeholders to build products that solve hard problems
* Strong initiative and the ability to create momentum in a rapidly changing market
* Strong familiarity with the role of a Product Manager and PM tools for discovery and delivery, including creating rapid prototypes to quickly test new product ideas
* Experience working in scrum/kanban on cross functional teams
* Team mentality to do what’s best for the product
**Nice If You Have**
* Experience creating products for government users, particularly in environments with limitations on technology access
* Experience with advanced analytics, natural language processing, large language models and generative AI
* Interest in supporting US government missions to counter foreign adversary and non\-state actor propaganda and disinformation
**Clearance Requirement**
 Eligibility to obtain government clearance if required/needed.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$118,300—$177,600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accommodations@twosixtech.com. Information provided will be kept confidential and used only to the extent required to provide needed reasonable accommodations.
 Additionally, please be advised that this business uses E\-Verify in its hiring practices.
 By submitting the following application, I hereby certify that to the best of my knowledge, the information provided is true and accurate.</t>
        </is>
      </c>
    </row>
    <row r="42">
      <c r="A42" t="inlineStr">
        <is>
          <t>li-4369499679</t>
        </is>
      </c>
      <c r="B42" t="inlineStr">
        <is>
          <t>Product Manager, Agentic Commerce</t>
        </is>
      </c>
      <c r="C42" t="inlineStr">
        <is>
          <t>Worldpay</t>
        </is>
      </c>
      <c r="D42" t="inlineStr">
        <is>
          <t>linkedin</t>
        </is>
      </c>
      <c r="E42" t="inlineStr"/>
      <c r="F42" t="inlineStr"/>
      <c r="G42" t="inlineStr">
        <is>
          <t>Denver, CO</t>
        </is>
      </c>
      <c r="H42" t="inlineStr"/>
      <c r="I42" t="inlineStr">
        <is>
          <t>**Job Description**
**Product Manager, Agentic Commerce**
 Team: Product
 Location: US – San Francisco, Denver, Atlanta, NYC or Boston
 Position: Full time
 Are you ready to write your next chapter?
 Make your mark at one of the biggest names in payments. With proven technology, we process the largest volume of payments in the world, driving the global economy every day. When you join Worldpay, you join a global community of experts and changemakers, working to reinvent an industry by constantly evolving how we work and making the way millions of people pay easier, every day.
 What makes a Worldpayer? It’s simple: Think, Act, Win. We stay curious, always asking the right questions to be better every day, finding creative solutions to simplify the complex. We’re dynamic, every Worldpayer is empowered to make the right decisions for their customers. And we’re determined, always staying open – winning and failing as one.
 Are you ready to make your mark? Then you sound like a Worldpayer.
**About The Team**
 The newly formed
 **Agentic Commerce** 
 team focuses on building the future of commerce in the world of AI – transformative products that redefine how AI\-powered agents discover products, checkout and complete transactions on behalf of consumers safely and securely. Our vision is to establish Worldpay as the ‘universal adapter’ that our merchants can leverage to seamlessly allow the plethora of agents and evolving protocols to safely conduct commerce on their platforms.
 The team will liaise with Worldpay’s existing product teams to evolve our existing products, such as fraud tools, payment optimisation products, dashboards, disputes platforms, to be agent\-ready. We will also work with Commercial, GTM, Marketing, and other teams to ensure the products we build are rooted in our merchant needs, and drive thought leadership working alongside other industry players and advocating on behalf of our merchants. The team remit also involves forging and developing relationships with the players at the cutting edge of AI, such as Google, OpenAI, Meta, and others.
 Together, our collective goal is to push the boundaries of ecommerce as we know today, and support our merchants in accessing new customers and allowing even more seamless payment experiences of the future.
**What You'll Own**
 As Product Manager for Agentic Commerce, you will own the vision, design, and execution of products that enable AI agents to seamlessly integrate payment capabilities, building new commercial models for the agentic economy.
**Strategic Product Leadership**
* Develop a compelling vision and product roadmap for agentic commerce with input from AI companies, merchants, market research, and industry insight
* Help establish Worldpay's position in agentic commerce standards and protocols, working with key ecosystem players and internal experts
**Product Development \&amp; Delivery**
* Partner with Engineering \&amp; other Product teams to ship high\-impact features to allow agents to conduct purchases on our merchant’s surfaces
* Write, refine, and socialize epics/features with engineering teams to deliver value aligned with the product vision and roadmap
* Develop new API primitives and integration experiences specifically designed for agentic workflows
* Support Product teams across Worldpay, incl. backend services, dashboard interfaces, money movement systems, and API integrations, to be agent\-ready
**Cross\-functional Collaboration \&amp; Go\-to\-Market Support**
* Collaborate with GTM and other commercial teams to deliver go\-to\-market strategies with clear segmentation, targeting, and positioning
* Engage directly with select customers and AI platform builders as a subject matter expert, understand business needs and translate requirements into novel product shapes
* Work closely with Partnership team to onboard AI companies and facilitate rapid prototyping
**Analysis \&amp; Optimization**
* Leverage strong analytical skills to dive into data, test hypotheses, and make informed trade\-offs
* Regularly undertake reviews to understand product performance, partnerships, customer adoption, and business value
**What You Bring**
 Minimum Requirements
* 7\+ years of Product Management experience, preferably in payments, fintech, software or platform products
* Proven ability to work effectively across multiple teams and stakeholders, leading initiatives that span multiple Product and Engineering teams and influencing roadmap and execution
* Experience in managing projects end\-to\-end with agile development processes
* Strong written and verbal communication skills, with ability to structure ambiguous concepts clearly and from first principles
* Computer Science background or other similar technical experience
**Preferred Qualifications**
* Familiarity with LLM\-powered systems, understanding of GenAI and agentic AI technologies
* Exposure to Model Context Protocol (MCP), Agent to Agent (A2A), or similar agent integration standards
* Knowledge of the payments industry; familiarity with agentic commerce protocols (AP2, ACP etc.) is a strong bonus
* Experience in ecom platforms and merchant tools
* You've founded or worked at a startup and / or taken a product from 0\-1, but want to do the same at a larger scale
**Worldpay Perks \- What We’ll Bring For You**
 We know it’s bigger than just your career. It’s your life, and your world. That’s why we offer global benefits and programs to support you at every stage. Here’s a taste of what you can expect.
* A competitive salary and benefits.
* Time to support charities and give back to your community.
* Parental leave policy.
* Global recognition platform.
* Virgin Pulse access.
* Global employee assistance program.
**What Makes a Worldpayer**
 At Worldpay, we take our Values seriously, and we live them every day. Think like a customer, Act like an owner, and Win as a team.
* Curious. Humble. Creative. We ask the right questions, listening and learning to get better every day. We simplify the complex and we’re always looking to create a bigger impact for our colleagues and customers.
* Empowered. Accountable. Dynamic. We stay agile, using our initiative, taking calculated risks to progress. Never standing still, never settling, we work at pace to achieve our goals. We champion our ideas and stay flexible to make them happen. We know that every action adds up.
* Determined. Inclusive. Open. Unlocking potential means working as one global community. Our work spans borders, and we stay united by our purpose. We collaborate, always encouraging others to perform at their best, welcoming new perspectives.
 Does this sound like you? Then you sound like a Worldpayer.
 Apply now to write the next chapter in your career. We can’t wait to hear from you.
 To find out more about working with us, find us on LinkedIn
 Worldpay is dedicated to offering individuals rewarding career opportunities and competitive compensation. For this full\-time position, the good faith estimated annual salary range upon hire is $105,700\.00\-$159,475\.00\.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43">
      <c r="A43" t="inlineStr">
        <is>
          <t>li-4333092397</t>
        </is>
      </c>
      <c r="B43" t="inlineStr">
        <is>
          <t>Senior Product Manager, Autonomous Vehicle Experience</t>
        </is>
      </c>
      <c r="C43" t="inlineStr">
        <is>
          <t>Uber</t>
        </is>
      </c>
      <c r="D43" t="inlineStr">
        <is>
          <t>linkedin</t>
        </is>
      </c>
      <c r="E43" t="inlineStr"/>
      <c r="F43" t="inlineStr"/>
      <c r="G43" t="inlineStr">
        <is>
          <t>New York, NY</t>
        </is>
      </c>
      <c r="H43" t="inlineStr"/>
      <c r="I43" t="inlineStr">
        <is>
          <t>**About The Team**
 At Uber, we combine our leading on\-demand Mobility and Delivery platform with deep expertise in demand generation, user experience, marketplace management, and local operations to help AV partners deploy and scale their technology globally. Our team is at the forefront of revolutionizing transportation with autonomous vehicles (AVs).
**About The Role**
 As a Senior Product Manager for Autonomous Vehicle Experience, you will be part of the product team leading the strategy and execution for the rider experience in AVs. You will be responsible for building a best\-in\-class safe, reliable, and delightful AV\-first experience and will work closely with cross\-functional teams and external partners. This role requires a strong technical background, exceptional leadership skills, and a passion for driving innovation in the autonomous vehicle space.
**Core Responsibilities**
 In this role, you will:
* Lead the strategy and vision for the best\-in\-class AV rider experience
* Educate riders about AVs and build a safe and transparent experience
* Generate demand and grow rider affinity for AVs
* Design a seamless ride experience, including frictionless pick\-up and drop\-offs, vehicle controls before, during, and after trip, and on\-trip experience both in\-app and in\-vehicle
* Ensure a high\-quality rider experience when things don't go as planned
* Collaborate with AV tech partners to improve and co\-design the rider experience, including both software and hardware
**Basic Qualifications**
* 4\+ years of product experience delivering successful and innovative products
* Excellent track record of building best\-in\-class consumer products
* Customer obsession and exceptional user and product instincts
* Ability to take on complex product challenges and find elegant, simplifying solutions
* Proficiency with data: You can find the data you need and turn it into an insightful story, demonstrating its value in decision\-making
* A high bar across the board, from your own contributions to the people you work with, to the products you build
* A true passion for Uber's mission, our products, and the company's hybrid technology/operations nature
* A strong desire to grow and learn
**Preferred Qualifications**
* Experience building products from 0\-1
* Experience owning and leading strategy for lines of business
* Experience with AVs
* Experience with software and hardware
* Experience at a high\-growth company
* Entrepreneurial spirit, demonstrated through identifying and executing on opportunities in ambiguous problem spaces
 For New York, NY\-based roles: The base salary range for this role is USD$190,000 per year \- USD$211,000 per year. For San Francisco,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4">
      <c r="A44" t="inlineStr">
        <is>
          <t>li-4369490398</t>
        </is>
      </c>
      <c r="B44" t="inlineStr">
        <is>
          <t>Senior Product Manager</t>
        </is>
      </c>
      <c r="C44" t="inlineStr">
        <is>
          <t>Microsoft</t>
        </is>
      </c>
      <c r="D44" t="inlineStr">
        <is>
          <t>linkedin</t>
        </is>
      </c>
      <c r="E44" t="inlineStr"/>
      <c r="F44" t="inlineStr"/>
      <c r="G44" t="inlineStr">
        <is>
          <t>Redmond, WA</t>
        </is>
      </c>
      <c r="H44" t="inlineStr"/>
      <c r="I44" t="inlineStr">
        <is>
          <t>**Overview**
 Are you ready to shape the future of AI, PC performance, power efficiency, and silicon innovation? The
 **Windows \&amp; Devices (W\+D)** 
 organization is at the forefront of transforming the Windows ecosystem for the AI era—and we are looking for a
 **Senior Product Manager** 
 to lead the next generation of AI fundamentals that make Windows the most performant, energy‑efficient, reliable, and trustworthy AI platform in the world.
 As a
 **Senior Product Manager** 
 , you’ll sit at the strategic intersection of AI, silicon, and system fundamentals. You will define the fundamentals strategy for AI workloads across diverse hardware configurations, partner deeply with engineering and silicon teams, and build the tools, telemetry, and data pipelines that illuminate model behavior, system impact, and user experience. Your work will directly influence how AI experiences are built, measured, optimized, and delivered at global scale.
 This
 **Senior Product Manager** 
 role is part of the
 **Windows Fundamentals team** 
 —whose mission is to uphold a high, principled bar for Windows quality and to ensure that every marquee experience ships with exceptional performance, efficiency, and reliability. We take a data‑driven approach to product truth, invest in optics that reveal regressions before customers feel them, and drive cross‑company partnerships that keep Windows competitive and best‑in‑class. You’ll help us continue this legacy by shaping the AI fundamentals that power the future of Windows across OEMs, IHVs, and the broader ecosystem.
**Responsibilities**
* Strategic leadership: You will work with the team and peers to define priorities for investment, strategies for product improvement, delivering at scale, and investing in systems and tools to improve fundamentals.
* Partner engagement: You will be engaging deeply with partners to achieve our shared goals.
* Technical depth: Our problem space is often deeply technical.  You don’t have to be a perf/power/silicon expert today, but you should have an affinity for technical challenges and diving deep.
* Data\-driven: Skilled at using data to draw insights, answer hard questions, and guide actions.
* Communication and influence: Able to conduct insightful conversations with senior business and technical decision makers inside and outside Microsoft.  Communicate complex ideas to others in a clear, effective, and motivating manner.
* Collaboration: Generous collaborator, able to work effectively across broad teams and influence stakeholders of all levels and of all disciplines across Microsoft.
**Qualifications**
**Required/minimum qualifications**
* Bachelor's Degree AND 5\+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AND 8\+ years experience in product/service/program management or software development
+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5\+ years of experience shipping products in a Product Manager, TPM, Program Manager, or Developer role
* Experience in stakeholder management and partner engagement. Ability to navigate and influence across complex technical stacks and organizational boundaries. Experience working with external partners in a product development context.
 \#W\+DJOBS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5">
      <c r="A45" t="inlineStr">
        <is>
          <t>li-4346270903</t>
        </is>
      </c>
      <c r="B45" t="inlineStr">
        <is>
          <t>Principal Product Manager</t>
        </is>
      </c>
      <c r="C45" t="inlineStr">
        <is>
          <t>Oracle</t>
        </is>
      </c>
      <c r="D45" t="inlineStr">
        <is>
          <t>linkedin</t>
        </is>
      </c>
      <c r="E45" t="inlineStr"/>
      <c r="F45" t="inlineStr"/>
      <c r="G45" t="inlineStr">
        <is>
          <t>Seattle, WA</t>
        </is>
      </c>
      <c r="H45" t="inlineStr"/>
      <c r="I45" t="inlineStr">
        <is>
          <t>**Job Description**
 Delivering cloud at scale means reimagining how software is built and shipped. Our mission is to make continuous integration and continuous delivery (CI/CD) as dependable and invisible as electricity—always on, trusted, and empowering developers to focus on their best work. We are building a CI/CD platform that Oracle developers—and enterprise customers—can count on: automation that fades into the background, yet delivers reliability and confidence at massive scale. If you are passionate about building data\-driven systems, solving and simplifying complex problems, and purposefully shaping the backbone of cloud development, join us. Help us make CI/CD a true utility: simple, trusted, and ready whenever it’s needed.
**About the Role:**
 Oracle Cloud Infrastructure (OCI) is seeking a Principal Product Manager to help us lead the charge in redefining CI/CD for modern cloud development. In this critical role, you will architect the data\-driven foundation to demonstrate transformational improvements in engineering efficiency, leveraging both industry standard and tailored metrics. You will help set new benchmarks for what’s possible in CI/CD automation across Oracle engineering.
**Responsibilities**
* Strategic Leadership: Define and drive the vision for the next\-generation CI/CD platform, providing technical and business leadership in a dynamic, fast\-paced environment.
* Data\-Driven Insights: Establish and operationalize frameworks for measuring and improving engineering efficiency using DORA, and customized metrics to deliver actionable insights for product investment decisions.
* Product Lifecycle Management: Drive roadmaps, requirements, and cross\-functional alignment for features spanning pipeline orchestration, infrastructure\-as\-code, observability, and developer experience.
* Persona\-Driven Product Design: Engage deeply with our engineering, operations, and leadership personas, ensuring products address evolving needs in our large\-scale, cloud\-native environments.
* Market \&amp; Competitive Analysis: Research, analyze, and communicate industry trends, competitor activities, and cloud\-native practices to inform strategy.
* Leadership \&amp; Mentorship: Mentor a high\-performing team of Product Managers and collaborate closely with Engineering, UX, SRE, and Developer Relations.
* Evangelism: Represent OCI’s CI/CD vision to executive stakeholders, customers, and developer communities.
**About You:**
* 8\+ years of product management experience, including roles in cloud infrastructure, DevOps platforms, or large\-scale SaaS environments.
* Proven track record managing complex product portfolios and driving measurable business impact.
* DevOps Expertise: Deep, hands\-on knowledge of CI/CD pipelines, code repository management (e.g., Git, GitHub, GitLab), infrastructure as code, observability, and modern software delivery practices. Previous experience as a professional software engineer or in leading DevOps SaaS platforms is highly desirable.
* Cloud\-Native Proficiency: Cloud\-Native Proficiency: Extensive experience with Kubernetes, containers, microservices, and IaaS/PaaS services. Familiarity with AWS, Azure, GCP, and/or OCI.
* Data\-Driven Decision Making: Adept at leveraging data for prioritization, investment decisions, and clear reporting across multiple metrics to diverse stakeholders.
* Technical \&amp; Business Acumen: Ability to bridge the gap between developer needs and business objectives; skilled in articulating value propositions for multiple audiences, including OCI’s internal teams and external customers.
* Developer Advocacy: Extensive experience engaging with engineers and SREs as core customers. Proactiveness in challenging established norms to drive significant transformation.
* Collaborative Leadership: Demonstrated ability to lead, mentor, and motivate teams across organizational boundaries.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6">
      <c r="A46" t="inlineStr">
        <is>
          <t>li-4369474994</t>
        </is>
      </c>
      <c r="B46" t="inlineStr">
        <is>
          <t>Senior Product Manager - Web &amp; Mac Experiences (AI/ML)</t>
        </is>
      </c>
      <c r="C46" t="inlineStr">
        <is>
          <t>Microsoft</t>
        </is>
      </c>
      <c r="D46" t="inlineStr">
        <is>
          <t>linkedin</t>
        </is>
      </c>
      <c r="E46" t="inlineStr"/>
      <c r="F46" t="inlineStr"/>
      <c r="G46" t="inlineStr">
        <is>
          <t>Mountain View, CA</t>
        </is>
      </c>
      <c r="H46" t="inlineStr"/>
      <c r="I46" t="inlineStr">
        <is>
          <t>**Overview**
 Help deliver best\-in\-class Web \&amp; Mac experiences for Microsoft AI. You’ll support the lead PM in shaping desktop\-class and modern web interfaces that are beautiful, accessible, and fast—crafting information architecture, interaction patterns, and performance goals across breakpoints and devices.
 We’re looking for a highly motivated, detail\-oriented PM who thrives in execution and collaboration:
* Ships user\-facing desktop/web products with high UX fidelity and accessibility.
* Partners with Design Systems to scale components/tokens and ensure cross\-surface cohesion.
* Balances performance and fidelity with rigorous experimentation and telemetry.
* Aligns multi\-team dependencies to deliver seamless journeys end\-to\-end.
* Communicates clearly, drives clarity, and removes blockers in fast\-moving environments.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Execute on web/macOS scenarios end\-to\-end; define IA, interaction patterns, and component reuse.
 Drive performance \&amp; reliability KPIs (FMP, input latency, memory) and support experimentation.
 Partner with Design on design\-system alignment, accessibility (WCAG), internationalization, and responsive behavior.
 Coordinate dependencies (identity, payments, content, safety) to deliver cohesive multi\-surface journeys.
 Report progress and risks to stakeholders; anticipate blockers and drive mitigation.
 Build durable telemetry, quality bars, and operational rhythms to sustain velocity and UX quality.
**Qualifications**
**Required Qualifications**
* Bachelor’s degree in STEM (or equivalent experience) AND 5\+ years in Product Management.
* Proven track record shipping desktop and/or web experiences at scale with accessibility baked in.
* Strong system\-level thinking across platform capabilities, browser constraints, and performance tradeoffs.
**Preferred Qualifications**
* Design/UX background strongly preferred; ability to read/write detailed UX specs.
* Familiarity with macOS HIG and modern web app foundations (React/TypeScript, perf tooling).
* Experience with AI features and data\-informed iteration.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7">
      <c r="A47" t="inlineStr">
        <is>
          <t>li-4369117330</t>
        </is>
      </c>
      <c r="B47" t="inlineStr">
        <is>
          <t>Senior Product Manager, Xfinity Mobile</t>
        </is>
      </c>
      <c r="C47" t="inlineStr">
        <is>
          <t>hackajob</t>
        </is>
      </c>
      <c r="D47" t="inlineStr">
        <is>
          <t>linkedin</t>
        </is>
      </c>
      <c r="E47" t="inlineStr"/>
      <c r="F47" t="inlineStr"/>
      <c r="G47" t="inlineStr">
        <is>
          <t>Philadelphia, PA</t>
        </is>
      </c>
      <c r="H47" t="inlineStr"/>
      <c r="I47"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Comcast brings together the best in media and technology. We drive innovation to create the world’s best entertainment and connectivity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They bring cutting\-edge products and services to life for millions of customers every day. Within our T\&amp;P (Technology and Product) organization, we are seeking a highly motivated and results\-oriented Senior Product Manager to lead the development and execution of innovative product strategies within the Connected Living organization. This critical role will focus on enhancing the customer experience for our Xfinity Mobile product, across key areas including billing transparency, payment flexibility, service lifecycle management, and promotion lifecycle management experiences. This is a highly strategic role within a rapidly growing business. You will play a pivotal role in shaping the future of the Xfinity Mobile customer experience by defining and delivering best\-in\-class solutions that are engaging and reduce customer churn.
**Job Description**
***This position is ineligible for visa sponsorship. To be considered for this role, you must be legally authorized to work in the United States and not require sponsorship for employment now or in the future.***
 As the Senior Product Manager, Xfinity Mobile, you will lead the development and execution of innovative product strategies focused on enhancing the customer experience for Xfinity Mobile customers in the Xfinity app. This role will be accountable to deliver outcomes against our strategic business priorities of reducing XM customer churn and improving product NPS. The focus of this role includes, but is not limited to, promoting billing transparency, introducing payment flexibility, and proactively guiding customers throughout the Xfinity Mobile service and promotion lifecycle.
 Collaborating with cross\-functional teams, you will ensure that the Xfinity Mobile experience is both simple and user\-centric, aligning with our strategic objectives and enhancing overall customer satisfaction. This will require significant collaboration and stakeholder management across many teams within the organization.
**Core Responsibilities**
* Develop and execute an XM\-centric product strategy: Craft a comprehensive strategy and roadmap focused on enhancing the XM experience within the app, ensuring alignment with Comcast's goals and the needs of our XM customers.
* Champion the user journey: Design and optimize XM experiences that resonate with users, ensuring that every touchpoint reflects our commitment to seamless, user\-centric interactions.
* Act as a product owner in agile teams: Lead the scrum team with a focus on delivering XM\-related features. Write clear user stories and acceptance criteria that drive development, ensuring alignment with the overall XM experience vision.
* Collaborate across teams: Work closely with engineering, design, program management, and other key stakeholders across the organization to ensure timely, high\-quality delivery of XM enhancements that meet both internal and external expectations. This requires strong cross\-functional collaboration and stakeholder management skills.
* Ensure XM quality and reliability: Maintain a relentless focus on XM quality, addressing user needs effectively while driving continuous improvement and innovation within the XM experience.
* Drive customer engagement: Develop strategies to increase awareness, adoption, and creation of identity, fostering deeper user engagement and loyalty.
* Measure and optimize: Define, track, and analyze key XM metrics to measure impact and success. Use these insights to inform ongoing enhancements and ensure the XM experience consistently exceeds customer expectations.
**Preferred Qualifications**
 Below is our list of preferred qualifications. We know that people with different skills and experiences can also be successful in this role. For that reason, it is not necessary that you possess all these traits. If you are missing a few, please apply anyway.
* A product pro. You excel at identifying customer needs, determining problems to solve, and translating them into experience requirements that become user stories in a prioritized product backlog. You collaborate cross\-functionally with design and engineering partners, providing clear direction on the “what” and “why” while giving them a strong voice to define the “how.”
* Action\- and execution\-oriented. You’re not afraid to ask questions to get the information you need. You can negotiate constraints, guidelines, and business rules without sacrificing what’s right for the customers. You adapt to changing landscapes, communicate clearly, and bring all partners along with you.
* A relationship builder. You understand that strong relationships drive success. You value listening first, then talking, and you know that consistent giving and occasional receiving foster strong collaboration and partnership across teams.
* A customer\-centric, data\-driven strategist. You keep the customer at the center of everything you do. You dig into data, user research, and direct customer interactions to define core needs, problems, and solutions. You measure the impact and success of new features, using data to inform future development.
* Experience in Services: Proven experience in managing service\-related features, ensuring a user\-centric approach to service interactions and value articulation.
* Analytical Skills: Strong analytical abilities to use data\-driven insights for optimizing service experiences and addressing user needs.
* Troubleshooting and Support Knowledge: Experience with app\-based troubleshooting and support features to assist users with service\-related issues.
* Effective Communication: Excellent communication skills to articulate complex value propositions clearly and effectively to both technical and non\-technical stakeholders.
* Bachelor’s Degree or equivalent business experience.
* Experience. 3\+ years of experience in Product Management; a blend of design and/or engineering experience is also a plus. We would also love to hear your explanation as to why your unique experience would make the team more successful; if you don’t quite fit the mold, apply anyway.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Customer Experience (CX); Identifying Customer Needs; Collaboration; Product Management; Communication; Mobile Products; Product Backlog Management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10 Years \+</t>
        </is>
      </c>
    </row>
    <row r="48">
      <c r="A48" t="inlineStr">
        <is>
          <t>li-4182806834</t>
        </is>
      </c>
      <c r="B48" t="inlineStr">
        <is>
          <t>Technical Product Manager - AI Solutions</t>
        </is>
      </c>
      <c r="C48" t="inlineStr">
        <is>
          <t>Veeva Systems</t>
        </is>
      </c>
      <c r="D48" t="inlineStr">
        <is>
          <t>linkedin</t>
        </is>
      </c>
      <c r="E48" t="inlineStr"/>
      <c r="F48" t="inlineStr"/>
      <c r="G48" t="inlineStr"/>
      <c r="H48" t="inlineStr"/>
      <c r="I48"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Make the work of our customers delivering life\-changing medicines and treatments to patients more efficient and productive. We are looking for an experienced technical product manager to design and deliver high\-value AI Agent solutions for Veeva Development Cloud. In this role, you will be an expert in the use of AI to design and build AI agents that will speed up clinical trials, automate regulatory submissions, or make pharmacovigilance more efficient.
**What You’ll Do**
* Hands\-on design and development of prototypes of AI solutions for a specific application domain such as Submissions, Clinical, or Drug Safety working with application PMs and customers.
* Design and deliver production AI Agent applications including data flow, orchestration, and prompts.
* Work with engineering and UX to automate key business processes using AI.
* Present solution capabilities and value to internal and external stakeholders.
**Requirements**
* 5\+ years of enterprise software product management, engineering, or consulting experience, with at least 2 years focused on AI/ML applications.
* Experience with data flow design, algorithm selection, and model integration.
* Coding skills in Python and hands\-on experience with AI Frameworks and APIs.
* Strong understanding of AI/ML concepts, LLMs, and prompt engineering.
* Strong collaboration skills for working with engineering, UX design, and application product management teams.
* Excellent communication skills to work with non\-technical stakeholders.
****Nice to Have****
* Experience in Life Sciences
* Experience in a data scientist, machine learning, or data engineering role.
**Perks \&amp; Benefits**
* Medical, dental, vision, and basic life insurance
* Flexible PTO and company paid holidays
* Retirement programs
* 1% charitable giving program
**Compensation**
* Base pay: $75,000 \- $165,000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49">
      <c r="A49" t="inlineStr">
        <is>
          <t>li-4368997991</t>
        </is>
      </c>
      <c r="B49" t="inlineStr">
        <is>
          <t>Senior AI Product Manager  -  (Only on W2)</t>
        </is>
      </c>
      <c r="C49" t="inlineStr">
        <is>
          <t>Miracle Software Systems, Inc</t>
        </is>
      </c>
      <c r="D49" t="inlineStr">
        <is>
          <t>linkedin</t>
        </is>
      </c>
      <c r="E49" t="inlineStr"/>
      <c r="F49" t="inlineStr"/>
      <c r="G49" t="inlineStr">
        <is>
          <t>Dearborn, MI</t>
        </is>
      </c>
      <c r="H49" t="inlineStr"/>
      <c r="I49" t="inlineStr">
        <is>
          <t>We,
 **(Miracle Software Systems, Inc),** 
 are actively looking for
 **"Senior AI Product Manager"** 
 to work
 **\#Full\-Time / Contract on W2 with our Direct Client.** 
**\-\-\-\-\-\-\-\-\-\-\-\-\-\-\-\-\-\-\-\-\-\-\-\-\-\-\-\-\-\-\-\-\-\-\-\-\-\-\-\-\-\-\-\-\-\-\-\-\-\-\-\-\-\-\-\-\-\-\-\-\-\-\-\-\-\-\-\-\-\-\-\-\-\-\-\-\-\-\-\-\-\-\-\-\-\-\-\-\-\-\-\-\-\-\-\-\-\-\-\-\-\-\-\-\-\-\-\-\-\-\-\-\-\-\-\-\-\-\-\-\-\-\-\-\-\-\-\-\-\-\-\-\-\-\-\-\-\-** 
**Position Description:** 
 As a Sales \&amp; Services AI Product Manager, you will lead the strategy, development and delivery of key AI products. Imagine and deliver the next generation of AI\-powered products that transform our business from reactive to predictive, personalized and seamless. Be at the forefront of the AI revolution to build intelligent solutions that enhance various touchpoints of the journey by anticipating needs, resolving issues instantly, build lasting loyalty while optimizing business operations.
**Product Strategy \&amp; Vision:** 
* Develop and articulate the product vision working closely with business partners and product group leadership, aligning it with client's broader digital transformation goals. Products are focused on using AI to improve the effectiveness of the Sales \&amp; Services organization.
* Empathize and deeply understand your target audience and personas to define the right problem to solve with AI.
* Define and drive the product roadmap, ensuring it reflects the evolving needs of the business, technological advancements, and market trends.
* Prioritize product features and enhancements based on customer feedback, data\-driven insights, and business impact.
* Focus on Product Market Fit by maintaining a balance between business viability, user desirability and technical feasibility.
* Define quantitative and qualitative measures of success that drive value to client's core objectives.
**Stakeholder Management:** 
* Collaborate with key stakeholders across various business units to understand their needs and translate them into product features.
* Manage relationships with product stakeholders, providing regular updates on progress, challenges, and opportunities.
* Act as a liaison between technical teams and business units, ensuring clear communication and alignment of goals.
* Champion an iterative development approach with our business partners, driving delivery of
* Minimum Viable Products and continuous improvement through careful and deliberate prioritization.
* Engage with your target audience in understanding their jobs to be done and needs leading to high quality product development.
**Development \&amp; Delivery:** 
* Lead a cross\-functional product team (AI engineering, software engineering, design, data engineering, etc.) in the design, development, and deployment of the AI products.
* Collaborate with product group leaders to lead and adopt operational standards to streamline value delivery and maximize outcomes within rapidly moving enterprise\-level initiatives
* Work hands\-on with the development team to prioritize, plan and deliver AI solutions that deliver business outcomes.
* Ensure the solution is scalable, secure, and reliable.
* Drive the integration of AI/ML capabilities into customer and business facing applications.
* Collaborate with the product team to define specifications, requirements and acceptance criteria for deliverables
* Work with Product Designers to ensure timely delivery of designs and assets to the development team.
* Create assets to guide product development work (Discovery, Framing \&amp; Scoping
* Documents, PRDs, Journey Maps, opportunity trees, user stories)
* Maintain an actionable backlog of user stories for development team.
* Define, track and analyze key product metrics and KPIs to inform product strategy, prioritize features and drive continuous improvement and business outcomes
**User Experience \&amp; Adoption:** 
* Design and implement user onboarding and training programs to increase adoption.
* Gather and analyze user feedback to continuously improve the solutions usability, performance, and feature set.
* Develop documentation, guides, and best practices to support users in effectively leveraging the solution for their needs.
* Conduct product experiments, user interviews and other validation techniques to gather feedback and product insights.
* Leverage analytical methods to understand and analyze user experience and adoption.
* Continuous Learning, Innovation \&amp; Contribution:
* Stay informed about the latest trends and technologies in AI and cloud computing to drive innovation.
* Encourage a culture of continuous improvement within the team, fostering innovation and experimentation to keep the solution at the forefront of industry standards.
* Actively participate in nurturing the Product Management Community of Practice
* Help innovate and iterate on agile PM processes and share learnings.
**Qualifications:** 
* Bachelor's degree in Computer Science, Computer Engineering, Systems Engineering or
* related field or a combination of education and equivalent work experience.
* 5\+ years with progressive responsibilities in an agile software development environment.
* 3\+ years of experience as a Product Manager with responsibilities to include defining product
* vision, strategy, product roadmaps and building and managing backlogs and similar.
**Preferred:** 
* Master's Degree in Computer Science, Computer Engineering, Systems Engineering orrelated field or an MBA
* Leadership experience
* Experience collaborating directly with Agile software methodologies (Scrum, eXtreme Programming, Kanban)
* Skilled at defining and prioritizing product features.
* Strong leadership and communication skills and the ability to teach others.
* Ability to work collaboratively with others and navigate complex decision making.
* Ability to collaborate well with engineers, designers, and business partners.
* Previous success delivering a product to market with an Agile development team, and ongoing development and support of production applications.
* Curious about new technologies and a demonstrated history of continuous learing mindset.
* Practice in Lean/Lean Startup thinking, human\-centered product development and Agile Software development
* Have exposure to lightweight product development methods such as user story mapping and/ or rapid prototyping
**\-\-\-\-\-\-\-\-\-\-\-\-\-\-\-\-\-\-\-\-\-\-\-\-\-\-\-\-\-\-\-\-\-\-\-\-\-\-\-\-\-\-\-\-\-\-\-\-\-\-\-\-\-\-\-\-\-\-\-\-\-\-\-\-\-\-\-\-\-\-\-\-\-\-\-\-\-\-\-\-\-\-\-\-\-\-\-\-\-\-\-\-\-\-\-\-\-\-\-\-\-\-\-\-\-\-\-\-\-\-\-\-\-\-\-\-\-\-\-\-\-\-\-\-\-\-\-\-\-\-\-\-\-\-\-\-\-\-** 
**About Miracle Software Systems:** 
 Miracle Software Systems, Inc. is Premier Partner of IBM and a National Implementation Partner of SAP since 1998\. Been in business for the last 30 years specializing on SAP Implementations, SOA / EAI / B2B Technologies. We are also a reseller of IBM Software Products. We are a Global Systems Integrator with Presence in 6 Countries. We also have a Large Offshore Facility located in India. We specialize on BPM tools like IBM Lombardi / BPM7\.5 and also have a large Sterling Commerce Practice. We also have a large E\-Commerce Practice based on IBM Portals / WebSphere Commerce Server. Miracle B2B Practice has been built on WTX / Gentran / Data Power / WPG / Trading Manager / Sterling GIS and other leading Products in the Market. We are based out of Novi, Michigan.
 If interested please send your updated resume and details to
 **\#pcheedi@miraclesoft.com** 
 or call me at
 **\#248\-233\-3625** 
 .</t>
        </is>
      </c>
    </row>
    <row r="50">
      <c r="A50" t="inlineStr">
        <is>
          <t>li-4368779837</t>
        </is>
      </c>
      <c r="B50" t="inlineStr">
        <is>
          <t>Senior Product Manager</t>
        </is>
      </c>
      <c r="C50" t="inlineStr">
        <is>
          <t>AREA 17</t>
        </is>
      </c>
      <c r="D50" t="inlineStr">
        <is>
          <t>linkedin</t>
        </is>
      </c>
      <c r="E50" t="inlineStr"/>
      <c r="F50" t="inlineStr"/>
      <c r="G50" t="inlineStr">
        <is>
          <t>Brooklyn, NY</t>
        </is>
      </c>
      <c r="H50" t="inlineStr"/>
      <c r="I50" t="inlineStr">
        <is>
          <t>At AREA 17, we believe we can help the world be more open, resilient, and optimistic. We work with clients we trust and admire across various industries, including Saint Laurent, OpenAI, the International Energy Agency, Fondation Louis Vuitton, and The New York Times. We build long\-term partnerships by delivering value through brand, experience, and technology.
 We are seeking a Senior Product Manager to turn vision into delivery. This role connects experience strategy and technical architecture to execution, translating ambition into clear plans that keep complex projects moving forward. You will own the path from intent to outcome, ensuring work is delivered predictably, thoughtfully, and with impact.
**The position**
 As a Senior Product Manager at AREA 17, you are accountable for delivery outcomes. You bring structure to ambiguity, align cross\-functional teams and stakeholders, and ensure projects are delivered on time, on budget, and at a high level of quality. This is not a purely operational role; you are expected to exercise judgment, make trade\-offs, and lead with confidence in partnership with Experience and Technology teams.
**Key responsibilities**
**Product leadership** 
* Own delivery planning by defining and maintaining scope, milestones, sequencing, and priorities in alignment with Experience, Technology, and the client.
* Translate experience strategy and technical architecture into clear backlogs, plans, and milestones that teams can execute without ambiguity.
* Define and track success criteria, actively managing scope and priorities to deliver value early and avoid late surprises.
* Make timely trade\-offs around scope, timeline, and quality, escalating risks and decisions when needed to keep delivery moving.
**Client engagement and alignment** 
* Serve as the primary day\-to\-day delivery partner for clients, ensuring clear and ongoing alignment on progress, risks, and upcoming decisions.
* Lead client demos, working sessions, and feedback reviews that drive decisions, with outcomes clearly documented and shared.
* Communicate changes and trade\-offs transparently, explaining what is changing, why, and the impact on scope and timeline.
* Build trust through reliable delivery, proactive communication, and consistent follow\-through.
**Methodology and collaboration** 
* Apply a pragmatic delivery approach that enables teams to deliver high\-quality, scalable work within agreed constraints.
* Identify risks and dependencies early and work with partners to define and implement mitigation plans.
* Facilitate delivery rituals so they result in clear goals, committed scope, and shared accountability.
* Maintain transparent delivery artifacts that make priorities, ownership, and risks visible to teams and clients.
**What we’re looking for**
 We are looking for a
 **senior product leader with 6\+ years of experience delivering complex digital products** 
**in agency, consultancy, or product\-led environments** 
 . This role requires someone who has owned delivery across multiple concurrent initiatives and worked closely with designers, engineers, and clients to deliver real value under real constraints.
 We are looking for someone who is comfortable operating in ambiguity and making decisions around scope, sequencing, and trade\-offs, creating clarity and momentum while keeping teams and stakeholders aligned.
 We are looking for someone with a
 **strong, pragmatic grasp of agile delivery and product practices** 
 . You should be fluent in
 **delivery tools such as Jira and Confluence** 
 , and understand how to use them to support clear planning, communication, and accountability—rather than process for its own sake.
 We are looking for someone with a solid understanding of modern web technologies, APIs, and system constraints, and who can collaborate closely with engineering to assess feasibility and guide decisions. You should value strong design and product quality, and know how to advocate for them within real\-world constraints.
**Key capabilities**
* **Delivery planning \&amp; execution** 
 — Translating product vision, experience principles, and technical architecture into clear plans, backlogs, and milestones, while defining success criteria and actively managing scope and priorities.
* **Cross\-functional orchestration** 
 — Coordinating designers, engineers, and clients across parallel workstreams, anticipating dependencies and risks, and keeping delivery moving without sacrificing quality.
* **Decision\-making** 
 — Making and communicating timely decisions around scope, timeline, and quality, escalating when appropriate and helping stakeholders understand options and consequences.
* **Client \&amp; stakeholder leadership** 
 — Leading client working sessions and feedback loops, driving decisions, and building trust through transparency, clarity, and follow\-through.
* **Communication** 
 — Communicating complex product and delivery concepts clearly to both technical and non\-technical audiences, ensuring shared understanding and minimal surprises.
*This position is based in our New York studio. Candidates should be located within the New York City metro area and able to work from our Brooklyn studio at least two days per week.* 
**What we offer**
*At AREA 17, we believe that doing great work comes from living great lives. We are a global company with studios in Paris and New York, composed of an international team from 18 countries, speaking 13 languages, and distributed across continents. We believe that time spent together enhances our collaborations with our team and clients. To that end, we focus our in\-person energy together on Tuesdays and Thursdays, centralizing group meetings and in\-person touchpoints to make the most for our team. Our approach balances connection with the flexibility to support each person’s life and family, including temporary remote work options and no\-cap PTO. Candidates should be local to NYC and able to work from the studio in accordance with our policy and client commitments.* 
*The salary band for this position is $103,000\-120,000 per year. Actual salary will depend on several factors, including experience, qualifications, capabilities, and the salaries of existing employees within the same role to maintain equity. Benefits for full\-time employees include fully\-paid medical, dental, and vision insurance for employees and their families; 401(k) with 4% company match; HSA options with annual employer contributions; in\-office snacks and activities; employer\-paid life insurance, and additional health, wellness, and lifestyle perks.* 
*We champion diversity in all forms. As individuals and a team, we are inspired by the world around us and united by our shared principles of rigor, curiosity, kindness, courage, and individuality. We are looking for applicants who feel connected to and inspired by these principles as well as our
 DEI Statement
 .* 
*We are an equal opportunity employer. We are committed to building and maintaining a diverse staff, and recognize that our continued success depends on hiring and retaining high\-quality, creative professionals with a variety of backgrounds and experiences. As a company, we structure our team across bands and levels to create a path for growth and development. Opportunities for advancement exist for all employees – we invest in each member of the team to develop, grow and advance, individually and as a team.* 
*AREA 17 does not discriminate on the basis of race, color, religion, national origin, sex, age, marital status, sexual orientation, handicap, and/or disability, veteran status, or any other protected category under federal, state or local law.*</t>
        </is>
      </c>
    </row>
    <row r="51">
      <c r="A51" t="inlineStr">
        <is>
          <t>li-4340024473</t>
        </is>
      </c>
      <c r="B51" t="inlineStr">
        <is>
          <t>AI Self-Service Program Manager</t>
        </is>
      </c>
      <c r="C51" t="inlineStr">
        <is>
          <t>Samsara</t>
        </is>
      </c>
      <c r="D51" t="inlineStr">
        <is>
          <t>linkedin</t>
        </is>
      </c>
      <c r="E51" t="inlineStr"/>
      <c r="F51" t="inlineStr"/>
      <c r="G51" t="inlineStr"/>
      <c r="H51" t="inlineStr"/>
      <c r="I51"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We’re looking for an AI Self\-Serve Program Manager to supercharge Samsara’s AI\-powered customer experience. You’ll lead our Chatbot and Voice AI platforms, driving innovation that makes support faster, smarter, and more seamless than ever.
 This is a high\-impact role where you’ll turn AI vision into measurable results, increasing containment, improving customer satisfaction, and reducing case volume. You’ll own performance insights, refine agent operating procedures, and collaborate with vendors, subject matter experts, and internal teams to continuously elevate our self\-serve capabilities.
**This is a remote position open to candidates residing in the US except the San Francisco Bay Metro Area, NYC Metro Area, and Washington, D.C. Metro Area. Relocation assistance will not be provided.**
**You should apply if:**
* You want to impact the industries that run our world: Your efforts will result in real\-world impact – 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high\-calibre team that will encourage you to do your best.
**In this role, you will:**
* Lead daily operations of Samsara’s AI self\-service platforms (Chatbot and Voice AI) to ensure reliability, speed, and performance.
* Track and analyze key metrics such as containment, deflection, accuracy, and CSAT to uncover insights and drive improvement.
* Optimize AI intelligence and integrations by refining prompts, enhancing conversational design, improving customer flows, and expanding connections across systems for seamless support.
* Collaborate across teams including SMEs, Tech Docs, vendors, and internal AI groups to close content gaps and scale platform capabilities.
* Advance AI self\-service strategy through innovation and continuous alignment with business goals, customer needs, and emerging industry trends.
**Minimum requirements for the role:**
* 8\+ years in Support Operations, Knowledge Management, or AI/Automation platform management.
* Bachelor’s degree in Business, Information Systems, or a related field (Master’s preferred).
* Conversational design / prompt engineering background
* Experience working directly with conversational AI technologies such as chatbots or voice AI.
* Strong analytical and problem\-solving skills with a data\-driven mindset.
* Proven success collaborating across technical and non\-technical teams.
* Skilled in project and vendor management.
* Excellent communication and storytelling skills with a focus on customer experience.
**An ideal candidate also has:**
* Strategic mindset with a builder mentality who thrives on scaling systems, processes, and technology to deliver measurable business impact.
* Deep understanding of AI\-driven self\-service and automation, with hands\-on experience optimizing chatbots, voice AI, or other conversational platforms.
* Collaborative leader and communicator who can align cross\-functional teams, vendors, and stakeholders around a shared vision for customer experience innovation.
 The range of annual base salary for full\-time employees for this position is below. Please note that base pay offered may vary depending on factors including your city of residence, job\-related knowledge, skills, and experience.
 $100,257\.50—$151,650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52">
      <c r="A52" t="inlineStr">
        <is>
          <t>li-4361204264</t>
        </is>
      </c>
      <c r="B52" t="inlineStr">
        <is>
          <t>Senior Deposit Product Manager</t>
        </is>
      </c>
      <c r="C52" t="inlineStr">
        <is>
          <t>First Horizon Bank</t>
        </is>
      </c>
      <c r="D52" t="inlineStr">
        <is>
          <t>linkedin</t>
        </is>
      </c>
      <c r="E52" t="inlineStr"/>
      <c r="F52" t="inlineStr"/>
      <c r="G52" t="inlineStr">
        <is>
          <t>Dallas, TX</t>
        </is>
      </c>
      <c r="H52" t="inlineStr"/>
      <c r="I52" t="inlineStr">
        <is>
          <t>**Location:** 
 Onsite in Memphis, TN, Nashville, TN, Knoxville, TN, Charlotte, NC, Raleigh, NC, Miami, FL, Orlando, FL, Birmingham, AL, New Orleans, LA, Dallas, TX, or Houston, TX
**Summary:**
 The Senior Deposit Product Manager sets the strategic direction for the deposit portfolio for consumer and small business. This leader drives comprehensive market analysis and business case development to inform product strategy, obtains and acts upon the voice of our clients, establishes the product roadmap, and guides end\-to\-end development of capabilities and enhancements. Full ownership of product performance is expected, including financials/P\&amp;L, risk and compliance, client experience, operational readiness, and reporting.
**Essential Duties and Responsibilities:**
* Define the strategy, goals, and OKRs for the deposit portfolio across consumer and small business, optimizing growth, profitability, mix, and cost of funds in alignment with enterprise priorities and risk appetite.
* Conduct market analysis and develop business cases for new products, features, fee structures and enhancements by establishing a multi\-year roadmap informed by the voice of our clients, competitive dynamics, and regulatory changes.
* Design and optimize end\-to\-end journeys with Marketing, Distribution, and Digital to improve conversion and engagement.
* Lead competitive benchmarking to assess product and pricing competitiveness.
* Develop and deliver executive dashboards and management reporting; analyze product trends and recommend actions.
* Recommend enhancements, consolidation, or rationalization of existing products based on client feedback, performance, profitability, and competitive positioning
* Stay current on regulations affecting deposit products while ensuring strong controls, testing, and issue management across the product lifecycle while coordinating required changes with Compliance, Legal, and Operations.
* Lead development and revisions to marketing materials, training content, internal and external communications, and product documentation.
* Performs all other duties as assigned.
**Qualifications:**
* Bachelor’s degree required; advanced degree (e.g., MBA) preferred or equivalent combination of education and experience.
* 5–8\+ years of experience in deposit product management/strategy, pricing, or related roles within banking; 2\+ years of people leadership.
* Strong analytical skills; proficiency with Excel and data visualization tools (e.g., Tableau/Power BI); SQL experience is a plus.
* Excellent communication, executive presence, and influence skills; ability to present to senior leadership and align diverse stakeholders.
**About Us**
 First Horizon Corporation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and mortgage banking services. First Horizon has been recognized as one of the nation's best employers by Fortune and Forbes magazines and a Top 10 Most Reputable U.S. Bank. More information is available at www.FirstHorizon.com.
**Benefit Highlights**
* Medical with wellness incentives, dental, and vision
* HSA with company match
* Maternity and parental leave
* Tuition reimbursement
* Mentor program
* 401(k) with 6% match
* More \-\- FirstHorizon.com/First\-Horizon\-National\-Corporation/Careers/Our\-Benefits
**Follow Us**
 Facebook
 X formerly Twitter
 LinkedIn
 Instagram
 YouTube</t>
        </is>
      </c>
    </row>
    <row r="53">
      <c r="A53" t="inlineStr">
        <is>
          <t>li-4346156951</t>
        </is>
      </c>
      <c r="B53" t="inlineStr">
        <is>
          <t>Growth Product Manager – Wireless (Wi-Fi)</t>
        </is>
      </c>
      <c r="C53" t="inlineStr">
        <is>
          <t>Cisco</t>
        </is>
      </c>
      <c r="D53" t="inlineStr">
        <is>
          <t>linkedin</t>
        </is>
      </c>
      <c r="E53" t="inlineStr"/>
      <c r="F53" t="inlineStr"/>
      <c r="G53" t="inlineStr">
        <is>
          <t>San Francisco, CA</t>
        </is>
      </c>
      <c r="H53" t="inlineStr"/>
      <c r="I53" t="inlineStr">
        <is>
          <t>The application window is expected to close on: 02/27/2026
**Job posting may be removed earlier if the position is filled or if a sufficient number of applications are received** 
 .
 This is a remote position within the US with domestic and international travel. Must live local to a major airport.
**Meet the Team**
 Cisco Wireless is unlocking new opportunities to expand our presence across key strategic market verticals. Our ongoing success is driven by a steadfast commitment to innovative and impactful growth strategies. By placing our customers at the heart of everything we do, we consistently deliver compelling value propositions that empower both our Cisco sellers and our partner ecosystem. Our teams are comprised of dedicated and passionate professionals, united by a shared commitment to delivering exceptional customer value and accelerating market growth.
**Your Impact**
 We are seeking a data\-driven and strategic Growth Product Manager to lead the expansion and growth of our Wi\-Fi product portfolio. This is an opportunity for you to design, develop, and manage growth engines for our Wi\-Fi product offerings from definition through mass adoption. You'll be the central resource connecting engineering, marketing, sales, partners and data science to drive user acquisition, activation, retention, and monetization.
 Your involvement will span the entire product lifecycle, while focusing on optimizing the user journey, managing upgrades, and driving modifications that directly impact business growth. You will coordinate cross\-functional teams to deliver new features and upgrade existing products that accelerate our market share in the Wi\-Fi portfolio.
* End\-to\-End Growth Ownership: Hold end\-to\-end ownership for multiple products within the WiFi portfolio, focusing specifically on growth levers such as acquisition funnels, referral programs and promotions, and retention loops.
* Strategic Planning: Shape the product portfolio strategy spanning 12\-18 months, defining clear outcomes and milestones for customer growth and revenue expansion.
* Prioritization \&amp; Roadmap: Review, prioritize, and align market needs with business strategy to develop multi\-quarter growth roadmaps. You will prioritize activities across products to ensure aggressive business objectives are met.
* Cross\-Functional Alignment: Tie broader platform and function goals to roadmaps across multiple products, creating alignment between sales and product teams, stakeholder groups, and leadership to strengthen WiFi product lines.
* Domain Expertise: Take the lead as a product and domain expert with industry awareness and market conditions as it relates to WiFi technologies, with specific focus on enterprise sector.
* Market Validation: Provide input into strategy for competitive analysis and market validation activities, identifying untapped opportunities for WiFi penetration.
* Partner and Customer Insights: Solicit and procure customer input across multiple channels. Leverage deep customer knowledge to improve and innovate on existing information gathering methods, insights, and solutions to reduce friction in the user journey.
* Spokesperson: Serve as the product spokesperson within internal teams and external customer teams, councils, or coaching forums, championing a culture of experimentation and data\-led growth.
**Minimum Qualifications**
* Bachelor’s degree \+ 5 years experience, or a Master’s degree \+ 3 years experience in product management and/or growth roles.
* Strong networking background, with the ability to understand competitive product offerings and translate them into value propositions.
* Experience creating enablement materials (e.g., guides, presentations, e\-learning content) and delivering training programs.
**Preferred Qualifications**
* Growth Stack Proficiency: Experience with A/B testing frameworks, analytics tools (e.g., Amplitude, Google Analytics), and customer engagement platforms.
* Wi\-Fi Industry Experience: Familiarity with WiFi industry landscape.
* Analytical Skills: Strong analytical skills and proficiency in interpreting complex data sets to drive product decisions.
* Commercial Acumen: Experience managing P\&amp;L, ARPU (Average Revenue Per User), and churn reduction strategies.
* Technical Fluency: Ability to discuss technical concepts with product teams, particularly as it relates to Cisco full stack products.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$152,400\.00 to $221,800\.00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$152,400\.00 \- $255,100\.00
**Non\-Metro New York State \&amp; Washington State**
 $134,300\.00 \- $224,800\.00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54">
      <c r="A54" t="inlineStr">
        <is>
          <t>li-4369498469</t>
        </is>
      </c>
      <c r="B54" t="inlineStr">
        <is>
          <t>Vice President, Card Customer Experience Product Manager</t>
        </is>
      </c>
      <c r="C54" t="inlineStr">
        <is>
          <t>JPMorganChase</t>
        </is>
      </c>
      <c r="D54" t="inlineStr">
        <is>
          <t>linkedin</t>
        </is>
      </c>
      <c r="E54" t="inlineStr"/>
      <c r="F54" t="inlineStr"/>
      <c r="G54" t="inlineStr">
        <is>
          <t>New York, NY</t>
        </is>
      </c>
      <c r="H54" t="inlineStr"/>
      <c r="I54" t="inlineStr">
        <is>
          <t>**Job Description**
 The Card Customer Experience Product team is seeking a highly effective, customer\-focused, and proactive Product Manager to help lead the rapidly growing product development and end\-to\-end capabilities within the Card organizations. The Product Manager will own a key product area with high leadership support and visibility. The ideal candidate has experience delivering customer experiences for web and mobile, and will work across the lines of businesses to execute on an ever\-evolving roadmap to drive business objectives forward. To keep Chase Credit Cards on the leading edge of the rapidly changing Customer Experience landscape, they’ll partner with cross functional teams of core engineering, design and business partners to bring robust features to market.
 As a Product Manager, the desired candidate will be outcome\-focused with a practical orientation to developing and maintaining an innovation lifecycle product roadmap. Candidates should have excellent written and oral communication skills, strong interpersonal skills, and outstanding analytical and research skills, as well as a passion for digital channels. In addition to being a seasoned, well trained professional, the successful candidate will be a strategic thinker with the ability to inspire confidence from, and to collaborate closely with technology and internal stakeholders.
**Job Responsibilities**
* Develops a product strategy and roadmap that delivers value to customers, with a focus on ensuring Chase is at leading edge of digital capabilities.
* Manages discovery efforts and market research to uncover customer problems, target customer segments, and solutions to solve those problems.
* Owns, maintains, and develops a product backlog that enables development to support the overall strategic roadmap and value proposition.
* Collaborate with design, engineering, research and marketing teams to drive new features and optimization of existing ones.
* Integrate data analytics, product metrics, user experience research, competitive and market analysis, and company goals to drive prioritization of initiatives.
* Identify and champion new ideas across key customer journeys to increase customer satisfaction and engagement, and ensure consistency for the customer across channels.
* Understand, manage, and communicate prioritization of features, with a mind toward user and business benefits and tradeoffs.
* Manage stakeholder communications to ensure business needs are met, set and manage expectations through effective written and oral communication
**Required Qualifications, Capabilities, And Skills**
* 5\+ years of experience in product management, preferably with experience in credit cards or digital banking
* Advanced knowledge of the product development life cycle, design, and data analytics
* Proven ability to lead product life cycle activities including discovery, ideation, strategic development, requirements definition, and value management
* Experience collaborating with UX design and research
* Demonstrable experience authoring business requirements, defining user stories and execution including bringing together cross functional teams within an Agile development framework
* Experience in defining and building out product roadmap, prioritizing the backlog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55">
      <c r="A55" t="inlineStr">
        <is>
          <t>li-4366571694</t>
        </is>
      </c>
      <c r="B55" t="inlineStr">
        <is>
          <t>Workday Grants Product Manager</t>
        </is>
      </c>
      <c r="C55" t="inlineStr">
        <is>
          <t>Focus on WD</t>
        </is>
      </c>
      <c r="D55" t="inlineStr">
        <is>
          <t>linkedin</t>
        </is>
      </c>
      <c r="E55" t="inlineStr"/>
      <c r="F55" t="inlineStr"/>
      <c r="G55" t="inlineStr"/>
      <c r="H55" t="inlineStr"/>
      <c r="I55" t="inlineStr">
        <is>
          <t>**Overview** 
 A leading healthcare organization is hiring a Workday Grants Product Manager to own the Grants domain in a large, enterprise Workday environment. Workday is live after a recent big\-bang implementation, and this role is central to stabilising Grants operations, closing post go\-live gaps, and evolving the Grants product to support long\-term research and funding needs.
 This is a hands\-on product ownership role where you will partner with Research Administration, Finance, Compliance, and technical teams to improve end\-to\-end grants lifecycle processes and ensure the platform supports accurate reporting, audit readiness, and user adoption.
 What you will do
**Grants product ownership** 
* Be the primary product owner for Workday Grants, representing Research Administration, Finance, and Compliance needs
* Own the product roadmap, backlog, and prioritisation aligned to research and funding objectives
* Translate business requirements into clear functional designs and Workday configurations
* Partner with technical teams to ensure solutions align with platform standards and downstream reporting needs
**Post go\-live stabilisation and optimisation** 
* Lead stabilisation efforts for Grants, addressing functional gaps, process inefficiencies, and adoption challenges
* Improve end\-to\-end grants lifecycle processes including proposal setup, award management, billing, cost sharing, and closeout
* Support data validation, reconciliation, and audit readiness for grants and sponsored research
**What they are looking for (must have)** 
* 7\+ years supporting grants management, sponsored research, or research finance systems
* Hands\-on Workday Grants experience in a functional role or product ownership capacity
* Strong understanding of the full grants lifecycle in a research, academic, or regulated environment
* Experience in a post implementation ERP environment, including stabilisation and optimisation
* Ability to lead cross functional discussions and influence without direct authority
* Strong communication skills with both technical and non technical stakeholders
**Nice to have** 
* Experience in complex research organisations, academic medical centres, or higher education environments
* Knowledge of Workday Financial Management, Payroll, and reporting
* Experience migrating from legacy ERP or grants systems into Workday
* Experience partnering with system integrators during and after implementation
**Why join** 
* Own a critical Workday product area with real visibility and impact across research, finance, and compliance
* Join at the most valuable time post go\-live, where your work directly improves stability, adoption, and long\-term capability
* Influence how the organisation supports research funding through better processes, controls, and reporting
* Permanent role with a remote setup and a strong East Coast team footprint</t>
        </is>
      </c>
    </row>
    <row r="56">
      <c r="A56" t="inlineStr">
        <is>
          <t>li-4362349863</t>
        </is>
      </c>
      <c r="B56" t="inlineStr">
        <is>
          <t>Director, AI Product Manager</t>
        </is>
      </c>
      <c r="C56" t="inlineStr">
        <is>
          <t>New York Life Investments</t>
        </is>
      </c>
      <c r="D56" t="inlineStr">
        <is>
          <t>linkedin</t>
        </is>
      </c>
      <c r="E56" t="inlineStr"/>
      <c r="F56" t="inlineStr"/>
      <c r="G56" t="inlineStr">
        <is>
          <t>New York, NY</t>
        </is>
      </c>
      <c r="H56" t="inlineStr"/>
      <c r="I56" t="inlineStr">
        <is>
          <t>**Location Designation:** 
 Hybrid \- 3 days per week
 New York Life Investments, a leading global asset management firm with $785 billion in assets under management, is seeking a visionary AI Product Manager to join the AI and Data Science team. This team plays a pivotal role in partnering with businesses across New York Life Investments to drive AI innovation and deliver transformative value.
 In this high\-impact role, you will report to the Head of AI and Data Science and work closely with the Head of Operations and the Head of Real Estate Intelligence to define, design, and deliver AI\-driven tools that enhance decision\-making and streamline operational processes. You will build Real Estate Investors(REI) AI and data science capabilities from the ground up, initially focused on improving efficiency in commercial loan origination through intelligent automation and data\-driven insights. We are seeking a visionary AI Product Manager to lead the development and execution of next\-generation AI solutions transforming how REI sources, analyzes, and manages commercial real estate investments.
**What You'll Do**
* Define a forward\-thinking AI product strategy aligned with REI’s investment goals and broader technology roadmap.
* Translate business problems into AI\-powered solutions that enhance workflow, accuracy, and efficiency.
* Own the AI product roadmap and manage end\-to\-end execution, from model development and testing to operational deployment and user adoption.
* Collaborate with AI/ML engineers, designers, and front\-end developers to ensure technical feasibility and seamless integration with REI systems.
* Conduct hands\-on QA of AI models, analyze performance results, and drive iterative improvements to ensure production\-grade reliability.
* Leverage large language models (LLMs), Agentic AI systems, and human\-in\-the\-loop (HITL) frameworks to deliver scalable, context\-aware tools that support investment decision\-making.
* Serve as the primary bridge between technical teams and real estate practitioners to gather insights, validate solutions, and drive adoption.
* Present AI product strategy, roadmap progress, and measurable impact to senior leadership and key stakeholders.
**What You'll Bring**
* 8\+ years of product management experience, including 3\+ years leading AI/ML\-driven initiatives.
* Proven success collaborating with engineers to build, test, and refine AI models in production environments.
* Technical fluency in modern AI/ML systems, including large language model (LLM) orchestration frameworks, retrieval\-augmented generation (RAG) pipelines, and scalable data integration across enterprise platforms.
* Experience integrating structured human feedback and expert review into model evaluation and continuous refinement.
* Exceptional communication, stakeholder management, and problem\-solving skills, with the ability to thrive in a fast\-paced, growth\-stage environment.
**Preferred Experience**
* Master’s degree in Computer Science, Engineering, or MBA preferred.
* Proficiency with AWS (e.g., S3, Lambda, SageMaker), Python, and SQL for data development and integration.
* Experience connecting AI models with enterprise data through REST APIs, webhooks, and Kafka event streams.
* Familiarity with SharePoint\-based document workflows, content structuring, and metadata design for retrieval automation.
* Knowledge of commercial real estate, private equity, or investment workflows preferred.
**Pay Transparency**
 Salary Range: $129,500\-$165,000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92879</t>
        </is>
      </c>
    </row>
    <row r="57">
      <c r="A57" t="inlineStr">
        <is>
          <t>li-4316616281</t>
        </is>
      </c>
      <c r="B57" t="inlineStr">
        <is>
          <t>Product Manager, Lash Category</t>
        </is>
      </c>
      <c r="C57" t="inlineStr">
        <is>
          <t>Kiss Products, Inc.</t>
        </is>
      </c>
      <c r="D57" t="inlineStr">
        <is>
          <t>linkedin</t>
        </is>
      </c>
      <c r="E57" t="inlineStr"/>
      <c r="F57" t="inlineStr"/>
      <c r="G57" t="inlineStr">
        <is>
          <t>Port Washington, NY</t>
        </is>
      </c>
      <c r="H57" t="inlineStr"/>
      <c r="I57" t="inlineStr">
        <is>
          <t>**Job Description Summary**
 We are seeking a strategic, commercially minded, and detail\-oriented Product Manager to lead category strategy and planning for our lash portfolio. This role will drive growth across retailers and channels by identifying assortment opportunities, shaping go\-to\-market strategy, and partnering cross\-functionally to ensure consistent execution across consumer touchpoints.
**Job Description**
 Category Strategy \&amp; Planning
* Develop and execute the long\-term strategy for the lash category, aligned with brand objectives and market trends
* Identify white space opportunities through market research, trend analysis, and consumer insights.
 Retailer \&amp; Channel Strategy
* Collaborate with sales and retail engagement team to tailor assortments and promotional strategies by retailer and channel (mass, drug, e\-commerce, specialty)
* Prepare product presentations and sell\-in decks for retailer line reviews and customer meetings
 Product Development
* Lead end\-to\-end product development process from concept to launch, including ideation, packaging, pricing, positioning, and go\-to\-market plans
* Manage product timelines and cross\-functional alignment with R\&amp;D, packaging, sourcing, design, sales, and operations teams
 Competitor \&amp; Market Analysis
* Track competitive launches, pricing, and packaging to ensure differentiation and market leadership
* Stay on top of beauty and lash trends, influencers, and consumer behaviors
**Benefits**
* Premium Medical Insurance Coverage
* 401(k) Savings Plan
* Paid Time Off (PTO) based on seniority
* Paid Holidays
**Additional Workplace Offerings (subject To Change Or Eligibility.)**
* Annual Bonus Plan
* Onsite Employee Fitness Center with Indoor Racquetball Court and Yoga Room
* Summer Fridays
* Complimentary Gourmet Breakfast, Lunch, and Dinner
* Relocation Support for New Hires
* Work Anniversary Recognitions
* Congratulatory \&amp; Condolence Gifts
* Employee Referral Bonus Program
* License/Certification Reimbursements
* Corporate Employee Discounts
* Visa Sponsorships (100% paid by the company) i.e., New H\-1B, H\-1B Transfer, O\-1, and Green Card
* Commuter Support (Shuttle Bus Program and EZPass Support)
* Vehicle Perks
**Qualification(s)**
**Education(s):**
 Bachelor of Arts (B.A)
**Work Experience**
 Experience Range IV: 8 \- 13 years of relevant experience or industry exposure in a related field
**Skill(s)**
 End to End Product Development, Market Analysis, Market Strategy, Market Trends
**Language(s)**
 Korean
**Certification(s)**
 Not Applicable
 The anticipated compensation range is
 69,000\.00 \- 137,000\.00 USD Annual
 Actual compensation will be determined based on various factors including qualifications, education, experience, and location. The pay range is subject to change at any time dependent on a variety of internal and external factors.
 Kiss Nail Products, Inc., KDC GA Corp., Ivy Enterprises, Inc., AST Systems, LLC, Red Beauty, Inc., or Dae Do, Inc. (collectively, the “Company”) is an equal opportunity employer and is committed to a diverse and inclusive workplace. All qualified applicants will receive consideration for employment without regard to race, color, religion, sex, national origin, age, disability, or any other characteristic protected by law.</t>
        </is>
      </c>
    </row>
    <row r="58">
      <c r="A58" t="inlineStr">
        <is>
          <t>li-4369460825</t>
        </is>
      </c>
      <c r="B58" t="inlineStr">
        <is>
          <t>Commercial Product Manager - Remote</t>
        </is>
      </c>
      <c r="C58" t="inlineStr">
        <is>
          <t>ExecutivePlacements.com</t>
        </is>
      </c>
      <c r="D58" t="inlineStr">
        <is>
          <t>linkedin</t>
        </is>
      </c>
      <c r="E58" t="inlineStr"/>
      <c r="F58" t="inlineStr"/>
      <c r="G58" t="inlineStr">
        <is>
          <t>North Carolina, United States</t>
        </is>
      </c>
      <c r="H58" t="inlineStr"/>
      <c r="I58" t="inlineStr">
        <is>
          <t>**Job Information**
 We're Mobilitas, a commercial insurance company created by CSAA Insurance Group. Our mission is to reinvent commercial insurance in the mobility space to offer our partners innovative solutions for todays way of doing business. At Mobilitas, we believe in what's possible and we use our inventive skills to meet the demands of modern mobility with exceptional service. Were looking for motivated, innovative individuals who think big, move fast and are dedicated to creating a company from the ground up, without the constraints of a traditional insurance company. Were excited to push the boundaries of commercial insurance and are looking for enthusiastic team members to help us reimagine insurance.
 We are actively hiring for a Commercial Product Manager \- Remote!
**Your Role:** 
 We're Mobilitas, a commercial insurance company created by CSAA Insurance. Our mission is to reinvent commercial insurance in the mobility space by providing technologically advanced solutions for todays way of doing business. At Mobilitas, we believe in what's possible, we use our inventive skills to create new opportunities \- we're not chasing the status quo, we're chasing a shared vision. Were looking for motivated, innovative individuals who think big, move fast and are dedicated to creating a company from the ground up, without the constraints of a traditional insurance company. Were excited to push the boundaries of commercial insurance and are looking for enthusiastic team members to help us reimagine insurance. We are actively hiring for a Commercial Insurance Product Manager to join our large account product and underwriting team.
**Your Work**
* Evaluate established and start\-up business accounts in rideshare, carshare, subscription auto, autonomous vehicle operations, and other emerging mobility and sharing economy markets.
* Determine account pricing based on risk attributes to attract and retain desirable business while meeting profitability targets.
* Analyze business financials, operations, inventory management, risk controls, employee training, and other key underwriting information.
* Collaborate with Forms, Legal, Finance and Claims teams to identify risk exposures and recommend appropriate insurance solutions.
* Contribute to the design and development of innovative insurance products.
* Assess underwriting profitability through analysis of loss runs, frequency and severity trends, and driver risk profiles.
* Monitor trends in the sharing economy and competitive landscape to develop solutions for emerging exposures.
* Build and maintain strong broker and client relationships, pursuing creative, client\-focused strategies to drive new business opportunities.
* Engage regularly with executives, including negotiating with customers, influencing leaders, and representing the organization in strategic discussions.
**Required Experience, Education And Skills**
* Bachelors degree or equivalent combination of education and experience.
* 5\-8 years of commercial auto insurance experience.
* 3\-5 years of commercial product management or underwriting experience
* Proven expertise in underwriting and product management for medium to large business accounts.
* Strong knowledge of commercial lines products, contract terms, and regulations related to the sharing economy, mobility or other related sector.
* Experience designing usage\-based insurance products.
* Comprehensive understanding of the insurance product lifecycle, competitive landscape, pricing strategies, profitability drivers, regulatory requirements, and surplus lines regulations.
* Excellent interpersonal and influencing skills.
* Ability to thrive in a fast\-paced environment with strong problem\-solving and multitasking capabilities.
* Self\-starter with a proactive approach to identifying and addressing opportunities and challenges.
**What would make us excited about you?**
* Prior experience with additional commercial insurance lines such as general liability, reinsurance, excess liability, cargo, and property
* Expertise with alternative risk structures and risk financing including collateral and credit risk analysis, captive programs, fronting, etc
* End\-to\-end large account underwriting and account servicing experience
* CPCU certification or actuarial designation.
* Actively shapes our company culture (e.g., participating in employee resource groups, volunteering, etc.)
* Lives into cultural norms (e.g., willing to have cameras when it matters: helping onboard new team members, building relationships, etc.)
* Travels as needed for role, including divisional / team meetings and other in\-person meetings
* Fulfills business needs, which may include investing extra time, helping other teams, etc
 Please note we are hiring for this role remote anywhere in the United States with the following exceptions: Hawaii and Alaska.
****Why Choose a Career at Mobilitas?****
 At Mobilitas, we are a mission\-driven organization proudly committed to empowering our members, our employees, and our communities to thrive
 **.**
**Recognition:** 
 We offer a total compensation package, annual bonus eligibility for most roles, 401(k) with a company match, and so much more!</t>
        </is>
      </c>
    </row>
    <row r="59">
      <c r="A59" t="inlineStr">
        <is>
          <t>li-4361050382</t>
        </is>
      </c>
      <c r="B59" t="inlineStr">
        <is>
          <t>Senior Product Manager</t>
        </is>
      </c>
      <c r="C59" t="inlineStr">
        <is>
          <t>Liberis</t>
        </is>
      </c>
      <c r="D59" t="inlineStr">
        <is>
          <t>linkedin</t>
        </is>
      </c>
      <c r="E59" t="inlineStr"/>
      <c r="F59" t="inlineStr"/>
      <c r="G59" t="inlineStr">
        <is>
          <t>Atlanta, GA</t>
        </is>
      </c>
      <c r="H59" t="inlineStr"/>
      <c r="I59" t="inlineStr">
        <is>
          <t>**Some key info for you:**
 🌱 We were founded in 2007
 💰 We have provided over $3bn of funding to small businesses so far
 🚀 We have been named in
 **CNBC \&amp; Statista Top 150 UK Fintechs for 2025**
 🌍 We're a global team, with a dynamic presence in
 **6** 
 key locations around the world
 🧠 We're a thriving community of over
 **290** 
 innovative minds
 👩🏾 🤝 👨🏼 We're a vibrant melting pot, celebrating over
 **27** 
 nationalities in our team
 🏢 Our team brings experience from over
 **740** 
 previous companies, from startups to global giants
 🎯 We have just been named as one of
 **FinTech’s Finest 50** 
 by Welcome to the Jungle
 💪 We’re proud to be an accredited
 **Real Living Wage** 
 employer, ensuring everyone is paid fairly for the great work they do
 About Us:
 Liberis launched in the US in 2019, to bring our vision to US Merchants. We now have more than 6 partners across the US and Canada, with names like eBay among them!
 We have had rapid growth since we launched in the US and are looking to further drive this \- with the addition of a new Senior Product Manager role, based in our Atlanta office!
 About the role:
 As a Senior Product Manager, you will lead our MCA product line within the Revenue Based Finance product family. You'll have full ownership and P\&amp;L responsibility, leading a cross\-functional team of engineers, analysts \&amp; designers to drive the commercial success of our MCA product!
 What you will be doing:
* Own the P\&amp;L, roadmap, and goals for the MCA product, and be accountable for a clear set of business and product outcomes.
* Drive commercial performance through product innovation, pricing optimization and strategic segmentation of our MCA offerings.
* Work iteratively and collaboratively with engineering, risk, commercial teams, design, research, legal, compliance and external partners to refine your plan and execute against it effectively.
* Build and maintain strong relationships with senior stakeholders at external partners and clients, understanding their needs and translating them into product strategy.
* Conduct sophisticated data analysis to inform decisions on segmentation, pricing strategies, and risk performance \- being self\-sufficient in pulling insights from data.
* Track and monitor core metrics for your area, developing new metrics with the team to measure the success of your initiatives.
* Listen, learn, build, test. Make changes. Ship. Fast, iteratively, and in control.
 Who you are:
* Lending \&amp; finance expertise. You have significant experience working in a lending context and understand the commercial dynamics of financial products. You're familiar with credit risk, underwriting, and the regulatory landscape that governs lending products.
* Commercially astute. You have very strong commercial acumen and instinctively think about revenue, margins, unit economics and profitability. You can build business cases, understand P\&amp;L dynamics, and make trade\-offs that balance customer value with business outcomes.
* Data\-driven and analytically rigorous. You have exceptional data analysis skills and are self\-sufficient in exploring segmentation, pricing strategies, and risk performance. You're comfortable with SQL, advanced Excel/spreadsheet analysis, and data visualization tools. You don't wait for analysts \- you dive into the data yourself.
* Senior stakeholder management. You have proven experience working with senior stakeholders at external partners or clients. You can navigate complex B2B relationships, understand partner needs, and translate them into product requirements while maintaining strong commercial discipline.
* Product focused. You have been involved in building products \- names that we know \- at scale with many users. You have opinions on great UX and enjoy discussions about how to best express a new feature or capability in the product. You are creative about various options for accomplishing customer \&amp; partner requests, and are decisive about which to pursue in cooperation with your engineering partner.
* Able to prioritize. You are able to coalesce input from various streams \- customers (merchants), Partners (B2B \- Sales \&amp; Account Management), marketing, industry, engineering \- into a single crisp set of priorities. You understand the art of negotiation and trade\-offs to optimize their requests.
* Execution driven. You are execution driven and realize that ideas unrealized do not further the business. You partner fluidly with engineering and commercial teams to optimize the time to market and launch of new business value. You enable others well so that they drive quick adoption of functionality to then iterate fast where necessary.
* Strategic sensibilities. Beyond what you are being told, you can see into the future based on signals coming in from industry, competitors and from your own imagination. You are comfortable mapping out a game plan that allows your products to be the best against industry rivals and relative to customer needs and desires. You strive to be ahead of the curve and operate with an eye on the horizon.
* Storytelling \&amp; communication. Communication is everything \- particularly in a scaling \&amp; distributed, changing and hybrid org. You come with energy to create a continual presence for yourself, both in the eyes of the Engineering team and commercial stakeholders. You adjust your content to your audience naturally, bringing a story\-telling approach to conversations. You are a leader, and build followership, provide necessary detail and generate excitement \&amp; enthusiasm in your communication style and content.
* Allergic to micro\-management. You love working with others and enjoy collaboration but do not rely on it for direction. You are naturally proactive and become healthily frustrated if blocked, quick to figure a way out, or around it, yourself. You know the importance of keeping stakeholders informed and enjoy crafting updates so that buy\-in for your work is high, without being asked.
 What will bring:
* Experience of shipping world\-class financial products which have had a significant business impact at a fast\-growing company, ideally in lending, fintech or embedded finance.
* Proven track record of working in a lending context with understanding of credit products, risk decisioning and pricing approaches.
* Demonstrated commercial acumen with experience driving revenue growth, optimizing pricing, and managing product P\&amp;L.
* Advanced data analysis skills \- proficiency in SQL, Excel/Google Sheets for complex analysis, and data visualization tools. Ability to independently analyze segmentation, pricing elasticity, and risk performance.
* Experience managing relationships with senior stakeholders at external partners, clients or B2B customers.
* Experience making hard data\-informed decisions using tools such as A/B experimentation, user testing, data analysis, competitors and market analysis, defining metrics.
* Experience in different companies \&amp; contexts, building and shipping digital products together with teams of designers, engineers and data scientists.
**Next steps** 
 If this opportunity feels like the right fit for your next career move, we’d love to hear from you!
 Even if you don’t meet every requirement, don’t hesitate to apply or reach out to Chess (Internal Recruiter) on chess.crossley@liberis.com
**Our hybrid approach**
 Working together in person helps us move faster, collaborate better, and build a great Liberis culture. Our hybrid working policy requires team members to be in the office at least 3 days a week, but ideally 4 days. At Liberis, we embrace flexibility as a core part of our culture, while also valuing the importance of the time our teams spend together in the office</t>
        </is>
      </c>
    </row>
    <row r="60">
      <c r="A60" t="inlineStr">
        <is>
          <t>li-4321728085</t>
        </is>
      </c>
      <c r="B60" t="inlineStr">
        <is>
          <t>Senior Product Manager - Pro - Tax Reporting</t>
        </is>
      </c>
      <c r="C60" t="inlineStr">
        <is>
          <t>Kraken</t>
        </is>
      </c>
      <c r="D60" t="inlineStr">
        <is>
          <t>linkedin</t>
        </is>
      </c>
      <c r="E60" t="inlineStr"/>
      <c r="F60" t="inlineStr"/>
      <c r="G60" t="inlineStr"/>
      <c r="H60" t="inlineStr"/>
      <c r="I60" t="inlineStr">
        <is>
          <t>**Building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This role is part of the Client Reporting team at Kraken which owns the end\-to\-end reporting platform delivering scalable solutions to help clients understand trading activity, asset allocations and meet tax / compliance obligations.
 The team sets the global direction for statements, exports, tax reports and the client experience for the reporting user interfaces.
**The opportunity**
* Own the platform strategy and execution of client reporting experiences globally, covering diverse asset classes like crypto, equities and derivatives.
* Re\-imagine account statements, transaction history, tax reports and portfolio summaries to provide best in class client experience.
* Collaborate with data, finance, and compliance to anticipate regulatory changes and incorporate them into the reporting frameworks.
* Provide reporting solutions that meet diverse regulatory and geographical requirements, balancing compliance with exceptional user experience.
* Partner with the design team to champion the client UX for the documentation centers across web and mobile applications.
* Lead vendor strategy: assess, integrate and optimize third\-party tools for data aggregation, report generation and export functionality.
**Skills You Should HODL**
* 5\+ years of product management experience, including building reporting products for clients, such as account statements, tax forms (e.g. 1099\-B, 1099\-MISC, 1099\-K forms), transaction exports and user audit trails.
* Demonstrate a proven track record of owning strategy and delivering high\-impact reporting tools in complex, regulated environments.
* Excellent stakeholder management and communications skills, including writing PRDs, strategy docs and product vision narratives.
* Experience leading vendor evaluations, integrations and performance management for data and reporting services.
* A deep passion for the crypto industry, including staying at the forefront of new trends, technologies, and developments. A learning attitude and willingness to innovate are crucial.
* Able to align diverse stakeholders, clearly articulate product decisions, and inspire cross\-functional teams.
* Thrives in a fast\-paced, ambiguous startup environment and brings a hands\-on, can\-do attitude to problem solving.
*Unless a specific application deadline is stated in the job posting, applications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
**Stay in the know**
 Follow us on Twitter
 Learn on the Kraken Blog
 Connect on LinkedIn
 Candidate Privacy Notice
 Compensation Range: $110\.4K \- $220\.8K</t>
        </is>
      </c>
    </row>
    <row r="61">
      <c r="A61" t="inlineStr">
        <is>
          <t>li-4362379607</t>
        </is>
      </c>
      <c r="B61" t="inlineStr">
        <is>
          <t>Senior Associate, Client Growth &amp; Retention Enablement - Product Owner</t>
        </is>
      </c>
      <c r="C61" t="inlineStr">
        <is>
          <t>New York Life Insurance Company</t>
        </is>
      </c>
      <c r="D61" t="inlineStr">
        <is>
          <t>linkedin</t>
        </is>
      </c>
      <c r="E61" t="inlineStr"/>
      <c r="F61" t="inlineStr"/>
      <c r="G61" t="inlineStr">
        <is>
          <t>New York, NY</t>
        </is>
      </c>
      <c r="H61" t="inlineStr"/>
      <c r="I61" t="inlineStr">
        <is>
          <t>**Location Designation:** 
 Hybrid \- 3 days per week
**Role Overview**
 When you join New York Life, you become part of a company that values growth, collaboration, innovation, and inclusion. You’ll have opportunities to advance your career while developing personally and professionally through a wide range of resources and programs.
 We are seeking a Product Owner who thrives on collaboration and is energized by enabling digital products that advance client growth and retention goals.
 This role sits at the intersection of business and technology—translating business needs and features into digital product solutions and requirements that deliver measurable business outcomes. Success requires a strong grasp of digital product delivery, the ability to connect business priorities to execution, and the influence to align cross\-functional teams around shared objectives.
**What Great Looks Like In This Role**
* A proactive, team\-oriented problem solver who thrives on bringing clarity to complexity.
* Connects business strategy to digital product execution with precision and focus.
* Shapes and maintains a prioritized, transparent backlog aligned to business objectives and technology capabilities.
* Balances speed, quality, and stakeholder alignment through strong facilitation and trade\-off decisioning.
* Creates clarity across functions, ensuring the right people are engaged, informed, and empowered to act.
**What You’ll Do**
* Digital Product Backlog Planning \&amp; Management:
+ Partner with Business Leads and Product Managers to understand strategy, impact goals, and OKRs, and translate them into actionable backlog priorities.
+ Accountable for defining, grooming, and managing the product backlog with a focus on delivering value early and often.
* Delivery \&amp; Execution Management:
+ Partner with Technology to lead the digital product delivery process.
+ Manage sprint planning, feature delivery, and risk escalation, ensuring trade\-offs are transparent and data\-informed.
+ Balance business expectations and technical feasibility through clear communication and proactive alignment.
* User Acceptance \&amp; Quality:
+ Partner with the UAT team to validate that products meet defined business and user expectations.
+ Guide the creation and prioritization of test scripts; support triage, prioritization, and resolution of defects.
+ Ensure readiness for deployment through collaboration with key business and technology stakeholders.
+ Review and conduct post\-deployment validation and ongoing monitoring, as demanded by the initiative.
* Activation \&amp; Adoption:
+ Contribute to activation, training, and communication plans to ensure readiness and seamless adoption.
+ Contribute to documentation and enablement materials to ensure seamless adoption and measurable impact post\-launch.
* Platform \&amp; Vendor Collaboration:
+ Support platform evaluations and vendor RFPs as needed, ensuring scalability, cost\-effectiveness, and alignment with strategy.
+ Influence vendor roadmaps to support evolving business needs and enterprise goals.
* Manage day\-to\-day platform and operations:
+ Support back\-end processes and workflows,
+ Create processes with documentation of processes/workflows/operations for record retention and management
**What You’ll Bring**
**Skills \&amp; Competencies**
* Proven experience with consumer\-facing, data\-driven digital products
* Strong delivery discipline and problem\-solving orientation
* Strong facilitator who drives clarity, consensus, and accountability
* Ability to manage multiple priorities and navigate ambiguity effectively
* High attention to detail, self\-starter, and ability to balance the need to work strategically and hands\-on
* Strong written and verbal communication skills across technical and business audiences
* Confident negotiator and trusted advisor in cross\-functional discussions
**Education \&amp; Background**
* Bachelor’s degree and/or equivalent experience
* Minimum of 7\+ years of relevant experience, with 5\+ years specializing in digital product delivery
**Pay Transparency**
 Salary Range: $108,000 \- $140,000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92872</t>
        </is>
      </c>
    </row>
    <row r="62">
      <c r="A62" t="inlineStr">
        <is>
          <t>li-4325498552</t>
        </is>
      </c>
      <c r="B62" t="inlineStr">
        <is>
          <t>Senior Product Manager - Vault CRM Suite</t>
        </is>
      </c>
      <c r="C62" t="inlineStr">
        <is>
          <t>Veeva Systems</t>
        </is>
      </c>
      <c r="D62" t="inlineStr">
        <is>
          <t>linkedin</t>
        </is>
      </c>
      <c r="E62" t="inlineStr"/>
      <c r="F62" t="inlineStr"/>
      <c r="G62" t="inlineStr">
        <is>
          <t>Pleasanton, CA</t>
        </is>
      </c>
      <c r="H62" t="inlineStr"/>
      <c r="I62"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The Senior Product Manager, Vault CRM is a critical position responsible in developing our world\-class CRM solution. You will work closely with customers, sales, consulting, and engineering to construct product roadmaps and define detailed product specifications. This role is for the core Vault CRM application which includes areas such as Account Management, Interaction Planning, Interaction Recording, Sampling, Surveys, Next Best Actions, Order Management, Cycle Plans, and much more.
**What You’ll Do**
* Drive strategic direction of Vault CRM
* Define product priorities and roadmap by collecting and synthesizing input from customers, partners, executives, market owners, sales, services, and engineering
* Be the voice of the customer and work collaboratively with product development teams to design and deliver product capabilities that meet customer/market requirements
* Evangelize products and become the subject matter expert for internal audiences, external customers, and market facing communications
* Collaborate with other departments (e.g.UX, engineering, QA, operations, etc.) to manage resources, timelines, and conflicts
* Ultimately you are responsible for creating features that are built, delivered with quality, and delight customers
**Requirements**
* 5\+ years of product management experience
* Experience in researching and understanding customer and market requirements to develop short and long\-term product roadmaps and plans
* Experience writing detailed user stories and managing a story backlog
* Track record of effectively collaborating with engineering/QA to define, design and deliver the product
* Ability to understand and communicate architectural requirements, preferences, and limitations
* Excellent oral and written communication skills
* A strong sense of professional ethics
****Nice to Have****
* Experience with commercial aspects of the Life Sciences industry, including Field Sales or Field Medical
* Experience developing configurable enterprise SaaS solutions in an agile environment
* Experience with federal regulatory requirements, including 21 CFR Part 11 and PDMA, as well as state laws and regulations
* Experience with the Veeva Vault platform
* Experience developing configurable enterprise SaaS solutions
* Prior work in software development, or computer science degree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63">
      <c r="A63" t="inlineStr">
        <is>
          <t>li-4353927002</t>
        </is>
      </c>
      <c r="B63" t="inlineStr">
        <is>
          <t>Product Manager, Antibody Detection</t>
        </is>
      </c>
      <c r="C63" t="inlineStr">
        <is>
          <t>Thermo Fisher Scientific</t>
        </is>
      </c>
      <c r="D63" t="inlineStr">
        <is>
          <t>linkedin</t>
        </is>
      </c>
      <c r="E63" t="inlineStr"/>
      <c r="F63" t="inlineStr"/>
      <c r="G63" t="inlineStr">
        <is>
          <t>United, PA</t>
        </is>
      </c>
      <c r="H63" t="inlineStr"/>
      <c r="I63" t="inlineStr">
        <is>
          <t>**Work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64">
      <c r="A64" t="inlineStr">
        <is>
          <t>li-4353018373</t>
        </is>
      </c>
      <c r="B64" t="inlineStr">
        <is>
          <t>Sr. Program Manager, Gen AI Governance</t>
        </is>
      </c>
      <c r="C64" t="inlineStr">
        <is>
          <t>Chime</t>
        </is>
      </c>
      <c r="D64" t="inlineStr">
        <is>
          <t>linkedin</t>
        </is>
      </c>
      <c r="E64" t="inlineStr"/>
      <c r="F64" t="inlineStr"/>
      <c r="G64" t="inlineStr"/>
      <c r="H64" t="inlineStr"/>
      <c r="I64" t="inlineStr">
        <is>
          <t>**About The Role**
 Chime is building a world\-class customer (member) experience. Wrapped around our industry\-leading product suite, the member experience is a critical part of why we’re the most loved checking account in America. We are obsessed with delivering frictionless experiences, providing self\-service and automated capabilities to help members solve their own issues, creating virtual communities for members to support each other, and providing excellent service when members do choose to contact us. Our member obsession shows up in every part of the member experience.
 As a Senior Program Manager of the Member and Agent Intelligence Operations team, you are a key member of the Member Strategy \&amp; Experience Operations organization responsible for delivering successful insights, initiatives and recommendations to improve our member experience in our Gen AI customer facing channels. As a program leader, you will develop and implement critical governance frameworks, controls, and processes and work across Compliance, Operations, Legal, Product, Engineering, and AI vendors on a daily basis. You will use quantitative and qualitative analysis to help Chime identify areas of opportunity that provide the most value towards our KPIs. You will use various points of data to develop insights, turn those insights into recommendations, and through your cross\-functional partnerships, help launch initiatives to improve the member and agent experience. Using your relationships \&amp; your ability to manage change, you will help the organization rally around your initiatives and be able to tell the story of how your initiatives met your targeted goals.
 The base salary offered for this role and level of experience will begin at $130,000 and up to $180,000\. Full\-time employees are also eligible for a bonus, competitive equity package, and benefits. The actual base salary offered may be higher, depending on your location, skills, qualifications, and experience.
**In this role, you can expect to** 
 (responsibilities)
* Develop and implement governance, compliance, and QA frameworks for Chime’s customer facing Gen AI voice and chatbots to enable and optimize channels for scale
* Establish clear program structure, operating rhythms, decision forums, and escalation paths across Product, Engineering, Legal, Compliance, Risk, Trust \&amp; Safety, and CX.
* Define and maintain governance standards, documentation, and artifacts (e.g., model cards, risk assessments, launch checklists, approval gates).
* Partner with Compliance, Legal, Product, Engineering, and Operations teams and external vendors in the implementation and execution of the frameworks and business controls
* Develop a set of key governance metrics in partnership with key stakeholders and build associated dashboards
* Own and drive a regular meeting rhythm and reporting cadence for all key stakeholders, including key insights
* Develop and roll out incident playbooks with key stakeholders including workflows, R\&amp;R, SLAs
* Develop frameworks for automated evaluations including test criteria, sign\-off processes, and launch KPIs
* Build a Gen AI operations launch playbook and ChatGPT tool for internal stakeholders
* Translate compliance, QA, business and technical requirements into roadmap deliverables
* Deep dive into performance data for the voice and chat channels to understand the key drivers for key metrics
* Partner closely with IVR and AR tools, platforms, and vendors to improve and optimize performance
**To thrive in this role, you have** 
 (requirements)
* 4\+ years of leading AI governance programs for customer facing Gen AI experiences and working with product, engineering, compliance, and operations teams
* 7\+ years of experience leading cross\-functional initiatives in product management, program management, or consulting, ideally in customer experience.
* 5\+ years developing product roadmaps and working with product, engineering and operations teams
* Excellent communication skills with the ability to translate complex AI concepts to non\-technical stakeholders.
* Strong project management experience; you have a demonstrated track record of multi\-tasking and coordinating efforts across multiple stakeholders
* Strong ability to understand and synthesize insights into meaningful and actionable steps.
* Excellent communication and presentation skills; a track record of successful engagement of both internal and external stakeholders
* Ability to synthesize disparate information quickly to develop a succinct, accurate summary of the opportunity/need.
* Demonstrated the ability to influence and foster deep positive relationships with external partners.
* Comfortable in a fast\-paced environment where vision remains the same but information may not be 100% available and priorities can change frequently
* Ability and willingness to travel domestically and internationally, approx. 10% of the time
**Preferred Qualifications**
* Prior experience building or managing AI\-powered SaaS products.
* Familiarity with MLOps frameworks and AI model lifecycle management.
* Excellent communication skills with the ability to translate complex AI concepts to non\-technical stakeholders.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 Chime is a financial technology company, not a bank. Banking services provided by The Bancorp Bank, N.A. or Stride Bank, N.A., Members FDIC.
**What We Offer For Our Full\-time, Regular Employees**
*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 In\-office perks including backup child, elder, and/or pet care, plus a subsidized commuter benefit to support your regular commute\*\*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 Perks also available to Chime Interns.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To learn more about how Chime collects and uses your personal information during the application process, please see the Chime Applicant Privacy Notice.</t>
        </is>
      </c>
    </row>
    <row r="65">
      <c r="A65" t="inlineStr">
        <is>
          <t>li-4362761590</t>
        </is>
      </c>
      <c r="B65" t="inlineStr">
        <is>
          <t>Corporate Vice President, Investment Solutions Product Manager</t>
        </is>
      </c>
      <c r="C65" t="inlineStr">
        <is>
          <t>New York Life Insurance Company</t>
        </is>
      </c>
      <c r="D65" t="inlineStr">
        <is>
          <t>linkedin</t>
        </is>
      </c>
      <c r="E65" t="inlineStr"/>
      <c r="F65" t="inlineStr"/>
      <c r="G65" t="inlineStr">
        <is>
          <t>New York, NY</t>
        </is>
      </c>
      <c r="H65" t="inlineStr"/>
      <c r="I65" t="inlineStr">
        <is>
          <t>**Location Designation:** 
 Hybrid \- 3 days per week
**Role Overview**
 The Investment Solutions Product Manager for the Purchase Experience Value Stream will be responsible for overseeing and enhancing the platforms and processes supporting the purchase and onboarding of annuity and investment products. This role plays a critical part in shaping the customer and advisor experience by driving modernization, innovation, and efficiency across our new business capabilities.
 As part of the Purchase Experience Value Stream, the Product Manager will play a key role in transforming how clients and financial professionals engage with our wealth and investment products, from the moment of purchase through account setup and onboarding. This role is responsible for supporting and modernizing all investment purchase platforms and driving digital innovation to deliver seamless, efficient, and client\-centered new business processes. The ideal candidate brings deep knowledge of the financial services industry, a passion for simplifying complex systems, and the ability to lead cross\-functional teams to deliver meaningful change. You will collaborate closely with product teams, technology, operations, compliance, and distribution partners to ensure seamless purchase journeys, while also leading initiatives to digitize and optimize the way our customers and agents engage with wealth solutions.
**What You’ll Do**
**Product Ownership \&amp; Strategy**
* Own the end\-to\-end product lifecycle for annuity and wealth purchase platforms, including digital tools supporting new business, Suitability, Reg 60 and account setup.
* Develop and maintain a product roadmap aligned with the Purchase Experience Value Stream’s strategic objectives.
* Define and manage key performance indicators (KPIs) that measure the effectiveness of the purchase experience and process improvements through adoption, efficiency and user satisfaction.
**Innovation \&amp; Modernization**
* Lead modernization efforts across all annuity and investment purchase and new business processing platforms, leveraging digital tools, automation, and data to drive transformation.
* Research and evaluate emerging technologies, digital tools, and industry trends to drive innovation.
* Champion customer\-centric design and data\-driven decision making to continuously enhance the purchase experience.
**Cross\-Functional Collaboration**
* Partner with business, technology, operations, and compliance teams to deliver platform enhancements and new capabilities.
* Work closely with UX/UI teams to ensure intuitive, consistent, and frictionless user experiences.
* Serve as a key liaison between the Purchase Experience Value Stream and other value streams to ensure integration and alignment across platforms.
**Execution \&amp; Delivery**
* Translate business goals and user needs into clear product requirements and user stories.
* Prioritize backlogs based on business value, effort, and strategic alignment.
* Manage backlogs, user stories, and sprint planning to ensure timely delivery of prioritized initiatives.
* Manage vendor relationships and third\-party integrations as needed.
* Ensure timely delivery of product releases and adherence to regulatory and compliance standards.
**What You’ll Bring**
* Bachelor’s degree in Business, Finance, Economics, or a related field.
* 7\+ years of product management or business leadership experience within financial services, with a focus on wealth management and investments.
* Proven ability to lead digital product initiatives from concept through delivery.
* Strong understanding of financial products such as mutual funds, annuities, managed accounts, and other investment vehicles.
* Strong analytical, communication, and stakeholder management skills.
* Experience with platforms supporting new business or purchase journeys in financial services.
* Knowledge of regulatory and compliance considerations in investment and advisory services.
* Agile certification (e.g., CSPO, PMI\-ACP) or experience working in agile delivery environments.
**Pay Transparency**
 Salary Range: $160,000\-$228,500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**Please note: This role requires FINRA licensed and/or FINRA Associated Person pre\-hire fingerprinting.**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92969</t>
        </is>
      </c>
    </row>
    <row r="66">
      <c r="A66" t="inlineStr">
        <is>
          <t>li-4305379314</t>
        </is>
      </c>
      <c r="B66" t="inlineStr">
        <is>
          <t>Program Manager II - Customer Success Programs</t>
        </is>
      </c>
      <c r="C66" t="inlineStr">
        <is>
          <t>Samsara</t>
        </is>
      </c>
      <c r="D66" t="inlineStr">
        <is>
          <t>linkedin</t>
        </is>
      </c>
      <c r="E66" t="inlineStr"/>
      <c r="F66" t="inlineStr"/>
      <c r="G66" t="inlineStr"/>
      <c r="H66" t="inlineStr"/>
      <c r="I66"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Customer Success Programs team drives operational excellence and scalability across our global Sales organization. As a
 **Program Manager II** 
 , you’ll play a critical supporting role in executing high\-impact initiatives that improve sales productivity, streamline workflows, and drive adoption of strategic go\-to\-market changes.
 This role will work closely with to support programs that evolve and scale our Customer Success strategy, helping ensure Samsara’s post\-sales teams are enabled to drive consistent, customer\-centric outcomes. These initiatives often span process improvements, enablement rollouts, change management, and tooling enhancements.
 The ideal candidate is highly organized, detail\-oriented, and proactive. You should be excited to build your program management skills while gaining exposure to a broad range of stakeholders across CS, Revenue Operations, Systems, and Enablement. This is a great opportunity to grow into a high\-impact operator while learning how strategic transformation happens inside a high\-growth GTM organization.
**This role is open to candidates residing in the US except Alaska, Austin Metro, Boulder Metro, California, Chicago Metro, Connecticut, Dallas Metro, Denver Metro, Houston Metro, Maryland, Massachusetts, New Jersey, New York, Rhode Island, Seattle Metro, and Washington, D.C.**
**You should apply if:**
* You want to impact the industries that run our world: Your efforts will result in real\-world impact—helping to keep the lights on, get food into grocery stores, and most importantly, ensure workers return home safely.
* You have an innate curiosity about how businesses work: One day you’ll meet with someone in waste management and the next you may be learning about the inner workings of a food distribution center. Our top sales team members seek to learn the ins and outs of the businesses they support in order to make a larger impact.
* You build genuine relationships with your customers: The industries we serve have relied on pen\-and\-paper solutions for years and haven’t been met with the type of technology we offer. Our customers value earned trust and human relationships built over time.
* You want to be with the best: Samsara’s high\-performance culture means you’ll be surrounded by the best and challenged to go farther than you have before.
* You are a team player: At Samsara, sales is a team sport. We help each other out by sharing best practices and focusing on winning as a team.
**In this role, you will:**
* Support Program Execution: Partner with Senior Program Managers to drive progress on key workstreams, track milestones, and surface risks.
* Analyze and Report Outcomes: Assist in defining KPIs, collecting data, and delivering insights through dashboards and program updates.
* Coordinate Cross\-Functional Work: Help coordinate meetings, follow\-ups, and communications across Sales, Revenue Operations, Systems, and Enablement teams.
* Document and Improve Processes: Maintain up\-to\-date documentation and identify opportunities to optimize repeatable workflows.
* Drive Adoption and Change: Support change management efforts, including building communication plans, FAQs, and enablement resources.
* Model Samsara’s Cultural Principles: Be customer\-obsessed, inclusive, and relentlessly focused on long\-term impact.
* Champion, role model, and embed Samsara’s values and operating principles as we scale globally and across new offices.
**Minimum requirements for this role:**
* Bachelor’s degree or equivalent practical experience.
* 3–5 years in project management, program management, sales operations, or business analysis (SaaS or GTM experience is a plus).
* Exposure to cross\-functional program work and stakeholder communication.
* Comfortable working in a remote environment and able to collaborate effectively across time zones.
* Analytical skills with proficiency in Excel/Sheets and basic data tools (e.g. Looker, Tableau, or Salesforce reporting).
* Excellent attention to detail and follow\-through.
**An ideal candidate has:**
* Familiarity with GTM systems (Salesforce, NetSuite, Gong, etc.).
* Experience supporting change management or enablement efforts.
* Certification or coursework in Agile, PMP, or similar methodologies.
* Experience using AI\-powered tools to enhance productivity, streamline program tasks, or uncover insights.
 The range of annual base salary for full\-time employees for this position is below. Please note that base pay offered may vary depending on factors including your city of residence, job\-related knowledge, skills, and experience.
 $83,002\.50—$111,600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67">
      <c r="A67" t="inlineStr">
        <is>
          <t>li-4369608725</t>
        </is>
      </c>
      <c r="B67" t="inlineStr">
        <is>
          <t>Program Manager (Navy/DoD)</t>
        </is>
      </c>
      <c r="C67" t="inlineStr">
        <is>
          <t>THOR Solutions, LLC</t>
        </is>
      </c>
      <c r="D67" t="inlineStr">
        <is>
          <t>linkedin</t>
        </is>
      </c>
      <c r="E67" t="inlineStr"/>
      <c r="F67" t="inlineStr"/>
      <c r="G67" t="inlineStr">
        <is>
          <t>Washington, DC</t>
        </is>
      </c>
      <c r="H67" t="inlineStr"/>
      <c r="I67" t="inlineStr">
        <is>
          <t>**THOR Solutions** 
 is actively seeking a
 **Program Manager** 
 to oversee an upcoming professional support services contract with Naval Sea Systems Command (NAVSEA)’s Engineering and Logistics Directorate (SEA 05\) at the Washington Navy Yard in
 **Washington, DC** 
 .
 SEA 05 is responsible for providing the engineering and scientific expertise, and knowledge necessary to design, build, maintain, repair, modernize, certify, and dispose of the Navy's ships, submarines, and associated warfare systems. This contract provides professional support services supporting research and development, new designs, construction, conversion, modernizations and fleet support of all surface ships, warfare systems, amphibious \&amp; auxiliary ships, as well as SEA 05 front office requirements.
***This position is part of an upcoming contract, with an expected work start in May 2026\.***
**Typical Responsibilities**
* Plan, direct, and coordinate the operations of a NAVSEA support contract by formulating policies, managing daily operations, and planning the use of materials and human resources.
* Effectively integrate General Administration, Business \&amp; Financial Management, and Strategic Planning support across all areas.
* Assume direct responsibility for the performance of the Task Order.
* Execute the complex requirements, technical analyses, and Business/Financial Management support associated with the requirements of the SOW.
**Location** 
 : Full time onsite at the Washington Navy Yard in Washington, DC.
**Travel** 
 : Up to 10% travel is anticipated, including visits to other THOR office locations and contract worksites in CONUS locations.
**Typical Physical Activity** 
 : Primarily desk/computer work in an office environment. May involve repetitive motion. Some direct\-report personnel work in warehouse or waterfront locations, or aboard LCAC vehicles. Supervisory functions will require visiting and traversing these locations.
**Typical Pay Range** 
 : The anticipated pay range for this position in the identified location(s) is $120,000 – 160,000\. Actual compensation offered will be based upon individual factors including education, qualifications, and experience.
**Existing SECRET Security Clearance Required** 
 : This position requires an existing active or interim Secret security clearance prior to hire. Only U.S. citizens are eligible for a security clearance; therefore, only current U.S. citizens will be considered for this position.
**Required Knowledge, Skills, and Abilities** 
 :
* Bachelor’s Degree in an engineering or business discipline.
* At least ten (10\) years of recent, relevant professional experience managing major NAVSEA, Navy or DoD programs/projects.
* Experience interacting with Government customers and contractor/subcontractor peers to maintain smooth operation of programs/contracts.
* Proficient with common productivity software including the Microsoft Office suite to include Microsoft Project.
* Excellent communication skills.
**Benefit Offerings:** 
 Along with competitive pay, THOR offers a comprehensive benefits package including:
* Paid Time Off (accrued)
* Paid Holidays
* 401(k) with employer match and traditional/Roth options
* Medical Insurance (3 plan options) \+ TRICARE Supplemental Coverage
* Dental Insurance (2 plan options)
* Vision Insurance Plan
* Healthcare and Dependent Care Flexible Spending Accounts
* Commuter/Transit Benefits
* Basic Life/AD\&amp;D, Short\-Term and Long\-Term Disability Insurance
* Supplemental Life Insurance
* Pet Benefits
* Legal Resources
* ID Theft Benefits
* Employee Assistant Plan and Work\-Life Program
* Voluntary Leave Transfer Program
* Tuition Reimbursement Program
* Employee Referral Program
 Please be aware that many of our positions require the ability to obtain a security clearance. Security clearances may only be granted to U.S. citizens.
 Founded in 2009,
 **THOR Solutions, LLC** 
 (THOR) is a rapidly growing Center for Veteran’s Excellence (CVE) verified Service\-Disabled Veteran\-Owned Small Business (SDVOSB) providing mission critical support across the Department of Defense, Department of Homeland Security, federal civilian agencies and commercial maritime industry, worldwide. THOR provides innovative and tailored expertise in multidisciplinary engineering, project and program management, business and financial management, technical support, integrated logistics support, training support, fleet support, corporate operations support, assessments and studies. THOR is privileged to deliver service solutions to the nation’s most complex military, public sector and industry challenges.
**THOR is proud to be an Equal Opportunity Employer, including veterans and individuals with disabilities** 
 . THOR considers all qualified applicants for employment without regard to legally protected characteristics. This policy applies to all terms and conditions of employment.
 If you are an individual with a disability and would like to request a reasonable accommodation as part the employment selection process, please contact us at recruiting@thorsolutions.us or (571\) 215\-0077\.</t>
        </is>
      </c>
    </row>
    <row r="68">
      <c r="A68" t="inlineStr">
        <is>
          <t>li-4369107056</t>
        </is>
      </c>
      <c r="B68" t="inlineStr">
        <is>
          <t>Technical Program Manager, AI/ML, Cloud Capacity Planning</t>
        </is>
      </c>
      <c r="C68" t="inlineStr">
        <is>
          <t>Google</t>
        </is>
      </c>
      <c r="D68" t="inlineStr">
        <is>
          <t>linkedin</t>
        </is>
      </c>
      <c r="E68" t="inlineStr"/>
      <c r="F68" t="inlineStr"/>
      <c r="G68" t="inlineStr">
        <is>
          <t>Thornton, CO</t>
        </is>
      </c>
      <c r="H68" t="inlineStr"/>
      <c r="I68"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**Sunnyvale, CA, USA; Atlanta, GA, USA; Austin, TX, USA; Addison, TX, USA; New York, NY, USA; Thornton, CO, USA** 
 .
 **Minimum qualifications:**
* Bachelor's degree in a technical field, or equivalent practical experience.
* 8 years of experience in technical program management or managing cross\-functional projects.
* Experience in capacity planning, supply chain management, or infrastructure deployment.
* Experience in data modeling, trend analysis, forecasting, or data analytics.
* Experience leading regular review meetings with cross\-functional stakeholders to align business objectives with technical capabilities.
**Preferred qualifications:**
* 8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ensure to provide capacity to our customers on\-time and in the right location, thus supporting the business' tremendous growth potential. You will be overseeing various aspects of supply planning, demand planning, and program management to help coordinate across numerous stakeholders to deliver a seamless capacity experience for our AI/ML customers.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Coordinate capacity planning activities for Google Cloud AI/ML portfolios and lead regular review meetings to align business objectives with technical capabilities.
* Collaborate with Engineering, Product Management, and Operations teams to ensure a smooth transition for customers migrating their workloads to Google Cloud.
* Design and implement capacity planning processes to improve cost\-effectiveness and performance, while proactively monitoring for and mitigating bottlenecks to minimize service disruptions.
* Analyze usage patterns and maintain Supply Demand Match (SDM) models to build long\-term demand forecasts that anticipate resource needs for long\-lead\-time products.
* Partner with engineering teams to design and implement automation that delivers operational excellence and reduces manual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9">
      <c r="A69" t="inlineStr">
        <is>
          <t>li-4369103077</t>
        </is>
      </c>
      <c r="B69" t="inlineStr">
        <is>
          <t>Technical Program Manager, AI/ML, Cloud Capacity Planning</t>
        </is>
      </c>
      <c r="C69" t="inlineStr">
        <is>
          <t>Google</t>
        </is>
      </c>
      <c r="D69" t="inlineStr">
        <is>
          <t>linkedin</t>
        </is>
      </c>
      <c r="E69" t="inlineStr"/>
      <c r="F69" t="inlineStr"/>
      <c r="G69" t="inlineStr">
        <is>
          <t>Atlanta, GA</t>
        </is>
      </c>
      <c r="H69" t="inlineStr"/>
      <c r="I69"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**Sunnyvale, CA, USA; Atlanta, GA, USA; Austin, TX, USA; Addison, TX, USA; New York, NY, USA; Thornton, CO, USA** 
 .
 **Minimum qualifications:**
* Bachelor's degree in a technical field, or equivalent practical experience.
* 8 years of experience in technical program management or managing cross\-functional projects.
* Experience in capacity planning, supply chain management, or infrastructure deployment.
* Experience in data modeling, trend analysis, forecasting, or data analytics.
* Experience leading regular review meetings with cross\-functional stakeholders to align business objectives with technical capabilities.
**Preferred qualifications:**
* 8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ensure to provide capacity to our customers on\-time and in the right location, thus supporting the business' tremendous growth potential. You will be overseeing various aspects of supply planning, demand planning, and program management to help coordinate across numerous stakeholders to deliver a seamless capacity experience for our AI/ML customers.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Coordinate capacity planning activities for Google Cloud AI/ML portfolios and lead regular review meetings to align business objectives with technical capabilities.
* Collaborate with Engineering, Product Management, and Operations teams to ensure a smooth transition for customers migrating their workloads to Google Cloud.
* Design and implement capacity planning processes to improve cost\-effectiveness and performance, while proactively monitoring for and mitigating bottlenecks to minimize service disruptions.
* Analyze usage patterns and maintain Supply Demand Match (SDM) models to build long\-term demand forecasts that anticipate resource needs for long\-lead\-time products.
* Partner with engineering teams to design and implement automation that delivers operational excellence and reduces manual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0">
      <c r="A70" t="inlineStr">
        <is>
          <t>li-4360552942</t>
        </is>
      </c>
      <c r="B70" t="inlineStr">
        <is>
          <t>Sr Technical Program Manager</t>
        </is>
      </c>
      <c r="C70" t="inlineStr">
        <is>
          <t>Oracle</t>
        </is>
      </c>
      <c r="D70" t="inlineStr">
        <is>
          <t>linkedin</t>
        </is>
      </c>
      <c r="E70" t="inlineStr"/>
      <c r="F70" t="inlineStr"/>
      <c r="G70" t="inlineStr"/>
      <c r="H70" t="inlineStr"/>
      <c r="I70" t="inlineStr">
        <is>
          <t>**Job Description**
 The Strategic Customers Engineering organization within Oracle Cloud Infrastructure (OCI) sits at the center of the fastest\-growing and most technically demanding part of the cloud: building at scale for the world’s leading AI innovators. We are looking for a Technical Program Manager who thrives in complexity, moves with urgency, and brings people together to deliver outcomes that matter. This is a role for someone who doesn’t just track work but drives it. Someone who brings clarity where there is ambiguity, momentum where there is friction, and alignment where there are competing priorities.
**Responsibilities**
 In this role, you will:
* Work to drive Rhythm of the Business activities
* Drive organizational success
* Bring teams across OCI toward a unified north star, ensuring alignment, visibility, and progress across all stakeholders.
* Serve as the connective tissue between teams, identifying gaps early, removing blockers, and maintaining steady execution.
* Build trusted partnerships with senior engineering and business leaders to drive initiatives forward with confidence.
**Who You Are**
 You’re someone who:
* Has a bias for action and doesn’t hesitate to roll up your sleeves to move a program forward.
* Has a technical foundation that allows you to function in a highly technical environment while driving business activities
* Loves working across large organizations and can bring people together around shared goals.
* Embraces a growth mindset, learns fast, and approaches AI infrastructure with curiosity.
* Thrives in a space that is fast\-moving, cross\-cutting, and deeply collaborative.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1">
      <c r="A71" t="inlineStr">
        <is>
          <t>li-4368998131</t>
        </is>
      </c>
      <c r="B71" t="inlineStr">
        <is>
          <t>Technical Program Manager, AI/ML, Cloud Capacity Planning</t>
        </is>
      </c>
      <c r="C71" t="inlineStr">
        <is>
          <t>Google</t>
        </is>
      </c>
      <c r="D71" t="inlineStr">
        <is>
          <t>linkedin</t>
        </is>
      </c>
      <c r="E71" t="inlineStr"/>
      <c r="F71" t="inlineStr"/>
      <c r="G71" t="inlineStr">
        <is>
          <t>Addison, TX</t>
        </is>
      </c>
      <c r="H71" t="inlineStr"/>
      <c r="I71"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**Sunnyvale, CA, USA; Atlanta, GA, USA; Austin, TX, USA; Addison, TX, USA; New York, NY, USA; Thornton, CO, USA** 
 .
 **Minimum qualifications:**
* Bachelor's degree in a technical field, or equivalent practical experience.
* 8 years of experience in technical program management or managing cross\-functional projects.
* Experience in capacity planning, supply chain management, or infrastructure deployment.
* Experience in data modeling, trend analysis, forecasting, or data analytics.
* Experience leading regular review meetings with cross\-functional stakeholders to align business objectives with technical capabilities.
**Preferred qualifications:**
* 8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ensure to provide capacity to our customers on\-time and in the right location, thus supporting the business' tremendous growth potential. You will be overseeing various aspects of supply planning, demand planning, and program management to help coordinate across numerous stakeholders to deliver a seamless capacity experience for our AI/ML customers.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Coordinate capacity planning activities for Google Cloud AI/ML portfolios and lead regular review meetings to align business objectives with technical capabilities.
* Collaborate with Engineering, Product Management, and Operations teams to ensure a smooth transition for customers migrating their workloads to Google Cloud.
* Design and implement capacity planning processes to improve cost\-effectiveness and performance, while proactively monitoring for and mitigating bottlenecks to minimize service disruptions.
* Analyze usage patterns and maintain Supply Demand Match (SDM) models to build long\-term demand forecasts that anticipate resource needs for long\-lead\-time products.
* Partner with engineering teams to design and implement automation that delivers operational excellence and reduces manual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2">
      <c r="A72" t="inlineStr">
        <is>
          <t>li-4335531712</t>
        </is>
      </c>
      <c r="B72" t="inlineStr">
        <is>
          <t>Outbound GTM Play Program Manager</t>
        </is>
      </c>
      <c r="C72" t="inlineStr">
        <is>
          <t>Intuit</t>
        </is>
      </c>
      <c r="D72" t="inlineStr">
        <is>
          <t>linkedin</t>
        </is>
      </c>
      <c r="E72" t="inlineStr"/>
      <c r="F72" t="inlineStr"/>
      <c r="G72" t="inlineStr">
        <is>
          <t>New York, NY</t>
        </is>
      </c>
      <c r="H72" t="inlineStr"/>
      <c r="I72" t="inlineStr">
        <is>
          <t>**Overview**
 Overview
 Mailchimp, an Intuit company, empowers millions of small businesses to grow through smarter marketing and automation. As we expand our B2B sales motion, we’re building scalable, data\-driven outbound plays that connect our go\-to\-market strategy to execution in the field.
 We’re seeking an Outbound GTM Play Program Manager to own and continuously improve the quality of our outbound plays. This role is accountable not just for getting plays launched, but for ensuring they perform — evolving each play through structured iteration, data\-driven testing, and close alignment with Sales.
 This person translates the strategic play roadmap defined by Audience Strategy into actionable, cross\-functional execution plans, driving alignment across Sales, Marketing, Enablement, and Operations. They are the owner of the play — ensuring it’s high\-quality, performant, and constantly improving.
**Responsibilities**
**Responsibilities**
**Execute and Evolve the Outbound Play Roadmap**
* Build and operationalize play briefs aligned to the roadmap set by Audience Strategy and GTM leadership.
* Translate strategic direction into structured, cross\-functional execution plans across Sales and Marketing.
* Reconcile company\-level mid market audience strategy (TAM and ICP) with the specific goals of each play — defining the optimal audience segments and personas to target.
* Own the quality of every play — ensuring it’s designed for clarity, alignment, and optimized measurable business impact.
**Drive Cross\-Functional Execution and Accountability**
* Serve as the central orchestrator for play delivery, coordinating across Sales, Enablement, Demand Generation, Product Marketing, and Sales Ops.
* Align dependencies across targeting, content readiness, tooling, and enablement.
* Maintain clear accountability and communication across GTM stakeholders to ensure consistent, high\-quality execution.
**Own Play Performance and Continuous Improvement**
* Be directly responsible for the quality and performance of each play — from launch to optimization.
* Establish a clear iteration framework: define how each play will be tested, evaluated, and improved over time.
* Identify levers to improve outcomes (e.g., sequence adjustments, audience refinements, message testing, timing optimizations).
* Partner with Analytics and Sales Ops to monitor key metrics and translate insights into concrete iteration plans.
**Drive Sales Adoption and Engagement**
* Ensure plays are effectively adopted across Sales teams (BDRs, AEs) and embedded into daily motion.
* Collect feedback from the field, build trusted relationships with sellers, and ensure learnings feed back into play evolution.
* Partner with Enablement to ensure teams understand not just what to execute but why — reinforcing strategic intent.
**Measure, Communicate, and Scale Impact**
**Track And Communicate Play\-level Performance Across Key KPIs, Including**
* Program\-sourced revenue
* Program\-sourced deals and conversion/win rates
* Sales adoption and engagement
* Iteration velocity and quality
 Surface insights and next steps to leadership to guide roadmap prioritization and continuous play improvement.
**Qualifications**
 Qualifications
**Experience \&amp; Skills**
* 5–7 years of experience in Sales Operations, Revenue Operations, GTM Program Management within a software company (SaaS required).
* Background in Sales is welcome — provided it’s complemented by 1\-2 years minimum of structured operational or GTM program experience.
* Experience translating go\-to\-market strategy (TAM, ICP, or audience frameworks) into actionable programs.
* Proven success driving cross\-functional program execution and iteration.
* Proficiency with Salesforce, Outreach, and analytics/reporting tools.
* Analytical, structured thinker with experience designing and managing performance testing or iterative improvement programs.
* Excellent stakeholder management and communication skills — able to influence across Sales, Marketing, and Operations.
 Behavioral Traits
* Operates with ownership and accountability — drives the bus, not just checks boxes.
* Holds a high bar for quality and outcomes.
* Balances strategic perspective with executional follow\-through and GTM acumen with operational precision.
* Data\-informed, detail\-oriented, and proactive in surfacing improvements.
* Empathetic collaborator with strong follow\-through and accountability.
 Key Performance Indicators
* Program\-sourced revenue and pipeline contribution.
* Conversion and win\-rate improvement across outbound plays.
* Sales adoption and engagement with plays.
* Iteration frequency, quality, and documented improvement cycles.
* Speed and effectiveness from roadmap handoff to live execution.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$136,000 \- $184,000</t>
        </is>
      </c>
    </row>
    <row r="73">
      <c r="A73" t="inlineStr">
        <is>
          <t>li-4341206208</t>
        </is>
      </c>
      <c r="B73" t="inlineStr">
        <is>
          <t>Supply Chain Product Manager, Mechanical, SourceBlue</t>
        </is>
      </c>
      <c r="C73" t="inlineStr">
        <is>
          <t>Turner Construction Company</t>
        </is>
      </c>
      <c r="D73" t="inlineStr">
        <is>
          <t>linkedin</t>
        </is>
      </c>
      <c r="E73" t="inlineStr"/>
      <c r="F73" t="inlineStr"/>
      <c r="G73" t="inlineStr">
        <is>
          <t>Florida, United States</t>
        </is>
      </c>
      <c r="H73" t="inlineStr"/>
      <c r="I73" t="inlineStr">
        <is>
          <t>**Division:** 
 SourceBlue
**Project Location(s):** 
 Saddle Brook, NJ 07663 USA
**Minimum Years Experience:**
**Travel Involved:**
**Job Type:** 
 Regular
**Job Classification:** 
 Experienced
**Education:**
**Job Family:** 
 SourceBlue
**Compensation:** 
 Salaried Non\-Exempt
 SourceBlue is a subsidiary of Turner Construction Company that has been purchasing materials and equipment for major construction projects since 2001\. With a staff of 350\+ dedicated professionals and :$1B in equipment and materials procured annually, we provide Clients with comprehensive supply chain services that are unmatched in the industry today.
 Internal Applicants: This position can be performed from any Turner office.
 Position Description: Apply purchasing, product, and technical expertise to provide SourceBlue (SB) supply chain solutions for project teams and external clients. Manage global, national, regional, and local level vendor relationships to promote SB product solutions.
 Essential Duties \&amp; Key Responsibilities:
* Apply expertise in purchasing, product, technical, and supply chain to provide guidance to SourceBlue (SB) project teams and global company entities and clients.
* Review market dynamics to evaluate impact on vendor capacity, availability, and delivery demands. Collaborate with vendor to develop resolution process and actions to address issues and maintain clear expectations with project stakeholders and team.
* Conduct quarterly business reviews and strategic evaluations of vendors for product performance, responsiveness, quality and alignment to Environmental, Sustainability, and Governance (ESG) initiatives.
* Manage demand and capacity planning across supply chain programs and provide strategies for adherence to delivery client schedules.
* Identify global, national, regional, and local level supply chain vendors to address capacity requirements for SB services.
* Manage vendor qualifications, create, negotiate, and manage terms and agreements, establish governance, conduct onboarding, and communicate availability of vendors to project team.
* Provide recommendations and alternatives for strategic supply chain awards for final product selection by stakeholders.
* Develop and evaluate manufacturer vendor KPIs through stakeholder feedbackand publish lessons learned for internal next generation developments.
* Primary point of contact to manage supply chain issues, escalate and engage SB leadership as needed.
* Manage transactional tracking of products for large supply chain programs for specific tiers (e.g., fabricator, integrator).
* Solicit vendor pricing, analyze vendor bids, prepare bid analysis spread sheets, coordination matrix, and scope of work.
* Confirm vendor contract terms on specified projects to ensure completeness and accuracy in Review Bid Process.
* Schedule and coordinate factory testing and attend tests at vendor sites.
* Participate in company\-wide projects related to sourcing and procurement to identify sales opportunities, vendor capacity, and related risks.
* Participate in industry events to understand market dynamics and represent SB as industry leader.
* Supervise team members and participate in hiring process, onboard and deliver timely performance feedback for direct reports, contribute to performance appraisals during annual performance cycle, utilize talent management systems, and identify appropriate training to help with development needs.
* Other activities, duties, and responsibilities as assigned.
 Qualifications:
* Minimum of 8 years of manufacturing or construction experience, or equivalent combination of education, experience, and training; Bachelor’s Degree from accredited degree program in Engineering, Supply Chain Management, or related field desired
* Knowledge of manufacturing or construction industry material markets, competition, and industry trends
* Electrical, Mechanical, or Finished Products knowledge with expertise in differentiating manufacturer services
* Interpersonal relationship building skills with ability to engage and secure partnerships with broad range of contacts in manufacturing and supply chain industry
* Negotiation skills with ability effect decision making
* Knowledgeable of estimating, construction costs, scheduling, purchasing and engineering principals and techniques, general contract and subcontract documents, drawings and specifications, and familiar accounting and cost control procedures
* Able to manage high volumes of work and move complex projects forward in a timely manner
* Ability to identify sales opportunities and collaborate on solutions to secure work
* Advanced presentation and delivery skills, ability to anticipate needs of audience and tailor communications appropriately
* Process and critical thinking skills with sound judgement and decision\-making
* Supervisory experience desired, with ability to delegate and manage staff
* Regular domestic and local travel with possible international travel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frequently required to sit, use hands to finger, handle, or feel objects, tools, or controls; and reach with hands, talk, and hear. The employee frequently views a computer monitor and frequently uses a computer keyboard. Specific vision abilities required by this job include close vision, peripheral vision, depth perception, and the ability to adjust focus. The employee is regularly required to be mobile, and the employee regularly travels both short and long distances via a variety of conveyances. The employee regularly performs work on\-site at construction sites, manufacturing facilities, office locations, and/or off\-site venues. The employee must regularly lift and/or move up to 15 pounds and occasionally lift and/or move up to 50 pounds.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While performing the duties of this job, the employee regularly works in an office or remote setting. The noise in the work environment is usually quiet to moderate in an office setting. While performing the duties of this job, the employee regularly works at construction sites and manufacturing facilities where the employee is exposed to moving mechanical parts, high precarious places, fumes, or airborne particles, outside weather conditions, and risk of electrical shock. The noise in the work environment is usually moderate to loud. The employee is required to work in compliance with company safety policies, procedures, and applicable laws. SourceBlue, LLC is an Equal Opportunity Employer
 \*The salary range for this position in NJ is estimated to be $125K\-$190K annualized\*
 \*The salary range for this position in Seattle is estimated to be $130K\-$200K annualized.\*
 \*The salary range for this position in Denver is estimated to be $130K\-$190K annualized. \*
 \*The salary range for this position in California is estimated to be $140K\-210K annualized. \*
 \*The salary range for this position in Chicago is estimated to be $130K\-$175K annualized. \*
 \*The salary range for this position in NY is estimated to be $125K\-$220K annualized\*
**Turner is an Equal Opportunity Employer \- race, color, religion, sex, sexual orientation, gender identity, national origin, disability, status as a protected veteran, or other characteristics protected by applicable law.**</t>
        </is>
      </c>
    </row>
    <row r="74">
      <c r="A74" t="inlineStr">
        <is>
          <t>li-4340796614</t>
        </is>
      </c>
      <c r="B74" t="inlineStr">
        <is>
          <t>Supply Chain Product Manager, Mechanical, SourceBlue</t>
        </is>
      </c>
      <c r="C74" t="inlineStr">
        <is>
          <t>Turner Construction Company</t>
        </is>
      </c>
      <c r="D74" t="inlineStr">
        <is>
          <t>linkedin</t>
        </is>
      </c>
      <c r="E74" t="inlineStr"/>
      <c r="F74" t="inlineStr"/>
      <c r="G74" t="inlineStr">
        <is>
          <t>California, United States</t>
        </is>
      </c>
      <c r="H74" t="inlineStr"/>
      <c r="I74" t="inlineStr">
        <is>
          <t>**Division:** 
 SourceBlue
**Project Location(s):** 
 Saddle Brook, NJ 07663 USA
**Minimum Years Experience:**
**Travel Involved:**
**Job Type:** 
 Regular
**Job Classification:** 
 Experienced
**Education:**
**Job Family:** 
 SourceBlue
**Compensation:** 
 Salaried Non\-Exempt
 SourceBlue is a subsidiary of Turner Construction Company that has been purchasing materials and equipment for major construction projects since 2001\. With a staff of 350\+ dedicated professionals and :$1B in equipment and materials procured annually, we provide Clients with comprehensive supply chain services that are unmatched in the industry today.
 Internal Applicants: This position can be performed from any Turner office.
 Position Description: Apply purchasing, product, and technical expertise to provide SourceBlue (SB) supply chain solutions for project teams and external clients. Manage global, national, regional, and local level vendor relationships to promote SB product solutions.
 Essential Duties \&amp; Key Responsibilities:
* Apply expertise in purchasing, product, technical, and supply chain to provide guidance to SourceBlue (SB) project teams and global company entities and clients.
* Review market dynamics to evaluate impact on vendor capacity, availability, and delivery demands. Collaborate with vendor to develop resolution process and actions to address issues and maintain clear expectations with project stakeholders and team.
* Conduct quarterly business reviews and strategic evaluations of vendors for product performance, responsiveness, quality and alignment to Environmental, Sustainability, and Governance (ESG) initiatives.
* Manage demand and capacity planning across supply chain programs and provide strategies for adherence to delivery client schedules.
* Identify global, national, regional, and local level supply chain vendors to address capacity requirements for SB services.
* Manage vendor qualifications, create, negotiate, and manage terms and agreements, establish governance, conduct onboarding, and communicate availability of vendors to project team.
* Provide recommendations and alternatives for strategic supply chain awards for final product selection by stakeholders.
* Develop and evaluate manufacturer vendor KPIs through stakeholder feedbackand publish lessons learned for internal next generation developments.
* Primary point of contact to manage supply chain issues, escalate and engage SB leadership as needed.
* Manage transactional tracking of products for large supply chain programs for specific tiers (e.g., fabricator, integrator).
* Solicit vendor pricing, analyze vendor bids, prepare bid analysis spread sheets, coordination matrix, and scope of work.
* Confirm vendor contract terms on specified projects to ensure completeness and accuracy in Review Bid Process.
* Schedule and coordinate factory testing and attend tests at vendor sites.
* Participate in company\-wide projects related to sourcing and procurement to identify sales opportunities, vendor capacity, and related risks.
* Participate in industry events to understand market dynamics and represent SB as industry leader.
* Supervise team members and participate in hiring process, onboard and deliver timely performance feedback for direct reports, contribute to performance appraisals during annual performance cycle, utilize talent management systems, and identify appropriate training to help with development needs.
* Other activities, duties, and responsibilities as assigned.
 Qualifications:
* Minimum of 8 years of manufacturing or construction experience, or equivalent combination of education, experience, and training; Bachelor’s Degree from accredited degree program in Engineering, Supply Chain Management, or related field desired
* Knowledge of manufacturing or construction industry material markets, competition, and industry trends
* Electrical, Mechanical, or Finished Products knowledge with expertise in differentiating manufacturer services
* Interpersonal relationship building skills with ability to engage and secure partnerships with broad range of contacts in manufacturing and supply chain industry
* Negotiation skills with ability effect decision making
* Knowledgeable of estimating, construction costs, scheduling, purchasing and engineering principals and techniques, general contract and subcontract documents, drawings and specifications, and familiar accounting and cost control procedures
* Able to manage high volumes of work and move complex projects forward in a timely manner
* Ability to identify sales opportunities and collaborate on solutions to secure work
* Advanced presentation and delivery skills, ability to anticipate needs of audience and tailor communications appropriately
* Process and critical thinking skills with sound judgement and decision\-making
* Supervisory experience desired, with ability to delegate and manage staff
* Regular domestic and local travel with possible international travel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frequently required to sit, use hands to finger, handle, or feel objects, tools, or controls; and reach with hands, talk, and hear. The employee frequently views a computer monitor and frequently uses a computer keyboard. Specific vision abilities required by this job include close vision, peripheral vision, depth perception, and the ability to adjust focus. The employee is regularly required to be mobile, and the employee regularly travels both short and long distances via a variety of conveyances. The employee regularly performs work on\-site at construction sites, manufacturing facilities, office locations, and/or off\-site venues. The employee must regularly lift and/or move up to 15 pounds and occasionally lift and/or move up to 50 pounds.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While performing the duties of this job, the employee regularly works in an office or remote setting. The noise in the work environment is usually quiet to moderate in an office setting. While performing the duties of this job, the employee regularly works at construction sites and manufacturing facilities where the employee is exposed to moving mechanical parts, high precarious places, fumes, or airborne particles, outside weather conditions, and risk of electrical shock. The noise in the work environment is usually moderate to loud. The employee is required to work in compliance with company safety policies, procedures, and applicable laws. SourceBlue, LLC is an Equal Opportunity Employer
 \*The salary range for this position in NJ is estimated to be $125K\-$190K annualized\*
 \*The salary range for this position in Seattle is estimated to be $130K\-$200K annualized.\*
 \*The salary range for this position in Denver is estimated to be $130K\-$190K annualized. \*
 \*The salary range for this position in California is estimated to be $140K\-210K annualized. \*
 \*The salary range for this position in Chicago is estimated to be $130K\-$175K annualized. \*
 \*The salary range for this position in NY is estimated to be $125K\-$220K annualized\*
**Turner is an Equal Opportunity Employer \- race, color, religion, sex, sexual orientation, gender identity, national origin, disability, status as a protected veteran, or other characteristics protected by applicable law.**</t>
        </is>
      </c>
    </row>
    <row r="75">
      <c r="A75" t="inlineStr">
        <is>
          <t>li-4368997079</t>
        </is>
      </c>
      <c r="B75" t="inlineStr">
        <is>
          <t>Security GRC Program Manager</t>
        </is>
      </c>
      <c r="C75" t="inlineStr">
        <is>
          <t>RemoteHunter</t>
        </is>
      </c>
      <c r="D75" t="inlineStr">
        <is>
          <t>linkedin</t>
        </is>
      </c>
      <c r="E75" t="inlineStr"/>
      <c r="F75" t="inlineStr"/>
      <c r="G75" t="inlineStr"/>
      <c r="H75" t="inlineStr"/>
      <c r="I75" t="inlineStr">
        <is>
          <t>About the Opportunity:
 A startup with ambitions to modernize estate planning through a visual and intelligent platform powered by AI seeks a Security GRC Program Manager. The role involves owning customer trust, security compliance, and assurance programs to support secure handling of sensitive financial and estate planning data. This position requires building operational processes related to SOC 2 audits, customer security diligence, and security\-related sales enablement. The team operates remotely across multiple U.S. states, offering flexibility and a dynamic environment focused on impact and innovation.
 Responsibilities:
 • Lead customer due diligence questionnaire (DDQ) and RFP response processes, managing a high volume of requests and coordinating with internal teams to meet deadlines
 • Support enterprise sales with technical customer security discussions
 • Lead SOC 2 Type II audit preparation, evidence collection, and remediation efforts
 • Conduct third\-party vendor security assessments and collaborate on risk management processes
 • Implement and manage third\-party tools and processes to improve operational efficiencies
 • Develop security narratives and conduct security reviews for new product functionalities to support go\-to\-market efforts
 • Review and negotiate security and compliance language in customer contracts in collaboration with Legal
 • Build and manage Trust Center integrations and public\-facing security documentation with Legal
 • Create customer\-facing compliance artifacts such as security whitepapers and certifications
 Requirements:
 • Minimum 5 years in a technical or security role with customer\-facing experience
 • Minimum 3 years in program management, customer trust, or DDQ/RFP management within the tech industry serving regulated customers
 • Proven experience driving security processes and operational plans
 • Strong attention to detail, organizational skills, good judgment, and ability to prioritize under tight deadlines
 • Strong contract review and negotiation skills related to security and compliance
 • Knowledge of security risks, vulnerabilities, and threat management
 • Experience supporting customer audits and engagements
 Nice to Have:
 • Experience in fintech, healthtech, or other regulated industries
 • Prior experience at Series B\-D companies scaling security compliance programs
 • Experience implementing tools to streamline DDQ processes
 Compensation:
 • Salary range from $135,000 to $150,000
 • Performance\-based bonus and equity included
 • Compensation varies based on knowledge, skills, and experience
 Benefits \&amp; Perks:
 • Flexible paid time off policy and 10 company\-wide paid holidays
 • Parental leave: 4 weeks for all full\-time employees, up to 12 weeks for birthing parents
 • Medical, dental, and vision coverage for employees and their families
 • 401K eligibility after one month of employment
 • Access to free estate planning documents
 • Budget for learning and development and home office setup
 • Paid parking or transit for hybrid and in\-office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6">
      <c r="A76" t="inlineStr">
        <is>
          <t>li-4346292834</t>
        </is>
      </c>
      <c r="B76" t="inlineStr">
        <is>
          <t>Senior Principal Program Manager</t>
        </is>
      </c>
      <c r="C76" t="inlineStr">
        <is>
          <t>Oracle</t>
        </is>
      </c>
      <c r="D76" t="inlineStr">
        <is>
          <t>linkedin</t>
        </is>
      </c>
      <c r="E76" t="inlineStr"/>
      <c r="F76" t="inlineStr"/>
      <c r="G76" t="inlineStr">
        <is>
          <t>Nashville, TN</t>
        </is>
      </c>
      <c r="H76" t="inlineStr"/>
      <c r="I76" t="inlineStr">
        <is>
          <t>**Job Description**
**Job Locations:**
* Seattle, WA (preferred)
* Austin, TX
* Nasville, TN
**Job Overview:**
 We are seeking an experienced Program Manager with a demonstrated ability to deliver high\-quality programs within aggressive timelines. The ideal candidate is a driven professional who moves with urgency, quickly understands complex situations, and devises actionable plans to ensure successful and timely program delivery. This role requires up to 50% travel.
**Key Responsibilities:**
* Lead fast\-paced, cross\-functional program teams to achieve on\-time, in\-scope delivery of complex initiatives.
* Rapidly assess project situations, identifying issues and opportunities, and quickly develop effective action plans.
* Drive execution with a strong sense of urgency, ensuring that all program milestones and deliverables are met.
* Communicate clearly and proactively with stakeholders at all levels regarding program status, risks, and next steps.
* Foster a culture of ownership, adaptability, and accountability within teams.
* Develop and implement risk mitigation strategies to address challenges as they arise.
**Responsibilities**
**Required Skills \&amp; Qualifications:**
* Bachelor’s degree in business, Management, Engineering, or a related field.
* 10\+ years of overall experience with 5\+ years of program management experience delivering complex projects against challenging timelines.
* Proven ability to move with urgency and drive results under pressure.
* Excellent problem\-solving, organizational, and analytical skills.
* Superior communication and stakeholder management abilities.
* Demonstrated skill in quickly understanding situations and developing action plans.
* Travel up to 50% to project sites and partner/customer locations as needed.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7">
      <c r="A77" t="inlineStr">
        <is>
          <t>li-4353131235</t>
        </is>
      </c>
      <c r="B77" t="inlineStr">
        <is>
          <t>Health &amp; Safety Program Manager</t>
        </is>
      </c>
      <c r="C77" t="inlineStr">
        <is>
          <t>Integrated DNA Technologies</t>
        </is>
      </c>
      <c r="D77" t="inlineStr">
        <is>
          <t>linkedin</t>
        </is>
      </c>
      <c r="E77" t="inlineStr"/>
      <c r="F77" t="inlineStr"/>
      <c r="G77" t="inlineStr">
        <is>
          <t>Raleigh, NC</t>
        </is>
      </c>
      <c r="H77" t="inlineStr"/>
      <c r="I77" t="inlineStr">
        <is>
          <t>**Bring more to life.**
 Are you ready to accelerate your potential and make a real difference within life sciences, diagnostics and biotechnology?
 At Integrated DNA Technologies (IDT),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Our team at Integrated DNA Technologies (IDT), is united by a commitment to collaboration and scientific excellence, building on a strong foundation of innovation, expertise, and reliability. Guided by our vision to help researchers rapidly move from the lab to life\-changing advances, we work closely with global partners to accelerate progress and genomics breakthroughs across fields like cancer, infectious disease, rare genetic disorders, and more. At IDT, you’ll be part of a culture rooted in continuous learning and improvement—where your growth fuels our mission to accelerate the pace of genomics and helps shape a healthier, brighter future for all.
 Learn about the Danaher Business System which makes everything possible.
 The
 **Health \&amp; Safety Program Manager** 
 is responsible for managing system safety programs and chemical compliance processes to ensure a safe and compliant operational environment. This role drives significant impact by developing standards, automating approvals, and maintaining critical safety programs.
 This position reports to the Director of EHS, is part of a multi\-site and operating company Environment, Health \&amp; Safety Team and will be an on\-site role at one of the IDT or Aldevron locations.
**In This Role, You Will Have The Opportunity To**
* Ensures Occupational Health \&amp; Safety performance through the development, implementation, management and collaboration of health and safety programs across US and international sites.
* Drives critical occupational health \&amp; safety programs such as Injury/Illness Reporting \&amp; Investigation, Hazard Communication, Respiratory Protection, Control of Hazardous Energy, Chemical Handling \&amp; Storage, Biological Safety, Fire Prevention, Ergonomics, etc. to reduce risks and company costs.
* Exhibits a working knowledge of federal, state, and local health and safety regulations.
* Identifies, prioritizes, mitigates, and communicates health \&amp; safety compliance risks to the organization.
* Assess and improve safety performance sites assessments and driving continuous improvement by establishing performance targets, data analysis and reporting.
**The Essential Requirements Of The Job Include**
* Bachelor’s degree in Occupational Health \&amp; Safety, Environmental Science, or related field.
* 3 to 5 years of experience in health and safety program management.
* Knowledge of regulatory requirements and safety frameworks.
* Strong analytical and project management skills.
* Strong leadership and excellent in communication skills.
**Travel, Motor Vehicle Record \&amp; Physical/Environment Requirements:** 
*if applicable for role*
* Ability to travel as required (up to 10%, including overnight stays)
**It would be a plus if you also possess previous experience in:**
* Experience with ergonomics and industrial hygiene programs
* Familiarity with global health and safety audits and compliance tools
 IDT, a Danaher operating company, offers a broad array of comprehensive, competitive benefit programs that add value to our lives. Whether it’s a health care program or paid time off, our programs contribute to life beyond the job. Check out our benefits at Danaher Benefits Info.
 The annual salary range for this role is $91,000\- $100,000\.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78">
      <c r="A78" t="inlineStr">
        <is>
          <t>li-4348471787</t>
        </is>
      </c>
      <c r="B78" t="inlineStr">
        <is>
          <t>Senior Technical Program Manager</t>
        </is>
      </c>
      <c r="C78" t="inlineStr">
        <is>
          <t>Oracle</t>
        </is>
      </c>
      <c r="D78" t="inlineStr">
        <is>
          <t>linkedin</t>
        </is>
      </c>
      <c r="E78" t="inlineStr"/>
      <c r="F78" t="inlineStr"/>
      <c r="G78" t="inlineStr"/>
      <c r="H78" t="inlineStr"/>
      <c r="I78" t="inlineStr">
        <is>
          <t>**Job Description**
 OCI (Oracle Cloud Infrastructure) Region Build Organization is currently in need of a Technical Program Manager (TPM) to join our fast\-growing team. Technical Program Managers (TPM) rely on their mastery of data and business to understand and anticipate business requirements, initiate programs, track progress, and manage any issues that arise during and after the program completion. As an ideal candidate you possess sufficient technical expertise to communicate business requirements in technical vernacular to engineers and help resolve business blockers.
 Additionally, TPMs track technical issues, effectively communicate project status, recommend changes, decide tradeoffs for competing priorities, demonstrate ‘deliver now and iterate’ and deep understanding on the Cloud physical infrastructure (including Datacenter, networking and circuits). They define strategies, regularly participate in executive meetings to present their progress, and share project information with stakeholders. A successful candidate will be well versed in what it takes to drive business growth through data for a cloud organization.
**Responsibilities**
**Specific responsibilities for this role include:**
* Drive business critical features through the development process across OCI and Oracle
* Work with customers to gather, create and prioritize product requirements and specifications.
* Work with engineers to determine feasibility, timelines and design
* Ensure the project is completed within planned deadlines and budget.
* Review and test deliverables to ensure it is as per requirements and works well
* Provide technical leadership, but not line management of cross functional teams
* Author ad\-hoc reports, build and maintain dashboards.
**Basic Qualifications**
* 4\+ years leading complex technical/ engineering programs
* 3\+ years of relevant work experience in program and project management
* 3\+ years experience Cloud Infrastructure buildout
* Demonstrated ability to effectively communicate (oral and written) with different levels in the org
* Bachelor’s Degree in Computer Science, Information Technology, or 4\+ years equivalent work experience
**Preferred Qualifications**
* Experience with cloud services
* Self\-driven problem solver
* Able to adapt thrive in a dynamic, ambiguous, and customer\-focused environment
* Highly analytical, technically proficient, and able to learn new tools and software quickly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9">
      <c r="A79" t="inlineStr">
        <is>
          <t>li-4346292835</t>
        </is>
      </c>
      <c r="B79" t="inlineStr">
        <is>
          <t>Senior Principal Program Manager</t>
        </is>
      </c>
      <c r="C79" t="inlineStr">
        <is>
          <t>Oracle</t>
        </is>
      </c>
      <c r="D79" t="inlineStr">
        <is>
          <t>linkedin</t>
        </is>
      </c>
      <c r="E79" t="inlineStr"/>
      <c r="F79" t="inlineStr"/>
      <c r="G79" t="inlineStr">
        <is>
          <t>Nashville, TN</t>
        </is>
      </c>
      <c r="H79" t="inlineStr"/>
      <c r="I79" t="inlineStr">
        <is>
          <t>**Job Description**
**Job Locations:**
* Seattle, WA (preferred)
* Austin, TX
* Nashville, TN
**Job Overview:**
 We are seeking an experienced Program Manager with a demonstrated ability to deliver high\-quality programs within aggressive timelines. The ideal candidate is a driven professional who moves with urgency, quickly understands complex situations, and devises actionable plans to ensure successful and timely program delivery. This role requires up to 50% travel.
**Key Responsibilities:**
* Lead fast\-paced, cross\-functional program teams to achieve on\-time, in\-scope delivery of complex initiatives.
* Rapidly assess project situations, identifying issues and opportunities, and quickly develop effective action plans.
* Drive execution with a strong sense of urgency, ensuring that all program milestones and deliverables are met.
* Communicate clearly and proactively with stakeholders at all levels regarding program status, risks, and next steps.
* Foster a culture of ownership, adaptability, and accountability within teams.
* Develop and implement risk mitigation strategies to address challenges as they arise.
**Responsibilities**
**Required Skills \&amp; Qualifications:**
* Bachelor’s degree in business, Management, Engineering, or a related field.
* 10\+ years of overall experience with 5\+ years of program management experience delivering complex projects against challenging timelines.
* Proven ability to move with urgency and drive results under pressure.
* Excellent problem\-solving, organizational, and analytical skills.
* Superior communication and stakeholder management abilities.
* Demonstrated skill in quickly understanding situations and developing action plans.
* Travel up to 50% to project sites and partner/customer locations as needed.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0">
      <c r="A80" t="inlineStr">
        <is>
          <t>li-4328998007</t>
        </is>
      </c>
      <c r="B80" t="inlineStr">
        <is>
          <t>xPL Program Manager</t>
        </is>
      </c>
      <c r="C80" t="inlineStr">
        <is>
          <t>Turner Construction Company</t>
        </is>
      </c>
      <c r="D80" t="inlineStr">
        <is>
          <t>linkedin</t>
        </is>
      </c>
      <c r="E80" t="inlineStr"/>
      <c r="F80" t="inlineStr"/>
      <c r="G80" t="inlineStr">
        <is>
          <t>Philadelphia, PA</t>
        </is>
      </c>
      <c r="H80" t="inlineStr"/>
      <c r="I80" t="inlineStr">
        <is>
          <t>**Division:** 
 xPL Offsite
**Project Location(s):** 
 Huntsville, AL 35801 USA
**Minimum Years Experience:**
**Travel Involved:** 
 20\-30%
**Job Type:** 
 Regular
**Job Classification:** 
 Experienced
**Education:**
**Job Family:** 
 Construction
**Compensation:** 
 Salaried Exempt
**Position Description:** 
 Lead, direct, and manage an xPL program, initiative, and team from preconstruction through to closeout. Drive continuous improvement and team development to support program and xPL business expansion.
**Essential Duties \&amp; Key Responsibilities:**
* Develop and maintain long\-lasting and trusting partnership with specific program client, designers, manufacturers, and stakeholders for program success.
* Fully understand client objectives to discover and explore future business opportunities and broker connections with other xPL or functional business teams to facilitate demonstrations and conversations to showcase business value with clients and other stakeholders.
* Provide training, coaching, mentoring to Program Management team to align and support client program expectations. Foster culture of inclusiveness and employee engagement that results in high team performance.
* Develop measurable metrics and provide strategic guidance to clients and internal team leaders to communicate and support client’s program vision, business objectives, and progress.
* Maintain up\-to\-date progress and monitor overall health of client’s program, manage and/or escalate issues and provide summary of team progress to xPL leadership team.
* Partner with xPL Technology and Information Services (IS) teams to ensure effective operations of systems and applications to support internal and external (e.g., client) programs and team productivity.
* Partner with cross\-functional xPL teams to manage scope, timelines, deliverables, required resources, work plans, budgets and client delivery aligned with xPL business standard operating procedures (SOPs) and contractual obligations.
* Use data analytics to establish, monitor, and measure program Key Performance Indicators (KPIs) and identify potential program risks. Engage with cross\-functional xPL teams to review progress and amend program operations to increase alignment to KPIs and minimize risks.
* Assist with development of xPL Program Playbook to define business SOPs. Engage teams in continuous improvement reviews to enhance program processes, deliverables, and utilization of various xPL initiatives and technologies.
* Manage Project Management employees and other team members; and may participate in hiring process, onboard and deliver timely performance feedback for direct reports, contribute to performance appraisals during annual performance cycle, utilize talent management systems, and identify appropriate training to help with employee development needs.
* Other activities, duties, and responsibilities as assigned.
**Qualifications:**
* Bachelor’s Degree from accredited degree program in Engineering, Architecture, Business Administration, Construction Management, or related field of study, and minimum of 10 years of related experience with progressive responsibility, or equivalent combination of education, training, and experience
* Experience in supply chain, 4PL, commercial construction, or related industry with extensive knowledge of regional manufacturers, suppliers, and industry trends
* Knowledge of cost, scheduling, purchasing, estimating, engineering principles and techniques, and accounting principles
* Interpersonal relationship building skills to develop trusted relationships with stakeholders ability to engage and partner with stakeholders at various organizational levels
* Negotiation skills with ability influence outcomes
* Ability to interpret contract documents, scopes of work, and project schedule
* Analytical and process critical thinking skills with sound judgement and decision\-making
* Project management and leadership skills, able to manage high volumes of work and ability to motivate teams and projects to move forward in a complex environment
* Executive presentation delivery skills, anticipate needs of audience, and tailor communications appropriately
* Leadership and management experience, with ability to mentor and develop employees
* Ability to drive process enhancements through continuous improvement concepts and methodologies
* Proficient computer skills, Microsoft Office suite of applications, familiar with BIM based applications, and familiar with other technologies specific to manufacturing LOD\-400 and higher processes
* Limited travel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frequently required to sit, use hands to finger, handle, or feel objects, tools, or controls; and reach with hands, talk, and hear. The employee frequently views a computer monitor and frequently uses a computer keyboard. Specific vision abilities required by this job include close vision, peripheral vision, depth perception, and the ability to adjust focus. The employee is regularly required to be mobile, and the employee occasionally travels both short and long distances via a variety of conveyances. The employee regularly performs work on\-site at construction work sites, office locations, and/or off\-site venues. The employee must regularly lift and/or move up to 10 pounds and occasionally lift and/or move up to 25 pounds.
**Work Environment** 
 : The work environment characteristics described here are representative of those an employee encounters while performing the essential functions of this job. Reasonable accommodation may be made to enable individuals with disabilities to perform the essential functions. While performing the duties of this job, the employee regularly works in an office setting or remote location. The noise in the work environment is usually quiet to moderate in an office setting. The employee is required to work in compliance with company safety policies, procedures, and applicable laws.
**Turner is an Equal Opportunity Employer \- race, color, religion, sex, sexual orientation, gender identity, national origin, disability, status as a protected veteran, or other characteristics protected by applicable law.**</t>
        </is>
      </c>
    </row>
    <row r="81">
      <c r="A81" t="inlineStr">
        <is>
          <t>li-4335914336</t>
        </is>
      </c>
      <c r="B81" t="inlineStr">
        <is>
          <t>Specialty Clinic Practice/Program Manager II</t>
        </is>
      </c>
      <c r="C81" t="inlineStr">
        <is>
          <t>Cook Children's Health Care System</t>
        </is>
      </c>
      <c r="D81" t="inlineStr">
        <is>
          <t>linkedin</t>
        </is>
      </c>
      <c r="E81" t="inlineStr"/>
      <c r="F81" t="inlineStr"/>
      <c r="G81" t="inlineStr">
        <is>
          <t>Fort Worth, TX</t>
        </is>
      </c>
      <c r="H81" t="inlineStr"/>
      <c r="I81" t="inlineStr">
        <is>
          <t>**Location:**
 Dodson Medical Office Building
**Department:**
 Cln\-Plastics
**Shift:**
 First Shift (United States of America)
**Standard Weekly Hours:**
 40
**Summary:**
 The Practice Manager II facilitates teamwork and department pride by advocating for an environment that promotes high patient care standards and implements processes to ensure customer satisfaction. The Practice Manager II has the authority, accountability, and responsibility for the management of clerical and clinical staff. Areas of responsibility will include personnel management, staff development and positive customer relations. Demonstrates sound judgment and appropriate decision making abilities. Thoroughly understands and monitors financial performance of the unit/department.
**Education/Experience:**
* 3 years managerial experience in an outpatient medical, multi\-provider, ambulatory or behavioral health clinic.
* OR 1 year experience in a medical or behavioral health billing service AND at least 3 years managerial experience AND a working, up\-to\-date knowledge of general office procedures and general business accounting.
* OR Bachelors degree in management, business or healthcare administration AND 3 years of supervisory experience.
* OR Masters Degree in Mental Health, Counseling, or related degree AND 3 years managerial experience AND a working, up\-to\-date knowledge of general office procedures and general business accounting. OR Masters Degree in Healthcare Administration.
**Certification/Licensure:**
* Maintain BLS as defined in area of practice.
**About Us:**
**Cook Children's Medical Center** 
 is the cornerstone of Cook Children's, and offers advanced technologies, research and treatments, surgery, rehabilitation and ancillary services all designed to meet children's needs.
 Cook Children's is an EOE/AA, Minority/Female/Disability/Veteran employer.</t>
        </is>
      </c>
    </row>
    <row r="82">
      <c r="A82" t="inlineStr">
        <is>
          <t>li-4335414464</t>
        </is>
      </c>
      <c r="B82" t="inlineStr">
        <is>
          <t>Program Manager, PPRL</t>
        </is>
      </c>
      <c r="C82" t="inlineStr">
        <is>
          <t>Guidehouse</t>
        </is>
      </c>
      <c r="D82" t="inlineStr">
        <is>
          <t>linkedin</t>
        </is>
      </c>
      <c r="E82" t="inlineStr"/>
      <c r="F82" t="inlineStr"/>
      <c r="G82" t="inlineStr">
        <is>
          <t>Bethesda, MD</t>
        </is>
      </c>
      <c r="H82" t="inlineStr"/>
      <c r="I82" t="inlineStr">
        <is>
          <t>**Job Family**
 Systems Engineering
**Travel Required**
 None
**Clearance Required**
 Ability to Obtain Public Trust
**What You Will Do**
 We are searching for a Program Manager to support a privacy\-preserving record linkage (PPRL) effort at the National Institutes of Health (NIH). The person in this role will lead subtasks and is responsible for delivering successful, quality task outcomes. This role is responsible for critical areas of functionality and operational activities such as data security and linkage. This is a full\-time, onsite position in Bethesda, MD.
* Understand a wide array of technologies to effectively discuss and manage PPRL and automated matching matters.
* Maintain clear and professional communication with team members and Program stakeholders.
* Assemble and manage the subtask teams and their performance.
* Lead efforts to assess, select and implement a software tool that will automate the PPRL processes.
* Oversee the encryption key creation, data transfer processes and encryption key destruction activities.
* Implement a secondary system to perform quality assurance (QA) tasks of the PPRL system, primarily monitor data quality, AI/ML performance, and compliance.
* Develop and implement automated scoring and evaluation protocols.
**What You Will Need**
* Bachelor's degree in related field.
* At least FOUR (4\) years of experience as task lead to projects of comparable size and complexity and at least TWO (2\) years of experience in areas of risk management, quality assurance or maintaining data security for Federal datasets.
* Demonstrable knowledge of probabilistic and deterministic record linkage methodologies for linking records across datasets.
* Demonstrable experience in evaluating linkage accuracy using statistical metrics.
* Proficiency in developing and optimizing linkage algorithms.
* Demonstrable knowledge of artificial intelligence (AI) and machine learning (ML) methods.
* Possess current professional certifications commensurate with their duties such as a Project Management Professional (PMP), Certified Information Systems Security Professional (CISSP), Certified Information Security Manager (CISM), GIAC Systems and Network Auditor (GSNA).
* Must be able to OBTAIN and MAINTAIN a Federal or DoD "PUBLIC TRUST"; candidates must obtain approved adjudication of their PUBLIC TRUST prior to onboarding with Guidehouse. Candidates with an ACTIVE PUBLIC TRUST or SUITABILITY are preferred.
**What Would Be Nice To Have**
* Familiarity with Federal contract management.
* Strong communication skills.
* Understanding statistical and data analysis techniques would be valuable.
* Knowledge of the NH organization would be helpful.
 The annual salary range for this position is $98,000\.00\-$163,000\.00\.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83">
      <c r="A83" t="inlineStr">
        <is>
          <t>li-4368999705</t>
        </is>
      </c>
      <c r="B83" t="inlineStr">
        <is>
          <t>Staff Program Manager, IE - IoT Connectivity</t>
        </is>
      </c>
      <c r="C83" t="inlineStr">
        <is>
          <t>Qualcomm</t>
        </is>
      </c>
      <c r="D83" t="inlineStr">
        <is>
          <t>linkedin</t>
        </is>
      </c>
      <c r="E83" t="inlineStr"/>
      <c r="F83" t="inlineStr"/>
      <c r="G83" t="inlineStr">
        <is>
          <t>San Diego, CA</t>
        </is>
      </c>
      <c r="H83" t="inlineStr"/>
      <c r="I83" t="inlineStr">
        <is>
          <t>**Company**
 Qualcomm Technologies, Inc.
**Job Area**
 Engineering Services Group, Engineering Services Group \&gt; Program Management
**General Summary**
 Develops, defines, and executes plans of record, including: schedules, budgets, resources, deliverables, and risks. Monitors and drives the program from initiation through delivery, interfacing with internal and external stakeholders across functions on technical matters, as needed. Monitors budget/spending, on\-time delivery, and achievement of program milestones. Represents the program and drives alignment across stakeholders.
**Minimum Qualifications**
* Bachelor's degree in Engineering, Computer Science, or related field.
* 5\+ years of Program Management or related work experience.
**Preferred Qualifications**
* Master's degree in Engineering, Computer Science, or related field.
* PMP Certification.
* 10\+ years of Program Management or related work experience.
* 5\+ years of work experience in a role requiring interaction with senior leadership (e.g., Director level and above).
* 3\+ years of experience working in a large matrixed organization.
* 2\+ years of experience with program management tools such as dashboards, Gantt charts, etc.
* Strong technical understanding of wireless networking protocols 5G/4G, NB\-IoT, WLAN/BT or location technologies
* Strong working knowledge of software development process in the SoC / embedded industry.
* Experience with multiple technology development and end\-to\-end product integration.
**Principal Duties And Responsibilities**
* Collaborates with key stakeholders and program sponsors to develop program goals, set the prioritization of deliverables, discuss involvement of business processes (e.g., program change management, communication) and drives decisions necessary for on time delivery.
* Manages and takes responsibility for multiple medium sized programs/technology with moderate complexity by applying up\-to\-date program management knowledge to meet deadlines.
* Develops and manages the execution of the program Plan of Record (e.g., on time, on budget, within scope) for multiple medium sized programs which include schedule and resource forecasting, stakeholders identification, method and frequency of communication, scope, and prioritization.
* Establishes key program metrics and manages team to take action outside their comfort zone to ensure program success when metrics deviate from Plan of Record.
* Identifies and secures resources to ensure alignment of team with program/technology demand for multiple medium sized programs with moderate complexity.
* Drives teams to identify program issues/risks, and create a risk mitigation plan for multiple medium sized or a single complex program(s). Maintains and updates the risk tracker.
* Promotes program vision and objectives within the team, ensures program objectives are met or exceeded, presents program vision to management, and gains buy\-in from stakeholders.
* Promotes adoption of processes by applying best practices and identifying and executing process improvement initiatives across the Program Management team.
**Required Competencies**
*(All competencies below are required upon entry)*
* Analytical Skills \- The ability to collect information and identify fundamental patterns/trends in data. This includes the ability to gather, integrate, and interpret information from several sources.
* Building Trusting Relationships \- The ability to build trusting, collaborative relationships and rapport with different types of people and businesses. This includes delivering on commitments and maintaining confidential information, as well as being approachable, showing interest in the other person, and relating well to people regardless of personality or background.
* Communication \- The ability to convey information clearly and accurately, as well as choosing the most effective method of delivery (e.g., email, phone, face\-to\-face). This includes using a technically sound communication style both verbally and in writing.
* Creating the New and Different \- The ability to be creative. This includes the ability to produce breakthrough ideas, being a visionary, managing innovation, seeing multiple futures, having broad interests and knowledge, and gaining support in order to translate new ideas into solutions. This also includes the ability to plan and implement unconventional ideas and speculate about alternative futures without all of the data.
* Decision Making \- The ability to make quick, accurate decisions. This includes the ability to weigh alternatives and take into account the impact of the decisions on people, equipment, or other resources.
* Getting Work Done \- The ability to be organized, resourceful, and planful. This includes the ability to leverage multiple resources to get things done and lay out tasks in sufficient detail. This also includes the ability to get things done with fewer resources and in less time, work on multiple tasks at once without losing track, and foresee and plan around obstacles.
* Mentoring and Coaching \- The ability to develop, coach, and mentor associates. This includes the ability to provide development experiences and network opportunities, advise, and teach to prepare associates for effective job performance.
* Program Management \- Knowledge of program management methodology (e.g., planning, scheduling, tracking, execution). This includes the ability to effectively use program management tools to carry out the program management function.
* Risk Management \- The ability to identify (e.g., impact analysis) and mitigate risks that impact programs. This includes prioritizing and tracking risks.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$171,200\.00 \- $256,800\.00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84">
      <c r="A84" t="inlineStr">
        <is>
          <t>li-4329018082</t>
        </is>
      </c>
      <c r="B84" t="inlineStr">
        <is>
          <t>xPL Program Manager</t>
        </is>
      </c>
      <c r="C84" t="inlineStr">
        <is>
          <t>Turner Construction Company</t>
        </is>
      </c>
      <c r="D84" t="inlineStr">
        <is>
          <t>linkedin</t>
        </is>
      </c>
      <c r="E84" t="inlineStr"/>
      <c r="F84" t="inlineStr"/>
      <c r="G84" t="inlineStr">
        <is>
          <t>Indianapolis, IN</t>
        </is>
      </c>
      <c r="H84" t="inlineStr"/>
      <c r="I84" t="inlineStr">
        <is>
          <t>**Division:** 
 xPL Offsite
**Project Location(s):** 
 Huntsville, AL 35801 USA
**Minimum Years Experience:**
**Travel Involved:** 
 20\-30%
**Job Type:** 
 Regular
**Job Classification:** 
 Experienced
**Education:**
**Job Family:** 
 Construction
**Compensation:** 
 Salaried Exempt
**Position Description:** 
 Lead, direct, and manage an xPL program, initiative, and team from preconstruction through to closeout. Drive continuous improvement and team development to support program and xPL business expansion.
**Essential Duties \&amp; Key Responsibilities:**
* Develop and maintain long\-lasting and trusting partnership with specific program client, designers, manufacturers, and stakeholders for program success.
* Fully understand client objectives to discover and explore future business opportunities and broker connections with other xPL or functional business teams to facilitate demonstrations and conversations to showcase business value with clients and other stakeholders.
* Provide training, coaching, mentoring to Program Management team to align and support client program expectations. Foster culture of inclusiveness and employee engagement that results in high team performance.
* Develop measurable metrics and provide strategic guidance to clients and internal team leaders to communicate and support client’s program vision, business objectives, and progress.
* Maintain up\-to\-date progress and monitor overall health of client’s program, manage and/or escalate issues and provide summary of team progress to xPL leadership team.
* Partner with xPL Technology and Information Services (IS) teams to ensure effective operations of systems and applications to support internal and external (e.g., client) programs and team productivity.
* Partner with cross\-functional xPL teams to manage scope, timelines, deliverables, required resources, work plans, budgets and client delivery aligned with xPL business standard operating procedures (SOPs) and contractual obligations.
* Use data analytics to establish, monitor, and measure program Key Performance Indicators (KPIs) and identify potential program risks. Engage with cross\-functional xPL teams to review progress and amend program operations to increase alignment to KPIs and minimize risks.
* Assist with development of xPL Program Playbook to define business SOPs. Engage teams in continuous improvement reviews to enhance program processes, deliverables, and utilization of various xPL initiatives and technologies.
* Manage Project Management employees and other team members; and may participate in hiring process, onboard and deliver timely performance feedback for direct reports, contribute to performance appraisals during annual performance cycle, utilize talent management systems, and identify appropriate training to help with employee development needs.
* Other activities, duties, and responsibilities as assigned.
**Qualifications:**
* Bachelor’s Degree from accredited degree program in Engineering, Architecture, Business Administration, Construction Management, or related field of study, and minimum of 10 years of related experience with progressive responsibility, or equivalent combination of education, training, and experience
* Experience in supply chain, 4PL, commercial construction, or related industry with extensive knowledge of regional manufacturers, suppliers, and industry trends
* Knowledge of cost, scheduling, purchasing, estimating, engineering principles and techniques, and accounting principles
* Interpersonal relationship building skills to develop trusted relationships with stakeholders ability to engage and partner with stakeholders at various organizational levels
* Negotiation skills with ability influence outcomes
* Ability to interpret contract documents, scopes of work, and project schedule
* Analytical and process critical thinking skills with sound judgement and decision\-making
* Project management and leadership skills, able to manage high volumes of work and ability to motivate teams and projects to move forward in a complex environment
* Executive presentation delivery skills, anticipate needs of audience, and tailor communications appropriately
* Leadership and management experience, with ability to mentor and develop employees
* Ability to drive process enhancements through continuous improvement concepts and methodologies
* Proficient computer skills, Microsoft Office suite of applications, familiar with BIM based applications, and familiar with other technologies specific to manufacturing LOD\-400 and higher processes
* Limited travel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frequently required to sit, use hands to finger, handle, or feel objects, tools, or controls; and reach with hands, talk, and hear. The employee frequently views a computer monitor and frequently uses a computer keyboard. Specific vision abilities required by this job include close vision, peripheral vision, depth perception, and the ability to adjust focus. The employee is regularly required to be mobile, and the employee occasionally travels both short and long distances via a variety of conveyances. The employee regularly performs work on\-site at construction work sites, office locations, and/or off\-site venues. The employee must regularly lift and/or move up to 10 pounds and occasionally lift and/or move up to 25 pounds.
**Work Environment** 
 : The work environment characteristics described here are representative of those an employee encounters while performing the essential functions of this job. Reasonable accommodation may be made to enable individuals with disabilities to perform the essential functions. While performing the duties of this job, the employee regularly works in an office setting or remote location. The noise in the work environment is usually quiet to moderate in an office setting. The employee is required to work in compliance with company safety policies, procedures, and applicable laws.
**Turner is an Equal Opportunity Employer \- race, color, religion, sex, sexual orientation, gender identity, national origin, disability, status as a protected veteran, or other characteristics protected by applicable law.**</t>
        </is>
      </c>
    </row>
    <row r="85">
      <c r="A85" t="inlineStr">
        <is>
          <t>li-4369611628</t>
        </is>
      </c>
      <c r="B85" t="inlineStr">
        <is>
          <t>Program Manager LCPA</t>
        </is>
      </c>
      <c r="C85" t="inlineStr">
        <is>
          <t>ResCare Community Living</t>
        </is>
      </c>
      <c r="D85" t="inlineStr">
        <is>
          <t>linkedin</t>
        </is>
      </c>
      <c r="E85" t="inlineStr"/>
      <c r="F85" t="inlineStr"/>
      <c r="G85" t="inlineStr">
        <is>
          <t>Atlanta, GA</t>
        </is>
      </c>
      <c r="H85" t="inlineStr"/>
      <c r="I85" t="inlineStr">
        <is>
          <t>**Our Company**
 ResCare Community Living
**Overview**
 The
 Program
 Manager
 will be responsible for the operation of Therapeutic Foster Care as far as all actions, decisions, and performances within the total scope of the treatment program. The Program Manager will also be responsible for developing, implementing, and managing the foster care and family services components of the program. The
 Program
 Manager
 shares with the Executive Director the responsibility for the care and protection of all the children
 residing in
 StepStone
 Family and Youth Services
 foster homes, and for the hiring, training, and supervision of all treatment personnel. In the Executive Director's absence, the
 Program Manager
 is responsible for the efficient management of the financial and physical resources of the agency. The
 Program
 Manager
 or assigned delegate will be accessible by telephone to assist in emergencies.
**Responsibilities**
* Works with the Executive Director in developing effective treatment interventions for neglected, abused and troubled children and their families
* Evaluates treatment programs and makes recommendations to the Executive Director
* Develops and administers standards and procedures for all treatment staff
* Assists in the recruitment and hiring of qualified treatment staff and oversees training, supervision, promotion, and discipline
* Oversees training promotion and discipline of treatment staff and provides ongoing supervision
* Keeps the Executive Director and client agencies informed of agency's programs and policies
* Attends board meetin
 gs and represents the agency
 in the absence of the Executive Director
* Represents and interprets the agency's programs and policies to the public custodial agencies, the courts, and the community
* Maintains good working relationships with local, state, and national agencies, including schools, courts, welfare departments, probation departments, and other social service agencies
* Oversees a myriad of details, responsibilities, and performances
* Shows positive, effective, productive cooperation between staff, foster parents, biological parents, and the community
**Qualifications**
* Graduate degree in Social Work or related field from an accredited college or university, plus one year of graduate training from a recognized School of Social Work which includes supervised casework in the field
* Five years of paid experience working in a clinical setting with trouble children and families
* Two years of which should be in a supervisory or administrative capacity
* Administrative and clinical skills
* Capable of working effectively with children, adults, staff, board members, parents, foster parents, and the community
**About Our Line Of Business**
 ResCare Community Living, an affiliate of BrightSpring Health Services, has five decades of experience in the disability services field, providing support to individuals who need assistance with daily living due to an intellectual, developmental, or cognitive disability. We provide a comprehensive range of high\-quality services, including: community living, adult host homes for adults regardless of disability, behavioral/mental health support, in\-home pharmacy solutions, telecare and remote support, supported employment and training programs, and day programs. For more information, please visit www.rescarecommunityliving.com. Follow us on Facebook and LinkedIn. Salary Range:
 USD $52,208\.00 / Year</t>
        </is>
      </c>
    </row>
    <row r="86">
      <c r="A86" t="inlineStr">
        <is>
          <t>li-4368880693</t>
        </is>
      </c>
      <c r="B86" t="inlineStr">
        <is>
          <t>Program Manager COTA</t>
        </is>
      </c>
      <c r="C86" t="inlineStr">
        <is>
          <t>Aegis Therapies</t>
        </is>
      </c>
      <c r="D86" t="inlineStr">
        <is>
          <t>linkedin</t>
        </is>
      </c>
      <c r="E86" t="inlineStr"/>
      <c r="F86" t="inlineStr"/>
      <c r="G86" t="inlineStr">
        <is>
          <t>Pasadena, CA</t>
        </is>
      </c>
      <c r="H86" t="inlineStr"/>
      <c r="I86" t="inlineStr">
        <is>
          <t>**GENERAL PURPOSE**
 To assist in the treatment of patients as directed by the Occupational Therapist and participate as an active member of treatment location’s rehabilitation team
 If you’re brimming with ambition and a desire to learn, a Therapy Coordinator role with Aegis Therapies is right for you. This position is a stepping stone to management roles, and it allows you to gain management experience without being a direct supervisor.
 As a lead in the building, you’ll treat patients while getting some experience with administrative tasks, such as scheduling and serving as a liaison for the Director of Rehab. If you love to make a difference in people’s lives and have big goals for yourself, apply today.
**Qualifications**
* High school diploma or equivalent
* Graduate from an Occupational Therapy Assistant program
* Current licensure or ability to obtain as an Occupational Therapy Assistant in state of practice and/or nationally certified
* Current CPR certification, preferred
 EEO Statement: Aegis Therapies and its Family of Companies is committed to a diverse workforce and is an Equal Opportunity Employer. For detailed information on your rights, Click Here OR https://aegistherapies.com/equal\-opportunity\-employer\-provider\-of\-healthcare\-services/.</t>
        </is>
      </c>
    </row>
    <row r="87">
      <c r="A87" t="inlineStr">
        <is>
          <t>li-4335481765</t>
        </is>
      </c>
      <c r="B87" t="inlineStr">
        <is>
          <t>Sales Program Manager</t>
        </is>
      </c>
      <c r="C87" t="inlineStr">
        <is>
          <t>ATI</t>
        </is>
      </c>
      <c r="D87" t="inlineStr">
        <is>
          <t>linkedin</t>
        </is>
      </c>
      <c r="E87" t="inlineStr"/>
      <c r="F87" t="inlineStr"/>
      <c r="G87" t="inlineStr">
        <is>
          <t>Albany, OR</t>
        </is>
      </c>
      <c r="H87" t="inlineStr"/>
      <c r="I87" t="inlineStr">
        <is>
          <t>**Proven to Perform.**
 From the edges of space to the bottoms of ocean, our materials are proven to perform \-\- and so is our team. We're hiring high performers as proven as our products. Join us
 ATI is hiring a Sales Program Manager at our Millersburg, OR operation. This is an onsite position. This position will be responsible for managing a part of ATI SA\&amp;C's product sales. The primary job function is to provide support to customers for ATI's products and existing business, quoting, and closing orders to meet business goals. The Sales Program Manager works closely with Quality, Production, Planning, Product Engineers and Export Control and the Sales and Operation Planning process to ensure that our products are processed and shipped in a timely fashion and according to the customer's specifications.  Relocation assistance is available.
* Book sales to meet company targets and drive development and execution of the business plan.
* Evaluate opportunities through a growth process with Business Development.
* Create near\-term and long\-term forecasts based on market demand and growth opportunities.
* Develop and maintain a market strategy by working with business analyst and researcher.
* Generate and present executive\-level market and sales strategies.
* Develop and negotiate customer contracts and manage through the life of program.
* Develop communication and implementation plan through the organization for contract success.
* Participate in the Sales and Operation Planning (S\&amp;OP) monthly process by providing forecast that illustrates customer demand and market intel to reach an agreement on supply targets.
* Engage in cross\-functional value stream teams by providing the voice of the customer and guidance on key project priorities and resource allocations.
* Ability to work independently with guidance in only the most complex situations.
* Drive engagement and analysis to solve multifaceted problems taking a broad perspective to identify innovative solutions.
* Interprets internal and external business challenges and recommends best practices to improve products, processes, or services.
* Solves complex problems; takes a new perspective on existing solutions; exercises judgment based on the analysis of multiple sources of information.
* Effective at communicating difficult concepts and impact business direction by engaging necessary resources.
* Conduct domestic and international customer visits and trade events as needed.
* Produce and distribute trip reports and follow\-up action items.
**Requirements** 
* Must have the ability to obtain Department of Energy Security Clearance
+ US Citizenship is required
* Bachelor's and/or advanced degree in Business or Engineering, is preferred; Technical aptitude/background strongly preferred
* Five years of experience in a sales, marketing or process engineering environment is preferred
+ Equivalent combination of experience and education may be considered
* Additional weight will be given to the candidate with experience a metals industry experience or materials background industrial setting or sales environment
* Successful candidate must have excellent inter\-personal, organizational and communication skills (both verbal and written)
* Demonstrated ability to perform financial analyses, determine expected gross profits and variances, and present cost and pricing data
* Demonstrated ability to successfully coordinate work activities with other team members and be able to work independently as needed
**We thrive when the expectations are great, and the barriers are high. We're solving the world's most difficult challenges through materials science.** 
 Our advanced, integrated process technologies and proven performers give us a tremendous competitive advantage. When customers systems need to fly higher, dig deeper, stand stronger, and last longer \-\- anywhere on, above or below the earth \-\- ATI is proven to perform.
* It is ATI's policy to not provide immigration sponsorship for any of the company's positions.
 Due to the nature of its operations, including certain federal government contracts, ATI Specialty Alloys \&amp; Components must track \-\- and in some cases limit employment opportunity based on \-\- citizenship or immigration status.
 ATI and its subsidiary companies will provide equal employment opportunities to all applicants without regard to applicant's race, color, religion, sex, sexual orientation, gender identity, genetic information, national origin, age, veteran status, disability status, or any other status protected be federal or state law. The company will provide reasonable accommodations to allow an applicant to participate in the hiring process if so requested.
 Total Rewards
 ATI Has a Total Rewards Package To Attract And Retain Top Talent. As Part Of Our Total Rewards Package, We Offer a Competitive Base Pay With Variable Additional Compensation Opportunities. This Includes
* A top 401K plan, including company match
* Health insurance (medical, dental, vision), life insurance, short and long\-term disability, Accidental Death and Dismemberment, Flexible Spending Accounts, Employee Assistance Programs
* 15 days of paid vacation time, along with 12 paid holidays
* Performance bonus
* Optional employee paid programs such as Critical Illness Insurance, Accident Insurance, and Pet Insurance
 Our Total Rewards program and options available to an employee \&amp; may vary depending on multiple factors, including location and hire date. Hourly pay rates are based upon candidate experience and qualifications, as well as market and business considerations.
 Salary Range: $78,000 to $101,00/annually \+</t>
        </is>
      </c>
    </row>
    <row r="88">
      <c r="A88" t="inlineStr">
        <is>
          <t>li-4368987995</t>
        </is>
      </c>
      <c r="B88" t="inlineStr">
        <is>
          <t>Principal Site Program Manager, HBM</t>
        </is>
      </c>
      <c r="C88" t="inlineStr">
        <is>
          <t>Micron Technology</t>
        </is>
      </c>
      <c r="D88" t="inlineStr">
        <is>
          <t>linkedin</t>
        </is>
      </c>
      <c r="E88" t="inlineStr"/>
      <c r="F88" t="inlineStr"/>
      <c r="G88" t="inlineStr">
        <is>
          <t>Richardson, TX</t>
        </is>
      </c>
      <c r="H88" t="inlineStr"/>
      <c r="I88"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The HBM Site Program Manager will lead daily operations at the Richardson site. They will also set long‑term goals and ensure alignment with Micron’s High Bandwidth Memory (HBM) program objectives. This role integrates tactical site support, operational excellence, and program management of cross‑functional initiatives. The position is responsible for leading internal business projects involving multi‑disciplinary teams; planning and advising schedules and budgets; coordinating program tasks from inception through delivery; and, when needed, managing external vendor support. The HBM Site Program Manager enables site readiness, drives global HBM dependencies, develops executive‑level communications, manages headcount and financial models, and ensures operational compliance and continuity.
**Responsibilities**
* Lead internal business projects and programs involving cross‑functional teams, managing schedules, budgets, task execution, and vendor oversight from project initiation through delivery.
* Develop and implement Richardson site strategies aligned with TPG and HBM goals, including site branding, remodels, operational upgrades, and engagement planning.
* Manage daily site support activities such as maintenance coordination, executive visits, team events, communications, and business continuity documentation.
* Support HBM leadership with high‑impact presentations, visual communication materials, and roadmap alignment for business reviews and decision‑making.
* Drive operational cadence for HBM dependencies, including resource planning, capital adjustments, quarterly business planning, achievement tracking, and financial performance updates.
* Build dashboards and reporting tools that monitor headcount ramps, program health, operational efficiency, and resource utilization using important metrics.
* Oversee program budgets, capacity planning, OpEx/CapEx cycles, headcount modeling, and discretionary spending to maintain financial and operational accuracy.
* Drive continuous improvement initiatives, workflow automation, compliance with Micron standards, and process efficiencies across site and program operations.
**Minimum Qualifications**
* Bachelor’s degree in Business, Operations Management, or a related field.
* 5\+ years of experience in business operations or program management, including managing cross‑functional initiatives and schedules/budgets.
* Strong collaboration skills across diverse functions and geographical locations.
* Ability to operate effectively in fast‑paced, ambiguous, start‑up–like environments.
* Proficiency in data analysis and reporting tools such as Excel, Power BI, and Workday reporting.
**Preferred Qualifications**
* Bachelor’s or Master’s degree in Business, Engineering, Data Analytics, or related field.
* 5\+ years of experience in business operations, data analytics, business intelligence, or long\-term project development, with proficiency in SQL, data visualization tools (Power BI/Tableau), and AI\-based analysis.
* Experience with cloud data platforms (Snowflake, BigQuery, Azure Synapse), dashboard development, and translating business needs into analytical insights for executive collaborators.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89">
      <c r="A89" t="inlineStr">
        <is>
          <t>li-4362426638</t>
        </is>
      </c>
      <c r="B89" t="inlineStr">
        <is>
          <t>Product Manager II - Reporting &amp; Analytics</t>
        </is>
      </c>
      <c r="C89" t="inlineStr">
        <is>
          <t>Equip</t>
        </is>
      </c>
      <c r="D89" t="inlineStr">
        <is>
          <t>linkedin</t>
        </is>
      </c>
      <c r="E89" t="inlineStr"/>
      <c r="F89" t="inlineStr"/>
      <c r="G89" t="inlineStr"/>
      <c r="H89" t="inlineStr"/>
      <c r="I89" t="inlineStr">
        <is>
          <t>**About Equip**
 Equip is the leading virtual, evidence\-based eating disorder treatment program on a mission to ensure that everyone with an eating disorder can access treatment that works. Created by clinical experts in the field and people with lived experience, Equip builds upon evidence\-based treatments to empower individuals to reach lasting recovery. All Equip patients receive a dedicated care team, including a therapist, dietitian, physician, and peer and family mentor. The company operates in all 50 states and is partnered with most major health insurance plans. Learn more about our strong outcomes and treatment approach at www.equip.health.
 Founded in 2019, Equip has been a fully virtual company since its inception and is proud of the highly\-engaged, passionate, and diverse Equisters that have created Equip’s culture. Recognized by Time as one of the most influential companies of 2023, along with awards from Linkedin and Lattice, we are grateful to Equipsters for building a sustainable treatment program that has served thousands of patients and families.
**About The Role**
 We are looking for a passionate Product Manager to join us to improve the user experience of our in house data analytics platform, with a focus on clinical and operations stakeholders. Data is the backbone of Equip—we use it every day to support business processes, measure our success, and inform our decisions. As the Product Manager for the analytics team, you will collaborate with domain experts to identify opportunities to use data to improve how data is organized, curated, discovered, and used throughout the organization.
 The Product Manager will apply a creative, rigorous, and efficient approach to product management. You will be a critical member of our team, collaborating with Data Analysts, Data Scientists, Data Engineers, and internal stakeholders. You will help develop and drive the roadmap for our data initiatives and work towards a strategy for enabling the organization to self\-serve data needs as we scale. If you’re eager to work in a dynamic, fast\-moving environment where you’ll strive to make a big impact at a mission\-driven organization, then this might be the right fit for you!
**Responsibilities**
* Be a thought partner with our clinical, operations, and product development departments to identify data initiatives that support both departmental and organizational goals.
* Advocate for the needs of your stakeholders when working with our analysts, data engineering and application development teams, third parties, and other cross\-functional stakeholders.
* Develop a strategy and roadmap for improving the user experience of our analytics users and other data consumers.
* Work closely with your Data Analyst, Engineering, and Data Scientist counterparts to come up with innovative ways to execute on the data roadmap, ensuring tight timelines and successful launches.
* Utilize testing, user research, and market analysis to iterate on features, derive insights, and enhance customer/user satisfaction.
* Design and prepare product requirement documents, including articulating the business case, value proposition, trade\-offs, and user stories.
* Drive features from development to launch in an agile scrum environment by coordinating and participating in development activities including daily standups, backlog grooming, retrospectives, sprint planning, demos, and other scrum ceremonies.
* Monitor usage and satisfaction of our data products to identify gaps and opportunities.
* Work towards improving the data literacy in the organization and enabling meaningful self\-service analytics.
* Demonstrate empathy and curiosity when approaching all complex issues (be they technical, societal, or personal) and share a genuine interest in solving problems for our users.
* Operate with a high degree of autonomy in a growing, early\-stage work environment.
* Find ways to improve efficiency and excellence in our product development process.
* Perform other duties as assigned.
**Qualifications**
* Bachelor’s degree in a quantitative, technical, or business\-related field (e.g., Computer Science, Engineering, Economics, Statistics, Information Systems, or equivalent practical experience).
* 4\+ years of experience as a Product Manager within a high\-growth company, ideally working on data products and/or products in the healthcare domain OR equivalent relevant experience in analytics, reporting, or research with some product experience.
* Proven track record of successfully delivering features on time following agile methodologies and best practices.
* Strong analytical skills, including the ability to clean, visualize, and present compelling narratives using data.
* Familiarity with data modeling, schema design, ETL/ELT pipelines, data lineage, and storage architectures.
* The ability to read and write SQL.
* Demonstrated business sense and intellectual curiosity with the desire to become a subject matter expert in eating disorder treatments.
* Organizational and project management skills with a demonstrated ability to balance numerous projects while meeting tight deadlines.
* Attention to detail.
* Effective interpersonal skills, particularly in building relationships, working collaboratively, and influencing and driving alignment.
* Strong written and verbal communication skills.
* Comfortable working in a fast\-paced environment with changing priorities.
**Benefits**
**Time Off:**
* Flex PTO policy (3\-5 wks/year recommended) \+ 11 paid company holidays.
**Medical Benefits**
* Competitive Medical, Dental, Vision, Life, and AD\&amp;D insurance.
* Equip pays for a significant percentage of benefits premiums for individuals and families.
* Maven, a company paid reproductive and family care benefit for all employees.
* Employee Assistance Program (EAP), a company paid resource for mental health, legal services, financial support, and more!
**Other Benefits**
**Work From Home Additional Perks:**
* $50/month stipend added directly to an employee’s paycheck to cover home internet expenses.
* One\-time work from home stipend of up to $500\.
**Physical Demands**
 Work is performed 100% from home with no requirement to travel. This is a stationary position that requires the ability to operate standard office equipment and keyboards as well as to talk or hear by telephone. Sit or stand as needed.
 At Equip, Diversity, Equity, Inclusion and Belonging (DEIB) are woven into everything we do. At the heart of Equip’s mission is a relentless dedication to making sure that everyone with an eating disorder has access to care that works regardless of race, gender, sexuality, ability, weight, socio\-economic status, and any marginalized identity. We also strive toward our providers and corporate team reflecting that same dedication both in bringing in
 *and* 
 retaining talented employees from all backgrounds and identities. We have an Equip DEIB council, Equip For All; also referred to as EFA.
 *EFA at Equip aims to be a space driven by mutual respect, and thoughtful, effective communication strategy \- enabling full participation of members who identify as marginalized or under\-represented and allies, amplifying diverse voices, creating opportunities for advocacy and contributing to the advancement of diversity, equity, inclusion, and belonging at Equip.*
 As an equal opportunity employer, we provide equal opportunity in all aspects of employment, including recruiting, hiring, compensation, training and promotion, termination, and any other terms and conditions of employment without regard to race, ethnicity, color, religion, sex, sexual orientation, gender identity, gender expression, familial status, age, disability, weight, and/or any other legally protected classification protected by federal, state, or local law.
 Our dedication to equitable access, which is core to our mission, extends to how we build our "village." In line with our commitment to Diversity, Equity, Inclusion, and Belonging (DEIB), we are dedicated to an accessible hiring process where all candidates feel a true sense of belonging. If you require a reasonable accommodation to complete your application, interview, or perform the essential functions of a role, we invite you to reach out to our People team at accommodations@equip.health.</t>
        </is>
      </c>
    </row>
    <row r="90">
      <c r="A90" t="inlineStr">
        <is>
          <t>li-4366354016</t>
        </is>
      </c>
      <c r="B90" t="inlineStr">
        <is>
          <t>Principal Product Manager, Data Innovation</t>
        </is>
      </c>
      <c r="C90" t="inlineStr">
        <is>
          <t>Cint</t>
        </is>
      </c>
      <c r="D90" t="inlineStr">
        <is>
          <t>linkedin</t>
        </is>
      </c>
      <c r="E90">
        <f>HYPERLINK("https://www.linkedin.com/jobs/view/4366354016", "https://www.linkedin.com/jobs/view/4366354016")</f>
        <v/>
      </c>
      <c r="F90" t="inlineStr"/>
      <c r="G90" t="inlineStr">
        <is>
          <t>New York, NY</t>
        </is>
      </c>
      <c r="H90" t="inlineStr"/>
      <c r="I90" t="inlineStr">
        <is>
          <t>**Who We Are**
 Cint is a pioneer in research technology (ResTech). Our customers use the Cint platform to post questions and get answers from real people to build business strategies, confidently publish research, accurately measure the impact of digital advertising, and more. The Cint platform is built on a programmatic marketplace, which is the world’s largest, with nearly 300 million respondents in over 130 countries.
 At Cint, we are committed to innovation and are rapidly expanding our portfolio of data solutions to power the next generation of insights. We are looking for passionate, results\-oriented leaders to join us on this journey.
**Job Description**
**The Role**
 This is a strategic, high\-impact opportunity to own and build the future of data at Cint. As the Principal Product Manager for Data Innovation, you will be responsible for defining and executing the product strategy for our emerging synthetic data and data collaboration products.
 This role requires a unique blend of deep technical understanding, commercial acumen, and a "build\-from\-scratch" entrepreneurial mindset. You will be the company's subject matter expert, partnering closely with R\&amp;D, data science, and commercial leadership to bring a new category of products to market.
**What You Will Do**
* **Own the Product Vision:** 
 Develop and promote a multi\-year product vision for Cint's Data Innovation portfolio. This includes synthetic data products and other new data collaboration solutions. You will be responsible for driving key business KPIs, such as product adoption, revenue, and market penetration.
* **Tell the Story:** 
 Masterfully articulate the "why" behind your product strategy. Bring complex customer and technical problems to life, inspiring and aligning senior leadership and the broader organization around your vision.
* **Execute with Excellence:** 
 Conduct thorough opportunity assessments, backed by data and customer research, to validate assumptions and prioritize initiatives. Author clear, comprehensive product requirements and partner with R\&amp;D leadership to navigate complex technical trade\-offs.
* **Partner to Win:** 
 Build strong, trusted relationships with key stakeholders across R\&amp;D, Data Science, Commercial, Legal, and Marketing to ensure cross\-functional alignment and a successful go\-to\-market.
**Qualifications**
**What We Are Looking For**
* **Proven Product Leader:** 
 You have a proven track record of launching and scaling complex data products, platforms, or services from concept to market.
* **Customer\-Obsessed:** 
 You are an expert in translating customer problems from the ResTech and data space into clear, well\-structured product requirements, backed by data and qualitative insights.
* **Technical Data Expertise:** 
 You have direct experience managing the full lifecycle of AI/ML products: building, training, and fine\-tuning models (e.g., LLMs). You have a solid understanding of the processes used to create, validate, and filter large\-scale synthetic datasets and are comfortable discussing the trade\-offs of alignment techniques (e.g., SFT, RLHF).
* **Exceptional Communicator:** 
 You possess outstanding written and verbal communication skills and are seen as an expert storyteller. You can effectively partner with senior leadership and are skilled at managing complex stakeholder maps.
**Why Join Us?**
* **Strategic Impact:** 
 You will be building a new, high\-growth business line that is central to Cint's long\-term strategy.
* **Innovation:** 
 You will be on the cutting edge of ResTech and data technology, solving novel problems with a world\-class R\&amp;D team.
* **Global Reach:** 
 Cint is a global company with a distributed, flexible, and collaborative culture.
* **Ownership:** 
 We empower our product leaders. You will have the autonomy and accountability to make a measurable impact on the business.
**Additional Information**
 The anticipated pay range for this role is $175,000 to $218,000 annual base salary. In addition, this position is also eligible for the following benefits:
* Medical, Dental, and Vision insurance options to suit you and your family’s needs
* 401K with company matching
* PTO, unlimited sick days
* Remote Work
* Paid maternity and paternity leave
* Annual bonus opportunity
**Our Values**
**Collaboration is our superpower**
* We uncover rich perspectives across the world
* Success happens together
* We deliver across borders.
**Innovation is in our blood**
* We’re pioneers in our industry
* Our curiosity is insatiable
* We bring the best ideas to life.
**We do what we say**
* We’re accountable for our work and actions
* Excellence comes as standard
* We’re open, honest and kind, always.
**We are caring**
* We learn from each other’s experiences
* Stop and listen; every opinion matters
* We embrace diversity, equity and inclusion.
**More About Cint**
 We’re proud to be recognised in Newsweek’s 2025 Global Top 100 Most Loved Workplaces®, reflecting our commitment to a culture of trust, respect, and employee growth.
 In June 2021, Cint acquired Berlin\-based GapFish – the world’s largest ISO certified online panel community in the DACH region – and in January 2022, completed the acquisition of US\-based Lucid – a programmatic research technology platform that provides access to first\-party survey data in over 110 countries.
 Cint Group AB (publ), listed on Nasdaq Stockholm, this growth has made Cint a strong global platform with teams across its many global offices, including Stockholm, London, New York, New Orleans, Singapore, Tokyo and Sydney. (www.cint.com)
 Additionally, in a world of AI, we want our candidates to understand our approach to the use of AI during the interview and hiring process, so we'd appreciate you reading our AI usage guide.</t>
        </is>
      </c>
    </row>
    <row r="91">
      <c r="A91" t="inlineStr">
        <is>
          <t>li-4369601412</t>
        </is>
      </c>
      <c r="B91" t="inlineStr">
        <is>
          <t>Product Manager - US</t>
        </is>
      </c>
      <c r="C91" t="inlineStr">
        <is>
          <t>Handoff</t>
        </is>
      </c>
      <c r="D91" t="inlineStr">
        <is>
          <t>linkedin</t>
        </is>
      </c>
      <c r="E91">
        <f>HYPERLINK("https://www.linkedin.com/jobs/view/4369601412", "https://www.linkedin.com/jobs/view/4369601412")</f>
        <v/>
      </c>
      <c r="F91" t="inlineStr"/>
      <c r="G91" t="inlineStr">
        <is>
          <t>Austin, TX</t>
        </is>
      </c>
      <c r="H91" t="inlineStr"/>
      <c r="I91" t="inlineStr">
        <is>
          <t>**Why join us?**
**Handoff is the AI agent that runs a construction company.** 
 We help remodelers automate estimating, streamline operations, and win more work \- backed by real\-time cost data, intuitive design, and workflows that “speak contractor.” With over 10,000 monthly active users and $6B in annualized project volume already flowing through our platform, we’re becoming the trusted partner for the people who build our homes.
 We are backed by $25M\+ raised from Y Combinator, Initialized, and Greycroft. Our team is distributed across hubs in Austin, São Paulo, and Buenos Aires, and we are deeply focused on building intuitive, high\-impact solutions that make a real difference for our users.
 Product Manager at Handoff
 We’re hiring a
 **Product Manager** 
 to own the roadmap, strategy, and execution of a core product squad. In this role, you’ll lead engineers and designers to ship high\-quality, high\-impact features that improve contractor workflows, while connecting product decisions to measurable business and growth outcomes. This role is ideal for someone who combines a strong product mindset with customer obsession and a high bar for execution.
**What You'll Do**
* Own the squad roadmap, strategy, and execution for a core product area
* Conduct continuous customer discovery \- interviews, prototypes, field visits \- and turn insights into clear specs, user stories, and priorities
* Partner closely with engineering and design to iterate quickly and deliver intuitive, polished experiences
* Define adoption, activation, and retention metrics; set up tracking, analyze performance, and iterate based on data
* Produce and update our roadmap and communicate product direction across leadership and GTM teams
* Translate features into benefits and customer outcomes, supporting sales, marketing, and onboarding with clear collateral
* Sweat the details \- QA, polish, and validate every flow and edge case before launch
* Apply Handoff’s product principles \- simplemaxxing, mobile\-first, AI\-first, and customer\-obsession \- to every design, feature, and product decision
**About You**
* 5\+ years of experience in Product Management, ideally in vertical SaaS
* Experience building B2B SaaS products; with AI experience strongly preferred
* Track record of shipping 0→1 or early\-stage features
* Strong skills in customer discovery, research, and ruthless prioritization
* Proven ability to work hand\-in\-hand with engineers and designers in agile environments
* Excellent writing and communication \- able to produce crisp specs, epics, and roadmap docs
* Excitement about construction, remodeling, and home services \- genuine curiosity about contractors’ world
* Bonus experience: CRM, project management tools, payments/fintech, AI\-driven products, or PLG (product\-led growth)
* Startup DNA \- comfort in ambiguity, bias for action, stamina for fast\-moving environments
**What We Offer**
* Competitive Salary \+ Equity
* Unlimited Paid Time Off (PTO)
* 401(k)
* Medical, Dental \&amp; Vision Insurance
* Life \&amp; Disability Insurance
* Flexible Spending Account (FSA)
* Dependent Care FSA (DC FSA)
* Relocation Allowance
* Top\-Notch Equipment
* Team Offsites
 If you’re excited to build products that transform how contractors run their businesses \- and you thrive in a fast\-paced, high\-impact environment \- we’d love to meet you.
 Handoff is an Equal Opportunity Employer. Handoff is committed to the principle of equal employment opportunity for all employees and to providing employees with a work environment free of discrimination and harassment. Handoff will not tolerate discrimination or harassment based on any of these characteristics. Handoff encourages applicants of all ages. Handoff also participates in E\-Verify.</t>
        </is>
      </c>
    </row>
    <row r="92">
      <c r="A92" t="inlineStr">
        <is>
          <t>li-4354047658</t>
        </is>
      </c>
      <c r="B92" t="inlineStr">
        <is>
          <t>Senior Product Manager</t>
        </is>
      </c>
      <c r="C92" t="inlineStr">
        <is>
          <t>Cint</t>
        </is>
      </c>
      <c r="D92" t="inlineStr">
        <is>
          <t>linkedin</t>
        </is>
      </c>
      <c r="E92">
        <f>HYPERLINK("https://www.linkedin.com/jobs/view/4354047658", "https://www.linkedin.com/jobs/view/4354047658")</f>
        <v/>
      </c>
      <c r="F92" t="inlineStr"/>
      <c r="G92" t="inlineStr">
        <is>
          <t>New York, NY</t>
        </is>
      </c>
      <c r="H92" t="inlineStr"/>
      <c r="I92" t="inlineStr">
        <is>
          <t>**Who We Are**
 Cint is a pioneer in research technology (ResTech). Our customers use the Cint platform to post questions and get answers from real people to build business strategies, confidently publish research, accurately measure the impact of digital advertising, and more. The Cint platform is built on a programmatic marketplace, which is the world’s largest, with nearly 300 million respondents in over 150 countries who consent to sharing their opinions, motivations, and behaviours.
 We are feeding the world’s curiosity!
**Job Description**
**The Opportunity**
 Cint delivers innovative cross\-platform measurement products to help brand advertisers analyze and optimize their media spend across TV, Digital and Social. As Senior Product Manager for Measurement, you will work closely with business and technology teams at Cint to create, refine and execute the product roadmap for Cint’s Measurement portfolio. Ideal candidates have a passion for developing software\-first solutions to help marketers understand the impact of their investments across platforms.
 This remote role (but must be based out of the country it is posted in), requires collaboration with our European and U.S. teams during GMT or EDT hours.
**What You Will Do**
 As a product manager at Cint, you are primarily responsible for:
1. Understanding and communicating the problems of our users and customers.
2. Defining requirements for a solution that our users and customers love.
3. Ensuring our products add value and contribute to the future vision of Cint.
 As a Senior Product Manager, your mission will be to:
* Have a deep understanding of the customer and a passion for solving real\-world problems. You'll need to be a strong storyteller, with the ability to articulate the customer’s needs to a wide group of stakeholders.
* Be responsible for developing vision \&amp; roadmap of key platform components, and executing on a customer\-driven roadmap within an agile environment.
* Work closely with business and technical leads to drive alignment \- leveraging user interviews, stakeholder feedback, and beta programs to meet customer expectations.
* Ability to work independently in a remote\-first environment.
* Drive strategic, data\-driven thinking, insight, and context around complex business trade\-offs, framing strategic and tactical investments.
* Develop epics and user stories that are informative, concise, and drive effective decision making and collaboration with engineering
* Familiar with product design and UX principles to improve customer experience and enhance understanding through data visualization.
* Engage closely with marketing, training, support, and sales teams to develop successful go\-to\-market and positioning plans for new products and features. Be seen as a thought leader for your product area.
**Qualifications**
**What We Are Looking For**
* Minimum of 5 years of product management within a B2B portfolio, managing product and feature development from concept to GTM.
* Minimum of 5 years of experience working with data products and customer facing reporting that informs decisioning.
* Strong understanding of software development, agile, SDLC and SaaS
* Exceptional communication skills, capable of influencing outcomes and collaborating with distributed teams.
* Experience working within remote teams
**Bonus Points If You Have**
* Experience supporting end\-to\-end workflows for API\-driven SaaS products with a global scale.
* Familiar with media measurement, media buying and/or ad operations.
* Proficient in SQL and working with large\-scale databases.
**Additional information**
**Anticipated Salary Range (US Only):**
 In California, Colorado, New York City and Washington, the anticipated pay range for this role is $135,000 to $175,000 annual base salary. This base pay range is specific to California, Colorado, New York City and Washington and may not be applicable to other locations. In addition, this position is also eligible for the following benefits:
* Medical, Dental, and Vision insurance options to suit you and your family’s needs
* 401K with company matching
* PTO, unlimited sick days
* Remote Work
* Paid maternity and paternity leave
* Annual bonus opportunity
**Additional Information**
**Our Values**
**Collaboration is our superpower**
* We uncover rich perspectives across the world
* Success happens together
* We deliver across borders.
**Innovation is in our blood**
* We’re pioneers in our industry
* Our curiosity is insatiable
* We bring the best ideas to life.
**We do what we say**
* We’re accountable for our work and actions
* Excellence comes as standard
* We’re open, honest and kind, always.
**We are caring**
* We learn from each other’s experiences
* Stop and listen; every opinion matters
* We embrace diversity, equity and inclusion.
**More About Cint**
 We’re proud to be recognised in Newsweek’s 2025 Global Top 100 Most Loved Workplaces®, reflecting our commitment to a culture of trust, respect, and employee growth.
 In June 2021, Cint acquired Berlin\-based GapFish – the world’s largest ISO certified online panel community in the DACH region – and in January 2022, completed the acquisition of US\-based Lucid – a programmatic research technology platform that provides access to first\-party survey data in over 110 countries.
 Cint Group AB (publ), listed on Nasdaq Stockholm, this growth has made Cint a strong global platform with teams across its many global offices, including Stockholm, London, New York, New Orleans, Singapore, Tokyo and Sydney. (www.cint.com)
 Additionally, in a world of AI, we want our candidates to understand our approach to the use of AI during the interview and hiring process, so we'd appreciate you reading our AI usage guide.</t>
        </is>
      </c>
    </row>
    <row r="93">
      <c r="A93" t="inlineStr">
        <is>
          <t>li-4360533598</t>
        </is>
      </c>
      <c r="B93" t="inlineStr">
        <is>
          <t>Product Manager</t>
        </is>
      </c>
      <c r="C93" t="inlineStr">
        <is>
          <t>Binta Financial</t>
        </is>
      </c>
      <c r="D93" t="inlineStr">
        <is>
          <t>linkedin</t>
        </is>
      </c>
      <c r="E93">
        <f>HYPERLINK("https://www.linkedin.com/jobs/view/4360533598", "https://www.linkedin.com/jobs/view/4360533598")</f>
        <v/>
      </c>
      <c r="F93" t="inlineStr"/>
      <c r="G93" t="inlineStr"/>
      <c r="H93" t="inlineStr"/>
      <c r="I93" t="inlineStr">
        <is>
          <t>We are seeking an experienced Product Manager to lead the development and optimization of our payments and monetization strategies. In this role, you will work closely with engineering, design, and business teams to build innovative solutions that enhance user experiences and drive revenue growth. The ideal candidate has a deep understanding of payments ecosystems, monetization models, and user\-centric product development.
**Key Responsibilities**
* Define and execute the product road\-map for payments and monetisation strategies, aligned with company goals.
* Collaborate with cross\-functional teams to design, develop, and launch new payment methods, subscription models, and pricing strategies.
* Analyze user behavior and payment data to identify trends, pain points, and opportunities for optimization.
* Partner with stakeholders to integrate third\-party payment processors, gateways, and APIs.
* Ensure compliance with global payment regulations, data security, and privacy standards.
* Monitor and report on key performance metrics, iterating on strategies to maximize revenue and user satisfaction.
* Conduct market research to stay ahead of industry trends and competitor offerings.
**Qualifications**
* Bachelor’s degree in Business, Computer Science, or a related field; MBA is a plus.
* 3\+ years of product management experience in payments, fintech, or related domains.
* Strong understanding of global payment systems, subscription services, and digital monetization models.
* Proven track record of delivering impactful product features and driving business results.
* Excellent analytical skills with the ability to interpret data and translate it into actionable insights.
* Experience working with cross\-functional teams in an agile environment.
* Strong communication and stakeholder management skills.
* Familiarity with tools such as Jira, Confluence, or similar product management platforms.
**What We Offer**
* Competitive salary and performance\-based incentives.
* Opportunities to lead impactful projects in a fast\-paced environment.
* Professional development and learning resources.
* Inclusive culture that values innovation and collaboration.
 Join us in shaping the future of payments and creating exceptional user experiences. Apply today!</t>
        </is>
      </c>
    </row>
    <row r="94">
      <c r="A94" t="inlineStr">
        <is>
          <t>li-4368990724</t>
        </is>
      </c>
      <c r="B94" t="inlineStr">
        <is>
          <t>Technical AI Product Manager
Global/Remote</t>
        </is>
      </c>
      <c r="C94" t="inlineStr">
        <is>
          <t>CryptoCurrency ICO/Airdrop</t>
        </is>
      </c>
      <c r="D94" t="inlineStr">
        <is>
          <t>linkedin</t>
        </is>
      </c>
      <c r="E94">
        <f>HYPERLINK("https://www.linkedin.com/jobs/view/4368990724", "https://www.linkedin.com/jobs/view/4368990724")</f>
        <v/>
      </c>
      <c r="F94" t="inlineStr"/>
      <c r="G94" t="inlineStr"/>
      <c r="H94" t="inlineStr"/>
      <c r="I94" t="inlineStr">
        <is>
          <t>**About The Role**
 CoinMarketCap is building AI products to help users discover, understand, and act on crypto information more effectively. We’re hiring a Technical AI Product Manager to join our AI team. This is an individual contributor role in the Product org. You’ll spend most of your time building and iterating: identifying user pain points, prototyping in Python, prompt engineering, context engineering, and improving AI features we’ve already shipped based on real usage and feedback.Once an MVP is validated, you’ll partner with Engineering to productionize and scale it. You are not responsible for long\-term platform scalability or owning the full engineering surface area. You are responsible for producing strong prototypes and handing Engineering a clear, validated direction.
 What you’ll do
**Includes But Not Limited To**
* Identify the biggest user pain points where a crypto AI can materially improve outcomes.
* Turn ambiguous ideas into a clear MVP, with crisp scope, constraints, and success metrics.
* Prototype full AI experiences in Python to validate value and quality before we ship to production.
* Own prompts and context engineering: instruction design, context shaping, guardrails, tool/function calling patterns, and output formatting.
* Build practical evaluation loops: golden sets, scenario coverage, qualitative rubrics, regressions, and acceptance criteria.
* Design the AI user experience: make it clear, trustworthy, and resilient if things go wrong.
* Run fast experiments, learn from real outputs and usage data, and iterate quickly.
* Partner with Engineering to ship: provide handoff specs, edge cases, evaluation results, and support debugging and iteration post\-launch.
* Work on whatever surface is the highest leverage.
 What we’re looking for
* Strong product judgment and the ability to make good calls under ambiguity.
* Hands\-on Python prototyping ability: you move fast, write clean code, and can translate ideas into working prototypes.
* Practical LLM experience \+ intuition: you understand prompt iteration, context design, and have a strong intuition for how to build useful products on top of LLMsA strong evaluation mindset: you can define quality, test for failure modes, and prevent regressions without heavy process.
* High\-agency execution: you can go from “vague problem” → “shipped learning” with minimal supervision.
* Excellent communication skills (verbal and written): convey complex messages clearly and simply, and driving conviction across stakeholders.
 Nice to have
* Shipped user\-facing AI features (chat, agents, copilots, summarization, search/Q\&amp;A, personalization).
* 0 to 1 experience in fast\-moving environments and owning ambiguous problems end\-to\-end.
* Experience building tool\-using and agent\-like workflows.
* Experience and interest in cryptocurrency.
 We have a strong preference for candidates who can point to things they’ve built (prototypes, side projects, or shipped features) and explain how they navigated ambiguity to reach a useful outcome. To stand out, include examples of these in your application.
 Apply for this job</t>
        </is>
      </c>
    </row>
    <row r="95">
      <c r="A95" t="inlineStr">
        <is>
          <t>li-4369122171</t>
        </is>
      </c>
      <c r="B95" t="inlineStr">
        <is>
          <t>AI Product Manager</t>
        </is>
      </c>
      <c r="C95" t="inlineStr">
        <is>
          <t>NielsenIQ</t>
        </is>
      </c>
      <c r="D95" t="inlineStr">
        <is>
          <t>linkedin</t>
        </is>
      </c>
      <c r="E95">
        <f>HYPERLINK("https://www.linkedin.com/jobs/view/4369122171", "https://www.linkedin.com/jobs/view/4369122171")</f>
        <v/>
      </c>
      <c r="F95" t="inlineStr"/>
      <c r="G95" t="inlineStr">
        <is>
          <t>Chicago, IL</t>
        </is>
      </c>
      <c r="H95" t="inlineStr"/>
      <c r="I95" t="inlineStr">
        <is>
          <t>MRI\-Simmons Research is a leading consumer insights company. We are an established organization, with a great brand, that is aggressively reinventing itself through investments in technology and people!
 What We Do:
 MRI\-Simmons measures consumer preferences, attitudes, and behaviors. We do this by collecting data through surveys and passively measured data in a way that is representative of the general population, applying data science and making sense of consumer data through enterprise\-grade software.  Marketers and media companies then use MRI\-Simmons data and technology to develop marketing strategies, consumer segmentation schemes and media activation approaches. The MRI\-Simmons Insights Product is a consumer intelligence and discovery platform that provides marketers with faster access to actionable consumer insights.
**Job Description**
 ​​The
 **AI Product Manager** 
 is a strategic product leader responsible for evolving the MRI\-Simmons Insights Platform into a more intuitive, AI\-assisted decision\-making experience. This role focuses on applying artificial intelligence—particularly conversational interfaces, natural language interaction, and workflow automation—to help users explore data, understand insights, and take action more efficiently within an existing enterprise BI platform. Reporting to a Senior Director, Product Management, the AI Product Owner serves as the business owner for their product portfolio—translating customer needs, market opportunities, and platform capabilities into scalable, market\-ready solutions. Success in this role requires close partnership with design, engineering, data science, and client\-facing teams to ensure AI\-driven features are intuitive, valuable, and aligned with customer success and commercial growth. ​
 As the
 **AI Product Manager** 
 , you will have the following key accountabilities:
* Lead cross‑functional teams to deliver impactful AI features, partnering with product, engineering, design, commercial, and client teams
* Identify high‑value workflows where AI reduces friction, modernizes user experiences, and delivers explainable, trusted outcomes
* Translate market opportunities into clear AI requirements, leveraging ML, NLP, LLMs, RAG, and predictive analytics
* Oversee user research and testing for AI usability, prioritizing features that deliver measurable value and intelligent automation
* Create wireframes, prototypes, and user flows for AI‑driven product experiences
* Conduct competitive analysis to understand AI trends and differentiation opportunities
* Collaborate with commercial partners to shape demos, narratives, and sales enablement materials
* Gather customer feedback and analytics to continuously refine and improve AI capabilities
* Track AI feature performance and guide continuous optimization
* Integrate external AI models and APIs while ensuring ethical use, compliance, and data governance
* Work with clients to understand AI onboarding and integration needs
**Qualifications**
* 3–5 years of
 **Product Management experience** 
 with exposure to AI, ML, data science, analytics, or SaaS platforms
* 2–4 years in consumer insights, media, advertising, research, or related industries with exposure to AI applications
* Hands‑on experience with AI/ML frameworks, cloud environments, LLMs, Generative AI, and/or RAG architectures
* Experience validating AI quality, data reliability, and performing QA checks
* Ability to create wireframes for AI‑driven features and work effectively in Agile environments
* Strong understanding of consumer insight needs, media ecosystems, and monetization dynamics
* Strong stakeholder management and communication skills; able to articulate AI concepts to technical and non‑technical audiences
* Experience engaging with internal and external stakeholders, including commercial teams and clients
* Experience deploying AI or cloud‑based solutions at scale is a plus
**Additional Information**
 This role has a market\-competitive salary with an anticipated base compensation of the following range: $64,000 \- $100,000\. Actual salaries will vary depending on a candidate’s experience, qualifications, skills, and location. This role might also be eligible for a sales\-based incentive or performance\-based bonus. Other benefits include flexible working environment, comprehensive health insurance, industry\-leading parental leave, life insurance, education support and more.
**US Benefits**
* Comprehensive healthcare plan (medical, Rx, dental, and vision)
* Flexible spending accounts and a Health Savings Account (including company contributions)
* Life and AD\&amp;D insurance
* 401(k) retirement plan including company matching contributions
* Disability insurance
* Tuition Reimbursement
* Discretionary paid time off program and 11 paid holidays
* Flexible working environment
* Volunteer time off
* LinkedIn Learning
* Employee\-Assistance\-Program (EAP)
**Our Benefits**
* Flexible working environment
* Volunteer time off
* LinkedIn Learning
*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is>
      </c>
    </row>
    <row r="96">
      <c r="A96" t="inlineStr">
        <is>
          <t>li-4359383806</t>
        </is>
      </c>
      <c r="B96" t="inlineStr">
        <is>
          <t>Senior Product Manager</t>
        </is>
      </c>
      <c r="C96" t="inlineStr">
        <is>
          <t>Ramp Talent</t>
        </is>
      </c>
      <c r="D96" t="inlineStr">
        <is>
          <t>linkedin</t>
        </is>
      </c>
      <c r="E96">
        <f>HYPERLINK("https://www.linkedin.com/jobs/view/4359383806", "https://www.linkedin.com/jobs/view/4359383806")</f>
        <v/>
      </c>
      <c r="F96" t="inlineStr"/>
      <c r="G96" t="inlineStr"/>
      <c r="H96" t="inlineStr"/>
      <c r="I96" t="inlineStr">
        <is>
          <t>Our client, Filevine, is looking for a Senior Product Manager. See details below.
**Senior Product Manager, Depositions** 
 Filevine is forging the future of legal work with cloud\-based workflow tools. We have a reputation for intuitive, streamlined technology that helps professionals manage their organization and serve their clients better. We’re also known for our team of extraordinary and passionate professionals who love working together to help organizations thrive. Our success has catapulted Filevine to the forefront of our field—we are ranked as one of the most innovative and fastest\-growing technology companies in the country by both Deloitte and Inc.
**Our Mission** 
 Filevine is building the seamless intersection between legal and business by creating a world\-class platform to help professionals scale.
**Role Summary:** 
 As a Sr. Product Manager at Filevine, you'll be a critical force in shaping the future of our legal technology platforms. You'll take ownership of new product initiatives, from conception to market launch, with a focus on exceeding customer expectations and driving business growth.
 You’ll work on products in the Depositions by Filevine platform, an AI\-powered legal\-tech solution that revolutionizes how law firms and legal teams manage depositions. From automated scheduling and seamless hosting to real\-time AI analysis, goal tracking, and post\-deposition synthesis, a product transforming a traditionally manual process into an integrated, data\-driven system.
**Responsibilities** 
* Delivering the product vision: Develop comprehensive product plans, specifications, and user stories that bring high\-quality features and enhancements to life.
* Roadmap Execution: Work collaboratively with product leadership and teams to continually execute against the product roadmap.
* Championing the user experience: Closely collaborate with UX designers, ensuring a seamless and delightful experience for every user.
* Building strong partnerships: Collaborate closely with engineering teams to craft usable user experiences and deliver effective solutions. You'll be the voice of the customer in the development process, ensuring features are built to solve real\-world problems.
* Bridging the gap: Translate complex customer and business needs into clear, actionable specifications, business rules, flows, and use cases.
* Customer Adoption: Actively hop on customer calls to understand their needs and pain points firsthand to inform product decisions and improve their experience.
* Data\-driven decision\-making: Analyze data and customer feedback to identify problems, measure results, and prioritize opportunities.
* Agile work style: Slice user stories into manageable chunks, define acceptance criteria, and work iteratively with engineers.
* Prioritization master: Anticipate bottlenecks, collaborate with teams to optimize the backlog, and ensure projects align with business needs and long\-term goals.
* Quality assurance champion: Help with product acceptance testing, working with QA, engineers, and customers.
* Launch leader: Drive zero\-to\-one product launches and contribute to go\-to\-market. Partner with the GTM team to build value propositions, marketing videos, email copy, and one\-pagers that capture the essence of your product and resonate with target audiences.
* Evangelizing your product: Proactively educate everyone within the organization about your product area, creating excitement, and buy\-in. Ensure everyone is equipped to advocate for your creations.
**Qualifications** 
* B.S. or M.S. in business, accounting, engineering, computer science, information systems, or a related field; comparable certifications; or equivalent direct work experience.
* 5\+ years of experience in software product or project management in SaaS.
* Experience delivering software related to the legal industry/depositions is welcomed but not a must.
* Strong knowledge and experience of software development methodologies and working within a software development life cycle. Ability to bring creative problem\-solving and an innovative mindset to challenges.
* Ability to adapt and remain flexible to changing priorities and consider new ideas while having the business's success firmly in your focus.
* Excellent communication and interpersonal skills. Strong attention to detail and organizational skills.
* Strong problem\-solving, decision\-making, and analytical skills.
* Data\-driven decision maker.
* Experienced with Agile/lean delivery frameworks.
* A passion for driving efficiency and quality metrics.
* Ability to travel as business needs dictate.
* Travel can include time at our Salt Lake City headquarters or visiting customers, prospects and attending conferences throughout the US and Canada.</t>
        </is>
      </c>
    </row>
    <row r="97">
      <c r="A97" t="inlineStr">
        <is>
          <t>li-4369473479</t>
        </is>
      </c>
      <c r="B97" t="inlineStr">
        <is>
          <t>Platform Product Manager, Monetization</t>
        </is>
      </c>
      <c r="C97" t="inlineStr">
        <is>
          <t>Square</t>
        </is>
      </c>
      <c r="D97" t="inlineStr">
        <is>
          <t>linkedin</t>
        </is>
      </c>
      <c r="E97">
        <f>HYPERLINK("https://www.linkedin.com/jobs/view/4369473479", "https://www.linkedin.com/jobs/view/4369473479")</f>
        <v/>
      </c>
      <c r="F97" t="inlineStr"/>
      <c r="G97" t="inlineStr"/>
      <c r="H97" t="inlineStr"/>
      <c r="I97"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The Platform Product Manager, Monetization owns the platform that powers our SaaS business and our strategy for large scale pricing and packaging updates for our existing sellers. This role is responsible for the full lifecycle of our subscription products including: billing, subscription management experiences, reporting and administration, internal tooling, compliance, feature access control, and platform reliability. This is a highly visible role that provides an opportunity to oversee a critical driver of Square's monetization strategy.
 As the Platform Product Manager, Monetization, you will oversee platform and product development from ideation through to creation and delivery. You will advocate for the voice of our sellers as well as 1st and 3rd party developers to build platform and user experiences that are not just reliable, scalable, and secure, but also create a competitive advantage for Square.
 In this role, you will collaborate closely with designers, engineers, analysts, marketers, and other cross\-functional team members within the organization to ensure our products provide a remarkable, delightful experience. On any given day, your job may include researching seller feedback, analyzing seller data, building a new strategy, presenting to executive leadership, building new experiences, iterating on experiments, and planning or prioritizing initiatives. You will oversee the full stack product management of the platform, APIs, and user\-experiences that empower internal teams and sellers with solutions to succeed.
**You Will**
* Run your product like a business \- define the vision, strategy, roadmap for your domain, grounded in clear objectives, metrics and the needs of our partnership teams and end customers.
* Partner cross\-functionally with engineering, data science, design, marketing, sales, and multiple other partner product teams across Square to define roadmaps and deliver platform capabilities.
* Own the end\-to\-end lifecycle of your capabilities \- from opportunity discovery and requirements definition through launch, adoption, and ongoing optimization — balancing new feature delivery with reliability, tech debt, and platform work.
* Use data to improve platform performance: own KPIs and OKRs for your product domain, instrument the platform to measure them, and feed insights back into your roadmap and prioritization.
* Drive cross\-functional programs across Square, aligning priorities, sequencing work, clearly communicating progress and trade\-offs.
* Deeply understand our platform and capabilities, advise other partner teams on best practices and define solutions, and collaborate to implement solutions.
**You Have**
* 8\+ years of professional experience as a Product Manager for a platform, SaaS, and/or payments product.
* Experience working with a high\-performing team of software engineers, using AI and agile software development practices.
* A system‑thinking mindset and technical fluency that allow you to work closely with senior engineers, understand service architectures, and translate product goals into pragmatic technical requirements and trade‑offs.
* Ability to prioritize ruthlessly across KLO / run‑the‑business work, strategic platform investments, and new product enablement, using data and clear frameworks to make and communicate trade‑offs.
* A collaborative, low‑ego working style with a track record of building strong partnerships across engineering, operations, finance, compliance, risk and partner product teams — especially in matrixed organizations.
* The ability to simplify complex topics for diverse audiences and to drive alignment with senior stakeholders across Block.
* A metrics‑driven approach to decision‑making; you are comfortable defining KPIs, digging into dashboards, and using both quantitative and qualitative insights to guide your roadmap.
* Curiosity, ownership, and a bias for action — you are enthusiastic, move quickly while bringing others along, and care deeply about building resilient, long‑lived infrastructure that earns our customers’ trust.
* Passion for Square's mission, with new technology and for solving complex problems.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also consider qualified applicants with criminal histories for employment on our team, and always assess candidates on an individualized basis.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Block will consider qualified applicants with arrest or conviction records for employment in accordance with state and local laws and “fair chance” ordinances.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$198,000—$297,000 USD
**Zone B**
 $188,100—$282,100 USD
**Zone C**
 $178,200—$267,400 USD
**Zone D**
 $168,300—$252,500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98">
      <c r="A98" t="inlineStr">
        <is>
          <t>li-4369119299</t>
        </is>
      </c>
      <c r="B98" t="inlineStr">
        <is>
          <t>AI Product Manager (USA Remote)</t>
        </is>
      </c>
      <c r="C98" t="inlineStr">
        <is>
          <t>NielsenIQ</t>
        </is>
      </c>
      <c r="D98" t="inlineStr">
        <is>
          <t>linkedin</t>
        </is>
      </c>
      <c r="E98">
        <f>HYPERLINK("https://www.linkedin.com/jobs/view/4369119299", "https://www.linkedin.com/jobs/view/4369119299")</f>
        <v/>
      </c>
      <c r="F98" t="inlineStr"/>
      <c r="G98" t="inlineStr">
        <is>
          <t>New York, NY</t>
        </is>
      </c>
      <c r="H98" t="inlineStr"/>
      <c r="I98" t="inlineStr">
        <is>
          <t>MRI\-Simmons Research is a leading consumer insights company. We are an established organization, with a great brand, that is aggressively reinventing itself through investments in technology and people!
**What We Do:**
 MRI\-Simmons measures consumer preferences, attitudes, and behaviors. We do this by collecting data through surveys and passively measured data in a way that is representative of the general population, applying data science and making sense of consumer data through enterprise\-grade software.  Marketers and media companies then use MRI\-Simmons data and technology to develop marketing strategies, consumer segmentation schemes and media activation approaches. The MRI\-Simmons Insights Product is a consumer intelligence and discovery platform that provides marketers with faster access to actionable consumer insights.
**Job Description**
 ​​The
 **AI Product Manager** 
 is a strategic product leader responsible for evolving the MRI\-Simmons Insights Platform into a more intuitive, AI\-assisted decision\-making experience. This role focuses on applying artificial intelligence—particularly conversational interfaces, natural language interaction, and workflow automation—to help users explore data, understand insights, and take action more efficiently within an existing enterprise BI platform. Reporting to a Senior Director, Product Management, the AI Product Owner serves as the business owner for their product portfolio—translating customer needs, market opportunities, and platform capabilities into scalable, market\-ready solutions. Success in this role requires close partnership with design, engineering, data science, and client\-facing teams to ensure AI\-driven features are intuitive, valuable, and aligned with customer success and commercial growth. ​
 As the
 **AI Product Manager** 
 , you will have the following key accountabilities:
* Lead cross‑functional teams to deliver impactful AI features, partnering with product, engineering, design, commercial, and client teams
* Identify high‑value workflows where AI reduces friction, modernizes user experiences, and delivers explainable, trusted outcomes
* Translate market opportunities into clear AI requirements, leveraging ML, NLP, LLMs, RAG, and predictive analytics
* Oversee user research and testing for AI usability, prioritizing features that deliver measurable value and intelligent automation
* Create wireframes, prototypes, and user flows for AI‑driven product experiences
* Conduct competitive analysis to understand AI trends and differentiation opportunities
* Collaborate with commercial partners to shape demos, narratives, and sales enablement materials
* Gather customer feedback and analytics to continuously refine and improve AI capabilities
* Track AI feature performance and guide continuous optimization
* Integrate external AI models and APIs while ensuring ethical use, compliance, and data governance
* Work with clients to understand AI onboarding and integration needs
**Qualifications**
* 3–5 years of Product Management experience with exposure to AI, ML, data science, analytics, or SaaS platforms
* 2–4 years in consumer insights, media, advertising, research, or related industries with exposure to AI applications
* Hands‑on experience with AI/ML frameworks, cloud environments, LLMs, Generative AI, and/or RAG architectures
* Experience validating AI quality, data reliability, and performing QA checks
* Ability to create wireframes for AI‑driven features and work effectively in Agile environments
* Strong understanding of consumer insight needs, media ecosystems, and monetization dynamics
* Strong stakeholder management and communication skills; able to articulate AI concepts to technical and non‑technical audiences
* Experience engaging with internal and external stakeholders, including commercial teams and clients
* Experience deploying AI or cloud‑based solutions at scale is a plus
**Additional Information**
 This role has a market\-competitive salary with an anticipated base compensation of the following range:
 **$64,000 \- $100,000\.** 
 Actual salaries will vary depending on a candidate’s experience, qualifications, skills, and location. This role might also be eligible for a sales\-based incentive or performance\-based bonus. Other benefits include flexible working environment, comprehensive health insurance, industry\-leading parental leave, life insurance, education support and more.
**US Benefits**
* Comprehensive healthcare plan (medical, Rx, dental, and vision)
* Flexible spending accounts and a Health Savings Account (including company contributions)
* Life and AD\&amp;D insurance
* 401(k) retirement plan including company matching contributions
* Disability insurance
* Tuition Reimbursement
* Discretionary paid time off program and 11 paid holidays
* Flexible working environment
* Volunteer time off
* LinkedIn Learning
* Employee\-Assistance\-Program (EAP)
**Our Benefits**
* Flexible working environment
* Volunteer time off
* LinkedIn Learning
*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is>
      </c>
    </row>
    <row r="99">
      <c r="A99" t="inlineStr">
        <is>
          <t>li-4339770255</t>
        </is>
      </c>
      <c r="B99" t="inlineStr">
        <is>
          <t>Product Manager, IT</t>
        </is>
      </c>
      <c r="C99" t="inlineStr">
        <is>
          <t>OpenAI</t>
        </is>
      </c>
      <c r="D99" t="inlineStr">
        <is>
          <t>linkedin</t>
        </is>
      </c>
      <c r="E99">
        <f>HYPERLINK("https://www.linkedin.com/jobs/view/4339770255", "https://www.linkedin.com/jobs/view/4339770255")</f>
        <v/>
      </c>
      <c r="F99">
        <f>HYPERLINK("https://jobs.ashbyhq.com/openai/576c413a-ed95-49ff-a857-da6a03676277/application&amp;urlHash=jVJd", "https://jobs.ashbyhq.com/openai/576c413a-ed95-49ff-a857-da6a03676277/application&amp;urlHash=jVJd")</f>
        <v/>
      </c>
      <c r="G99" t="inlineStr">
        <is>
          <t>San Francisco, CA</t>
        </is>
      </c>
      <c r="H99" t="inlineStr"/>
      <c r="I99" t="inlineStr">
        <is>
          <t>**About The Team**
 The IT organization is a cohesive team that improves security, productivity, and user experience for everyone at OpenAI. We build and operate the technology foundation that enables every employee to work securely, efficiently, and with high velocity from day one, helping OpenAI remain the most secure and productive AI lab in the world. Our work spans building and maintaining reliable networks, identity and access systems, secure client platforms, and intuitive automation and self\-service tools. We also support the full employee journey through smooth onboarding, well\-managed hardware and logistics, and responsive global support. As OpenAI grows, we design the technology that powers our offices and keeps collaboration seamless across locations. Through strong security, scale, and simplicity, we enable teams to do their best work.
**About The Role**
 As a Product Manager, you will lead vision, strategy, and execution for internal systems and platforms that enable secure, reliable, and efficient operations. You will translate technical and operational needs into clear product roadmaps, working closely with IT, engineering, and security to build scalable, intuitive, and resilient products that remove friction and improve productivity across the company.
 You are systems\-minded, pragmatic and iterative. You thrive in ambiguity, move quickly with good judgment, and learn through iteration and usage data. You understand how internal systems fit together end\-to\-end and design solutions that balance usability, scale, and security.
 This role is based in San Francisco, CA. We use a hybrid work model of 3 days in the office per week and offer relocation assistance to new employees.
**In This Role, You Will**
**Set direction and drive alignment**
* Define and evolve product vision and roadmaps for core internal systems and platforms
* Ensure tools enable productivity, scale securely, and deliver a seamless employee experience
* Align priorities across IT, engineering, security, workplace and operational teams
**Iterate and ship with purpose**
* Translate operational workflows and technical constraints into clear product requirements
* Partner with engineering, security, and IT teams to ship reliable, well\-designed systems
* Use OpenAI models and existing internal capabilities to simplify processes, reduce toil, and increase autonomy and efficiency
* Validate impact in production, and scale improvements over time
**Measure and improve**
* Define success metrics and measure user experience, operational efficiency, and system reliability
* Use data, telemetry, usage insights, and feedback loops to drive prioritization and continuous improvement
* Deliver measurable reductions in friction and support effort
**Build deep systems \&amp; domain understanding**
* Develop deep understanding of identity, access, onboarding, endpoint, and network systems
* Understand systems end\-to\-end, from identity and access to endpoints and network surfaces
* Serve as a voice of the user, balancing usability, scale, reliability, and security requirements
**You Might Thrive In This Role If You**
* Have 10\+ years of product management or closely related experience, including leading complex, cross\-functional products or platforms in high\-growth or enterprise environments.
* Have a strong record of driving product strategy and execution for complex internal systems and applications, taking products from 0 to 1 and scaling from 1 to 10\.
* Bring systems thinking and technical depth to partner with IT, platform engineering, and security.
* Lead with clarity and curiosity, guide autonomous teams, bring focus in ambiguity, define measurable outcomes, and iterate based on user feedback and data.
* Have a software engineering background with an understanding of modern architectures, APIs, Python, and front\-end frameworks such as React, enabling close collaboration with engineering teams.
* Thrive in fast\-changing environments where secure, reliable, and intuitive systems power people’s ability to do their best work.
* Are excited to build on OpenAI models and internal agentic platforms, and to use our own technology to improve how we operate.
**Nice To Have**
* Experience applying AI and agentic technologies to build intelligent systems that automate workflows, improve reliability, and enhance the employee experience.
* Working knowledge of enterprise and infrastructure domains such as identity, access, endpoint, and network systems, and how they integrate through APIs and shared platform services.
* Proficiency using data, telemetry, or lightweight code to prototype automation, measure impact, and drive continuous improvement across IT, engineering, and security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$293K \- $385K</t>
        </is>
      </c>
    </row>
    <row r="100">
      <c r="A100" t="inlineStr">
        <is>
          <t>li-4359884671</t>
        </is>
      </c>
      <c r="B100" t="inlineStr">
        <is>
          <t>Senior Product Manager</t>
        </is>
      </c>
      <c r="C100" t="inlineStr">
        <is>
          <t>CHEQ</t>
        </is>
      </c>
      <c r="D100" t="inlineStr">
        <is>
          <t>linkedin</t>
        </is>
      </c>
      <c r="E100">
        <f>HYPERLINK("https://www.linkedin.com/jobs/view/4359884671", "https://www.linkedin.com/jobs/view/4359884671")</f>
        <v/>
      </c>
      <c r="F100" t="inlineStr"/>
      <c r="G100" t="inlineStr">
        <is>
          <t>New York, United States</t>
        </is>
      </c>
      <c r="H100" t="inlineStr"/>
      <c r="I100" t="inlineStr">
        <is>
          <t>CHEQ is the global leader in Go\-to\-Market Security, trusted by over 15,000 customers worldwide to protect every aspect of their marketing, sales, and data operation from bots, fake users, fraud, and cyber attacks.
 Powered by award\-winning cybersecurity technology, CHEQ offers the broadest suite of solutions for securing the entire funnel, from paid marketing to on\-site conversion, data, and analytics.
 CHEQ is a global company with offices in Tel Aviv, New York, London, and Tokyo.
 We are seeking a talented and results\-driven Senior Product Manager to join our team and take ownership of some of our Consent Management, Tag Management, and Client\-Side Security products.
 As a Senior Product Manager, you will play a vital role in defining and executing the product plan, ensuring that our products meet the needs of our customers and drive business growth.
 You will collaborate closely with cross\-functional teams, including engineering, design, marketing, and customer support, to develop and deliver innovative solutions that empower our clients to optimize their website performance and data management.
**Responsibilities:** 
* Product Strategy and Roadmap
 : Work alongside leadership, customers, sales,and professional services to develop and communicate a clear and compelling product strategy for your products, aligned with the company's vision and market trends. Collaborate with key stakeholders to define the product roadmap and prioritize features based on customer needs, market opportunities, and business goals.
* Product Development and Execution
 : Work closely with the engineering and design teams to translate product requirements into actionable plans. Define user stories, prioritize feature development, and ensure timely delivery of high\- quality solutions. Collaborate with engineering teams to address technical challenges and ensure product scalability, reliability, and security.
* Cross\-functional Collaboration
 : Partner with marketing and sales teams to gather customer feedback, understand market demands, and ensure successful product launches. Provide product expertise and support to these teams, enabling them to effectively promote, sell, and support Ensighten.com products.
* Product Performance Analysis
 : Define and track key performance indicators (KPIs) to evaluate the success and impact of the products. Monitor user adoption, customer satisfaction, and revenue growth metrics. Analyze data and user feedback to identify areas for improvement and drive product optimization.
* Market Research and Competitive Analysis
 : Conduct market research and stay informed about the competitive landscape and emerging industry trends related to website performance, data management, and customer experience. Conduct competitive analysis to identify product gaps and opportunities for differentiation. Use this information to drive innovation, refine the product roadmap, and drive competitive advantage.
* Customer Advocacy
 : Serve as a customer advocate throughout the product development process. Engage with customers, gather their insights, understand their pain points, and incorporate their feedback into product requirements and enhancements. Continuously seek opportunities to improve the customer experience and drive customer success with Ensighten.com products.
**Requirements:** 
* Proven Experience
 : At least 3 years of experience in product management, preferably in digital marketing technologies, website performance or client\-side security. Experience with enterprise software products and B2B markets is highly desirable.
* Technical Knowledge
 : Solid understanding of web technologies, website performance optimization, data management, and analytics. Familiarity with tag management systems, consent management platforms, JS, HTML, CSS, and web analytics platforms is a plus.
* Customer Focus
 : Passion for understanding customer needs and delivering exceptional user experiences. Demonstrated ability to translate customer requirements into actionable product features.
* Strategic Thinking
 : Ability to think strategically and align product initiatives with business goals. Proven track record of developing and executing product strategies that drive revenue growth and market success.
* Strong Communication Skills
 : Excellent written and verbal communication skills, with the ability to effectively collaborate with cross\-functional teams, present ideas, and influence stakeholders at all levels.
* Analytical and Data\-driven
 : Proficient in data analysis, using metrics and analytics tools to inform product decision\-making. Ability to draw insights from data, identify trends, and make informed decisions.
* Project Management:
 Strong project management skills, with the ability to manage multiple priorities, meet deadlines, and drive results in a fast\-paced environment.
* Bachelor or Masters degree in
 computer science, engineering, business administration, or a related field is preferred.
*The pay range for this role is $160K\-$180K per year.* 
*Actual compensation packages are based on several factors that are unique to each candidate, including but not limited to skill set, depth of experience, certifications, and specific work location.* 
*This information is provided per New York City’s salary disclosure law.*</t>
        </is>
      </c>
    </row>
    <row r="101">
      <c r="A101" t="inlineStr">
        <is>
          <t>li-4359585289</t>
        </is>
      </c>
      <c r="B101" t="inlineStr">
        <is>
          <t>Product Owner</t>
        </is>
      </c>
      <c r="C101" t="inlineStr">
        <is>
          <t>Cloud and Things</t>
        </is>
      </c>
      <c r="D101" t="inlineStr">
        <is>
          <t>linkedin</t>
        </is>
      </c>
      <c r="E101">
        <f>HYPERLINK("https://www.linkedin.com/jobs/view/4359585289", "https://www.linkedin.com/jobs/view/4359585289")</f>
        <v/>
      </c>
      <c r="F101" t="inlineStr"/>
      <c r="G101" t="inlineStr">
        <is>
          <t>Albany, NY</t>
        </is>
      </c>
      <c r="H101" t="inlineStr"/>
      <c r="I101" t="inlineStr">
        <is>
          <t>*Our goal is to solve problems and deliver results for our clients. At Cloud and Things, you can be a part of transforming the public sector’s IT environment. Our team is on the forefront of helping to solve the government's most complex IT challenges. If you are seeking a role that offers the opportunity to work on rewarding projects, consider a career with Cloud and Things.* 
**\*This is an exempt position. Salary commensurate with experience\*** 
**Overview** 
 :
***Location: Remote
 Salary: $50,000 \- $65,000***
 We are seeking a 
 **Product Owner** 
 with a strong IT background who will support our client on their Agile development team. This role will work closely with stakeholders, business analysts, developers, and UX/UI teams to deliver high\-quality software solutions that meet business and customer needs. The ideal candidate for this role will have strong skills to translate business requirements into user stories, manage the product backlog, and ensure that the development team understands the product goals. 
**Duties** 
 :  
* Ability to gather, translate, and prioritize business requirements into clear user stories
* Review of acceptance criteria.
* Ensure functional specifications while maintaining a well\-organized and strategically aligned product backlog.
* Lead Agile ceremonies (sprint planning, grooming, standups).
* Act as the primary liaison between stakeholders, developers, UX/UI teams, and QA to ensure shared understanding of product goals and feature priorities.
* Strong understanding of IT systems, SDLC, cloud/APIs, and product performance metrics.
* Communicate complex technical concepts in a way that drives successful product outcomes.
* Manage stakeholder expectations, gather continual feedback, and facilitate discussions.
* Present product vision and updates to ensure alignment across business and technical teams.
* Make decisions on product features and scope in collaboration with stakeholders.
* Monitor the product lifecycle and suggest enhancements for future iterations.
* Collaborate with QA to ensure proper testing coverage and acceptance criteria are met.
* Track and report on product performance, using metrics to inform future Development.
**Mandatory Qualifications:** 
* Bachelor’s degree in computer science, Information Systems, Business, or related field
* 1 – 3 years of experience collaborating with stakeholders and development teams.
* 1 – 3 years of experience defining and prioritizing product backlog to ensure clarity and alignment with business goals.
* 1 – 3 years of experience creating detailed user stories, acceptance criteria, and functional requirements.
* 1 – 3 years of experience leading sprint planning, backlog grooming, and daily standups with Agile teams.
**Desirable Qualifications** 
 :  
* Certified Scrum Product Owner (CSPO) or equivalent certification
* Experience with cloud platforms (AWS, Azure), APIs, and/or enterprise IT systems
* Experience in UX/UI design principles and tools
* Background in software engineering or technical analysis is a plus
*Cloud and Things complies with all applicable federal, state, and local laws regarding recruitment and hiring. All qualified applicants are considered for employment without regard to race, color, religion, sex, sexual orientation, gender identity, national origin, age, disability, protected veteran status, or any other category protected by applicable federal, state, or local laws.*
**AI\-Assisted Resume Evaluation Notice** 
**Cloud and Things – Talent Management** 
**Notice to Candidates** 
 Cloud and Things utilizes artificial intelligence (AI) tools to assist our recruiting team in evaluating candidate applications for streamlining; consistency, efficiency, and thoroughness.  All hiring decisions are ultimately made by our human recruiting professionals.
**How AI Is Used** 
 Our AI tools assist by:
* Analyzing resumes against job requirements
* Supporting our recruiters in candidate data evaluation
* Ensuring consistent review standards across all applications
**Important:** 
 AI serves as a support tool only. As noted above, all candidate selection and hiring decisions are made by experienced human recruiters. Your unedited resume will be processed by our AI tools as part of this evaluation.
**Your Data and Privacy** 
**Cloud and Things Data Handling:** 
* Your information is processed securely and used exclusively for recruitment purposes
* Cloud and Things may store your resume in our Applicant Tracking System (ATS) indefinitely for future job matching opportunities
* You may opt out of long\-term ATS storage by emailing your name  and your request to opt out of storing your resume in the ATS to: security@cloudandthings.com
* All personal information is handled confidentially in accordance with our privacy policy
**AI Tool Data Processing:** 
* AI processing data is retained for a maximum of 90 days, after which it is deleted
* All data sent to AI tools is encrypted in transit and at rest
* AI tools comply with applicable privacy laws including GDPR and CCPA
* Personal data is anonymized or minimized wherever possible during AI processing
**Your Participation** 
 By submitting your application, you acknowledge this notice and consent to AI\-assisted evaluation as part of our recruitment process. You may opt out only by choosing not to submit your resume for consideration.</t>
        </is>
      </c>
    </row>
    <row r="102">
      <c r="A102" t="inlineStr">
        <is>
          <t>li-4317388898</t>
        </is>
      </c>
      <c r="B102" t="inlineStr">
        <is>
          <t>Product Manager, Gemini in Chrome, Gemini App</t>
        </is>
      </c>
      <c r="C102" t="inlineStr">
        <is>
          <t>Google DeepMind</t>
        </is>
      </c>
      <c r="D102" t="inlineStr">
        <is>
          <t>linkedin</t>
        </is>
      </c>
      <c r="E102">
        <f>HYPERLINK("https://www.linkedin.com/jobs/view/4317388898", "https://www.linkedin.com/jobs/view/4317388898")</f>
        <v/>
      </c>
      <c r="F102">
        <f>HYPERLINK("https://job-boards.greenhouse.io/deepmind/jobs/7342429?gh_src=d39b99f31&amp;urlHash=5GZp", "https://job-boards.greenhouse.io/deepmind/jobs/7342429?gh_src=d39b99f31&amp;urlHash=5GZp")</f>
        <v/>
      </c>
      <c r="G102" t="inlineStr">
        <is>
          <t>Mountain View, CA</t>
        </is>
      </c>
      <c r="H102" t="inlineStr"/>
      <c r="I102" t="inlineStr">
        <is>
          <t>**About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This is an opportunity to join DeepMind’s Gemini App team where you will define and lead the product vision for how users interact with AI, strategically integrating cutting\-edge AI capabilities amidst a rapidly evolving technological landscape. Gemini in Chrome is a powerful agent that works on your behalf, autonomously handling tedious online tasks, navigating across your tabs, and accomplishing multi\-step actions. Join the team pioneering this agentic browsing experience, pushing the boundaries of what Gemini can proactively accomplish for users on the web.
 This role requires someone who is comfortable driving innovation in a space where foundational AI technologies and user needs are co\-evolving rapidly. By leveraging cutting\-edge large language models (LLMs), you will contribute to the advancement of generative AI technologies, enabling them to serve as intelligent assistants, researchers, collaborators, and coaches. This role offers the opportunity to make a profound impact by creating an AI experience that deeply understands and supports individual user needs and ambitions. This is especially critical as product\-market fit for novel LLM\-powered experiences is still emerging, requiring keen insight to translate subtle user needs into intuitive AI solutions. You will work with a talented team passionate about pushing the boundaries of what's possible in conversational AI. If you're excited about shaping the future of human\-AI interaction and developing innovative products that seamlessly integrate into users' daily lives, this is your chance to be at the forefront of this transformative field.
**Key responsibilities:**
* Define and champion a clear product vision, roadmap, and strategic plan for extending LLM capabilities via tools, effectively integrating emerging AI technologies and ensuring alignment with organizational mission and evolving user needs
* Develop and prioritize product requirements by synthesizing user feedback, UX research, rigorous AI model performance metrics, market trends, and competitive analysis, proactively clarifying ambiguities specific to AI's evolving nature and generating insights from complex AI model behaviors to deliver impactful product improvements
* Lead and influence cross\-functional teams (Engineering, Research, UX, Legal, etc.) to design, implement, and launch innovative features, effectively bridging AI's technical complexity with organizational goals and user needs through clear communication and strategic narratives
* Own and drive masterful go\-to\-market strategies for new AI features and products, including strategic positioning, market understanding, and impactful messaging to ensure successful launch and sustained market relevance in a rapidly paced AI landscape
* Maintain deep technical expertise in advanced AI (including LLMs, Diffusion Models, RAG), intuitively understanding and predicting emerging model capabilities. Drive rapid prototyping cycles, gathering targeted user feedback to iteratively refine AI products and swiftly respond to technical breakthroughs
* Lead innovative product development amidst foundational uncertainty, enabling swift strategic pivots and responsive decision\-making in response to rapidly changing AI and market conditions, ensuring continuous progress and clear direction
**About You**
 In order to set you up for success as a Product Manager at Google DeepMind, we look for the following skills and experience:
* Bachelor's degree or equivalent practical experience.
* 10 years of experience in product management or related technical role.
* 5 years of experience taking technical products from conception to launch.
* Demonstrable, extensive technical knowledge and hands\-on product experience with advanced AI technologies, including Large Language Models (LLMs), and ideally familiarity with concepts like Diffusion Models or Retrieval\-Augmented Generation (RAG). Proven ability to intuitively understand and predict emerging AI model capabilities and engage in credible, informed collaborations with highly technical teams.
* Proven experience in designing, managing, and continuously refining rigorous evaluation methods and success metrics for AI models and AI\-powered products, converting performance insights into impactful product enhancements.
* Demonstrated ability to independently drive complex product initiatives forward in ambiguous and rapidly evolving AI contexts, proactively clarifying uncertainties, generating insights from model behaviors, and adapting strategies decisively
* Experience working cross\-functionally with engineering, UX/UI, legal, marketing and other stakeholders to deliver successful products
* Proven ability to prepare and deliver compelling technical presentations to senior leadership, effectively communicating product vision and strategy
**In addition, the following would be an advantage:**
* Strong aptitude for deeply understanding user perspectives for novel AI products, proactively identifying pain points, and translating nuanced user insights into refined and intuitive AI\-powered user experiences
* Hands\-on experience in software development or engineering, with a strong understanding of technical concepts and the ability to collaborate with development teams
* Demonstrated success in being a self\-starter, and fostering a culture of innovation and driving exceptional results
* Experience in proactively identifying ethical risks in AI systems, familiarity with adversarial analysis, or a background in embedding safety protocols in AI product development
*The US base salary range for this full\-time position is between $227,000 \- $320,000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103">
      <c r="A103" t="inlineStr">
        <is>
          <t>li-4359083509</t>
        </is>
      </c>
      <c r="B103" t="inlineStr">
        <is>
          <t>Product Manager</t>
        </is>
      </c>
      <c r="C103" t="inlineStr">
        <is>
          <t>Envoy</t>
        </is>
      </c>
      <c r="D103" t="inlineStr">
        <is>
          <t>linkedin</t>
        </is>
      </c>
      <c r="E103">
        <f>HYPERLINK("https://www.linkedin.com/jobs/view/4359083509", "https://www.linkedin.com/jobs/view/4359083509")</f>
        <v/>
      </c>
      <c r="F103">
        <f>HYPERLINK("https://www.envoy.com/jobs?ashby_jid=befb888a-6ee9-4e60-816c-7504d85d320d&amp;utm_source=vZBVdwA7RE&amp;urlHash=nzZE", "https://www.envoy.com/jobs?ashby_jid=befb888a-6ee9-4e60-816c-7504d85d320d&amp;utm_source=vZBVdwA7RE&amp;urlHash=nzZE")</f>
        <v/>
      </c>
      <c r="G103" t="inlineStr">
        <is>
          <t>San Francisco, CA</t>
        </is>
      </c>
      <c r="H103" t="inlineStr"/>
      <c r="I103" t="inlineStr">
        <is>
          <t>Envoy builds workspace management technology that makes it simple to run secure, compliant, and connected workplaces across every location. Over 16,000 workplaces and properties around the world rely on Envoy to create great experiences for employees and visitors while meeting safety, security, and compliance needs at scale. From corporate headquarters and labs to manufacturing sites, Envoy powers the places where people work best together.
**Learn more at** 
 envoy.com
**About The Role**
 Product management here at Envoy is the most critical role for ensuring customers and their end\-users love the products they're using. Every decision you make will directly impact tens of thousands of workplaces around the world and their millions of occupants, be them employees, visitors, contractors, etc. Envoy seeks to deliver next\-level operational efficiency, data\-drivenness, safety, and security for everyone involved, and our solutions must be highly thoughtful about this at scale. You will be responsible for this for your product or product line. This isn't an easy job, but if high stakes is your game, you'll enjoy things a lot.
 We are currently looking for product leadership in multiple areas: the core Visitors product, our Enterprise and analytics team, creating a new self\-serve PLG team, parts of our Workplace offerings including our newer Screens product, our developer\-facing API/MCP team, the real\-estate focused Connect product line, our consumer\-focused Envoy Passport/Mobile product, and our internal tooling and localization efforts. Let us know your preference, and we'll help you choose based on the right values alignment, experience and company priorities.
 We're currently a very small and nimble product team with most leadership spread throughout product design roles, product marketing, engineering management, and we even have some IC engineers running their products externally. Needless to say, we recognize this isn't going to scale, and we want to get ahead of it with your ownership and help. This brings inward opportunity too – as the product team grows, we'll need product line leaders and organizers, and we'd much rather promote from within when possible. But for now, this is an IC PM role as that's what's on fire and needs help.
 This is a full\-time, five\-day onsite role in San Francisco. Please remember we are a workplace company – we build products for workplaces. We believe that we can only become experts in something when we surround ourselves in it. We're happy to help move you out here if necessary. We also help with visa transfers if needed.
 We hope this all sounds great to you so far!
**This is an on\-site position requiring at least 5 days per week (Monday \- Friday) at our San Francisco HQ.**
****As a baseline, you will need****
* 5\+ years of experience in Product Management, preferably in B2B with enterprise exposure and 0\-1 product building experience
* An undergraduate degree in Computer Science, Engineering, or a quantitative field
****In this role, you will****
* Meticulously own vision, roadmap, strategy, and execution of your products
* Launch products and be ultimately responsible for the success/failure of the products/features based on the goals/metrics you define.
* Push for quality and urgency despite constant challenges for one or the other. You need to enjoy this battle.
* Be the primary switchboard and gather feedback from customers directly, our sales/success teams, and others cross\-functionally to create an opinion and get things iterated, built, and launched. You must be good at rational decision\-making; not everyone will always agree, yet you'll still need their support.
* Be the point person to customers during beta or high\-iteration periods in products. And you'll run internal dogfooding.
* Story\-tell internally the importance of what we're building to engineering ICs, designers, researchers and the general company, encouraging bottoms up ownership, creative thinking and internal contribution.
* Own much of pricing and packaging, and you'll ensure sales training happens as you expect for your products. There is no throwing\-over\-the\-wall allowed here.
* You'll bring your existing product processes and help us all elevate our product execution.
* And yes, it has to be said, roles change over time; this job description is dynamic, you need to be comfortable in an environment where things can change a lot.
****Your values****
 Every company is unique, with its own culture and community, and specific values that make things gel. There is no one general fingerprint for what makes a 'good' company or a 'bad' one, it's all dependent on your personal values and how well they map to the values of the company you're part of. It's therefore critical you and us match well together. As you explore the list below, please be real with yourself – is this the kind of environment you really want? If not "yes absolutely", it's best to not apply, trust us, you're going to have a bad time. If however, these describe you, you're going to have an amazing time here with friends you'll retain for years to come. We hope this describes you!
* You have a passion for workplaces, have strong end\-user intuition and demand products you yourself can proudly use daily
* You thrive in ambiguous, low\-guidance environments. You seek accountability and to own the success (and failure!) of everything you work on.
* You have a high bar for everything you build, including the way it looks and feels, spending the time necessary to achieve quality to winning standards. Especially in Enterprise software, notorious for putting quality by the wayside.
* You create and hold yourself and your team to success metrics. You are data\-driven, relying on numbers to persuade versus necessarily just high\-paying customer anecdotes.
* You are impatient and expect things sooner than in a couple weeks, months or quarters
* You have high empathy and humility and understand you're always learning. You're also aggressively a believer that everyone you work with must be this way too.
* You often tinker with new AI tooling and general automation at home and work to always be better and more effective.
* You believe teams being in\-office are the best way to solve problems fast and build great products.
* You look for all these same values from your current and future teammates and would be disappointed and even consider departing if we compromised too often. You want to be part of a like\-minded team and culture.
*By applying for this position, you acknowledge that you have fully read and understand the job requirements and received the Envoy Privacy Notice for applicants, which is linked* 
*here* 
*. Completing this application requires you to provide personal data, such as your name and contact information, which is mandatory for Envoy to process your application. Envoy is an EEO Employer and does not discriminate on the basis of any characteristic protected by local, state or federal law.*
 Compensation Range: $210K \- $225K</t>
        </is>
      </c>
    </row>
    <row r="104">
      <c r="A104" t="inlineStr">
        <is>
          <t>li-4314987109</t>
        </is>
      </c>
      <c r="B104" t="inlineStr">
        <is>
          <t>Product Manager</t>
        </is>
      </c>
      <c r="C104" t="inlineStr">
        <is>
          <t>Meta</t>
        </is>
      </c>
      <c r="D104" t="inlineStr">
        <is>
          <t>linkedin</t>
        </is>
      </c>
      <c r="E104">
        <f>HYPERLINK("https://www.linkedin.com/jobs/view/4314987109", "https://www.linkedin.com/jobs/view/4314987109")</f>
        <v/>
      </c>
      <c r="F104" t="inlineStr"/>
      <c r="G104" t="inlineStr">
        <is>
          <t>Sunnyvale, CA</t>
        </is>
      </c>
      <c r="H104" t="inlineStr"/>
      <c r="I104"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5">
      <c r="A105" t="inlineStr">
        <is>
          <t>li-4369103406</t>
        </is>
      </c>
      <c r="B105" t="inlineStr">
        <is>
          <t>Associate Product Manager</t>
        </is>
      </c>
      <c r="C105" t="inlineStr">
        <is>
          <t>Haystack</t>
        </is>
      </c>
      <c r="D105" t="inlineStr">
        <is>
          <t>linkedin</t>
        </is>
      </c>
      <c r="E105">
        <f>HYPERLINK("https://www.linkedin.com/jobs/view/4369103406", "https://www.linkedin.com/jobs/view/4369103406")</f>
        <v/>
      </c>
      <c r="F105">
        <f>HYPERLINK("https://us.haystackapp.io/roles/697f51e6ef1758ea64b85d40?src=linkedin&amp;urlHash=VprJ", "https://us.haystackapp.io/roles/697f51e6ef1758ea64b85d40?src=linkedin&amp;urlHash=VprJ")</f>
        <v/>
      </c>
      <c r="G105" t="inlineStr"/>
      <c r="H105" t="inlineStr"/>
      <c r="I105" t="inlineStr">
        <is>
          <t>**Associate Product Manager \| Pleasant Prairie, WI \| Hybrid** 
 We're working with Uline on this exciting opportunity.
 Ignite your career in product management! At Uline, you'll dive into managing your own product line, researching new products, and collaborating with cross\-functional teams to drive profitability and growth. This is your chance to make a real impact on a diverse product portfolio.
**The Role** 
 • Become a product expert by deeply understanding your assigned product category.
 • Discover and source innovative new products from both domestic and international vendors.
 • Strategize and participate in vendor negotiations, ensuring optimal agreements.
 • Collaborate with Purchasing, Creative, Quality Control, Compliance, and Pricing teams to bring products to market.
 • Contribute to catalog layout and new product placement to maximize impact.
**What You'll Need** 
 • Bachelor's degree in a relevant field.
 • 2 to 5 years of experience in Product Management, Supply Chain, or Marketing.
 • Strong proficiency in Microsoft Office, with advanced Excel skills.
 • Exceptional written and verbal communication abilities.
 • Highly organized, analytical, and possessing an unwavering attention to detail.
**What's On Offer** 
 • Comprehensive health insurance and a 401(k) with a 6% employer match from day one.
 • Excellent bonus programs and generous paid time off.
 • Tuition Assistance Program for your professional development.
 • Access to an on\-site café and a first\-class fitness center with complimentary personal trainers.
**Apply via Haystack today!**</t>
        </is>
      </c>
    </row>
    <row r="106">
      <c r="A106" t="inlineStr">
        <is>
          <t>li-4369601802</t>
        </is>
      </c>
      <c r="B106" t="inlineStr">
        <is>
          <t>Product Manager</t>
        </is>
      </c>
      <c r="C106" t="inlineStr">
        <is>
          <t>Wabash</t>
        </is>
      </c>
      <c r="D106" t="inlineStr">
        <is>
          <t>linkedin</t>
        </is>
      </c>
      <c r="E106">
        <f>HYPERLINK("https://www.linkedin.com/jobs/view/4369601802", "https://www.linkedin.com/jobs/view/4369601802")</f>
        <v/>
      </c>
      <c r="F106" t="inlineStr"/>
      <c r="G106" t="inlineStr">
        <is>
          <t>Indianapolis, IN</t>
        </is>
      </c>
      <c r="H106" t="inlineStr"/>
      <c r="I106" t="inlineStr">
        <is>
          <t>**About the Role:**
 As a Product Manager, you are responsible for Product Ownership, customer advocacy, strategic alignment, and single point orchestration of a visionary product strategy. You will plan, manage, and support a portfolio of products and solutions.
**Your**
**Responsibilities:**
* Support the selling process, gather the voice of the customer, and translate insights into a tangible product strategy
* Develop and maintain product roadmaps, in alignment with corporate strategy, business plans, market and customer assessments to fully leverage customer value creation opportunities.
* Utilize product roadmaps to prioritize resource allocation in the execution of product strategy
* Oversee the developing and managing of new product idea funnels
* Understand and articulate the alignment of Customer problems, company capabilities and technology solutions
* Assist and create go\-to\-market programs that align with the buying process
* Support commercial organization with market and product expertise
* Seek opportunities to enhance our value proposition, product and service coverage, capabilities, and speed to market
* Develop tools and processes that promote high levels of open communication, critical thinking, and accountability throughout the enterprise
 **.**
* Other duties as assigned
**Let's Talk About Your Qualifications:**
* Bachelor's Degree (Preferred Major: Engineering, Finance or other technical or business major)
* 5\-10 years of experience in a B2B or B2C Product Development environment
* At least 7 years of experience working in a manufacturing environment
* Knowledge in operational level financial management and decision making
* Familiarity with value proposition design, market definition, and segmentation
* Six Sigma (Green Belt, Black Belt or Master Black Belt) Certification preferred
* Master's Degree (Degree Desired: MS or MBA) preferred
**Leadership Attributes:**
 At Wabash, we pride ourselves on being empowering, and there are some things we feel very strongly about:
* Embrace Diversity and Inclusion \-\- Solicit and respect the input of others, celebrate differences, and strive for transparency and inclusiveness
* Seek to Listen \-\- Actively listen to reach the best solution and make the strongest decisions
* Always Learn \-\- Strive to improve; do not quit or settle for the status quo
* Be Authentic \-\- Demonstrate honesty, incredible energy, and grit in everything you do
* Win Together \-\- Collaborate, seek alignment, and excel at cross\-group communication to success as one team and One Wabash
 Join us in turning ideas into world\-changing realities. Curate and build your high\-impact professional career at Wabash!
**Affirmative Action/EEO Statement:**
 Wabash is committed to providing equal employment opportunity for its associates and applicants without regard to race, color, religion, sex, age, national origin, veteran status, disability, or other protected class or activity under federal, state, or local law. All employment decisions must be based on neutral, legitimate criteria. All employment policies and rules shall be applied equally to similarly situated associates.</t>
        </is>
      </c>
    </row>
    <row r="107">
      <c r="A107" t="inlineStr">
        <is>
          <t>li-4314986128</t>
        </is>
      </c>
      <c r="B107" t="inlineStr">
        <is>
          <t>Product Manager</t>
        </is>
      </c>
      <c r="C107" t="inlineStr">
        <is>
          <t>Meta</t>
        </is>
      </c>
      <c r="D107" t="inlineStr">
        <is>
          <t>linkedin</t>
        </is>
      </c>
      <c r="E107">
        <f>HYPERLINK("https://www.linkedin.com/jobs/view/4314986128", "https://www.linkedin.com/jobs/view/4314986128")</f>
        <v/>
      </c>
      <c r="F107">
        <f>HYPERLINK("https://jsv3.recruitics.com/redirect?rx_cid=3239&amp;rx_jobId=a1KDp00000E2fWlMAJ_1002&amp;rx_url=https%3A%2F%2Fwww.metacareers.com%2Fjobs%2F24894480136873895%2F%3Frx_campaign%3DLinkedin1%26rx_ch%3Dconnector%26rx_group%3D126320%26rx_id%3D6f18d2f1-fec7-11f0-a182-b34ba959637e%26rx_job%3Da1KDp00000E2fWlMAJ_1002%26rx_medium%3Dpost%26rx_r%3Dnone%26rx_source%3DLinkedin%26rx_ts%3D20260205T121202Z%26rx_vp%3Dslots%26utm_campaign%3DJob%252Bboard%26utm_medium%3Djobs%26utm_source%3DLIpaid&amp;urlHash=mlGD", "https://jsv3.recruitics.com/redirect?rx_cid=3239&amp;rx_jobId=a1KDp00000E2fWlMAJ_1002&amp;rx_url=https%3A%2F%2Fwww.metacareers.com%2Fjobs%2F24894480136873895%2F%3Frx_campaign%3DLinkedin1%26rx_ch%3Dconnector%26rx_group%3D126320%26rx_id%3D6f18d2f1-fec7-11f0-a182-b34ba959637e%26rx_job%3Da1KDp00000E2fWlMAJ_1002%26rx_medium%3Dpost%26rx_r%3Dnone%26rx_source%3DLinkedin%26rx_ts%3D20260205T121202Z%26rx_vp%3Dslots%26utm_campaign%3DJob%252Bboard%26utm_medium%3Djobs%26utm_source%3DLIpaid&amp;urlHash=mlGD")</f>
        <v/>
      </c>
      <c r="G107" t="inlineStr">
        <is>
          <t>Menlo Park, CA</t>
        </is>
      </c>
      <c r="H107" t="inlineStr"/>
      <c r="I107"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vision,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senior executive audiences
* BA/BS in Computer Science or related field
 Preferred Qualifications:
* Experience building and shipping high quality work and achieving high reliability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8">
      <c r="A108" t="inlineStr">
        <is>
          <t>li-4314928142</t>
        </is>
      </c>
      <c r="B108" t="inlineStr">
        <is>
          <t>Product Manager - Automation Platform and Insights</t>
        </is>
      </c>
      <c r="C108" t="inlineStr">
        <is>
          <t>Netflix</t>
        </is>
      </c>
      <c r="D108" t="inlineStr">
        <is>
          <t>linkedin</t>
        </is>
      </c>
      <c r="E108">
        <f>HYPERLINK("https://www.linkedin.com/jobs/view/4314928142", "https://www.linkedin.com/jobs/view/4314928142")</f>
        <v/>
      </c>
      <c r="F108">
        <f>HYPERLINK("https://explore.jobs.netflix.net/careers/job/790312428802?utm_source=LinkedIn&amp;domain=netflix.com&amp;urlHash=Hdu2", "https://explore.jobs.netflix.net/careers/job/790312428802?utm_source=LinkedIn&amp;domain=netflix.com&amp;urlHash=Hdu2")</f>
        <v/>
      </c>
      <c r="G108" t="inlineStr">
        <is>
          <t>Los Gatos, CA</t>
        </is>
      </c>
      <c r="H108" t="inlineStr"/>
      <c r="I108"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Client and Partner Technologies (CPT) team builds tools and services to scale the Netflix application platform to over half a billion devices while maintaining high\-quality standards. We are seeking a tooling platform product manager to shape the future of our test automation and productivity ecosystem, guiding the evolution of our tools and services to enable streamlined workflows, efficient governance, and actionable insights for our internal engineering and QA teams.
 As a Product Manager in the Client and Partner Technologies (CPT) Product Management team at Netflix, you will strategize, prioritize, and execute initiatives that drive operational efficiency and quality within our organization, operating at the center of a fast\-paced, cross\-functional environment, collaborating daily with engineering, QA, and operations experts. Your ability to foster alignment across engineering teams working on various devices and technology platforms will be key. You should also be comfortable leading through ambiguity and driving progress even when some stakeholders remain unconvinced. Your leadership will directly impact these teams' productivity and pace of innovation.
 Deep technical experience with demonstrated excellence in delivering mobile, web, and/or TV client application test automation platforms and test automation workflow applications is highly valued. Excellent candidates have deep experience in product management for Data, Web, and Mobile platforms. The best candidates demonstrate initiative, especially in disambiguating areas with complex ownership models. They’ll already have strong communication skills and a proven ability to align different teams to drive initiatives with a high degree of clarity and speed.
 This role is based in our Los Gatos offices and is hybrid\-remote; the expectation is easy access to the LG office for a few days every couple of weeks.
**What You’ll Be Doing**
* Define and communicate the product vision, strategy, and roadmap for our internal CI/CD tools and test automation platforms
* Shape the platform strategy and north star vision for test automation, productivity tooling, and insights, ensuring alignment across engineering stakeholders.
* Translate the strategy into a product roadmap that balances the near\-term needs of our stakeholder teams while prioritizing what is most impactful over the long term.
* Collaborate and drive cross\-functional teams including experience design, engineering, and tooling to deliver outstanding product solutions that enable seamless integration of testing frameworks, device platforms, and actionable insights.
* Create strong partnerships with internal product, engineering, and QA teams, establishing feedback loops for product input.
* Guide our product evolution to address the entire product life cycle, adoption, and migration experience, while providing clear guidance and recommendations to product and engineering teams for successful onboarding and transition.
* Engage and thrive in a healthy debate of ideas, fostering an environment of innovation and collaboration, and communicate product plans and progress broadly throughout the organization.
* Define how we will measure the success and effectiveness of our products—such as improvements in test coverage, operational efficiency, and automation health—and drive the execution and continuous evaluation of those metrics to ensure ongoing impact.
* Drive the evolution of our CI/CD ecosystem, including enhancing our Jenkins and Spinnaker platforms, expanding our use of GitHub Actions, and integrating with automated testing frameworks and physical device labs.
**Qualifications**
* 7\+ years of Product Management experience, ideally focusing on internal platforms, developer tools, or test automation services.
* Experience contributing to the development of B2B enterprise services, either as a product manager, designer, or engineer.
* Proficient in using data and qualitative insights to prioritize high\-impact areas, measure success, and inform product decisions, especially in operational efficiency and quality assurance.
* Comfortable making decisions under uncertainty, particularly as we evolve our strategy.
* Excellent written and verbal communication skills, with the ability to distill complex technical topics—such as automation frameworks, device lab management, and testing insights—into clear, compelling stories for various audiences.
* Inquisitive and fast learner, able to quickly orient and understand a complex domain.
* Strong understanding of modern software development lifecycles, CI/CD principles, and DevOps methodologies.
* Knowledge and experience in defining, measuring, and improving developer productivity.
* Strategic thinking and ability to craft and drive a vision for maximum positive business impact.
* Demonstrated initiative in clarifying ambiguous projects and driving them to completion.
* Experience in identifying tradeoffs, surfacing needs for clarity, and driving decision\-making.
* Experience contributing to internal/operational products and services.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$310,000\.00 \- $545,000\.00\.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09">
      <c r="A109" t="inlineStr">
        <is>
          <t>li-4368998433</t>
        </is>
      </c>
      <c r="B109" t="inlineStr">
        <is>
          <t>Associate Product Manager</t>
        </is>
      </c>
      <c r="C109" t="inlineStr">
        <is>
          <t>Haystack</t>
        </is>
      </c>
      <c r="D109" t="inlineStr">
        <is>
          <t>linkedin</t>
        </is>
      </c>
      <c r="E109">
        <f>HYPERLINK("https://www.linkedin.com/jobs/view/4368998433", "https://www.linkedin.com/jobs/view/4368998433")</f>
        <v/>
      </c>
      <c r="F109" t="inlineStr"/>
      <c r="G109" t="inlineStr"/>
      <c r="H109" t="inlineStr"/>
      <c r="I109" t="inlineStr">
        <is>
          <t>**Associate Product Manager \| Pleasant Prairie, WI \| Hybrid** 
 We're working with Uline on this exciting opportunity.
 Ignite your career in product management! At Uline, you'll dive into managing your own product line, researching new products, and collaborating with cross\-functional teams to drive profitability and growth. This is your chance to make a real impact on a diverse product portfolio.
**The Role** 
 • Become a product expert by deeply understanding your assigned product category.
 • Discover and source innovative new products from both domestic and international vendors.
 • Strategize and participate in vendor negotiations, ensuring optimal agreements.
 • Collaborate with Purchasing, Creative, Quality Control, Compliance, and Pricing teams to bring products to market.
 • Contribute to catalog layout and new product placement to maximize impact.
**What You'll Need** 
 • Bachelor's degree in a relevant field.
 • 2 to 5 years of experience in Product Management, Supply Chain, or Marketing.
 • Strong proficiency in Microsoft Office, with advanced Excel skills.
 • Exceptional written and verbal communication abilities.
 • Highly organized, analytical, and possessing an unwavering attention to detail.
**What's On Offer** 
 • Comprehensive health insurance and a 401(k) with a 6% employer match from day one.
 • Excellent bonus programs and generous paid time off.
 • Tuition Assistance Program for your professional development.
 • Access to an on\-site café and a first\-class fitness center with complimentary personal trainers.
**Apply via Haystack today!**</t>
        </is>
      </c>
    </row>
    <row r="110">
      <c r="A110" t="inlineStr">
        <is>
          <t>li-4322879651</t>
        </is>
      </c>
      <c r="B110" t="inlineStr">
        <is>
          <t>Product Manager II (Trust &amp; Safety)</t>
        </is>
      </c>
      <c r="C110" t="inlineStr">
        <is>
          <t>Tinder</t>
        </is>
      </c>
      <c r="D110" t="inlineStr">
        <is>
          <t>linkedin</t>
        </is>
      </c>
      <c r="E110">
        <f>HYPERLINK("https://www.linkedin.com/jobs/view/4322879651", "https://www.linkedin.com/jobs/view/4322879651")</f>
        <v/>
      </c>
      <c r="F110">
        <f>HYPERLINK("https://jobs.lever.co/matchgroup/c0de0002-c529-4eb5-92b0-c9226f9d96cf/apply?lever-source=LinkedIn&amp;lever-origin=applied&amp;lever-source%255B%255D=LinkedIn%2520FR&amp;lever-source=LinkedIn&amp;urlHash=45IX", "https://jobs.lever.co/matchgroup/c0de0002-c529-4eb5-92b0-c9226f9d96cf/apply?lever-source=LinkedIn&amp;lever-origin=applied&amp;lever-source%255B%255D=LinkedIn%2520FR&amp;lever-source=LinkedIn&amp;urlHash=45IX")</f>
        <v/>
      </c>
      <c r="G110" t="inlineStr">
        <is>
          <t>Palo Alto, CA</t>
        </is>
      </c>
      <c r="H110" t="inlineStr"/>
      <c r="I110"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We are looking for a Product Manager to own the development and delivery of Trust and Safety User Experience features. These features should make it easy for users to feel safe on Tinder. This role sits on our Trust \&amp; Safety team. 
 Where you’ll work: This is a hybrid role and requires in\-office collaboration three times per week in our San Francisco or Palo Alto offices.
**In this role, you will:** 
- Lead the Tinder Trust \&amp; Safety User Experience strategy and roadmap
- Own the prioritization, design, and delivery of user\-facing features and backend systems that will help users present their authentic selves and stay safer on the platform
- Synthesize and balance security, privacy, and usability to craft seamless safety products
- Collaborate with XFN stakeholders to identify and implement features that reduce prevalence of bad actors and deter behavior against our community guidelines
- Gather and evaluate customer research and data analysis
- Communicate product vision to senior leadership and XFN stakeholders
- Partner with designers and engineers to create, test, and launch beautiful and intuitive user experiences
- Build wireframes, product requirements, and other illustrations to convey feature ideas and gather feedback
- Implement metrics to measure the success of program features, analyze results, and use this analysis to inform further iteration
**What You Bring:** 
- You possess experience with Web, Android and iOS platforms and a deep knowledge of user behavior
- You are passionate about creating consumer products with experience building them
- You have the ability to structure problem\-solving approaches and to bring multiple solutions to solving complex problems
**You’ll need:** 
- Minimum of 3 years of product management experience
- Ability to think strategically and craft a compelling product vision
- Experience with SQL, Wireframing, and Spec Writing
- Experience working on a full\-cycle product roadmap from inception to launch
- Conviction to be an advocate for the Tinder user’s safety
- Background in Trust \&amp; Safety preferred, but not required
**As a full\-time employee, you’ll enjoy:** 
- Flexible Vacation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Factors such as scope and responsibilities of the position, candidate's work experience, education/training, job\-related skills, internal peer equity, as well as market and business considerations may influence base pay offered. This salary will be subject to a geographic adjustment (according to a specific city and state), if an authorization is granted to work outside of the location listed in this posting.</t>
        </is>
      </c>
    </row>
    <row r="111">
      <c r="A111" t="inlineStr">
        <is>
          <t>li-4369111616</t>
        </is>
      </c>
      <c r="B111" t="inlineStr">
        <is>
          <t>Fixed Income Product Manager</t>
        </is>
      </c>
      <c r="C111" t="inlineStr">
        <is>
          <t>BGC Group</t>
        </is>
      </c>
      <c r="D111" t="inlineStr">
        <is>
          <t>linkedin</t>
        </is>
      </c>
      <c r="E111">
        <f>HYPERLINK("https://www.linkedin.com/jobs/view/4369111616", "https://www.linkedin.com/jobs/view/4369111616")</f>
        <v/>
      </c>
      <c r="F111" t="inlineStr"/>
      <c r="G111" t="inlineStr"/>
      <c r="H111" t="inlineStr"/>
      <c r="I111" t="inlineStr">
        <is>
          <t>**Fixed Income Product Manager – Job Description** 
**About BGC Partners** 
 BGC Partners is a leading Inter\-Dealer Brokerage firm providing liquidity, order management, trading, and post\-trade straight\-through processing for our customers through the GBX (Global Broker Exchange) platform. The platform supports a wide range of products including fixed income bonds (rates and credit) and derivatives (interest rate and credit default swaps) across global financial markets in the Americas, EMEA, and APAC regions.
**Role Overview** 
 The Fixed Income Product Manager will act as the bridge between business stakeholders, broking desks, and technology teams. The successful candidate will help identify, define, and deliver platform enhancements that drive revenue growth, expand market coverage, and ensure regulatory compliance.
**Key Responsibilities** 
* Collaborate with business stakeholders to identify new feature opportunities that enhance revenue potential, market reach, and compliance.
* Translate business requirements into clear, actionable system requirements.
* Liaise between broking desks, developers, and QA teams to ensure successful implementation and rollout of solutions.
* Support QA during testing and coordinate User Acceptance Testing (UAT) with end users to ensure timely sign\-offs.
**Domain Knowledge** 
* Deep understanding of Fixed Income products including Treasuries, Gilts, EGBs, TIPS/Linkers, and Corporate Bonds.
* Strong grasp of derivative instruments such as Credit Default Swaps (CDS) and Interest Rate Swaps (IRS), OIS, FRAs, Caps/Floors, and Swaptions.
* Excellent understanding of price, yield\-to\-maturity, and DV01 concepts and their underlying calculations.
* Familiarity with structured trades and packages (switches, flies, basis, gadgets, spread switches) and how they are priced and settled.
* Knowledge of trading protocols such as Central Limit Order Books (CLOB) and auction mechanisms.
* *(Optional)* 
 Understanding of implied trading and legging strategies.
**Technical Skills** 
* Advanced Excel proficiency.
* Working knowledge of SQL for querying databases (Oracle, Sybase, NoSQL).
* Ability to conduct data analysis in Python using frameworks such as Pandas and Matplotlib (in Jupyter Notebook or Google Colab).
* Ability capture requirements in Confluence and Jira
* Familiarity with test automation and ability to guide the QA team on test scenarios
**Personal Attributes** 
* Excellent communication and interpersonal skills.
* Strong analytical and problem\-solving abilities.
* Highly motivated and self\-driven.
* Proactive and takes initiative in fast\-paced environments.</t>
        </is>
      </c>
    </row>
    <row r="112">
      <c r="A112" t="inlineStr">
        <is>
          <t>li-4369613304</t>
        </is>
      </c>
      <c r="B112" t="inlineStr">
        <is>
          <t>Principal Product Manager - Remote</t>
        </is>
      </c>
      <c r="C112" t="inlineStr">
        <is>
          <t>Jobgether</t>
        </is>
      </c>
      <c r="D112" t="inlineStr">
        <is>
          <t>linkedin</t>
        </is>
      </c>
      <c r="E112">
        <f>HYPERLINK("https://www.linkedin.com/jobs/view/4369613304", "https://www.linkedin.com/jobs/view/4369613304")</f>
        <v/>
      </c>
      <c r="F112" t="inlineStr"/>
      <c r="G112" t="inlineStr">
        <is>
          <t>Colorado, United States</t>
        </is>
      </c>
      <c r="H112" t="inlineStr"/>
      <c r="I112" t="inlineStr">
        <is>
          <t>This position is posted by Jobgether on behalf of a partner company. We are currently looking for a Principal Product Manager \- REMOTE. This role is vital in leading the product strategy, architecture, and execution for a new AI\-powered platform that will transform decision\-making processes. The ideal candidate will act as the single\-threaded owner for a foundational capability, collaborating across various teams including engineering, AI/ML, and design to create a seamless product experience. You'll have the opportunity to define how content is modeled and user intents are recognized, making a significant impact on the future of the platform.
**Accountabilities**
* Own the product vision, long\-term strategy, and roadmap for a foundational capability within the next\-gen discovery platform.
* Define data models, technical architecture, and platform interfaces for intelligent product experiences.
* Partner with engineering to design scalable APIs and system components.
* Collaborate with AI/ML teams to integrate advanced capabilities.
* Write PRFAQs and technical narratives to align senior leadership on product vision.
* Engage with CIOs and analysts to validate pain points and iterate on product\-market fit.
* Define success metrics and build strategies for continuous learning.
**Requirements**
* 7\+ years of product management experience, with 4\+ years in a technical or platform product role.
* Bachelor’s degree in Computer Science, Engineering, or equivalent technical experience.
* Proven experience in launching products in fast\-paced environments.
* Deep technical expertise in architecture and API design.
* Strong communication skills, capable of influencing high\-level stakeholders.
* Experience leading cross\-functional teams in engineering and design.
* Customer\-oriented with a track record of impactful results.
**Benefits**
* 15 vacation days (prorated based on start date)
* 12 company\-paid holidays
* 6 paid sick days (prorated based on start date)
* Medical, dental, and vision coverage
* 2 floating holidays (prorated based on start date)
* 1 volunteer day
* 401(k) company match (3% on the first 6% of employee contributions)
* Company\-paid short\-term disability
* Company\-paid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3">
      <c r="A113" t="inlineStr">
        <is>
          <t>li-4360534625</t>
        </is>
      </c>
      <c r="B113" t="inlineStr">
        <is>
          <t>Product Manager</t>
        </is>
      </c>
      <c r="C113" t="inlineStr">
        <is>
          <t>DIGI America (TERAOKA Group)</t>
        </is>
      </c>
      <c r="D113" t="inlineStr">
        <is>
          <t>linkedin</t>
        </is>
      </c>
      <c r="E113">
        <f>HYPERLINK("https://www.linkedin.com/jobs/view/4360534625", "https://www.linkedin.com/jobs/view/4360534625")</f>
        <v/>
      </c>
      <c r="F113" t="inlineStr"/>
      <c r="G113" t="inlineStr">
        <is>
          <t>Somerset, NJ</t>
        </is>
      </c>
      <c r="H113" t="inlineStr"/>
      <c r="I113" t="inlineStr">
        <is>
          <t>**Company Overview:** 
 DIGI America is a leading provider of innovative solutions in the Retail
 Grocery and Food Industry. We are committed to delivering exceptional products and services that
 meet the evolving needs of our customers. As part of our strategic growth plan, we are seeking a
 dynamic and experienced Product Manager to join our team.
**Position Overview:** 
 As a Product Manager, you will play a key role in the go\-to\-market strategy,
 cross\-functional collaboration, marketing, sales support, and product performance monitoring for
 the Innovation sector of our retail product line. You will work closely with cross\-functional teams
 including Sales, Marketing, Service, and Operations to deliver high\-quality products that meet
 customer needs and business goals. While this Product Manager position focuses on Innovation,
 ESL, AiO and our software tied to said products, via cross\-training you will also be responsible for
 other DIGI products such as Wrappers and Scales.
**Key Responsibilities:** 
* As a key member of the product team the Product Manager will provide market research and analysis, pre\-sales analysis, design, and recommendations for customer implementation.
* Support our Sales team by relaying knowledge of our products to create documentation and guides for our product listings.
* Continued support of our Sales team by traveling to visit with prospects and customers, customer\-facing with excellent communication skills in order to present functionality, benefits, and technical specifications of this product line.
* Work with our parent company to test and maintain images, files, documentation and knowledgebase articles, in addition to providing feedback on food industry products.
* Conduct thorough testing and debugging to ensure the quality and reliability of Innovation, Scale and Wrapper products software releases.
* Present and train our sales team members and new employees via onboarding of each product, including testing of each team member.
* Update and modify training material for all Innovation related products, including testing questionnaires and open\-ended questions.
* The Product Manager works to support connectivity between our customers’ business needs and to ensure our products meet these needs to deliver value.
* Stay up to date on industry trends, technologies, and regulations related to Innovation related equipment.
* Identify market opportunities and competitive landscape trends to influence product direction and maintain a competitive edge.
* Work closely with Sales and Marketing teams to ensure product messaging, positioning, and customer experience are aligned.
* Engage with customers to understand pain points, needs, and usage patterns through interviews, surveys, and data analysis. Use this information to relay features and improvements back to our parent company.
* Support our Service team to deliver successful customer installations with troubleshooting on\-site and remotely as needed.
* Being the company product expert through speaking engagements and article creation.
**Basic Qualifications:** 
* Flexibility to regularly rotate through different technical specialist and skill sets.
* Ability to thrive on change as products evolve
* The ability to communicate with differing business units from executive level to end users.
* Knowledge of PC and/or embedded based systems
* Knowledge of Networking, WiFi, and TCP/IP protocols
* Excellent verbal, written and presentation communications skills
* Travel as required to support sales team with addressable market and customer visits up to 40%
**Qualifications:** 
* Bachelor’s degree in business, Product Management, Information technology, or other related field
* Excellent communication, written and interpersonal skills
* Creative, strategic, and analytical abilities with strong presentation skills
* Must be able to work in an environment requiring extensive telephone and computer work
* and be able to handle multiple issues simultaneously
* Extensive background in creating market and competitor analysis
* Drive to dig into how a system operates and desire to learn how to manipulate how hardware and software works. Problem solving aptitude
* Strong understanding of product development processes and lifecycle management.
* Strong organizational skills with the ability to manage multiple projects simultaneously and prioritize effectively.
* Proactive attitude towards learning new technologies and self\-improvement.
* Ability to work effectively in a fast\-paced, dynamic environment and manage multiple priorities simultaneously.
**Benefits:** 
* Competitive salary
* Comprehensive benefits package (including Health, Dental, Vision, Disability and Life
* Insurance)
* Opportunities for career growth and advancement
* Dynamic and collaborative work environment
 DIGI is an equal opportunity employer and values diversity in the workplace.</t>
        </is>
      </c>
    </row>
    <row r="114">
      <c r="A114" t="inlineStr">
        <is>
          <t>li-4369607420</t>
        </is>
      </c>
      <c r="B114" t="inlineStr">
        <is>
          <t>Principal Product Manager - REMOTE</t>
        </is>
      </c>
      <c r="C114" t="inlineStr">
        <is>
          <t>Jobgether</t>
        </is>
      </c>
      <c r="D114" t="inlineStr">
        <is>
          <t>linkedin</t>
        </is>
      </c>
      <c r="E114">
        <f>HYPERLINK("https://www.linkedin.com/jobs/view/4369607420", "https://www.linkedin.com/jobs/view/4369607420")</f>
        <v/>
      </c>
      <c r="F114" t="inlineStr"/>
      <c r="G114" t="inlineStr">
        <is>
          <t>Arkansas, United States</t>
        </is>
      </c>
      <c r="H114" t="inlineStr"/>
      <c r="I114" t="inlineStr">
        <is>
          <t>This position is posted by Jobgether on behalf of a partner company. We are currently looking for a Principal Product Manager \- REMOTE. This role is vital in leading the product strategy, architecture, and execution for a new AI\-powered platform that will transform decision\-making processes. The ideal candidate will act as the single\-threaded owner for a foundational capability, collaborating across various teams including engineering, AI/ML, and design to create a seamless product experience. You'll have the opportunity to define how content is modeled and user intents are recognized, making a significant impact on the future of the platform.
**Accountabilities**
* Own the product vision, long\-term strategy, and roadmap for a foundational capability within the next\-gen discovery platform.
* Define data models, technical architecture, and platform interfaces for intelligent product experiences.
* Partner with engineering to design scalable APIs and system components.
* Collaborate with AI/ML teams to integrate advanced capabilities.
* Write PRFAQs and technical narratives to align senior leadership on product vision.
* Engage with CIOs and analysts to validate pain points and iterate on product\-market fit.
* Define success metrics and build strategies for continuous learning.
**Requirements**
* 7\+ years of product management experience, with 4\+ years in a technical or platform product role.
* Bachelor’s degree in Computer Science, Engineering, or equivalent technical experience.
* Proven experience in launching products in fast\-paced environments.
* Deep technical expertise in architecture and API design.
* Strong communication skills, capable of influencing high\-level stakeholders.
* Experience leading cross\-functional teams in engineering and design.
* Customer\-oriented with a track record of impactful results.
**Benefits**
* 15 vacation days (prorated based on start date)
* 12 company\-paid holidays
* 6 paid sick days (prorated based on start date)
* Medical, dental, and vision coverage
* 2 floating holidays (prorated based on start date)
* 1 volunteer day
* 401(k) company match (3% on the first 6% of employee contributions)
* Company\-paid short\-term disability
* Company\-paid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5">
      <c r="A115" t="inlineStr">
        <is>
          <t>li-4368998086</t>
        </is>
      </c>
      <c r="B115" t="inlineStr">
        <is>
          <t>AI Product Manager - Remote</t>
        </is>
      </c>
      <c r="C115" t="inlineStr">
        <is>
          <t>RemoteHunter</t>
        </is>
      </c>
      <c r="D115" t="inlineStr">
        <is>
          <t>linkedin</t>
        </is>
      </c>
      <c r="E115">
        <f>HYPERLINK("https://www.linkedin.com/jobs/view/4368998086", "https://www.linkedin.com/jobs/view/4368998086")</f>
        <v/>
      </c>
      <c r="F115">
        <f>HYPERLINK("https://www.remotehunter.com/apply-with-ai/58a12685-8e70-4329-95d7-474bc6007180?utm_medium=job_posting&amp;utm_source=linkedin&amp;utm_campaign=product_manager_remote&amp;utm_category=product_manager&amp;utm_term=ai_product_manager_remote&amp;urlHash=eicK", "https://www.remotehunter.com/apply-with-ai/58a12685-8e70-4329-95d7-474bc6007180?utm_medium=job_posting&amp;utm_source=linkedin&amp;utm_campaign=product_manager_remote&amp;utm_category=product_manager&amp;utm_term=ai_product_manager_remote&amp;urlHash=eicK")</f>
        <v/>
      </c>
      <c r="G115" t="inlineStr"/>
      <c r="H115" t="inlineStr"/>
      <c r="I115"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6">
      <c r="A116" t="inlineStr">
        <is>
          <t>li-4325308922</t>
        </is>
      </c>
      <c r="B116" t="inlineStr">
        <is>
          <t>Senior Product Manager</t>
        </is>
      </c>
      <c r="C116" t="inlineStr">
        <is>
          <t>Qualcomm</t>
        </is>
      </c>
      <c r="D116" t="inlineStr">
        <is>
          <t>linkedin</t>
        </is>
      </c>
      <c r="E116">
        <f>HYPERLINK("https://www.linkedin.com/jobs/view/4325308922", "https://www.linkedin.com/jobs/view/4325308922")</f>
        <v/>
      </c>
      <c r="F116" t="inlineStr"/>
      <c r="G116" t="inlineStr">
        <is>
          <t>Santa Clara, CA</t>
        </is>
      </c>
      <c r="H116" t="inlineStr"/>
      <c r="I116" t="inlineStr">
        <is>
          <t>**Company**
 Qualcomm Technologies, Inc.
**Job Area**
 Operations Group, Operations Group \&gt; Product Management
**General Summary**
 Qualcomm is looking for an experienced sensors/sensing hub Product Manager.
 Qualcomm Sensing Hub enables always\-on / low power experiences, designed to make Snapdragon devices contextually aware of its surroundings. This incredible combination of power efficiency and compute horsepower is very important for devices to run 24/7 without compromising battery life.
**Key Responsibilities**
* Define and execute the product strategy for Qualcomm Sensing Hub, ensuring alignment with the company’s vision and market needs.
* Conduct market research and competitive analysis to identify trends and opportunities.
* Collaborate with engineering teams to translate product strategy into detailed requirements.
* Manage the entire product lifecycle from planning to tactical activities.
* Work closely with sales and marketing teams to define product positioning and go\-to\-market strategies.
* Engage with customers and partners to gather feedback and incorporate it into product improvement.
* Collaborate with key partners and stakeholders to create buy\-in for the product vision and roadmap.
* Collaborate with sensor vendors, reviewing and aligning their roadmap with our reference designs
**Qualifications**
* Bachelor’s degree in business, engineering, or related field; Master’s degree is a plus.
* Minimum three (preferred five) years of professional experience in product management, business development in the sensors or related technology field.
* Five years of experience (preferably product management, business) working with sensors/MEMS technology.
* Excellent communication with the ability to drive cross\-functional teams.
* Ability to multi\-task, work cross\-functionally in a fast\-paced environment.
**Minimum Qualifications**
* Bachelor's degree in Engineering, Information Systems, Computer Science, Humanities, or related field.
* 4\+ years of Product Management or related work experience.
**Preferred Qualifications**
* 7\+ years of Product Management or related work experience.
* 2\+ years of working with operating budgets and/or project financials.
* 2\+ years of negotiating 3rd party business agreements.
* 2\+ years of working in a large matrixed organization.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$162,400\.00 \- $270,200\.00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17">
      <c r="A117" t="inlineStr">
        <is>
          <t>li-4348452770</t>
        </is>
      </c>
      <c r="B117" t="inlineStr">
        <is>
          <t>Product Manager</t>
        </is>
      </c>
      <c r="C117" t="inlineStr">
        <is>
          <t>Q2</t>
        </is>
      </c>
      <c r="D117" t="inlineStr">
        <is>
          <t>linkedin</t>
        </is>
      </c>
      <c r="E117">
        <f>HYPERLINK("https://www.linkedin.com/jobs/view/4348452770", "https://www.linkedin.com/jobs/view/4348452770")</f>
        <v/>
      </c>
      <c r="F117" t="inlineStr"/>
      <c r="G117" t="inlineStr">
        <is>
          <t>Austin, TX</t>
        </is>
      </c>
      <c r="H117" t="inlineStr"/>
      <c r="I117" t="inlineStr">
        <is>
          <t>**As passionate about our people as we are about our mission.**
**Why Join Q2?**
 Q2 is a leading provider of digital banking and lending solutions to banks, credit unions, alternative finance companies, and fintechs in the U.S. and internationally. Our mission is simple: build strong and diverse communities through innovative financial technology—and we do that by empowering our people to help create success for our customers.
**What Makes Q2 Special?**
 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
**Summary**
 Q2 is seeking a skilled Product Manager to lead the strategy, roadmap, and execution for our SDK, Developer Portal, and Marketplace experiences. In this role, you will provide product oversight for SDK development, partnering closely with engineering, design, and cross\-functional product lines to align investment with Q2’s broader platform strategy. You will gather and translate client, partner, and internal stakeholder feedback into clear requirements, prioritize work to maximize impact, and architect a roadmap that accelerates extensibility, partner innovation, and ecosystem growth. You will champion a clear vision for Q2’s developer experience—communicating direction broadly to financial institutions, partners, and internal teams—while operating in a flexible, fast\-paced environment where collaboration and strategic thinking are essential.
**The Job At\-A\-Glance**
* Drive roadmap and product strategy for money movement initiatives
* Collaborate closely with engineering to understand technical trade\-offs and influence product design
* Partner with support, observability, and other product leads to analyze root causes of issues
* Monitor and impact key metrics and efficiencies for products
* Provide guidance and mentorship to the product team on the product lifecycle
* Assist, train, and grow employees while evangelizing best practices
* Proactively identify opportunities for new trends, features, and products
* Conduct research and provide industry expertise for product business cases
* Establish and track business cases and financials
* Assess the risk of value, feasibility, and usability for product success Communicate value and vision effectively, establishing credibility with stakeholders
* Engage with clients and prospects via Relationship and Sales teams as needed
* Build effective relationships with Product, Sales, and Marketing teams
* Champion end\-user experience through integration of human interaction best practices and front\-end design
* Work with Product Owners to ensure security, availability, confidentiality, and privacy policies are adhered to
* Deliver product acceptance criteria for development teams to ensure high\-quality outcomes
* Collaborate with Release Management to develop release documentation and internal training materials
**Bring Your Passion, Do What You Love. Here’s What We’re Looking For:**
* Typically requires a Bachelor’s degree in (relevant degree) and a minimum of 5 years of related experience; or an advanced degree with 3\+ years of experience; or equivalent related work experience.
* emonstrable experience in software product management
* Strong team leadership, including building, growing, motivating, and mentoring high\-performance teams
* Excellent verbal, written, and interpersonal communication skills
* Strong teamwork, organization, and problem\-solving abilities
* Excel and data analysis proficiency
* Self\-starter with ability to deliver results independently
* Experience with Pendo or other user analytics applications is a plus
*This position requires fluent written and oral communication in English.*
*Applicants must be authorized to work for any employer in the U.S. We are unable to sponsor or take over sponsorship of an employment Visa at this time.*
**Health \&amp; Wellness**
* Hybrid Work Opportunities
* Flexible Time Off
* Career Development \&amp; Mentoring Programs
* Health \&amp; Wellness Benefits, including competitive health insurance offerings and generous paid parental leave for eligible new parents
* Community Volunteering \&amp; Company Philanthropy Programs
* Employee Peer Recognition Programs – “You Earned it”
 Click here to find out more about the benefits we offer.
**Our Culture \&amp; Commitment**
 We’re proud to foster a supportive, inclusive environment where career growth, collaboration, and wellness are prioritized. And our benefits go beyond healthcare—offering resources for physical, mental, and professional well\-being. Click here to find out more about the benefits we offer. Q2 employees are encouraged to give back through volunteer work and nonprofit support through our Spark Program (see more). We believe in making an impact—in the industry and in the community.
 We are an Equal Opportunity Employer. All qualified applicants will receive consideration for employment without regard to race, color, religion, sex, sexual orientation, gender identity, national origin, age, disability, genetic information, or veteran status.
*Applicants in California or Washington State may not be exempt from federal and state overtime requirements*</t>
        </is>
      </c>
    </row>
    <row r="118">
      <c r="A118" t="inlineStr">
        <is>
          <t>li-4359003668</t>
        </is>
      </c>
      <c r="B118" t="inlineStr">
        <is>
          <t>Principal Product Manager, AI Factory</t>
        </is>
      </c>
      <c r="C118" t="inlineStr">
        <is>
          <t>Domino Data Lab</t>
        </is>
      </c>
      <c r="D118" t="inlineStr">
        <is>
          <t>linkedin</t>
        </is>
      </c>
      <c r="E118">
        <f>HYPERLINK("https://www.linkedin.com/jobs/view/4359003668", "https://www.linkedin.com/jobs/view/4359003668")</f>
        <v/>
      </c>
      <c r="F118" t="inlineStr"/>
      <c r="G118" t="inlineStr"/>
      <c r="H118" t="inlineStr"/>
      <c r="I118" t="inlineStr">
        <is>
          <t>**Who We Are**
 At Domino, we build software that helps the world’s most sophisticated enterprises deliver mission\-critical AI systems. Our platform helps data science teams accelerate research, increase collaboration, and rapidly deploy models — while managing costs, risk, and security. Our customers — like Johnson \&amp; Johnson, GSK, Bristol Myers, FINRA and the US Navy — are using our software to solve some of the most important challenges in the world, such as developing new medicines, securing our financial markets, or defending our country. Backed by Sequoia Capital and other leading investors we have been in business for a decade but are still a small team operating with the spirit of a startup. Especially in the world of AI today, we believe that the future is still being invented — and we want to be the ones building it.
**What We Are Building**
 At Domino, we are reimagining what it means to build and operate AI at scale. As the Principal Product Manager for our “AI Factory,” you’ll own the set of product capabilities that streamline the model development lifecycle: developing, training, deploying, and monitoring models and AI systems.
 Domino has long been a trailblazer in the data science and MLOps space, offering an integrated, end\-to\-end product experience — from development and experimentation to model publishing and operationalization. As the industry’s MLOps maturity increases, and as Gen AI creates new challenges for building and deploying AI systems maturity, we are advancing our product to meet the emerging needs of our customers.
 Your mission? To define and execute the next chapter of Domino’s “AI Factory.” You'll be responsible for driving the strategy and vision that elevates our platform’s capabilities, empowering our customers to build, deploy, and manage cutting\-edge AI systems with greater ease and efficiency.
**What Your Impact Will Be**
 Some specific focus areas will include:
* Advancing our novel Governance feature set to integrate model validation/review into the model development lifecycle. Drive breakthrough innovations (e.g., automated model documentation) as well as modern implementations of longstanding industry requirements (e.g., attestation, periodic revalidation).
* Lead the development of the next generation of MLOps capabilities, ensuring that Domino continues to offer cutting\-edge solutions for the AI lifecycle
+ Evolve our platform to better support Generative AI models and advanced AI systems
+ Expand and enhance our MLOps capabilities, enabling customers to streamline their AI workflows
* Increase integration and coherence across our platform, accelerating the time it takes for AI projects to move from inception to production
**What We Look For In This Role**
* 5\+ years of product management experience, delivering enterprise software tailored to data scientists or similar personas (ML/AI engineers, quantitative researchers, etc.)
* Deeply plugged into the AI/ML ecosystem, with a passion for engaging the broader community. You’re comfortable speaking at conferences, contributing to discussions, and have a clear point of view on the future of AI and data science
* Strategic thinker with commercial acumen: You excel at crafting product strategies that align with both customer needs and broader market trends, always with a focus on driving business growth
* Expertise in DS/AI workflows and ecosystems, with a comprehensive understanding of the tools, platforms, and methodologies that power modern machine learning and AI
* High standards for product quality: You have a strong sense of taste and are discerning when it comes to design and user experience, ensuring that everything we ship is of exceptional quality
* Strong technical proficiency: With a background in computer science or a related field, you’re comfortable working closely with engineers, brainstorming approaches, and discussing technical trade\-offs
* Enterprise customer intuition: You bring strong communication skills and practical judgment when engaging with enterprise clients, having collaborated on enterprise sales and customer interactions in the past
* Nice to have: Experience in the financial services industry
**What We Value**
* We strongly believe in the value of growing a diverse team and encourage people of all backgrounds, genders, ethnicities, abilities, and sexual orientations to apply
* We value a growth mindset. High\-performing creative individuals who dig into problems and see the opportunities for success
* We believe in individuals who seek truth and speak the truth and can be their whole selves at work.
* We value all of you that believe improving is always possible. At Domino, everything is a work in progress – we can do better at everything.
* We emphasize an environment of teaching and learning to equip employees with the tools needed to be successful in their function and the company.
*The annual US base salary range for this role is listed below. For sales roles, the range provided is the role's On Target Earnings ("OTE") range, meaning that the range includes both the sales commissions/sales bonuses target and annual base salary for the role. This salary range will be narrowed during the interview process based on a number of factors, including the candidate's experience, qualifications, and location. Additional benefits for this role may include: equity, company bonus or sales commissions/bonuses; 401(k) plan; medical, dental, and vision benefits; and wellness stipends.*
 Compensation Range
 $250,000—$300,000 USD</t>
        </is>
      </c>
    </row>
    <row r="119">
      <c r="A119" t="inlineStr">
        <is>
          <t>li-4366154691</t>
        </is>
      </c>
      <c r="B119" t="inlineStr">
        <is>
          <t>Product Manager</t>
        </is>
      </c>
      <c r="C119" t="inlineStr">
        <is>
          <t>Underdog.io -Apply to top tech jobs in 60 seconds. A place where companies apply to you</t>
        </is>
      </c>
      <c r="D119" t="inlineStr">
        <is>
          <t>linkedin</t>
        </is>
      </c>
      <c r="E119">
        <f>HYPERLINK("https://www.linkedin.com/jobs/view/4366154691", "https://www.linkedin.com/jobs/view/4366154691")</f>
        <v/>
      </c>
      <c r="F119">
        <f>HYPERLINK("https://underdog.io/candidates/apply&amp;urlHash=eOE4", "https://underdog.io/candidates/apply&amp;urlHash=eOE4")</f>
        <v/>
      </c>
      <c r="G119" t="inlineStr"/>
      <c r="H119" t="inlineStr"/>
      <c r="I119" t="inlineStr">
        <is>
          <t>One of our hiring partners is looking to hire a Product Manager to join their growing team in NYC.
 This particular hiring partner is backed by top investors securing Series B funding and is looking to empower healthcare careers through accessible education.
**Why people join** 
* Transformative impact
* Innovation\-driven culture
* Proven success ecosystem
* Growth \&amp; recognition
**What you’ll do:**
* Craft delightful, data\-driven best\-in\-class product experiences to ensure students succeed from signup to graduation
* Evolve \&amp; expand strategies for prioritizing instructor/coach time to effectively support diverse student populations
* Strategize AI integration to enhance personalized learning experiences
* Advocate for students, instructors, and coaches by deeply understanding their needs
* Manage a proprietary learning platform while expanding curricula and learning modalities
* Collaborate with design, engineering, data, and operations teams to iterate quickly
* Communicate product vision clearly and manage tradeoffs between priorities
**This job is for you if you have:**
* 3\+ years of consumer\-facing product management experience
* BA/BS in a quantitative discipline (computer science, statistics, engineering, economics, etc.)
* Strong analytical skills (SQL/data visualization proficiency) and communication abilities
* Experience building cross\-functional relationships and influencing stakeholders
* Hands\-on execution mindset with comfort making data\-driven prioritization decisions
* Bias for action in fast\-paced environments
**Bonus points for:**
* Startup experience in B2B2C/B2C EdTech or healthcare sectors
* Background in A/B testing or data\-driven product development
* Technical familiarity with software development workflows (e.g., GitHub navigation)
 The Underdog.io team is available if you have any questions or would like to discuss other potential roles.</t>
        </is>
      </c>
    </row>
    <row r="120">
      <c r="A120" t="inlineStr">
        <is>
          <t>li-4369616221</t>
        </is>
      </c>
      <c r="B120" t="inlineStr">
        <is>
          <t>Principal Product Manager - Technical - REMOTE</t>
        </is>
      </c>
      <c r="C120" t="inlineStr">
        <is>
          <t>Jobgether</t>
        </is>
      </c>
      <c r="D120" t="inlineStr">
        <is>
          <t>linkedin</t>
        </is>
      </c>
      <c r="E120">
        <f>HYPERLINK("https://www.linkedin.com/jobs/view/4369616221", "https://www.linkedin.com/jobs/view/4369616221")</f>
        <v/>
      </c>
      <c r="F120">
        <f>HYPERLINK("https://jobs.lever.co/jobgether/46e87659-8212-445f-8af2-33c85b430470/apply?source=LinkedIn&amp;urlHash=p8wb", "https://jobs.lever.co/jobgether/46e87659-8212-445f-8af2-33c85b430470/apply?source=LinkedIn&amp;urlHash=p8wb")</f>
        <v/>
      </c>
      <c r="G120" t="inlineStr">
        <is>
          <t>Wisconsin, United States</t>
        </is>
      </c>
      <c r="H120" t="inlineStr"/>
      <c r="I120" t="inlineStr">
        <is>
          <t>This position is posted by Jobgether on behalf of a partner company. We are currently looking for a Principal Product Manager \- REMOTE. This role is vital in leading the product strategy, architecture, and execution for a new AI\-powered platform that will transform decision\-making processes. The ideal candidate will act as the single\-threaded owner for a foundational capability, collaborating across various teams including engineering, AI/ML, and design to create a seamless product experience. You'll have the opportunity to define how content is modeled and user intents are recognized, making a significant impact on the future of the platform.
**Accountabilities**
* Own the product vision, long\-term strategy, and roadmap for a foundational capability within the next\-gen discovery platform.
* Define data models, technical architecture, and platform interfaces for intelligent product experiences.
* Partner with engineering to design scalable APIs and system components.
* Collaborate with AI/ML teams to integrate advanced capabilities.
* Write PRFAQs and technical narratives to align senior leadership on product vision.
* Engage with CIOs and analysts to validate pain points and iterate on product\-market fit.
* Define success metrics and build strategies for continuous learning.
**Requirements**
* 7\+ years of product management experience, with 4\+ years in a technical or platform product role.
* Bachelor’s degree in Computer Science, Engineering, or equivalent technical experience.
* Proven experience in launching products in fast\-paced environments.
* Deep technical expertise in architecture and API design.
* Strong communication skills, capable of influencing high\-level stakeholders.
* Experience leading cross\-functional teams in engineering and design.
* Customer\-oriented with a track record of impactful results.
**Benefits**
* 15 vacation days (prorated based on start date)
* 12 company\-paid holidays
* 6 paid sick days (prorated based on start date)
* Medical, dental, and vision coverage
* 2 floating holidays (prorated based on start date)
* 1 volunteer day
* 401(k) company match (3% on the first 6% of employee contributions)
* Company\-paid short\-term disability
* Company\-paid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1">
      <c r="A121" t="inlineStr">
        <is>
          <t>li-4369607419</t>
        </is>
      </c>
      <c r="B121" t="inlineStr">
        <is>
          <t>Lead Principal Product Manager - REMOTE</t>
        </is>
      </c>
      <c r="C121" t="inlineStr">
        <is>
          <t>Jobgether</t>
        </is>
      </c>
      <c r="D121" t="inlineStr">
        <is>
          <t>linkedin</t>
        </is>
      </c>
      <c r="E121">
        <f>HYPERLINK("https://www.linkedin.com/jobs/view/4369607419", "https://www.linkedin.com/jobs/view/4369607419")</f>
        <v/>
      </c>
      <c r="F121" t="inlineStr"/>
      <c r="G121" t="inlineStr">
        <is>
          <t>Connecticut, United States</t>
        </is>
      </c>
      <c r="H121" t="inlineStr"/>
      <c r="I121" t="inlineStr">
        <is>
          <t>This position is posted by Jobgether on behalf of a partner company. We are currently looking for a Principal Product Manager \- REMOTE. This role is vital in leading the product strategy, architecture, and execution for a new AI\-powered platform that will transform decision\-making processes. The ideal candidate will act as the single\-threaded owner for a foundational capability, collaborating across various teams including engineering, AI/ML, and design to create a seamless product experience. You'll have the opportunity to define how content is modeled and user intents are recognized, making a significant impact on the future of the platform.
**Accountabilities**
* Own the product vision, long\-term strategy, and roadmap for a foundational capability within the next\-gen discovery platform.
* Define data models, technical architecture, and platform interfaces for intelligent product experiences.
* Partner with engineering to design scalable APIs and system components.
* Collaborate with AI/ML teams to integrate advanced capabilities.
* Write PRFAQs and technical narratives to align senior leadership on product vision.
* Engage with CIOs and analysts to validate pain points and iterate on product\-market fit.
* Define success metrics and build strategies for continuous learning.
**Requirements**
* 7\+ years of product management experience, with 4\+ years in a technical or platform product role.
* Bachelor’s degree in Computer Science, Engineering, or equivalent technical experience.
* Proven experience in launching products in fast\-paced environments.
* Deep technical expertise in architecture and API design.
* Strong communication skills, capable of influencing high\-level stakeholders.
* Experience leading cross\-functional teams in engineering and design.
* Customer\-oriented with a track record of impactful results.
**Benefits**
* 15 vacation days (prorated based on start date)
* 12 company\-paid holidays
* 6 paid sick days (prorated based on start date)
* Medical, dental, and vision coverage
* 2 floating holidays (prorated based on start date)
* 1 volunteer day
* 401(k) company match (3% on the first 6% of employee contributions)
* Company\-paid short\-term disability
* Company\-paid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2">
      <c r="A122" t="inlineStr">
        <is>
          <t>li-4362702755</t>
        </is>
      </c>
      <c r="B122" t="inlineStr">
        <is>
          <t>Product Manager, Audio</t>
        </is>
      </c>
      <c r="C122" t="inlineStr">
        <is>
          <t>Ford Motor Company</t>
        </is>
      </c>
      <c r="D122" t="inlineStr">
        <is>
          <t>linkedin</t>
        </is>
      </c>
      <c r="E122">
        <f>HYPERLINK("https://www.linkedin.com/jobs/view/4362702755", "https://www.linkedin.com/jobs/view/4362702755")</f>
        <v/>
      </c>
      <c r="F122" t="inlineStr"/>
      <c r="G122" t="inlineStr">
        <is>
          <t>Dearborn, MI</t>
        </is>
      </c>
      <c r="H122" t="inlineStr"/>
      <c r="I122" t="inlineStr">
        <is>
          <t>**Job Description**
 We are the movers of the world and the makers of the future. We get up every day, roll up our sleeves and build a better world – together. At Ford, we’re all part of something bigger than ourselves. Are you ready to change the way the world moves?
 Launched in 2023, Integrated Services creates and markets new customer experiences by integrating hardware, software and services across Ford Blue, Model e, and Ford Pro. These products and services allow Ford’s retail and commercial customers to customize their vehicles like never before with OTA (over\-the\-air)\-driven experiences that grow better over time. Ford is developing leadership at the forefront of connected, digital platforms that will revolutionize every aspect of how vehicles function, the way people interact with them, and the value those vehicles provide.
 As a Product Manager for Audio, you’ll shape and execute the strategy for next\-generation audio capabilities across Ford’s digital cabin. You’ll translate customer needs, regulatory requirements, and business objectives into clear product requirements, own the backlog, and drive the full lifecycle from concept to delivery and continuous optimization. You’ll lead product discovery initiatives and leverage data to guide decisions. You’ll partner with fellow Product Managers, Design, Engineering, Marketing, and Business stakeholders to build the future of audio experiences across both Ford and Lincoln brands.
**Responsibilities**
**What you'll do...**
* Shape and execute the audio product strategy in collaboration with the Senior Product Manager and product leadership.
* Translate customer needs, regulatory requirements, and business objectives into clear product requirements and success criteria.
* Drive the end\-to\-end product lifecycle by prioritizing the backlog based on impact, feasibility, scalability, and customer value.
* Author and maintain product artifacts (PRDs, PRFAQs, strategy papers, etc.) to articulate vision, rationale, and trade\-offs. Present and secure alignment with senior leadership and cross\-functional partners.
* Conduct product experiments, user research, benchmarking, and data analysis to derive actionable insights and inform data\-driven decisions.
* Partner with Design, Engineering, Marketing, and Business owners to execute product initiatives.
* Conduct in\-vehicle testing to ensure the end\-to\-end user experience meets Ford’s rigorous quality and performance standards.
* Demonstrate deep customer empathy and advocate for user\-centric design throughout the development process.
**Qualifications**
**You'll have....**
* Bachelor’s Degree in Computer Science, Engineering, Business, or a related technical field.
* 5\+ years of product management or related technical experience with a track record of successful product launches in a high\-scale environment.
* 5\+ years of experience involving product discovery, user research, experiments, benchmarking and data\-driven decision making.
* Demonstrated expertise authoring PRDs, PRFAQs, and strategy papers.
* Proficiency with data visualization and metrics storytelling (e.g., dashboards, A/B results).
* Experience using modern product management tools, including Figma for design review/prototyping and Jira for backlog management
**Even better, you may have...**
* Automotive or related industry experience is preferred.
* Master's degree preferred
**Work Requirements:**
* On\-site presence in Dearborn, MI office (minimum of 4 days per week or as required).
* Valid driver’s license and willingness to complete training to operate Ford test vehicles on public roads (may require written and/or in\-vehicle drive evaluation).
* Ability to travel outside Dearborn, MI for cross\-site collaboration (occasional)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
 This position is a range of salary grades
 **7\-8** 
 .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t>
        </is>
      </c>
    </row>
    <row r="123">
      <c r="A123" t="inlineStr">
        <is>
          <t>li-4369616210</t>
        </is>
      </c>
      <c r="B123" t="inlineStr">
        <is>
          <t>Remote Product Manager - Strategic</t>
        </is>
      </c>
      <c r="C123" t="inlineStr">
        <is>
          <t>Jobgether</t>
        </is>
      </c>
      <c r="D123" t="inlineStr">
        <is>
          <t>linkedin</t>
        </is>
      </c>
      <c r="E123">
        <f>HYPERLINK("https://www.linkedin.com/jobs/view/4369616210", "https://www.linkedin.com/jobs/view/4369616210")</f>
        <v/>
      </c>
      <c r="F123">
        <f>HYPERLINK("https://jobs.lever.co/jobgether/93bd78e7-9b19-40fe-ac34-da4c1ab1774a/apply?source=LinkedIn&amp;urlHash=M6W4", "https://jobs.lever.co/jobgether/93bd78e7-9b19-40fe-ac34-da4c1ab1774a/apply?source=LinkedIn&amp;urlHash=M6W4")</f>
        <v/>
      </c>
      <c r="G123" t="inlineStr">
        <is>
          <t>Washington, United States</t>
        </is>
      </c>
      <c r="H123" t="inlineStr"/>
      <c r="I123" t="inlineStr">
        <is>
          <t>This position is posted by Jobgether on behalf of a partner company. We are currently looking for a Principal Product Manager \- REMOTE. This role is vital in leading the product strategy, architecture, and execution for a new AI\-powered platform that will transform decision\-making processes. The ideal candidate will act as the single\-threaded owner for a foundational capability, collaborating across various teams including engineering, AI/ML, and design to create a seamless product experience. You'll have the opportunity to define how content is modeled and user intents are recognized, making a significant impact on the future of the platform.
**Accountabilities**
* Own the product vision, long\-term strategy, and roadmap for a foundational capability within the next\-gen discovery platform.
* Define data models, technical architecture, and platform interfaces for intelligent product experiences.
* Partner with engineering to design scalable APIs and system components.
* Collaborate with AI/ML teams to integrate advanced capabilities.
* Write PRFAQs and technical narratives to align senior leadership on product vision.
* Engage with CIOs and analysts to validate pain points and iterate on product\-market fit.
* Define success metrics and build strategies for continuous learning.
**Requirements**
* 7\+ years of product management experience, with 4\+ years in a technical or platform product role.
* Bachelor’s degree in Computer Science, Engineering, or equivalent technical experience.
* Proven experience in launching products in fast\-paced environments.
* Deep technical expertise in architecture and API design.
* Strong communication skills, capable of influencing high\-level stakeholders.
* Experience leading cross\-functional teams in engineering and design.
* Customer\-oriented with a track record of impactful results.
**Benefits**
* 15 vacation days (prorated based on start date)
* 12 company\-paid holidays
* 6 paid sick days (prorated based on start date)
* Medical, dental, and vision coverage
* 2 floating holidays (prorated based on start date)
* 1 volunteer day
* 401(k) company match (3% on the first 6% of employee contributions)
* Company\-paid short\-term disability
* Company\-paid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4">
      <c r="A124" t="inlineStr">
        <is>
          <t>li-4369601571</t>
        </is>
      </c>
      <c r="B124" t="inlineStr">
        <is>
          <t>Remote Senior Product Manager</t>
        </is>
      </c>
      <c r="C124" t="inlineStr">
        <is>
          <t>Jobgether</t>
        </is>
      </c>
      <c r="D124" t="inlineStr">
        <is>
          <t>linkedin</t>
        </is>
      </c>
      <c r="E124">
        <f>HYPERLINK("https://www.linkedin.com/jobs/view/4369601571", "https://www.linkedin.com/jobs/view/4369601571")</f>
        <v/>
      </c>
      <c r="F124" t="inlineStr"/>
      <c r="G124" t="inlineStr">
        <is>
          <t>New York, United States</t>
        </is>
      </c>
      <c r="H124" t="inlineStr"/>
      <c r="I124" t="inlineStr">
        <is>
          <t>This position is posted by Jobgether on behalf of a partner company. We are currently looking for a Principal Product Manager \- REMOTE. This role is vital in leading the product strategy, architecture, and execution for a new AI\-powered platform that will transform decision\-making processes. The ideal candidate will act as the single\-threaded owner for a foundational capability, collaborating across various teams including engineering, AI/ML, and design to create a seamless product experience. You'll have the opportunity to define how content is modeled and user intents are recognized, making a significant impact on the future of the platform.
**Accountabilities**
* Own the product vision, long\-term strategy, and roadmap for a foundational capability within the next\-gen discovery platform.
* Define data models, technical architecture, and platform interfaces for intelligent product experiences.
* Partner with engineering to design scalable APIs and system components.
* Collaborate with AI/ML teams to integrate advanced capabilities.
* Write PRFAQs and technical narratives to align senior leadership on product vision.
* Engage with CIOs and analysts to validate pain points and iterate on product\-market fit.
* Define success metrics and build strategies for continuous learning.
**Requirements**
* 7\+ years of product management experience, with 4\+ years in a technical or platform product role.
* Bachelor’s degree in Computer Science, Engineering, or equivalent technical experience.
* Proven experience in launching products in fast\-paced environments.
* Deep technical expertise in architecture and API design.
* Strong communication skills, capable of influencing high\-level stakeholders.
* Experience leading cross\-functional teams in engineering and design.
* Customer\-oriented with a track record of impactful results.
**Benefits**
* 15 vacation days (prorated based on start date)
* 12 company\-paid holidays
* 6 paid sick days (prorated based on start date)
* Medical, dental, and vision coverage
* 2 floating holidays (prorated based on start date)
* 1 volunteer day
* 401(k) company match (3% on the first 6% of employee contributions)
* Company\-paid short\-term disability
* Company\-paid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5">
      <c r="A125" t="inlineStr">
        <is>
          <t>li-4369619122</t>
        </is>
      </c>
      <c r="B125" t="inlineStr">
        <is>
          <t>Remote Technical Product Manager</t>
        </is>
      </c>
      <c r="C125" t="inlineStr">
        <is>
          <t>Jobgether</t>
        </is>
      </c>
      <c r="D125" t="inlineStr">
        <is>
          <t>linkedin</t>
        </is>
      </c>
      <c r="E125">
        <f>HYPERLINK("https://www.linkedin.com/jobs/view/4369619122", "https://www.linkedin.com/jobs/view/4369619122")</f>
        <v/>
      </c>
      <c r="F125" t="inlineStr"/>
      <c r="G125" t="inlineStr">
        <is>
          <t>Illinois, United States</t>
        </is>
      </c>
      <c r="H125" t="inlineStr"/>
      <c r="I125" t="inlineStr">
        <is>
          <t>This position is posted by Jobgether on behalf of a partner company. We are currently looking for a Principal Product Manager \- REMOTE. This role is vital in leading the product strategy, architecture, and execution for a new AI\-powered platform that will transform decision\-making processes. The ideal candidate will act as the single\-threaded owner for a foundational capability, collaborating across various teams including engineering, AI/ML, and design to create a seamless product experience. You'll have the opportunity to define how content is modeled and user intents are recognized, making a significant impact on the future of the platform.
**Accountabilities**
* Own the product vision, long\-term strategy, and roadmap for a foundational capability within the next\-gen discovery platform.
* Define data models, technical architecture, and platform interfaces for intelligent product experiences.
* Partner with engineering to design scalable APIs and system components.
* Collaborate with AI/ML teams to integrate advanced capabilities.
* Write PRFAQs and technical narratives to align senior leadership on product vision.
* Engage with CIOs and analysts to validate pain points and iterate on product\-market fit.
* Define success metrics and build strategies for continuous learning.
**Requirements**
* 7\+ years of product management experience, with 4\+ years in a technical or platform product role.
* Bachelor’s degree in Computer Science, Engineering, or equivalent technical experience.
* Proven experience in launching products in fast\-paced environments.
* Deep technical expertise in architecture and API design.
* Strong communication skills, capable of influencing high\-level stakeholders.
* Experience leading cross\-functional teams in engineering and design.
* Customer\-oriented with a track record of impactful results.
**Benefits**
* 15 vacation days (prorated based on start date)
* 12 company\-paid holidays
* 6 paid sick days (prorated based on start date)
* Medical, dental, and vision coverage
* 2 floating holidays (prorated based on start date)
* 1 volunteer day
* 401(k) company match (3% on the first 6% of employee contributions)
* Company\-paid short\-term disability
* Company\-paid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6">
      <c r="A126" t="inlineStr">
        <is>
          <t>li-4369498118</t>
        </is>
      </c>
      <c r="B126" t="inlineStr">
        <is>
          <t>Software Product Manager</t>
        </is>
      </c>
      <c r="C126" t="inlineStr">
        <is>
          <t>Eos Energy Enterprises, Inc.</t>
        </is>
      </c>
      <c r="D126" t="inlineStr">
        <is>
          <t>linkedin</t>
        </is>
      </c>
      <c r="E126">
        <f>HYPERLINK("https://www.linkedin.com/jobs/view/4369498118", "https://www.linkedin.com/jobs/view/4369498118")</f>
        <v/>
      </c>
      <c r="F126" t="inlineStr"/>
      <c r="G126" t="inlineStr">
        <is>
          <t>Edison, NJ</t>
        </is>
      </c>
      <c r="H126" t="inlineStr"/>
      <c r="I126" t="inlineStr">
        <is>
          <t>**About the Role:** 
 The
 **Product Manager** 
 will be a key contributor to Eos’ product development path to realize a growing battery energy storage product portfolio based on Eos’ unique battery technology.
 The Product Manager will be accountable for product drivers that is aligned to Eos product strategies and development roadmap leading to maintaining a stable product platform while contributing to the development of next generation product features.
**Location:** 
 Hybrid in Edison, NJ or Pittsburgh, PA, with travel between locations as needed
**Responsibilities:** 
* Proactively identify product gaps, industry needs/trends, and pain/value points for internal and external customers through rigorous market research. Focus on opportunities for product differentiation and growth.
* Quantify the value of new product features to help define a minimum viable product and product roadmap
* Collaborate with Commercial, Projects Field Service, and Engineering organizations to present a clear picture of current product capabilities and a future timeline of product types and capabilities
* Translate product roadmap and business strategy into detailed requirements which the software engineering organization can develop into software products and platform. Obtain buy\-in from key stakeholders across the organization.
* Participate in customer meetings with Sales/Business Development/Commercial teams to advise on questions about product capabilities
* Coordinate product development, testing, and release between internal and external stakeholders to ensure new products meet product requirements and expectations, and release commitments
* Write business cases as well as user stories, market requirements, product requirements, and other similar documents
* Create or lead internal efforts to create transition materials for platform and products for software introduction steps, and also to onboard new stakeholders
* Design and build operational processes to help engineering and development teams towards product delivery outcomes
* Visit Eos customer installations and production facilities depending on customer and business needs
* Manage multiple initiatives concurrently, both minor and major
* Additional job duties may be assigned at any time, with or without notice, as determined by business needs.
**Knowledge, Skills, and Abilities:** 
* Direct knowledge of Battery Energy Storage Systems (BESS), software platforms and products in the ESS industry
* Strong organizing skills and ability to balance multiple priorities at once.
* Facilitate agile team meetings
* Excellent interpersonal skills, including the ability to interact effectively with professional and technical staff, manufacturing and operations staff, third\-party partners, customers and customer\-facing department members.
* People management skills; supervising of direct reports including, but not limited to, Technical Project Managers.
* Ability to keep team members accountable for assigned deliverables in a matrixed organization.
* Excellent verbal and written communication skills, including strong professional presentation skills and the ability to develop effective presentation content for stakeholder communications.
* An understanding of how to manage and balance product costs, features, and development/launch schedules.
* A passion for solving complex problems with creative, innovative, elegant solutions.
**Education and Experience:** 
* Bachelor's degree in electrical engineering, computer science/engineering, or similar required.
* MBA or bachelor's degree in electrical engineering, computer science/engineering, or similar preferred.
* Minimum of 8 years' experience.
**Travel:** 
* Local Travel: 10\-25%
* Overnight/North America: 10\-25%
**Working Conditions:** 
* Office Environment \- Must be able to remain in a stationary position 50% of the time and occasionally move about inside the office to access file cabinets, office machinery, etc. Required to have close visual acuity to perform an activity such as: preparing and analyzing data and figures; transcribing; viewing a computer terminal; extensive reading. May be required to exert up to 25 pounds of force occasionally to lift, carry, push, pull or otherwise move objects, including the human body.
* Customer/Partner Locations – Employee may visit customer or partner locations that may be comprised of office, manufacturing floor, laboratory environments and construction sites depending on the location and reason for visit.</t>
        </is>
      </c>
    </row>
    <row r="127">
      <c r="A127" t="inlineStr">
        <is>
          <t>li-4262767891</t>
        </is>
      </c>
      <c r="B127" t="inlineStr">
        <is>
          <t>Senior Product Manager</t>
        </is>
      </c>
      <c r="C127" t="inlineStr">
        <is>
          <t>SecurityScorecard</t>
        </is>
      </c>
      <c r="D127" t="inlineStr">
        <is>
          <t>linkedin</t>
        </is>
      </c>
      <c r="E127">
        <f>HYPERLINK("https://www.linkedin.com/jobs/view/4262767891", "https://www.linkedin.com/jobs/view/4262767891")</f>
        <v/>
      </c>
      <c r="F127">
        <f>HYPERLINK("https://securityscorecard.com/company/careers-list/?gh_jid=6948728&amp;gh_src=a01abecb1us&amp;urlHash=vX74", "https://securityscorecard.com/company/careers-list/?gh_jid=6948728&amp;gh_src=a01abecb1us&amp;urlHash=vX74")</f>
        <v/>
      </c>
      <c r="G127" t="inlineStr"/>
      <c r="H127" t="inlineStr"/>
      <c r="I127" t="inlineStr">
        <is>
          <t>**About SecurityScorecard**
 SecurityScorecard is the global leader in cybersecurity ratings, with over 12 million companies continuously rated, operating in 64 countries. Founded in 2013 by security and risk experts Dr. Alex Yampolskiy and Sam Kassoumeh and funded by world\-class investors, SecurityScorecard’s patented rating technology is used by over 25,000 organizations for self\-monitoring, third\-party risk management, board reporting, and cyber insurance underwriting; making all organizations more resilient by allowing them to easily find and fix cybersecurity risks across their digital footprint.
 Headquartered in New York City, our culture has been recognized by Inc Magazine as a "Best Workplace,” by Crain’s NY as a "Best Places to Work in NYC," and as one of the 10 hottest SaaS startups in New York for two years in a row. Most recently, SecurityScorecard was named to Fast Company’s annual list of the World’s Most Innovative Companies for 2023 and to the Achievers 50 Most Engaged Workplaces in 2023 award recognizing “forward\-thinking employers for their unwavering commitment to employee engagement.” SecurityScorecard is proud to be funded by world\-class investors including Silver Lake Waterman, Moody’s, Sequoia Capital, GV and Riverwood Capital.
**About The Role**
 If you are a Sr. Product Manager who is excited by Cybersecurity, its impact on business risk, and innovative technologies that enable customers to stay continuously secure \- this role might be for you!
 At SecurityScorecard we put our user’s first, strategically drive our decisions with data, and operate as a unit. We are customer obsessed and always seek to drive excellence, both in ourselves and others (and of course in our product!). As a Sr. Product Manager at Security Scorecard, you will work cross\-functionally to guide products from conception to launch by connecting the security and business worlds. You can break down complex problems into steps that drive product development at both speed and scale. You understand that as a Sr. Product Manager it is your job to align roadmap planning with key metrics and KPIs, and you critically focus on creating customer value, based on data as well as a strong understanding of the user journey. You will be a leader in our mission to help the world instantly and non\-intrusively measure, collaborate and reduce the cyber\-risk of any company in the world.
**Core Responsibilities**
* Understand complex customer needs and prioritize the customer \&amp; business value, while adapting to evolving market conditions
* Work closely and efficiently with product management leadership, engineering teams, designers, and customer success to ensure transparency, teamwork, and massive value add
* Prioritize, plan, and execute innovative product ideas, features, and enhancements
* Become subject matter expert, with a deep understanding of the market direction, user needs, competitive landscape and solutions ecosystems, and know how to align these to the company vision
* Define and analyze metrics that inform the success and quality of products and features
**Qualifications**
* 5\+ years of experience with software product management in an enterprise and/or startup environment
* 2\+ yeas of experience in the cybersecurity domain
* Bachelor's Degree, or equivalent experience required; MBA and/or Master's degree in Computer Science or related discipline preferred
* Experience contributing to engineering discussions around technology decisions and strategy related to a product
* Experience owning roadmap strategy and definition
* Exposure and awareness of Cybersecurity and compliance standards (NIST, PCI, SIG, etc.)
* Experience owning feature delivery and tradeoffs of a product
* Prior experience in cybersecurity, data science, compliance, or statistics is preferred
**Benefits**
 Specific to each country, we offer a competitive salary, stock options, Health benefits, and unlimited PTO, parental leave, tuition reimbursements, and much more!
 The estimated total compensation range for this position is $150,000 \- $200,000 (USD)(base plus bonus). Actual compensation for the position is based on a variety of factors, including, but not limited to affordability, skills, qualifications and experience, and may vary from the range. In addition to base salary, employees may also be eligible for annual performance\-based incentive compensation awards and equity, among other company benefits.
*SecurityScorecard is committed to Equal Employment Opportunity and embraces diversity. We believe that our team is strengthened through hiring and retaining employees with diverse backgrounds, skill sets, ideas, and perspectives. We make hiring decisions based on merit and do not discriminate based on race, color, religion, national origin, sex or gender (including pregnancy) gender identity or expression (including transgender status), sexual orientation, age, marital, veteran, disability status or any other protected category in accordance with applicable law.*
*We also consider qualified applicants regardless of criminal histories, in accordance with applicable law. We are committed to providing reasonable accommodations for qualified individuals with disabilities in our job application procedures. If you need assistance or accommodation due to a disability, please contact talentacquisitionoperations@securityscorecard.io.*
*Any information you submit to SecurityScorecard as part of your application will be processed in accordance with the Company’s privacy policy and applicable law.*
*SecurityScorecard does not accept unsolicited resumes from employment agencies. Please note that we do not provide immigration sponsorship for this position.I*</t>
        </is>
      </c>
    </row>
    <row r="128">
      <c r="A128" t="inlineStr">
        <is>
          <t>li-4369605477</t>
        </is>
      </c>
      <c r="B128" t="inlineStr">
        <is>
          <t>Remote Lead Principal Product Manager</t>
        </is>
      </c>
      <c r="C128" t="inlineStr">
        <is>
          <t>Jobgether</t>
        </is>
      </c>
      <c r="D128" t="inlineStr">
        <is>
          <t>linkedin</t>
        </is>
      </c>
      <c r="E128">
        <f>HYPERLINK("https://www.linkedin.com/jobs/view/4369605477", "https://www.linkedin.com/jobs/view/4369605477")</f>
        <v/>
      </c>
      <c r="F128" t="inlineStr"/>
      <c r="G128" t="inlineStr">
        <is>
          <t>Massachusetts, United States</t>
        </is>
      </c>
      <c r="H128" t="inlineStr"/>
      <c r="I128" t="inlineStr">
        <is>
          <t>This position is posted by Jobgether on behalf of a partner company. We are currently looking for a Principal Product Manager \- REMOTE. This role is vital in leading the product strategy, architecture, and execution for a new AI\-powered platform that will transform decision\-making processes. The ideal candidate will act as the single\-threaded owner for a foundational capability, collaborating across various teams including engineering, AI/ML, and design to create a seamless product experience. You'll have the opportunity to define how content is modeled and user intents are recognized, making a significant impact on the future of the platform.
**Accountabilities**
* Own the product vision, long\-term strategy, and roadmap for a foundational capability within the next\-gen discovery platform.
* Define data models, technical architecture, and platform interfaces for intelligent product experiences.
* Partner with engineering to design scalable APIs and system components.
* Collaborate with AI/ML teams to integrate advanced capabilities.
* Write PRFAQs and technical narratives to align senior leadership on product vision.
* Engage with CIOs and analysts to validate pain points and iterate on product\-market fit.
* Define success metrics and build strategies for continuous learning.
**Requirements**
* 7\+ years of product management experience, with 4\+ years in a technical or platform product role.
* Bachelor’s degree in Computer Science, Engineering, or equivalent technical experience.
* Proven experience in launching products in fast\-paced environments.
* Deep technical expertise in architecture and API design.
* Strong communication skills, capable of influencing high\-level stakeholders.
* Experience leading cross\-functional teams in engineering and design.
* Customer\-oriented with a track record of impactful results.
**Benefits**
* 15 vacation days (prorated based on start date)
* 12 company\-paid holidays
* 6 paid sick days (prorated based on start date)
* Medical, dental, and vision coverage
* 2 floating holidays (prorated based on start date)
* 1 volunteer day
* 401(k) company match (3% on the first 6% of employee contributions)
* Company\-paid short\-term disability
* Company\-paid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9">
      <c r="A129" t="inlineStr">
        <is>
          <t>li-4369606444</t>
        </is>
      </c>
      <c r="B129" t="inlineStr">
        <is>
          <t>Senior Principal Product Manager - REMOTE</t>
        </is>
      </c>
      <c r="C129" t="inlineStr">
        <is>
          <t>Jobgether</t>
        </is>
      </c>
      <c r="D129" t="inlineStr">
        <is>
          <t>linkedin</t>
        </is>
      </c>
      <c r="E129">
        <f>HYPERLINK("https://www.linkedin.com/jobs/view/4369606444", "https://www.linkedin.com/jobs/view/4369606444")</f>
        <v/>
      </c>
      <c r="F129" t="inlineStr"/>
      <c r="G129" t="inlineStr">
        <is>
          <t>Pennsylvania, United States</t>
        </is>
      </c>
      <c r="H129" t="inlineStr"/>
      <c r="I129" t="inlineStr">
        <is>
          <t>This position is posted by Jobgether on behalf of a partner company. We are currently looking for a Principal Product Manager \- REMOTE. This role is vital in leading the product strategy, architecture, and execution for a new AI\-powered platform that will transform decision\-making processes. The ideal candidate will act as the single\-threaded owner for a foundational capability, collaborating across various teams including engineering, AI/ML, and design to create a seamless product experience. You'll have the opportunity to define how content is modeled and user intents are recognized, making a significant impact on the future of the platform.
**Accountabilities**
* Own the product vision, long\-term strategy, and roadmap for a foundational capability within the next\-gen discovery platform.
* Define data models, technical architecture, and platform interfaces for intelligent product experiences.
* Partner with engineering to design scalable APIs and system components.
* Collaborate with AI/ML teams to integrate advanced capabilities.
* Write PRFAQs and technical narratives to align senior leadership on product vision.
* Engage with CIOs and analysts to validate pain points and iterate on product\-market fit.
* Define success metrics and build strategies for continuous learning.
**Requirements**
* 7\+ years of product management experience, with 4\+ years in a technical or platform product role.
* Bachelor’s degree in Computer Science, Engineering, or equivalent technical experience.
* Proven experience in launching products in fast\-paced environments.
* Deep technical expertise in architecture and API design.
* Strong communication skills, capable of influencing high\-level stakeholders.
* Experience leading cross\-functional teams in engineering and design.
* Customer\-oriented with a track record of impactful results.
**Benefits**
* 15 vacation days (prorated based on start date)
* 12 company\-paid holidays
* 6 paid sick days (prorated based on start date)
* Medical, dental, and vision coverage
* 2 floating holidays (prorated based on start date)
* 1 volunteer day
* 401(k) company match (3% on the first 6% of employee contributions)
* Company\-paid short\-term disability
* Company\-paid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0">
      <c r="A130" t="inlineStr">
        <is>
          <t>li-4315487847</t>
        </is>
      </c>
      <c r="B130" t="inlineStr">
        <is>
          <t>Product Manager</t>
        </is>
      </c>
      <c r="C130" t="inlineStr">
        <is>
          <t>Oracle</t>
        </is>
      </c>
      <c r="D130" t="inlineStr">
        <is>
          <t>linkedin</t>
        </is>
      </c>
      <c r="E130">
        <f>HYPERLINK("https://www.linkedin.com/jobs/view/4315487847", "https://www.linkedin.com/jobs/view/4315487847")</f>
        <v/>
      </c>
      <c r="F130">
        <f>HYPERLINK("https://eeho.fa.us2.oraclecloud.com/hcmUI/CandidateExperience/en/job/312283/?utm_medium=jobboard&amp;utm_source=LinkedIn&amp;urlHash=8bs-", "https://eeho.fa.us2.oraclecloud.com/hcmUI/CandidateExperience/en/job/312283/?utm_medium=jobboard&amp;utm_source=LinkedIn&amp;urlHash=8bs-")</f>
        <v/>
      </c>
      <c r="G130" t="inlineStr">
        <is>
          <t>Reston, VA</t>
        </is>
      </c>
      <c r="H130" t="inlineStr"/>
      <c r="I130" t="inlineStr">
        <is>
          <t>**Job Description**
 Lead product management/architect activities as the driving force for the design, process, manufacturing, test, quality and marketing of product(s) as they move from conception to distribution. Organize cross\-company activities ensuring completion of the project/product on schedule and within budget.
* Work with strategic customers to understand their requirements, influence our product roadmap, evangelize our solutions, and determine how to accelerate cloud consumption.
* Directly influence how our global government customers use OCI.
* Provide your expertise and guidance throughout the deal cycle (pre\-RFP to solution delivery and steady\-state).
* Design secure, scalable, and cost\-effective cloud architectures leveraging OCI US Gov Regions.
* Collaborate with cloud engineering, product management, and security teams to advocate for customer needs and resolve technical issues.
* Act as the voice of customers to Oracle’s various cloud engineering teams.
* Be our product evangelist \- engage directly with customers and partners, participate and present in external events and conferences.
**Responsibilities**
* Demonstrable experience translating customer needs into innovative and detailed product requirements for customer\-facing online products/services.
* 10 years of relevant professional experience in product management.
* Experience with cloud platform technologies and understanding of how to apply them to real world problems is required.
* Experience in a technical leadership role, with a cloud platform technology provider is strongly preferred.
* Deep technical knowledge of cloud infrastructure platforms (preferably OCI, AWS, or Azure), with emphasis on secure system design and government compliance.
* Experience supporting US Government customers, including understanding of compliance frameworks such as FedRAMP, FISMA, ITAR, and DoD SRG.
* Experience responding to complex government proposals.
* Strong appreciation of the cloud competitive landscape; customer priorities and challenges.
* Strong technical competence, communication, and interpersonal skills.
* U.S. Citizenship required.
* Ability to obtain and maintain TS/SCI eligibility with poly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31">
      <c r="A131" t="inlineStr">
        <is>
          <t>li-4369611318</t>
        </is>
      </c>
      <c r="B131" t="inlineStr">
        <is>
          <t>Sr. Technical Product Manager - REMOTE</t>
        </is>
      </c>
      <c r="C131" t="inlineStr">
        <is>
          <t>Jobgether</t>
        </is>
      </c>
      <c r="D131" t="inlineStr">
        <is>
          <t>linkedin</t>
        </is>
      </c>
      <c r="E131">
        <f>HYPERLINK("https://www.linkedin.com/jobs/view/4369611318", "https://www.linkedin.com/jobs/view/4369611318")</f>
        <v/>
      </c>
      <c r="F131" t="inlineStr"/>
      <c r="G131" t="inlineStr">
        <is>
          <t>Maine, United States</t>
        </is>
      </c>
      <c r="H131" t="inlineStr"/>
      <c r="I131" t="inlineStr">
        <is>
          <t>This position is posted by Jobgether on behalf of a partner company. We are currently looking for a Principal Product Manager \- REMOTE. This role is vital in leading the product strategy, architecture, and execution for a new AI\-powered platform that will transform decision\-making processes. The ideal candidate will act as the single\-threaded owner for a foundational capability, collaborating across various teams including engineering, AI/ML, and design to create a seamless product experience. You'll have the opportunity to define how content is modeled and user intents are recognized, making a significant impact on the future of the platform.
**Accountabilities**
* Own the product vision, long\-term strategy, and roadmap for a foundational capability within the next\-gen discovery platform.
* Define data models, technical architecture, and platform interfaces for intelligent product experiences.
* Partner with engineering to design scalable APIs and system components.
* Collaborate with AI/ML teams to integrate advanced capabilities.
* Write PRFAQs and technical narratives to align senior leadership on product vision.
* Engage with CIOs and analysts to validate pain points and iterate on product\-market fit.
* Define success metrics and build strategies for continuous learning.
**Requirements**
* 7\+ years of product management experience, with 4\+ years in a technical or platform product role.
* Bachelor’s degree in Computer Science, Engineering, or equivalent technical experience.
* Proven experience in launching products in fast\-paced environments.
* Deep technical expertise in architecture and API design.
* Strong communication skills, capable of influencing high\-level stakeholders.
* Experience leading cross\-functional teams in engineering and design.
* Customer\-oriented with a track record of impactful results.
**Benefits**
* 15 vacation days (prorated based on start date)
* 12 company\-paid holidays
* 6 paid sick days (prorated based on start date)
* Medical, dental, and vision coverage
* 2 floating holidays (prorated based on start date)
* 1 volunteer day
* 401(k) company match (3% on the first 6% of employee contributions)
* Company\-paid short\-term disability
* Company\-paid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2">
      <c r="A132" t="inlineStr">
        <is>
          <t>li-4369109031</t>
        </is>
      </c>
      <c r="B132" t="inlineStr">
        <is>
          <t>Product Manager, Communication and Time Management Intelligence</t>
        </is>
      </c>
      <c r="C132" t="inlineStr">
        <is>
          <t>Google</t>
        </is>
      </c>
      <c r="D132" t="inlineStr">
        <is>
          <t>linkedin</t>
        </is>
      </c>
      <c r="E132">
        <f>HYPERLINK("https://www.linkedin.com/jobs/view/4369109031", "https://www.linkedin.com/jobs/view/4369109031")</f>
        <v/>
      </c>
      <c r="F132" t="inlineStr"/>
      <c r="G132" t="inlineStr">
        <is>
          <t>New York, NY</t>
        </is>
      </c>
      <c r="H132" t="inlineStr"/>
      <c r="I13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New York, NY, USA** 
 .
 **Minimum qualifications:**
* Bachelor's degree in Computer Science, a related technical field, or equivalent practical experience.
* 10 years of experience in product management, taking a technical product from 0 to 1 or managing a product through a full lifecycle.
* Experience building and shipping products powered by Machine Learning, Natural Language Processing (NLP), or Large Language Models (LLMs).
**Preferred qualifications:**
* Experience building platformized services or infrastructure, specifically defining common vocabularies, APIs, or taxonomies used by other product teams.
* Experience in building intent detection systems, task management ecosystems/workflow automation tools.
* Experience leading ambiguous V1 projects in large organizations and converging disparate roadmaps into a unified goal.
* Ability to define a product outlook and strategy for a platform\-level initiative that impacts multiple product surfaces (e.g., cross\-Gmail and Chat).
* Ability to partner with Engineering/Research to evaluate model performance, classify artifacts, and optimize agentic user experiences while collaborating with executive and cross\-functional workspace stakeholders.
* Excellent written and verbal communication skills.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mission is to transform Google Workspace from a suite of productivity tools into intelligent agents that prioritize what matters. The Critical Tasks and Messaging Intelligence team sits at the heart of the AI\-First workspace evolution.
 In this role, you will be responsible for building the intelligence layer that understands user intent, manages complex task lifecycles, and automates messaging workflows across Gmail, Chat, and Calendar. The team is a newly formed team managing some of the most ambiguous and agentic AI problems at Google. You will define how users interact with AI to stay on top of their day, moving beyond simple organization to proactive assistance.
 If you are passionate about LLM orchestration, intuitive UX for complex tasks, and redefining the future of work, we’d love to consider you.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and platformize universal intent detection across Gmail and Chat, establishing a common vocabulary for message and artifact annotation. Drive the outlook and roadmap for workspace automation, converging it with AI inbox initiatives to enable multi\-step user actions.
* Architect the foundational platform layer necessary to enable sophisticated follow\-on actions and autonomous AI agents.
* Own end\-to\-end artifact understanding, leading the development of classifiers to extract high\-signal information (e.g., meeting suggestions) and trigger contextual actions across surfaces.
* Partner with engineering and research to solve high\-ambiguity problems in Large Language Model (LLM) orchestration, ensuring intent detection is both universal and actionable.
* Collaborate with cross\-functional roadmaps to ensure automation features, like auto\-labeling based on trip or project context, are integrated seamlessly into the user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3">
      <c r="A133" t="inlineStr">
        <is>
          <t>li-4362722707</t>
        </is>
      </c>
      <c r="B133" t="inlineStr">
        <is>
          <t>IT Product Manager, Salesforce</t>
        </is>
      </c>
      <c r="C133" t="inlineStr">
        <is>
          <t>SailPoint</t>
        </is>
      </c>
      <c r="D133" t="inlineStr">
        <is>
          <t>linkedin</t>
        </is>
      </c>
      <c r="E133">
        <f>HYPERLINK("https://www.linkedin.com/jobs/view/4362722707", "https://www.linkedin.com/jobs/view/4362722707")</f>
        <v/>
      </c>
      <c r="F133">
        <f>HYPERLINK("https://sailpoint.wd1.myworkdayjobs.com/SailPoint/job/United-States/IT-Product-Manager\u002d\u002dSFDC\u002d\u002d-AI_R011328?source=LinkedIn&amp;urlHash=0jpY", "https://sailpoint.wd1.myworkdayjobs.com/SailPoint/job/United-States/IT-Product-Manager\u002d\u002dSFDC\u002d\u002d-AI_R011328?source=LinkedIn&amp;urlHash=0jpY")</f>
        <v/>
      </c>
      <c r="G133" t="inlineStr"/>
      <c r="H133" t="inlineStr"/>
      <c r="I133" t="inlineStr">
        <is>
          <t>**Product Manager – Salesforce**
 SailPoint is the leader in identity security and governance, driving innovation and shaping the future of the industry. As a rapidly growing company, we're committed to extending our market leadership by investing heavily in AI capabilities.  
 Since 2018, SailPoint has been delivering AI\-driven solutions, and now, more than ever, Artificial Intelligence is a core pillar of our strategy. We are seeking a visionary product manager to both launch new initiatives as well as spearhead the deeper integration of AI into SailPoint’s core functionality.   
 This role needs a product leader with a keen understanding of market dynamics and strategic thinking, combined with strong communication, emotional intelligence, and organizational skills. You will collaborate with internal and external stakeholders, including peer product managers across different business lines, to help define the vision and deliver AI/ML\-powered innovations across SailPoint's portfolio, delivering value for our customers. 
 We genuinely care about people and value kindness in our everyday interactions. You'll be able to be yourself, valued, supported, learn, and grow. If you want to learn more about what it's like to work here, check out
 sailpoint.com
 , and read
 what makes us different
 . 
**What will I be doing?** 
* Closely partner with the business stakeholders and data engineering teams across SailPoint orgs to deliver new functionality as well as to iterate on existing features in third party applications.
* Participate in all areas of the product lifecycle from ideation, user research, gathering requirements, to launch readiness
* Drive product innovation through feedback from our business stakeholders and IT partners, as well as product analytics and market research
* Engage with stakeholders to scope work, understand the impact, and gain consensus
* Translate business needs into clear product requirements and user stories
* Help deﬁne success metrics and measure the impact and results of new solutions
* Prioritize features and enhancements with our business stakeholders, focusing on impact, feasibility and compliance
* Partner with Salesforce and IT data engineering to develop, prioritize, and manage the product backlog in a lean/agile environment. Influence product direction across functional IT teams (security, ops, applications infrastructure, etc.)
* Maintain roadmap and coordinate adoption of deliverables with other product lines.
* Manage and refine integrations between Salesforce and integrated systems like Certinia and Ironclad.
* Oversee configuration, data models, workflows, and automation in partnership with Salesforce admins and developers.
* Collaborate with Legal teams to streamline contract lifecycle workflows through Ironclad.
* Work with Sales, RevOps, and Operations to improve quoting, forecasting, and pipeline processes.
* Champion data quality, security, and compliance across systems
**What will I need?** 
* 5\+ years of experience as a Product Manager, Salesforce Product Owner, working closely with both business stakeholders and technical teams
* Strong understanding of SaaS business processes (quote‑to‑cash, contract lifecycle, financial operations).
* **Previous Salesforce implementation, enhancement, and modification experience required.**
* **Knowledge of Salesforce objects, fields, opportunities, workflows, and validations.**
* **Previous experience in a product management environment.**
* Excellent communication skills with the ability, and confidence, to communicate and land messages across both technical, and non\-technical, audiences
* Experience with Salesforce and CPQ, working with business stakeholders and technical teams to solve business problems
* Experience managing enterprise SaaS products in a rapidly growing industry
* Demonstrable success working in a data\-driven, outcome\-oriented environment using frameworks like OKRs (objectives and key results)
* Demonstrated success in working with user experience and engineering teams to research, plan, develop, refine, and launch successful enterprise SaaS products
* Proven experience working with product marketing, marketing, and sales to successfully launch new products and enhancements to the market
* Excellent interpersonal, facilitation, and communication skills
**Preferred but not required:** 
* BA/BS in computer science information systems or related field
* Background working in Agile/Scrum environments
* Direct experience with
 **Certinia (FinancialForce)** 
  — PSA, Billing, Revenue Management, or Accounting modules.(Preferred)
* Experience implementing or managing
 **Ironclad** 
  workflows and integrations.(Preferred)
**Base salary will be $120,000\-$130,000\.**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$86,200 \- $123,100 \- $160,000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is>
      </c>
    </row>
    <row r="134">
      <c r="A134" t="inlineStr">
        <is>
          <t>li-4369499679</t>
        </is>
      </c>
      <c r="B134" t="inlineStr">
        <is>
          <t>Product Manager, Agentic Commerce</t>
        </is>
      </c>
      <c r="C134" t="inlineStr">
        <is>
          <t>Worldpay</t>
        </is>
      </c>
      <c r="D134" t="inlineStr">
        <is>
          <t>linkedin</t>
        </is>
      </c>
      <c r="E134">
        <f>HYPERLINK("https://www.linkedin.com/jobs/view/4369499679", "https://www.linkedin.com/jobs/view/4369499679")</f>
        <v/>
      </c>
      <c r="F134" t="inlineStr"/>
      <c r="G134" t="inlineStr">
        <is>
          <t>Denver, CO</t>
        </is>
      </c>
      <c r="H134" t="inlineStr"/>
      <c r="I134" t="inlineStr">
        <is>
          <t>**Job Description**
**Product Manager, Agentic Commerce**
 Team: Product
 Location: US – San Francisco, Denver, Atlanta, NYC or Boston
 Position: Full time
 Are you ready to write your next chapter?
 Make your mark at one of the biggest names in payments. With proven technology, we process the largest volume of payments in the world, driving the global economy every day. When you join Worldpay, you join a global community of experts and changemakers, working to reinvent an industry by constantly evolving how we work and making the way millions of people pay easier, every day.
 What makes a Worldpayer? It’s simple: Think, Act, Win. We stay curious, always asking the right questions to be better every day, finding creative solutions to simplify the complex. We’re dynamic, every Worldpayer is empowered to make the right decisions for their customers. And we’re determined, always staying open – winning and failing as one.
 Are you ready to make your mark? Then you sound like a Worldpayer.
**About The Team**
 The newly formed
 **Agentic Commerce** 
 team focuses on building the future of commerce in the world of AI – transformative products that redefine how AI\-powered agents discover products, checkout and complete transactions on behalf of consumers safely and securely. Our vision is to establish Worldpay as the ‘universal adapter’ that our merchants can leverage to seamlessly allow the plethora of agents and evolving protocols to safely conduct commerce on their platforms.
 The team will liaise with Worldpay’s existing product teams to evolve our existing products, such as fraud tools, payment optimisation products, dashboards, disputes platforms, to be agent\-ready. We will also work with Commercial, GTM, Marketing, and other teams to ensure the products we build are rooted in our merchant needs, and drive thought leadership working alongside other industry players and advocating on behalf of our merchants. The team remit also involves forging and developing relationships with the players at the cutting edge of AI, such as Google, OpenAI, Meta, and others.
 Together, our collective goal is to push the boundaries of ecommerce as we know today, and support our merchants in accessing new customers and allowing even more seamless payment experiences of the future.
**What You'll Own**
 As Product Manager for Agentic Commerce, you will own the vision, design, and execution of products that enable AI agents to seamlessly integrate payment capabilities, building new commercial models for the agentic economy.
**Strategic Product Leadership**
* Develop a compelling vision and product roadmap for agentic commerce with input from AI companies, merchants, market research, and industry insight
* Help establish Worldpay's position in agentic commerce standards and protocols, working with key ecosystem players and internal experts
**Product Development \&amp; Delivery**
* Partner with Engineering \&amp; other Product teams to ship high\-impact features to allow agents to conduct purchases on our merchant’s surfaces
* Write, refine, and socialize epics/features with engineering teams to deliver value aligned with the product vision and roadmap
* Develop new API primitives and integration experiences specifically designed for agentic workflows
* Support Product teams across Worldpay, incl. backend services, dashboard interfaces, money movement systems, and API integrations, to be agent\-ready
**Cross\-functional Collaboration \&amp; Go\-to\-Market Support**
* Collaborate with GTM and other commercial teams to deliver go\-to\-market strategies with clear segmentation, targeting, and positioning
* Engage directly with select customers and AI platform builders as a subject matter expert, understand business needs and translate requirements into novel product shapes
* Work closely with Partnership team to onboard AI companies and facilitate rapid prototyping
**Analysis \&amp; Optimization**
* Leverage strong analytical skills to dive into data, test hypotheses, and make informed trade\-offs
* Regularly undertake reviews to understand product performance, partnerships, customer adoption, and business value
**What You Bring**
 Minimum Requirements
* 7\+ years of Product Management experience, preferably in payments, fintech, software or platform products
* Proven ability to work effectively across multiple teams and stakeholders, leading initiatives that span multiple Product and Engineering teams and influencing roadmap and execution
* Experience in managing projects end\-to\-end with agile development processes
* Strong written and verbal communication skills, with ability to structure ambiguous concepts clearly and from first principles
* Computer Science background or other similar technical experience
**Preferred Qualifications**
* Familiarity with LLM\-powered systems, understanding of GenAI and agentic AI technologies
* Exposure to Model Context Protocol (MCP), Agent to Agent (A2A), or similar agent integration standards
* Knowledge of the payments industry; familiarity with agentic commerce protocols (AP2, ACP etc.) is a strong bonus
* Experience in ecom platforms and merchant tools
* You've founded or worked at a startup and / or taken a product from 0\-1, but want to do the same at a larger scale
**Worldpay Perks \- What We’ll Bring For You**
 We know it’s bigger than just your career. It’s your life, and your world. That’s why we offer global benefits and programs to support you at every stage. Here’s a taste of what you can expect.
* A competitive salary and benefits.
* Time to support charities and give back to your community.
* Parental leave policy.
* Global recognition platform.
* Virgin Pulse access.
* Global employee assistance program.
**What Makes a Worldpayer**
 At Worldpay, we take our Values seriously, and we live them every day. Think like a customer, Act like an owner, and Win as a team.
* Curious. Humble. Creative. We ask the right questions, listening and learning to get better every day. We simplify the complex and we’re always looking to create a bigger impact for our colleagues and customers.
* Empowered. Accountable. Dynamic. We stay agile, using our initiative, taking calculated risks to progress. Never standing still, never settling, we work at pace to achieve our goals. We champion our ideas and stay flexible to make them happen. We know that every action adds up.
* Determined. Inclusive. Open. Unlocking potential means working as one global community. Our work spans borders, and we stay united by our purpose. We collaborate, always encouraging others to perform at their best, welcoming new perspectives.
 Does this sound like you? Then you sound like a Worldpayer.
 Apply now to write the next chapter in your career. We can’t wait to hear from you.
 To find out more about working with us, find us on LinkedIn
 Worldpay is dedicated to offering individuals rewarding career opportunities and competitive compensation. For this full\-time position, the good faith estimated annual salary range upon hire is $105,700\.00\-$159,475\.00\.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135">
      <c r="A135" t="inlineStr">
        <is>
          <t>li-4333092397</t>
        </is>
      </c>
      <c r="B135" t="inlineStr">
        <is>
          <t>Senior Product Manager, Autonomous Vehicle Experience</t>
        </is>
      </c>
      <c r="C135" t="inlineStr">
        <is>
          <t>Uber</t>
        </is>
      </c>
      <c r="D135" t="inlineStr">
        <is>
          <t>linkedin</t>
        </is>
      </c>
      <c r="E135">
        <f>HYPERLINK("https://www.linkedin.com/jobs/view/4333092397", "https://www.linkedin.com/jobs/view/4333092397")</f>
        <v/>
      </c>
      <c r="F135" t="inlineStr"/>
      <c r="G135" t="inlineStr">
        <is>
          <t>New York, NY</t>
        </is>
      </c>
      <c r="H135" t="inlineStr"/>
      <c r="I135" t="inlineStr">
        <is>
          <t>**About The Team**
 At Uber, we combine our leading on\-demand Mobility and Delivery platform with deep expertise in demand generation, user experience, marketplace management, and local operations to help AV partners deploy and scale their technology globally. Our team is at the forefront of revolutionizing transportation with autonomous vehicles (AVs).
**About The Role**
 As a Senior Product Manager for Autonomous Vehicle Experience, you will be part of the product team leading the strategy and execution for the rider experience in AVs. You will be responsible for building a best\-in\-class safe, reliable, and delightful AV\-first experience and will work closely with cross\-functional teams and external partners. This role requires a strong technical background, exceptional leadership skills, and a passion for driving innovation in the autonomous vehicle space.
**Core Responsibilities**
 In this role, you will:
* Lead the strategy and vision for the best\-in\-class AV rider experience
* Educate riders about AVs and build a safe and transparent experience
* Generate demand and grow rider affinity for AVs
* Design a seamless ride experience, including frictionless pick\-up and drop\-offs, vehicle controls before, during, and after trip, and on\-trip experience both in\-app and in\-vehicle
* Ensure a high\-quality rider experience when things don't go as planned
* Collaborate with AV tech partners to improve and co\-design the rider experience, including both software and hardware
**Basic Qualifications**
* 4\+ years of product experience delivering successful and innovative products
* Excellent track record of building best\-in\-class consumer products
* Customer obsession and exceptional user and product instincts
* Ability to take on complex product challenges and find elegant, simplifying solutions
* Proficiency with data: You can find the data you need and turn it into an insightful story, demonstrating its value in decision\-making
* A high bar across the board, from your own contributions to the people you work with, to the products you build
* A true passion for Uber's mission, our products, and the company's hybrid technology/operations nature
* A strong desire to grow and learn
**Preferred Qualifications**
* Experience building products from 0\-1
* Experience owning and leading strategy for lines of business
* Experience with AVs
* Experience with software and hardware
* Experience at a high\-growth company
* Entrepreneurial spirit, demonstrated through identifying and executing on opportunities in ambiguous problem spaces
 For New York, NY\-based roles: The base salary range for this role is USD$190,000 per year \- USD$211,000 per year. For San Francisco,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36">
      <c r="A136" t="inlineStr">
        <is>
          <t>li-4369490398</t>
        </is>
      </c>
      <c r="B136" t="inlineStr">
        <is>
          <t>Senior Product Manager</t>
        </is>
      </c>
      <c r="C136" t="inlineStr">
        <is>
          <t>Microsoft</t>
        </is>
      </c>
      <c r="D136" t="inlineStr">
        <is>
          <t>linkedin</t>
        </is>
      </c>
      <c r="E136">
        <f>HYPERLINK("https://www.linkedin.com/jobs/view/4369490398", "https://www.linkedin.com/jobs/view/4369490398")</f>
        <v/>
      </c>
      <c r="F136" t="inlineStr"/>
      <c r="G136" t="inlineStr">
        <is>
          <t>Redmond, WA</t>
        </is>
      </c>
      <c r="H136" t="inlineStr"/>
      <c r="I136" t="inlineStr">
        <is>
          <t>**Overview**
 Are you ready to shape the future of AI, PC performance, power efficiency, and silicon innovation? The
 **Windows \&amp; Devices (W\+D)** 
 organization is at the forefront of transforming the Windows ecosystem for the AI era—and we are looking for a
 **Senior Product Manager** 
 to lead the next generation of AI fundamentals that make Windows the most performant, energy‑efficient, reliable, and trustworthy AI platform in the world.
 As a
 **Senior Product Manager** 
 , you’ll sit at the strategic intersection of AI, silicon, and system fundamentals. You will define the fundamentals strategy for AI workloads across diverse hardware configurations, partner deeply with engineering and silicon teams, and build the tools, telemetry, and data pipelines that illuminate model behavior, system impact, and user experience. Your work will directly influence how AI experiences are built, measured, optimized, and delivered at global scale.
 This
 **Senior Product Manager** 
 role is part of the
 **Windows Fundamentals team** 
 —whose mission is to uphold a high, principled bar for Windows quality and to ensure that every marquee experience ships with exceptional performance, efficiency, and reliability. We take a data‑driven approach to product truth, invest in optics that reveal regressions before customers feel them, and drive cross‑company partnerships that keep Windows competitive and best‑in‑class. You’ll help us continue this legacy by shaping the AI fundamentals that power the future of Windows across OEMs, IHVs, and the broader ecosystem.
**Responsibilities**
* Strategic leadership: You will work with the team and peers to define priorities for investment, strategies for product improvement, delivering at scale, and investing in systems and tools to improve fundamentals.
* Partner engagement: You will be engaging deeply with partners to achieve our shared goals.
* Technical depth: Our problem space is often deeply technical.  You don’t have to be a perf/power/silicon expert today, but you should have an affinity for technical challenges and diving deep.
* Data\-driven: Skilled at using data to draw insights, answer hard questions, and guide actions.
* Communication and influence: Able to conduct insightful conversations with senior business and technical decision makers inside and outside Microsoft.  Communicate complex ideas to others in a clear, effective, and motivating manner.
* Collaboration: Generous collaborator, able to work effectively across broad teams and influence stakeholders of all levels and of all disciplines across Microsoft.
**Qualifications**
**Required/minimum qualifications**
* Bachelor's Degree AND 5\+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AND 8\+ years experience in product/service/program management or software development
+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5\+ years of experience shipping products in a Product Manager, TPM, Program Manager, or Developer role
* Experience in stakeholder management and partner engagement. Ability to navigate and influence across complex technical stacks and organizational boundaries. Experience working with external partners in a product development context.
 \#W\+DJOBS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7">
      <c r="A137" t="inlineStr">
        <is>
          <t>li-4346270903</t>
        </is>
      </c>
      <c r="B137" t="inlineStr">
        <is>
          <t>Principal Product Manager</t>
        </is>
      </c>
      <c r="C137" t="inlineStr">
        <is>
          <t>Oracle</t>
        </is>
      </c>
      <c r="D137" t="inlineStr">
        <is>
          <t>linkedin</t>
        </is>
      </c>
      <c r="E137">
        <f>HYPERLINK("https://www.linkedin.com/jobs/view/4346270903", "https://www.linkedin.com/jobs/view/4346270903")</f>
        <v/>
      </c>
      <c r="F137" t="inlineStr"/>
      <c r="G137" t="inlineStr">
        <is>
          <t>Seattle, WA</t>
        </is>
      </c>
      <c r="H137" t="inlineStr"/>
      <c r="I137" t="inlineStr">
        <is>
          <t>**Job Description**
 Delivering cloud at scale means reimagining how software is built and shipped. Our mission is to make continuous integration and continuous delivery (CI/CD) as dependable and invisible as electricity—always on, trusted, and empowering developers to focus on their best work. We are building a CI/CD platform that Oracle developers—and enterprise customers—can count on: automation that fades into the background, yet delivers reliability and confidence at massive scale. If you are passionate about building data\-driven systems, solving and simplifying complex problems, and purposefully shaping the backbone of cloud development, join us. Help us make CI/CD a true utility: simple, trusted, and ready whenever it’s needed.
**About the Role:**
 Oracle Cloud Infrastructure (OCI) is seeking a Principal Product Manager to help us lead the charge in redefining CI/CD for modern cloud development. In this critical role, you will architect the data\-driven foundation to demonstrate transformational improvements in engineering efficiency, leveraging both industry standard and tailored metrics. You will help set new benchmarks for what’s possible in CI/CD automation across Oracle engineering.
**Responsibilities**
* Strategic Leadership: Define and drive the vision for the next\-generation CI/CD platform, providing technical and business leadership in a dynamic, fast\-paced environment.
* Data\-Driven Insights: Establish and operationalize frameworks for measuring and improving engineering efficiency using DORA, and customized metrics to deliver actionable insights for product investment decisions.
* Product Lifecycle Management: Drive roadmaps, requirements, and cross\-functional alignment for features spanning pipeline orchestration, infrastructure\-as\-code, observability, and developer experience.
* Persona\-Driven Product Design: Engage deeply with our engineering, operations, and leadership personas, ensuring products address evolving needs in our large\-scale, cloud\-native environments.
* Market \&amp; Competitive Analysis: Research, analyze, and communicate industry trends, competitor activities, and cloud\-native practices to inform strategy.
* Leadership \&amp; Mentorship: Mentor a high\-performing team of Product Managers and collaborate closely with Engineering, UX, SRE, and Developer Relations.
* Evangelism: Represent OCI’s CI/CD vision to executive stakeholders, customers, and developer communities.
**About You:**
* 8\+ years of product management experience, including roles in cloud infrastructure, DevOps platforms, or large\-scale SaaS environments.
* Proven track record managing complex product portfolios and driving measurable business impact.
* DevOps Expertise: Deep, hands\-on knowledge of CI/CD pipelines, code repository management (e.g., Git, GitHub, GitLab), infrastructure as code, observability, and modern software delivery practices. Previous experience as a professional software engineer or in leading DevOps SaaS platforms is highly desirable.
* Cloud\-Native Proficiency: Cloud\-Native Proficiency: Extensive experience with Kubernetes, containers, microservices, and IaaS/PaaS services. Familiarity with AWS, Azure, GCP, and/or OCI.
* Data\-Driven Decision Making: Adept at leveraging data for prioritization, investment decisions, and clear reporting across multiple metrics to diverse stakeholders.
* Technical \&amp; Business Acumen: Ability to bridge the gap between developer needs and business objectives; skilled in articulating value propositions for multiple audiences, including OCI’s internal teams and external customers.
* Developer Advocacy: Extensive experience engaging with engineers and SREs as core customers. Proactiveness in challenging established norms to drive significant transformation.
* Collaborative Leadership: Demonstrated ability to lead, mentor, and motivate teams across organizational boundaries.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38">
      <c r="A138" t="inlineStr">
        <is>
          <t>li-4369474994</t>
        </is>
      </c>
      <c r="B138" t="inlineStr">
        <is>
          <t>Senior Product Manager - Web &amp; Mac Experiences (AI/ML)</t>
        </is>
      </c>
      <c r="C138" t="inlineStr">
        <is>
          <t>Microsoft</t>
        </is>
      </c>
      <c r="D138" t="inlineStr">
        <is>
          <t>linkedin</t>
        </is>
      </c>
      <c r="E138">
        <f>HYPERLINK("https://www.linkedin.com/jobs/view/4369474994", "https://www.linkedin.com/jobs/view/4369474994")</f>
        <v/>
      </c>
      <c r="F138" t="inlineStr"/>
      <c r="G138" t="inlineStr">
        <is>
          <t>Mountain View, CA</t>
        </is>
      </c>
      <c r="H138" t="inlineStr"/>
      <c r="I138" t="inlineStr">
        <is>
          <t>**Overview**
 Help deliver best\-in\-class Web \&amp; Mac experiences for Microsoft AI. You’ll support the lead PM in shaping desktop\-class and modern web interfaces that are beautiful, accessible, and fast—crafting information architecture, interaction patterns, and performance goals across breakpoints and devices.
 We’re looking for a highly motivated, detail\-oriented PM who thrives in execution and collaboration:
* Ships user\-facing desktop/web products with high UX fidelity and accessibility.
* Partners with Design Systems to scale components/tokens and ensure cross\-surface cohesion.
* Balances performance and fidelity with rigorous experimentation and telemetry.
* Aligns multi\-team dependencies to deliver seamless journeys end\-to\-end.
* Communicates clearly, drives clarity, and removes blockers in fast\-moving environments.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Execute on web/macOS scenarios end\-to\-end; define IA, interaction patterns, and component reuse.
 Drive performance \&amp; reliability KPIs (FMP, input latency, memory) and support experimentation.
 Partner with Design on design\-system alignment, accessibility (WCAG), internationalization, and responsive behavior.
 Coordinate dependencies (identity, payments, content, safety) to deliver cohesive multi\-surface journeys.
 Report progress and risks to stakeholders; anticipate blockers and drive mitigation.
 Build durable telemetry, quality bars, and operational rhythms to sustain velocity and UX quality.
**Qualifications**
**Required Qualifications**
* Bachelor’s degree in STEM (or equivalent experience) AND 5\+ years in Product Management.
* Proven track record shipping desktop and/or web experiences at scale with accessibility baked in.
* Strong system\-level thinking across platform capabilities, browser constraints, and performance tradeoffs.
**Preferred Qualifications**
* Design/UX background strongly preferred; ability to read/write detailed UX specs.
* Familiarity with macOS HIG and modern web app foundations (React/TypeScript, perf tooling).
* Experience with AI features and data\-informed iteration.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9">
      <c r="A139" t="inlineStr">
        <is>
          <t>li-4369117330</t>
        </is>
      </c>
      <c r="B139" t="inlineStr">
        <is>
          <t>Senior Product Manager, Xfinity Mobile</t>
        </is>
      </c>
      <c r="C139" t="inlineStr">
        <is>
          <t>hackajob</t>
        </is>
      </c>
      <c r="D139" t="inlineStr">
        <is>
          <t>linkedin</t>
        </is>
      </c>
      <c r="E139">
        <f>HYPERLINK("https://www.linkedin.com/jobs/view/4369117330", "https://www.linkedin.com/jobs/view/4369117330")</f>
        <v/>
      </c>
      <c r="F139">
        <f>HYPERLINK("https://www.hackajob.com/job/57c8e790-0197-11f1-b544-0a05e249917d-senior-product-manager-xfinity-mobile?utm_source=LinkedIn&amp;utm_medium=JobAds&amp;utm_term=Automated&amp;utm_campaign=comcast-senior-product-manager-xfinity-mobile&amp;job_name=senior-product-manager-xfinity-mobile&amp;company=comcast&amp;workplace_type=on-site&amp;city=philadelphia&amp;country=united-states&amp;urlHash=13Bn", "https://www.hackajob.com/job/57c8e790-0197-11f1-b544-0a05e249917d-senior-product-manager-xfinity-mobile?utm_source=LinkedIn&amp;utm_medium=JobAds&amp;utm_term=Automated&amp;utm_campaign=comcast-senior-product-manager-xfinity-mobile&amp;job_name=senior-product-manager-xfinity-mobile&amp;company=comcast&amp;workplace_type=on-site&amp;city=philadelphia&amp;country=united-states&amp;urlHash=13Bn")</f>
        <v/>
      </c>
      <c r="G139" t="inlineStr">
        <is>
          <t>Philadelphia, PA</t>
        </is>
      </c>
      <c r="H139" t="inlineStr"/>
      <c r="I139"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Comcast brings together the best in media and technology. We drive innovation to create the world’s best entertainment and connectivity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They bring cutting\-edge products and services to life for millions of customers every day. Within our T\&amp;P (Technology and Product) organization, we are seeking a highly motivated and results\-oriented Senior Product Manager to lead the development and execution of innovative product strategies within the Connected Living organization. This critical role will focus on enhancing the customer experience for our Xfinity Mobile product, across key areas including billing transparency, payment flexibility, service lifecycle management, and promotion lifecycle management experiences. This is a highly strategic role within a rapidly growing business. You will play a pivotal role in shaping the future of the Xfinity Mobile customer experience by defining and delivering best\-in\-class solutions that are engaging and reduce customer churn.
**Job Description**
***This position is ineligible for visa sponsorship. To be considered for this role, you must be legally authorized to work in the United States and not require sponsorship for employment now or in the future.***
 As the Senior Product Manager, Xfinity Mobile, you will lead the development and execution of innovative product strategies focused on enhancing the customer experience for Xfinity Mobile customers in the Xfinity app. This role will be accountable to deliver outcomes against our strategic business priorities of reducing XM customer churn and improving product NPS. The focus of this role includes, but is not limited to, promoting billing transparency, introducing payment flexibility, and proactively guiding customers throughout the Xfinity Mobile service and promotion lifecycle.
 Collaborating with cross\-functional teams, you will ensure that the Xfinity Mobile experience is both simple and user\-centric, aligning with our strategic objectives and enhancing overall customer satisfaction. This will require significant collaboration and stakeholder management across many teams within the organization.
**Core Responsibilities**
* Develop and execute an XM\-centric product strategy: Craft a comprehensive strategy and roadmap focused on enhancing the XM experience within the app, ensuring alignment with Comcast's goals and the needs of our XM customers.
* Champion the user journey: Design and optimize XM experiences that resonate with users, ensuring that every touchpoint reflects our commitment to seamless, user\-centric interactions.
* Act as a product owner in agile teams: Lead the scrum team with a focus on delivering XM\-related features. Write clear user stories and acceptance criteria that drive development, ensuring alignment with the overall XM experience vision.
* Collaborate across teams: Work closely with engineering, design, program management, and other key stakeholders across the organization to ensure timely, high\-quality delivery of XM enhancements that meet both internal and external expectations. This requires strong cross\-functional collaboration and stakeholder management skills.
* Ensure XM quality and reliability: Maintain a relentless focus on XM quality, addressing user needs effectively while driving continuous improvement and innovation within the XM experience.
* Drive customer engagement: Develop strategies to increase awareness, adoption, and creation of identity, fostering deeper user engagement and loyalty.
* Measure and optimize: Define, track, and analyze key XM metrics to measure impact and success. Use these insights to inform ongoing enhancements and ensure the XM experience consistently exceeds customer expectations.
**Preferred Qualifications**
 Below is our list of preferred qualifications. We know that people with different skills and experiences can also be successful in this role. For that reason, it is not necessary that you possess all these traits. If you are missing a few, please apply anyway.
* A product pro. You excel at identifying customer needs, determining problems to solve, and translating them into experience requirements that become user stories in a prioritized product backlog. You collaborate cross\-functionally with design and engineering partners, providing clear direction on the “what” and “why” while giving them a strong voice to define the “how.”
* Action\- and execution\-oriented. You’re not afraid to ask questions to get the information you need. You can negotiate constraints, guidelines, and business rules without sacrificing what’s right for the customers. You adapt to changing landscapes, communicate clearly, and bring all partners along with you.
* A relationship builder. You understand that strong relationships drive success. You value listening first, then talking, and you know that consistent giving and occasional receiving foster strong collaboration and partnership across teams.
* A customer\-centric, data\-driven strategist. You keep the customer at the center of everything you do. You dig into data, user research, and direct customer interactions to define core needs, problems, and solutions. You measure the impact and success of new features, using data to inform future development.
* Experience in Services: Proven experience in managing service\-related features, ensuring a user\-centric approach to service interactions and value articulation.
* Analytical Skills: Strong analytical abilities to use data\-driven insights for optimizing service experiences and addressing user needs.
* Troubleshooting and Support Knowledge: Experience with app\-based troubleshooting and support features to assist users with service\-related issues.
* Effective Communication: Excellent communication skills to articulate complex value propositions clearly and effectively to both technical and non\-technical stakeholders.
* Bachelor’s Degree or equivalent business experience.
* Experience. 3\+ years of experience in Product Management; a blend of design and/or engineering experience is also a plus. We would also love to hear your explanation as to why your unique experience would make the team more successful; if you don’t quite fit the mold, apply anyway.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Customer Experience (CX); Identifying Customer Needs; Collaboration; Product Management; Communication; Mobile Products; Product Backlog Management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10 Years \+</t>
        </is>
      </c>
    </row>
    <row r="140">
      <c r="A140" t="inlineStr">
        <is>
          <t>li-4369615375</t>
        </is>
      </c>
      <c r="B140" t="inlineStr">
        <is>
          <t>Product Manager</t>
        </is>
      </c>
      <c r="C140" t="inlineStr">
        <is>
          <t>Trimble Inc.</t>
        </is>
      </c>
      <c r="D140" t="inlineStr">
        <is>
          <t>linkedin</t>
        </is>
      </c>
      <c r="E140">
        <f>HYPERLINK("https://www.linkedin.com/jobs/view/4369615375", "https://www.linkedin.com/jobs/view/4369615375")</f>
        <v/>
      </c>
      <c r="F140">
        <f>HYPERLINK("https://trimble.eightfold.ai/careers/job/171838607883?utm_source=linkedin&amp;domain=trimble.com&amp;src=LinkedIN&amp;urlHash=LLLY", "https://trimble.eightfold.ai/careers/job/171838607883?utm_source=linkedin&amp;domain=trimble.com&amp;src=LinkedIN&amp;urlHash=LLLY")</f>
        <v/>
      </c>
      <c r="G140" t="inlineStr">
        <is>
          <t>Westminster, CO</t>
        </is>
      </c>
      <c r="H140" t="inlineStr"/>
      <c r="I140" t="inlineStr">
        <is>
          <t>**Lead the Future of Digital Security: Identity \&amp; Access Management Product Manager!**
 Ready to build the foundational security layer for a global technology leader? As our IAM Product Manager, you will champion the vision and execution of secure, seamless access across the entire Trimble ecosystem. You will play a pivotal role in bridging the gap between cutting\-edge security and exceptional user experience, ensuring our AECO digital construction solutions are as safe as they are productive.
**About Us**
 Trimble is a global technology company that connects the physical and digital worlds, transforming the ways work gets done. With relentless innovation in precise positioning, modeling and data analytics, Trimble enables essential industries including construction, geospatial and transportation. Whether it's helping customers build and maintain infrastructure, design and construct buildings, optimize global supply chains or map the world, Trimble is at the forefront, driving productivity and progress.
 The Trimble AECO segment provides digital construction solutions that increase precision and productivity for Architecture, Engineering, Construction, and Operations.
**What Makes This Role Great**
 In this role, you’ll be the architect of trust for Trimble’s digital ecosystem. You aren't just managing a tool; you are building a core platform that serves as the foundational security layer for the majority of Trimble’s products. You will have the unique opportunity to influence global data governance and privacy standards, directly impacting how millions of users securely interact with our life\-changing technology.
**Key Exciting Responsibilities**
* Champion the IAM Vision: Define and drive a high\-impact product roadmap that aligns security best practices with a frictionless user experience.
* Architect Data Governance: Collaborate with data governance teams to integrate IAM strategies with data classification, acting as a key steward for global privacy and compliance.
* Drive Integration Excellence: Lead the onboarding of product integrators to the new IAM platform, ensuring a smooth and secure transition across the entire product ecosystem.
* Bridge Technical Innovation: Translate complex technical capabilities into detailed specifications and user stories, collaborating with engineering and UX teams to build robust solutions.
* Govern Access Integrity: Design and optimize automated processes for user provisioning and de\-provisioning to minimize risk and protect sensitive information.
**Essential Skills \&amp; Experience**
* Bachelor’s degree in Computer Science, Engineering, or a related field; Master’s degree preferred.
* 5\+ years of experience in product management, with a strong focus on Identity and Access Management (IAM) products or services.
* In\-depth knowledge of IAM protocols and technologies (e.g., OAuth, OpenID Connect, SAML, SCIM, LDAP, Active Directory, MFA, SSO).
* Proven track record of successfully launching and managing complex software products.
* Strong analytical, problem\-solving, and decision\-making skills.
* Excellent communication, presentation, and interpersonal skills, with the ability to articulate complex technical concepts to diverse audiences.
* Experience working in an Agile/Scrum development environment.
* Ability to thrive in a fast\-paced, dynamic, and collaborative environment.
**Bonus Points For**
* Experience with cloud\-based IAM solutions (e.g., Okta, Azure AD, Auth0\).
* Familiarity with cybersecurity and data privacy frameworks and compliance standards (e.g., NIST, ISO 27001, GDPR).
* Familiarity with data governance frameworks and their practical application in an enterprise environment.
* Knowledge of best practices in data stewardship, data classification, and data privacy regulations.
* Experience with enterprise\-level SaaS products.
**Why You'll Love Working With Us**
 At Trimble, we're not just a company that "does good"—we are a team dedicated to making a tangible, positive
 **Real\-World Impact** 
 . We build innovative solutions designed to solve the world's most critical challenges. From construction sites to transportation hubs, our work tangibly improves how people live, build, move, and grow.
**You'll work on projects that truly matter:** 
 Our purpose\-driven culture means you'll be helping to build and deliver solutions that make work faster, safer, and more sustainable for millions of people worldwide. Our impact is tangible, from connected machines that save fuel to data\-driven insights that reduce waste.
**Collaborate with like\-minded people:** 
 Our strong internal culture is a "hidden gem." You will work with a collaborative, supportive team that shares your purpose and fosters a genuine sense of belonging. We're a company of "visionary pragmatists" who think boldly and build things that work.
**Be an owner:** 
 Trimble thrives on individuals who take initiative and embrace ownership. You'll find an entrepreneurial spirit where success is often "self\-authored," empowering proactive "doers."
 Product Management, Identity and Access Management, IAM, Cybersecurity, Data Governance, SaaS, OAuth, SAML, AECO, Product Roadmap
****Compensation:****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****Hiring Range****
 $170,600\.00–$234,600\.00
****Pay Rate Type****
 Salary
****Bonus Eligible?****
 Yes
****Commission Eligible?****
 No
****Benefits:****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If this position is identified above as commission\- or bonus\-eligible, the terms of the commission plan or discretionary bonus plan for which you are eligible will be provided following the employee start date.
****How to Apply:****
 Please submit an online application for this position by clicking on the ‘Apply Now’ button located in this posting.
****Application Deadline:****
 Applications could be accepted until at least 30 days from the posting date.
 At Trimble, we are committed to fostering a diverse, inclusive, and equitable workplace where everyone can thrive. Guided by our core values—Belong, Innovate, and Grow—we embrace and celebrate differences, knowing they make us stronger and more innovative. We are proud to be an equal opportunity employer, welcoming individuals of all backgrounds and advancing opportunities while embracing race, color, gender identity, sexual orientation, religion, disability, veteran status, or any other protected and diverse characteristic. We are committed to offering our candidates and employees with disabilities or sincerely held religious beliefs the ability to seek reasonable accommodations in accordance with applicable law and/or where it would not constitute undue hardship for Trimble. For more, please see Trimble's Code of Business Conduct and Ethics at https://investor.trimble.com, under “Corporate Governance.”
 Our mission to transform the way the world works starts with transforming how we work together. By actively listening, asking questions, and taking intentional actions, we cultivate a culture that provides equitable opportunities for everyone to contribute and grow.
 Trimble’s Privacy Policy
 If you need assistance or would like to request an accommodation in connection with the application process, please contact AskPX@px.trimble.com.</t>
        </is>
      </c>
    </row>
    <row r="141">
      <c r="A141" t="inlineStr">
        <is>
          <t>li-4348394868</t>
        </is>
      </c>
      <c r="B141" t="inlineStr">
        <is>
          <t>Technical Product Manager - Mercury Controllers</t>
        </is>
      </c>
      <c r="C141" t="inlineStr">
        <is>
          <t>HID</t>
        </is>
      </c>
      <c r="D141" t="inlineStr">
        <is>
          <t>linkedin</t>
        </is>
      </c>
      <c r="E141">
        <f>HYPERLINK("https://www.linkedin.com/jobs/view/4348394868", "https://www.linkedin.com/jobs/view/4348394868")</f>
        <v/>
      </c>
      <c r="F141" t="inlineStr"/>
      <c r="G141" t="inlineStr">
        <is>
          <t>Cypress, CA</t>
        </is>
      </c>
      <c r="H141" t="inlineStr"/>
      <c r="I141" t="inlineStr">
        <is>
          <t>**An Amazing Career Opportunity for a Technical Product Manager, Mercury Controllers!!**
**Location:** 
 Remote, United States
**Job ID:** 
 43583
 As a Technical Product Manager for Mercury Controllers, you will play a critical role in understanding market needs and ensuring our Mercury controllers deliver real\-world value to installers and end users. Leveraging your hands\-on experience with physical access control products, you will influence design decisions and guide the lifecycle of HID’s world\-class Mercury controller portfolio.
 In this role, you will support the product management team by gathering insights from the field, conducting competitive research, and translating findings into actionable improvements. You’ll collaborate closely with installers, engineers, and senior product managers to ensure our controllers are practical, reliable, and leading the market. This is a hands\-on, customer\-focused position—ideal for someone eager to build a career in product management.
**Who are we?**
 HID powers the trusted identities of the world’s people, places, and things, allowing people to transact safely, work productively and travel freely.
 We are a high\-tech software company headquartered in Austin, TX, with over 4,500 worldwide employees. Check us out here: www.hidglobal.com and https://youtu.be/23km5H4K9Eo
**Physical Access Control Solutions (PACS):**
 HID Physical Access Control Solutions (PACS) is at the forefront of securing spaces with advanced, reliable access control solutions. From cutting\-edge readers, credentials and controllers, to mobile and biometric technologies, HID PACS empowers organizations worldwide to protect their people, property and assets with scalable, high\-quality solutions.
 This is more than just a job – it’s your chance to join an industry leader to drive innovation in access control and make a real impact on global security solutions.
 Are you ready to make a difference? Join us and help shape the future of security.
**As our Technical Product Manager, Mercury Controllers, you’ll support HID’s success by:**
* Gathering insights from the field by conducting installer studies and competitive research
* Identifying market and product opportunities – defining key initiatives, requirements \&amp; GTM
* Delivering clear and actionable product requirements and contribute to the Mercury roadmap
* Working with Mercury hardware daily – optimizing the Mercury requirements and solution
* Contributing to business case and go\-to\-market planning for new solutions
* Effectively managing customer requirements and expectations
* Monitoring new product performance metrics and user feedback – guiding improvements post launch
* Acting as the primary point of contact for the development team regarding technical questions and challenges during the development cycle, proactively identifying and mitigating technical risk
* Creating and maintaining technical product documentation, marketing materials and sales collateral
* Ensuring all internal and external documentation repositories are current
* Planning and documenting product lifecycle policies and customer communications
**Your Experience and Background include:**
* Bachelor’s degree and 5\+ years’ experience in a similar role
* Strong background in low voltage electronics – you are a hardware geek at heart!
* Strong background in physical access control (PACS) and/or intrusion detection (IDS)
* Product evaluation and/or competitive analysis
* Ability to read and interpret technical specifications, RFIs, journals and standards
* Present ideas and projects effectively before groups of individuals – from leadership to devs
* Experience in\-or\-around product management
* Deep understanding of software dev processes, system architecture, data structures \&amp; web tech nologies
* Strong technical product management background
* Knowledge of the Mercury product portfolio
* Background in APIs and software development
* Experience with Agile development methodologies (Scrum) \&amp; tools (Jira)
**What we can offer you:**
* Competitive salary and rewards package
* Competitive benefits and annual leave offering, allowing for work\-life balance
* A vibrant, welcoming \&amp; inclusive culture
* Extensive career development opportunities and resources to maximize your potential
* To be a part of a global organization that is pioneering the hardware, software and services that allow people to confidently navigate the physical and digital worlds
**Why apply?**
* Empowerment: You’ll work as part of a global team in a flexible work environment, learning and enhancing your expertise. We welcome an opportunity to meet you and learn about your unique talents, skills, and experiences. You don’t need to check all the boxes. If you have most of the skills and experience, we want you to apply.
* Innovation: You embrace challenges and want to drive change. We are open to ideas, including flexible work arrangements, job sharing or part\-time job seekers.
* Integrity: You are results\-orientated, reliable, and straightforward and value being treated accordingly. We want all our employees to be themselves, to feel appreciated and accepted.
 The wage range for this role considers a broad scope of factors that are considered when making compensation decisions, including but not limited to: skill sets, experience and training, licensure and certifications, and other business and organizational needs. The disclosed range does not account for geographic differentials based on the location where the position may be filled. At HID, it is uncommon for individuals to be hired at or near the top of the range. Final compensation decisions depend on the specific facts and circumstances of each case.
 The base salary for CA is $140,000 to $155,000\.
 HID does not accept unsolicited resumes from headhunters, recruitment agencies, or fee\-based recruitment services. We are not responsible for any fees related to unsolicited resumes.
 HID is committed to building a diverse, equitable, and inclusive workforce that reflects the global communities we serve. As an equal opportunity employer, we welcome applications from individuals of all backgrounds, experiences, and perspectives. We evaluate applicants without regard to race, color, religion, gender, gender identity or expression, sexual orientation, national origin, disability, age, veteran status, or any other legally protected characteristic. Our goal is to create a workplace that empowers everyone to thrive and be their authentic selves, fostering an environment of mutual respect and inclusivity. If you have a disability and require assistance or accommodation to participate in the application process or to perform essential job functions, please contact accommodations\-ext@hidglobal.com .
 Please be aware that our recruitment process may include the use of AI\-powered tools to assist in screening applicant resumes. These tools help us efficiently identify candidates whose qualifications and skills align with the job description. We use AI in a responsible manner and in accordance with applicable data privacy laws and regulations. Importantly, all applicants are reviewed by our Talent Acquisition team. AI is used to support, not replace, human judgment in the evaluation process.
**We make it easier for people to get where they want to go!**
 On an average day, think of how many times you tap, twist, tag, push or swipe to get access, find information, connect with others or track something. HID technology is behind billions of interactions, in more than 100 countries. We help you create a verified, trusted identity that can get you where you need to go – without having to think about it.
 When you join our HID team, you’ll also be part of the ASSA ABLOY Group, the global leader in access solutions. You’ll have 63,000 colleagues in more than 70 different countries.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t>
        </is>
      </c>
    </row>
    <row r="142">
      <c r="A142" t="inlineStr">
        <is>
          <t>li-4359022003</t>
        </is>
      </c>
      <c r="B142" t="inlineStr">
        <is>
          <t>Product Manager - Interim Secret Required - On Site Austin, TX</t>
        </is>
      </c>
      <c r="C142" t="inlineStr">
        <is>
          <t>Akima</t>
        </is>
      </c>
      <c r="D142" t="inlineStr">
        <is>
          <t>linkedin</t>
        </is>
      </c>
      <c r="E142">
        <f>HYPERLINK("https://www.linkedin.com/jobs/view/4359022003", "https://www.linkedin.com/jobs/view/4359022003")</f>
        <v/>
      </c>
      <c r="F142" t="inlineStr"/>
      <c r="G142" t="inlineStr">
        <is>
          <t>Austin, TX</t>
        </is>
      </c>
      <c r="H142" t="inlineStr"/>
      <c r="I142" t="inlineStr">
        <is>
          <t>Systems Intelligence is excited to uphold the Army Software Factory’s mission of enabling Soldiers to become software professionals. We are looking for Product Managers to pair 1:1 alongside novice Soldiers coaching in those competencies such that the Soldiers learn by doing. The objective is for our coaches to impart progressive expertise such that soldiers become capable of taking full ownership of their projects, and ultimately train others.
**Travel**
 CONUS travel in performance of the contract will be determined at the time of need.
**Shift**
 Core business hours of 8:45 A.M through 5:15 P.M central time, Monday through Friday, with eight working (non\-lunch) hours per day
 Prescribed period during which lunch may be taken: 11:00 A.M. and 1:00 P.M.
**Responsibilities**
 The Product Manager is responsible for the team’s overall performance and execution of Agile principles and performs duties including but not limited to:
* Coordination with all external stakeholders to prioritize feature development.
* Oversight of problem scoping and day\-to\-day operations.
* Setting of strategy, roadmap, and feature definition for a single product or product line.
* Analysis of operational conditions, laying out a product vision that is differentiated and delivers unique value based on stakeholder management.
* Oversight of the entire product lifecycle and product roadmap.
* Execution of lean and agile rituals and methodology within a balanced team to set product strategy.
* Management of product backlog, writing user stories, establishing and managing product roadmap.
**Qualifications**
* Bachelor’s degree in computer science or similar relevant field.
* 3 years of experience as Product Manager.
* Capable of coaching and managing junior product managers through the development of products including resource management, product strategy (physical or digital), functional requirements, and releases.
* Capable of coordinating work done by functions (like software engineers, security, compliance, data scientists, and product designers).
* Familiar with lean and DevSecOps principles.
* Able to coach military personnel how to confer with systems analysts, engineers, and others to design applications and to obtain information on project limitations and capabilities, performance requirements, and interfaces.
* Capable of managing client relationships, including determining client needs/requirements, managing client expectations, and demonstrating commitment to delivering quality results.
* Ability to obtain interim Secret clearance prior to start date and achieve/maintain Secret clearance upon final adjudication.
* MUST have REAL ID.
**Job ID**
 2026\-21094
**Work Type**
 On\-Site
**Company Description**
**Work Where it Matters**
 Systems Intelligence, an Akima company, is not just another federal IT contractor. As an Alaska Native Corporation (ANC), our mission and purpose extend beyond our exciting federal projects as we support our shareholder communities in Alaska.
 At Systems Intelligence, the work you do every day makes a difference in the lives of our 15,000 Iñupiat shareholders, a group of Alaska natives from one of the most remote and harshest environments in the United States.
**For our shareholders,** 
 Systems Intelligence provides support and employment opportunities and contributes to the survival of a culture that has thrived above the Arctic Circle for more than 10,000 years.
**For our government customers,** 
 Systems Intelligence delivers innovative information technology solutions that evolve and modernize IT infrastructures.
**As a Systems Intelligence employee,**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ID:21094\-en\-us</t>
        </is>
      </c>
    </row>
    <row r="143">
      <c r="A143" t="inlineStr">
        <is>
          <t>li-4335569456</t>
        </is>
      </c>
      <c r="B143" t="inlineStr">
        <is>
          <t>Product Manager for Optics</t>
        </is>
      </c>
      <c r="C143" t="inlineStr">
        <is>
          <t>Cisco</t>
        </is>
      </c>
      <c r="D143" t="inlineStr">
        <is>
          <t>linkedin</t>
        </is>
      </c>
      <c r="E143">
        <f>HYPERLINK("https://www.linkedin.com/jobs/view/4335569456", "https://www.linkedin.com/jobs/view/4335569456")</f>
        <v/>
      </c>
      <c r="F143" t="inlineStr"/>
      <c r="G143" t="inlineStr">
        <is>
          <t>San Jose, CA</t>
        </is>
      </c>
      <c r="H143" t="inlineStr"/>
      <c r="I143" t="inlineStr">
        <is>
          <t>The application window is expected to close on: 01/30/2026
 Job posting may be removed earlier if the position is filled or if a sufficient number of applications are received.
 Meet the Team
 In Cisco Transceiver Module Group (TMGBU), we build the future of connectivity for switches, routers and servers.
 The Product Management Team in TMGBU specifies and manages Cisco’s pluggable optics portfolio that covers a broad range of optical technologies and applications, including AI.
 Your Impact
 As a Product Manager within our group, you will have the responsibilities for optical transceivers, owning every product aspect throughout the product lifecycle \- from market exploration, requirements definition and development, to go\-to\-market, product transition and end\-of\-sale phases.
 Product Managers are empowered, trusted and influential leaders.
* Data driven and business\-oriented leader to drive adoption and set commercial aspects of High\-Speed Optics used on AI applications.
* Responsible for growth, pricing, promotions, and marketing collaterals.
* Track optics opportunities and develop join initiatives with host\-platforms (Cisco Switches/Routers/Servers) to position Cisco high\-speed optics with customers.
* Develop roadmap and engage with cross functional teams (Engineering, Manufacturing Operations, Procurement, Supply, etc.) to productize it.
* Manage new product introductions, transitions, forecast and P\&amp;L.
* Create partnerships with host\-platform counterparts, sales specialists, and account teams to socialize and promote our portfolio.
* Participate in training webinars, blogs, whitepapers and trade shows to articulate value propositions and competitive advantages.
**Minimum Qualifications**
* Bachelors in relevant field with a minimum 11\+ years of product management experience, or master’s degree with 8\+ years of product management experience.
* Experience managing multiple issues and initiatives simultaneously.
* Experience with high\-speed pluggable optics (such as pluggable form factors and compatibility; IEEE optical standards and MSAs, optical interoperability and breakouts; fiber types, patch panels, patch cords, and optical connectors; data rates, modulation formats, bit error ratio, forward error correction and protocols \- Ethernet, Infiniband\-, etc.).
* Strong technical understanding of network applications and architectures at a high\-level (e.g. GPU Clusters, Data Centers, Service Provider Networks and Campus Networks, among others).
**Preferred Qualifications**
* Desirable knowledge of critical components of pluggable optics such as DSPs, lasers, laser drivers and TIAs.
* Ability to build relationships with peers, partners and customers.
* Strong communication skills to engage effectively with key stakeholders, and articulate complex issues clearly.
* Ability to work independently and make data\-driven decisions.
* Strong analytical skills to break a problem into smaller solvable pieces.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$191,400\.00 to $281,400\.00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$191,400\.00 \- $323,600\.00
**Non\-Metro New York State \&amp; Washington State**
 $176,100\.00 \- $287,900\.00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44">
      <c r="A144" t="inlineStr">
        <is>
          <t>li-4369100851</t>
        </is>
      </c>
      <c r="B144" t="inlineStr">
        <is>
          <t>Product Owner</t>
        </is>
      </c>
      <c r="C144" t="inlineStr">
        <is>
          <t>Randstad Digital Americas</t>
        </is>
      </c>
      <c r="D144" t="inlineStr">
        <is>
          <t>linkedin</t>
        </is>
      </c>
      <c r="E144">
        <f>HYPERLINK("https://www.linkedin.com/jobs/view/4369100851", "https://www.linkedin.com/jobs/view/4369100851")</f>
        <v/>
      </c>
      <c r="F144" t="inlineStr"/>
      <c r="G144" t="inlineStr">
        <is>
          <t>Minneapolis, MN</t>
        </is>
      </c>
      <c r="H144" t="inlineStr"/>
      <c r="I144" t="inlineStr">
        <is>
          <t>**Job Summary**
 The Client Lifecycle Management product consultant will support the CLM product teams in refining the vision and approach to tackling critical initatives. They will support research and discovery, translating business requirements into configuration\-ready stories.
 location: Minneapolis, Minnesota
 job type: Contract
 salary: $42\.82 \- 52\.82 per hour
 work hours: 8am to 5pm
 education: Bachelors
**Responsibilities**
 The Client Lifecycle Management product consultant will support the CLM product teams in refining the vision and approach to tackling critical initatives. They will support research and discovery, translating business requirements into configuration\-ready stories.
**Qualifications**
* Strong knowledge in Fenergo's CLM platform and hands on experience in configuring Fenergo modules to meet onboarding, KYC , AML and compliance needs.
* Excellent problem solving and analytical skills.
* Knowledge of the Agile approach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145">
      <c r="A145" t="inlineStr">
        <is>
          <t>li-4369624236</t>
        </is>
      </c>
      <c r="B145" t="inlineStr">
        <is>
          <t>Businessowners Product Manager</t>
        </is>
      </c>
      <c r="C145" t="inlineStr">
        <is>
          <t>Verisk</t>
        </is>
      </c>
      <c r="D145" t="inlineStr">
        <is>
          <t>linkedin</t>
        </is>
      </c>
      <c r="E145">
        <f>HYPERLINK("https://www.linkedin.com/jobs/view/4369624236", "https://www.linkedin.com/jobs/view/4369624236")</f>
        <v/>
      </c>
      <c r="F145">
        <f>HYPERLINK("https://fa-ewmy-saasfaprod1.fa.ocs.oraclecloud.com/hcmUI/CandidateExperience/en/job/3132/?utm_medium=jobboard&amp;utm_source=linkedin&amp;urlHash=MshA", "https://fa-ewmy-saasfaprod1.fa.ocs.oraclecloud.com/hcmUI/CandidateExperience/en/job/3132/?utm_medium=jobboard&amp;utm_source=linkedin&amp;urlHash=MshA")</f>
        <v/>
      </c>
      <c r="G145" t="inlineStr">
        <is>
          <t>Jersey City, NJ</t>
        </is>
      </c>
      <c r="H145" t="inlineStr"/>
      <c r="I145" t="inlineStr">
        <is>
          <t>**Job Description**
 Verisk’s ISO Businessowners and Farm team is looking for a highly motivated Product Manager. This individual will work cross\-functionally to develop line of business strategy, monitor and take action on industry trends, develop customer relationships, and develop a holistic approach to defining and measuring success for the line.
 The better we know our customers, the better we can serve them. Customer focus will guide all aspects of your work. You will engage with customers and respond to their feedback with key developments while also engaging the line of business team to develop products that anticipate customer needs. This includes running panels and other customer forums, representing the products to customers, meeting with them individually and being a key customer resource. You may also represent us at industry conferences and with professional organizations, including preparing and giving presentations and authoring or co\-authoring white papers or articles.
**Responsibilities**
* Responsible for measuring and monitoring the overall health and performance of the line of business, ensuring customer satisfaction and meeting/exceeding financial performance metrics
* Collaborate with coverage, actuarial, sales, IT, and data analytics functions for Verisk’s Businessowners and Farm core lines products
* Develop and execute strategic plans and product roadmap priorities aligned with growth and financial performance goals
* Identify emerging market trends and translate them into actionable product strategies
* Drive growth through new product development, market expansion and enhancement of existing products
* Act as an influential leader, inspiring cross functional teams to create customer value
**Qualifications**
* 5\+ years of Businessowners and/or Farm insurance carrier or related experience
* Line of business experience would include a focus on product development (coverage or actuarial) or product management
* User of, or exposure to, ISO forms, rules or loss costs
* Ability to analyze and interpret customer data to create actionable insights and inform strategic planning
* Demonstrated innovation in product design and strategy
* Strategic thinker with proven problem\-solving capabilities
* Travel up to 15% for customer interactions, industry conferences and internal meetings
**About 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146">
      <c r="A146" t="inlineStr">
        <is>
          <t>li-4340024473</t>
        </is>
      </c>
      <c r="B146" t="inlineStr">
        <is>
          <t>AI Self-Service Program Manager</t>
        </is>
      </c>
      <c r="C146" t="inlineStr">
        <is>
          <t>Samsara</t>
        </is>
      </c>
      <c r="D146" t="inlineStr">
        <is>
          <t>linkedin</t>
        </is>
      </c>
      <c r="E146">
        <f>HYPERLINK("https://www.linkedin.com/jobs/view/4340024473", "https://www.linkedin.com/jobs/view/4340024473")</f>
        <v/>
      </c>
      <c r="F146" t="inlineStr"/>
      <c r="G146" t="inlineStr"/>
      <c r="H146" t="inlineStr"/>
      <c r="I146"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We’re looking for an AI Self\-Serve Program Manager to supercharge Samsara’s AI\-powered customer experience. You’ll lead our Chatbot and Voice AI platforms, driving innovation that makes support faster, smarter, and more seamless than ever.
 This is a high\-impact role where you’ll turn AI vision into measurable results, increasing containment, improving customer satisfaction, and reducing case volume. You’ll own performance insights, refine agent operating procedures, and collaborate with vendors, subject matter experts, and internal teams to continuously elevate our self\-serve capabilities.
**This is a remote position open to candidates residing in the US except the San Francisco Bay Metro Area, NYC Metro Area, and Washington, D.C. Metro Area. Relocation assistance will not be provided.**
**You should apply if:**
* You want to impact the industries that run our world: Your efforts will result in real\-world impact – 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high\-calibre team that will encourage you to do your best.
**In this role, you will:**
* Lead daily operations of Samsara’s AI self\-service platforms (Chatbot and Voice AI) to ensure reliability, speed, and performance.
* Track and analyze key metrics such as containment, deflection, accuracy, and CSAT to uncover insights and drive improvement.
* Optimize AI intelligence and integrations by refining prompts, enhancing conversational design, improving customer flows, and expanding connections across systems for seamless support.
* Collaborate across teams including SMEs, Tech Docs, vendors, and internal AI groups to close content gaps and scale platform capabilities.
* Advance AI self\-service strategy through innovation and continuous alignment with business goals, customer needs, and emerging industry trends.
**Minimum requirements for the role:**
* 8\+ years in Support Operations, Knowledge Management, or AI/Automation platform management.
* Bachelor’s degree in Business, Information Systems, or a related field (Master’s preferred).
* Conversational design / prompt engineering background
* Experience working directly with conversational AI technologies such as chatbots or voice AI.
* Strong analytical and problem\-solving skills with a data\-driven mindset.
* Proven success collaborating across technical and non\-technical teams.
* Skilled in project and vendor management.
* Excellent communication and storytelling skills with a focus on customer experience.
**An ideal candidate also has:**
* Strategic mindset with a builder mentality who thrives on scaling systems, processes, and technology to deliver measurable business impact.
* Deep understanding of AI\-driven self\-service and automation, with hands\-on experience optimizing chatbots, voice AI, or other conversational platforms.
* Collaborative leader and communicator who can align cross\-functional teams, vendors, and stakeholders around a shared vision for customer experience innovation.
 The range of annual base salary for full\-time employees for this position is below. Please note that base pay offered may vary depending on factors including your city of residence, job\-related knowledge, skills, and experience.
 $100,257\.50—$151,650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147">
      <c r="A147" t="inlineStr">
        <is>
          <t>li-4361204264</t>
        </is>
      </c>
      <c r="B147" t="inlineStr">
        <is>
          <t>Senior Deposit Product Manager</t>
        </is>
      </c>
      <c r="C147" t="inlineStr">
        <is>
          <t>First Horizon Bank</t>
        </is>
      </c>
      <c r="D147" t="inlineStr">
        <is>
          <t>linkedin</t>
        </is>
      </c>
      <c r="E147">
        <f>HYPERLINK("https://www.linkedin.com/jobs/view/4361204264", "https://www.linkedin.com/jobs/view/4361204264")</f>
        <v/>
      </c>
      <c r="F147" t="inlineStr"/>
      <c r="G147" t="inlineStr">
        <is>
          <t>Dallas, TX</t>
        </is>
      </c>
      <c r="H147" t="inlineStr"/>
      <c r="I147" t="inlineStr">
        <is>
          <t>**Location:** 
 Onsite in Memphis, TN, Nashville, TN, Knoxville, TN, Charlotte, NC, Raleigh, NC, Miami, FL, Orlando, FL, Birmingham, AL, New Orleans, LA, Dallas, TX, or Houston, TX
**Summary:**
 The Senior Deposit Product Manager sets the strategic direction for the deposit portfolio for consumer and small business. This leader drives comprehensive market analysis and business case development to inform product strategy, obtains and acts upon the voice of our clients, establishes the product roadmap, and guides end\-to\-end development of capabilities and enhancements. Full ownership of product performance is expected, including financials/P\&amp;L, risk and compliance, client experience, operational readiness, and reporting.
**Essential Duties and Responsibilities:**
* Define the strategy, goals, and OKRs for the deposit portfolio across consumer and small business, optimizing growth, profitability, mix, and cost of funds in alignment with enterprise priorities and risk appetite.
* Conduct market analysis and develop business cases for new products, features, fee structures and enhancements by establishing a multi\-year roadmap informed by the voice of our clients, competitive dynamics, and regulatory changes.
* Design and optimize end\-to\-end journeys with Marketing, Distribution, and Digital to improve conversion and engagement.
* Lead competitive benchmarking to assess product and pricing competitiveness.
* Develop and deliver executive dashboards and management reporting; analyze product trends and recommend actions.
* Recommend enhancements, consolidation, or rationalization of existing products based on client feedback, performance, profitability, and competitive positioning
* Stay current on regulations affecting deposit products while ensuring strong controls, testing, and issue management across the product lifecycle while coordinating required changes with Compliance, Legal, and Operations.
* Lead development and revisions to marketing materials, training content, internal and external communications, and product documentation.
* Performs all other duties as assigned.
**Qualifications:**
* Bachelor’s degree required; advanced degree (e.g., MBA) preferred or equivalent combination of education and experience.
* 5–8\+ years of experience in deposit product management/strategy, pricing, or related roles within banking; 2\+ years of people leadership.
* Strong analytical skills; proficiency with Excel and data visualization tools (e.g., Tableau/Power BI); SQL experience is a plus.
* Excellent communication, executive presence, and influence skills; ability to present to senior leadership and align diverse stakeholders.
**About Us**
 First Horizon Corporation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and mortgage banking services. First Horizon has been recognized as one of the nation's best employers by Fortune and Forbes magazines and a Top 10 Most Reputable U.S. Bank. More information is available at www.FirstHorizon.com.
**Benefit Highlights**
* Medical with wellness incentives, dental, and vision
* HSA with company match
* Maternity and parental leave
* Tuition reimbursement
* Mentor program
* 401(k) with 6% match
* More \-\- FirstHorizon.com/First\-Horizon\-National\-Corporation/Careers/Our\-Benefits
**Follow Us**
 Facebook
 X formerly Twitter
 LinkedIn
 Instagram
 YouTube</t>
        </is>
      </c>
    </row>
    <row r="148">
      <c r="A148" t="inlineStr">
        <is>
          <t>li-4346156951</t>
        </is>
      </c>
      <c r="B148" t="inlineStr">
        <is>
          <t>Growth Product Manager – Wireless (Wi-Fi)</t>
        </is>
      </c>
      <c r="C148" t="inlineStr">
        <is>
          <t>Cisco</t>
        </is>
      </c>
      <c r="D148" t="inlineStr">
        <is>
          <t>linkedin</t>
        </is>
      </c>
      <c r="E148">
        <f>HYPERLINK("https://www.linkedin.com/jobs/view/4346156951", "https://www.linkedin.com/jobs/view/4346156951")</f>
        <v/>
      </c>
      <c r="F148">
        <f>HYPERLINK("https://careers.cisco.com/global/en/job/CISCISGLOBAL1450864EXTERNALENGLOBAL/Growth-Product-Manager-Wireless-Wi-Fi?utm_source=linkedin&amp;utm_medium=phenom-feeds&amp;urlHash=vsei", "https://careers.cisco.com/global/en/job/CISCISGLOBAL1450864EXTERNALENGLOBAL/Growth-Product-Manager-Wireless-Wi-Fi?utm_source=linkedin&amp;utm_medium=phenom-feeds&amp;urlHash=vsei")</f>
        <v/>
      </c>
      <c r="G148" t="inlineStr">
        <is>
          <t>San Francisco, CA</t>
        </is>
      </c>
      <c r="H148" t="inlineStr"/>
      <c r="I148" t="inlineStr">
        <is>
          <t>The application window is expected to close on: 02/27/2026
**Job posting may be removed earlier if the position is filled or if a sufficient number of applications are received** 
 .
 This is a remote position within the US with domestic and international travel. Must live local to a major airport.
**Meet the Team**
 Cisco Wireless is unlocking new opportunities to expand our presence across key strategic market verticals. Our ongoing success is driven by a steadfast commitment to innovative and impactful growth strategies. By placing our customers at the heart of everything we do, we consistently deliver compelling value propositions that empower both our Cisco sellers and our partner ecosystem. Our teams are comprised of dedicated and passionate professionals, united by a shared commitment to delivering exceptional customer value and accelerating market growth.
**Your Impact**
 We are seeking a data\-driven and strategic Growth Product Manager to lead the expansion and growth of our Wi\-Fi product portfolio. This is an opportunity for you to design, develop, and manage growth engines for our Wi\-Fi product offerings from definition through mass adoption. You'll be the central resource connecting engineering, marketing, sales, partners and data science to drive user acquisition, activation, retention, and monetization.
 Your involvement will span the entire product lifecycle, while focusing on optimizing the user journey, managing upgrades, and driving modifications that directly impact business growth. You will coordinate cross\-functional teams to deliver new features and upgrade existing products that accelerate our market share in the Wi\-Fi portfolio.
* End\-to\-End Growth Ownership: Hold end\-to\-end ownership for multiple products within the WiFi portfolio, focusing specifically on growth levers such as acquisition funnels, referral programs and promotions, and retention loops.
* Strategic Planning: Shape the product portfolio strategy spanning 12\-18 months, defining clear outcomes and milestones for customer growth and revenue expansion.
* Prioritization \&amp; Roadmap: Review, prioritize, and align market needs with business strategy to develop multi\-quarter growth roadmaps. You will prioritize activities across products to ensure aggressive business objectives are met.
* Cross\-Functional Alignment: Tie broader platform and function goals to roadmaps across multiple products, creating alignment between sales and product teams, stakeholder groups, and leadership to strengthen WiFi product lines.
* Domain Expertise: Take the lead as a product and domain expert with industry awareness and market conditions as it relates to WiFi technologies, with specific focus on enterprise sector.
* Market Validation: Provide input into strategy for competitive analysis and market validation activities, identifying untapped opportunities for WiFi penetration.
* Partner and Customer Insights: Solicit and procure customer input across multiple channels. Leverage deep customer knowledge to improve and innovate on existing information gathering methods, insights, and solutions to reduce friction in the user journey.
* Spokesperson: Serve as the product spokesperson within internal teams and external customer teams, councils, or coaching forums, championing a culture of experimentation and data\-led growth.
**Minimum Qualifications**
* Bachelor’s degree \+ 5 years experience, or a Master’s degree \+ 3 years experience in product management and/or growth roles.
* Strong networking background, with the ability to understand competitive product offerings and translate them into value propositions.
* Experience creating enablement materials (e.g., guides, presentations, e\-learning content) and delivering training programs.
**Preferred Qualifications**
* Growth Stack Proficiency: Experience with A/B testing frameworks, analytics tools (e.g., Amplitude, Google Analytics), and customer engagement platforms.
* Wi\-Fi Industry Experience: Familiarity with WiFi industry landscape.
* Analytical Skills: Strong analytical skills and proficiency in interpreting complex data sets to drive product decisions.
* Commercial Acumen: Experience managing P\&amp;L, ARPU (Average Revenue Per User), and churn reduction strategies.
* Technical Fluency: Ability to discuss technical concepts with product teams, particularly as it relates to Cisco full stack products.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$152,400\.00 to $221,800\.00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$152,400\.00 \- $255,100\.00
**Non\-Metro New York State \&amp; Washington State**
 $134,300\.00 \- $224,800\.00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49">
      <c r="A149" t="inlineStr">
        <is>
          <t>li-4360774233</t>
        </is>
      </c>
      <c r="B149" t="inlineStr">
        <is>
          <t>Senior Deposit Product Manager</t>
        </is>
      </c>
      <c r="C149" t="inlineStr">
        <is>
          <t>First Horizon Bank</t>
        </is>
      </c>
      <c r="D149" t="inlineStr">
        <is>
          <t>linkedin</t>
        </is>
      </c>
      <c r="E149">
        <f>HYPERLINK("https://www.linkedin.com/jobs/view/4360774233", "https://www.linkedin.com/jobs/view/4360774233")</f>
        <v/>
      </c>
      <c r="F149" t="inlineStr"/>
      <c r="G149" t="inlineStr">
        <is>
          <t>Orlando, FL</t>
        </is>
      </c>
      <c r="H149" t="inlineStr"/>
      <c r="I149" t="inlineStr">
        <is>
          <t>**Location:** 
 Onsite in Memphis, TN, Nashville, TN, Knoxville, TN, Charlotte, NC, Raleigh, NC, Miami, FL, Orlando, FL, Birmingham, AL, New Orleans, LA, Dallas, TX, or Houston, TX
**Summary:**
 The Senior Deposit Product Manager sets the strategic direction for the deposit portfolio for consumer and small business. This leader drives comprehensive market analysis and business case development to inform product strategy, obtains and acts upon the voice of our clients, establishes the product roadmap, and guides end\-to\-end development of capabilities and enhancements. Full ownership of product performance is expected, including financials/P\&amp;L, risk and compliance, client experience, operational readiness, and reporting.
**Essential Duties and Responsibilities:**
* Define the strategy, goals, and OKRs for the deposit portfolio across consumer and small business, optimizing growth, profitability, mix, and cost of funds in alignment with enterprise priorities and risk appetite.
* Conduct market analysis and develop business cases for new products, features, fee structures and enhancements by establishing a multi\-year roadmap informed by the voice of our clients, competitive dynamics, and regulatory changes.
* Design and optimize end\-to\-end journeys with Marketing, Distribution, and Digital to improve conversion and engagement.
* Lead competitive benchmarking to assess product and pricing competitiveness.
* Develop and deliver executive dashboards and management reporting; analyze product trends and recommend actions.
* Recommend enhancements, consolidation, or rationalization of existing products based on client feedback, performance, profitability, and competitive positioning
* Stay current on regulations affecting deposit products while ensuring strong controls, testing, and issue management across the product lifecycle while coordinating required changes with Compliance, Legal, and Operations.
* Lead development and revisions to marketing materials, training content, internal and external communications, and product documentation.
* Performs all other duties as assigned.
**Qualifications:**
* Bachelor’s degree required; advanced degree (e.g., MBA) preferred or equivalent combination of education and experience.
* 5–8\+ years of experience in deposit product management/strategy, pricing, or related roles within banking; 2\+ years of people leadership.
* Strong analytical skills; proficiency with Excel and data visualization tools (e.g., Tableau/Power BI); SQL experience is a plus.
* Excellent communication, executive presence, and influence skills; ability to present to senior leadership and align diverse stakeholders.
**About Us**
 First Horizon Corporation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and mortgage banking services. First Horizon has been recognized as one of the nation's best employers by Fortune and Forbes magazines and a Top 10 Most Reputable U.S. Bank. More information is available at www.FirstHorizon.com.
**Benefit Highlights**
* Medical with wellness incentives, dental, and vision
* HSA with company match
* Maternity and parental leave
* Tuition reimbursement
* Mentor program
* 401(k) with 6% match
* More \-\- FirstHorizon.com/First\-Horizon\-National\-Corporation/Careers/Our\-Benefits
**Follow Us**
 Facebook
 X formerly Twitter
 LinkedIn
 Instagram
 YouTube</t>
        </is>
      </c>
    </row>
    <row r="150">
      <c r="A150" t="inlineStr">
        <is>
          <t>li-4325698155</t>
        </is>
      </c>
      <c r="B150" t="inlineStr">
        <is>
          <t>Senior Product Manager - Vault CRM Suite</t>
        </is>
      </c>
      <c r="C150" t="inlineStr">
        <is>
          <t>Veeva Systems</t>
        </is>
      </c>
      <c r="D150" t="inlineStr">
        <is>
          <t>linkedin</t>
        </is>
      </c>
      <c r="E150">
        <f>HYPERLINK("https://www.linkedin.com/jobs/view/4325698155", "https://www.linkedin.com/jobs/view/4325698155")</f>
        <v/>
      </c>
      <c r="F150" t="inlineStr"/>
      <c r="G150" t="inlineStr"/>
      <c r="H150" t="inlineStr"/>
      <c r="I150"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The Senior Product Manager, Vault CRM, is a critical position responsible for developing our world\-class CRM solution. You will work closely with customers, sales, consulting, and engineering to construct product roadmaps and define detailed product specifications. This role is for the core Vault CRM application which includes areas such as Account Management, Interaction Planning, Interaction Recording, Sampling, Surveys, Next Best Actions, Order Management, Cycle Plans, and much more.
**What You’ll Do**
* Drive strategic direction of Vault CRM
* Define product priorities and roadmap by collecting and synthesizing input from customers, partners, executives, market owners, sales, services, and engineering
* Be the voice of the customer and work collaboratively with product development teams to design and deliver product capabilities that meet customer/market requirements
* Evangelize products and become the subject matter expert for internal audiences, external customers, and market facing communications
* Collaborate with other departments (e.g.UX, engineering, QA, operations, etc.) to manage resources, timelines, and conflicts
* Ultimately you are responsible for creating features that are built, delivered with quality, and delight customers
**Requirements**
* 5\+ years of product management experience
* Experience in researching and understanding customer and market requirements to develop short and long\-term product roadmaps and plans
* Experience writing detailed user stories and managing a story backlog
* Track record of effectively collaborating with engineering/QA to define, design, and deliver the product
* Ability to understand and communicate architectural requirements, preferences, and limitations
* Excellent oral and written communication skills
* A strong sense of professional ethics
****Nice to Have****
* Experience with commercial aspects of the Life Sciences industry, including Field Sales or Field Medical
* Experience developing configurable enterprise SaaS solutions in an agile environment
* Experience with federal regulatory requirements, including 21 CFR Part 11 and PDMA, as well as state laws and regulations
* Experience with the Veeva Vault platform
* Experience developing configurable enterprise SaaS solutions
* Prior work in software development, or computer science degree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151">
      <c r="A151" t="inlineStr">
        <is>
          <t>li-4354057468</t>
        </is>
      </c>
      <c r="B151" t="inlineStr">
        <is>
          <t>Product Manager, Antibody Detection</t>
        </is>
      </c>
      <c r="C151" t="inlineStr">
        <is>
          <t>Thermo Fisher Scientific</t>
        </is>
      </c>
      <c r="D151" t="inlineStr">
        <is>
          <t>linkedin</t>
        </is>
      </c>
      <c r="E151">
        <f>HYPERLINK("https://www.linkedin.com/jobs/view/4354057468", "https://www.linkedin.com/jobs/view/4354057468")</f>
        <v/>
      </c>
      <c r="F151" t="inlineStr"/>
      <c r="G151" t="inlineStr">
        <is>
          <t>Florida, United States</t>
        </is>
      </c>
      <c r="H151" t="inlineStr"/>
      <c r="I151" t="inlineStr">
        <is>
          <t>**Work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52">
      <c r="A152" t="inlineStr">
        <is>
          <t>li-4325638392</t>
        </is>
      </c>
      <c r="B152" t="inlineStr">
        <is>
          <t>Senior Product Manager - Vault CRM Suite</t>
        </is>
      </c>
      <c r="C152" t="inlineStr">
        <is>
          <t>Veeva Systems</t>
        </is>
      </c>
      <c r="D152" t="inlineStr">
        <is>
          <t>linkedin</t>
        </is>
      </c>
      <c r="E152">
        <f>HYPERLINK("https://www.linkedin.com/jobs/view/4325638392", "https://www.linkedin.com/jobs/view/4325638392")</f>
        <v/>
      </c>
      <c r="F152">
        <f>HYPERLINK("https://veevasystems.contacthr.com/150082392&amp;urlHash=fPlo", "https://veevasystems.contacthr.com/150082392&amp;urlHash=fPlo")</f>
        <v/>
      </c>
      <c r="G152" t="inlineStr">
        <is>
          <t>New York, NY</t>
        </is>
      </c>
      <c r="H152" t="inlineStr"/>
      <c r="I152"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The Senior Product Manager, Vault CRM, is a critical position responsible for developing our world\-class CRM solution. You will work closely with customers, sales, consulting, and engineering to construct product roadmaps and define detailed product specifications. This role is for the core Vault CRM application which includes areas such as Account Management, Interaction Planning, Interaction Recording, Sampling, Surveys, Next Best Actions, Order Management, Cycle Plans, and much more.
**What You’ll Do**
* Drive strategic direction of Vault CRM
* Define product priorities and roadmap by collecting and synthesizing input from customers, partners, executives, market owners, sales, services, and engineering
* Be the voice of the customer and work collaboratively with product development teams to design and deliver product capabilities that meet customer/market requirements
* Evangelize products and become the subject matter expert for internal audiences, external customers, and market facing communications
* Collaborate with other departments (e.g.UX, engineering, QA, operations, etc.) to manage resources, timelines, and conflicts
* Ultimately you are responsible for creating features that are built, delivered with quality, and delight customers
**Requirements**
* 5\+ years of product management experience
* Experience in researching and understanding customer and market requirements to develop short and long\-term product roadmaps and plans
* Experience writing detailed user stories and managing a story backlog
* Track record of effectively collaborating with engineering/QA to define, design, and deliver the product
* Ability to understand and communicate architectural requirements, preferences, and limitations
* Excellent oral and written communication skills
* A strong sense of professional ethics
****Nice to Have****
* Experience with commercial aspects of the Life Sciences industry, including Field Sales or Field Medical
* Experience developing configurable enterprise SaaS solutions in an agile environment
* Experience with federal regulatory requirements, including 21 CFR Part 11 and PDMA, as well as state laws and regulations
* Experience with the Veeva Vault platform
* Experience developing configurable enterprise SaaS solutions
* Prior work in software development, or computer science degree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153">
      <c r="A153" t="inlineStr">
        <is>
          <t>li-4361658191</t>
        </is>
      </c>
      <c r="B153" t="inlineStr">
        <is>
          <t>Senior Technical Program Manager, AI</t>
        </is>
      </c>
      <c r="C153" t="inlineStr">
        <is>
          <t>Cognite</t>
        </is>
      </c>
      <c r="D153" t="inlineStr">
        <is>
          <t>linkedin</t>
        </is>
      </c>
      <c r="E153">
        <f>HYPERLINK("https://www.linkedin.com/jobs/view/4361658191", "https://www.linkedin.com/jobs/view/4361658191")</f>
        <v/>
      </c>
      <c r="F153" t="inlineStr"/>
      <c r="G153" t="inlineStr">
        <is>
          <t>Phoenix, AZ</t>
        </is>
      </c>
      <c r="H153" t="inlineStr"/>
      <c r="I153" t="inlineStr">
        <is>
          <t>Cognite operates at the forefront of
 **industrial digitalization, building AI** 
 and data solutions that solve some of the world’s hardest, highest\-impact problems. With unmatched industrial heritage and a comprehensive suite of AI capabilities, including low\-code AI agents, Cognite accelerates the digital transformation to drive operational improvements.
 Our moonshot is bold: unlock $100B in customer value by 2035 and redefine how global industry works.
 What Cognite is Relentless to achieve
 We thrive in challenges. We challenge assumptions. We execute with speed and ownership. If you view obstacles as signals to step forward \- not step back \- you’ll feel at home here. Join us in this venture where AI and data meet ingenuity, and together, we forge the path to a smarter, more connected industrial future.
 How you’ll demonstrate
 **Ownership**
* Breaking down complex requirements with the product manager, tech lead, and Office of the CTO, turning them into execution pieces and finding the right sequence
* Managing schedule, timelines, and milestones (i.e. alpha, beta, and GA)
* Driving the trade\-offs between usability, go\-to\-market (GTM) lead time, features scope, technical debt/investment (i.e. across UX/PM/ENG/GTM) to maximize value for our customers and Cognite
* Drive end\-to\-end alignment from sales to delivery, security, and support
* Managing internal and external dependencies arising from end\-to\-end alignment
* Managing budgeting and resource needs
* Managing in\-market product performance in scope of the program (e.g. usage metrics, cost drivers, required delivery effort, as well as quality, reliability, security etc.), ensuring those metrics are measured, reported, reviewed and acted upon
 The Impact you bring to Cognite
* We are looking for a TPM who doesn't just manage the process, but engineers it—using AI to make product development 10x more effective
* Automate the "toil" of program management
* Run complex, cross\-discipline and cross\-department programs that span research, engineering, and product
* Strong influencing skills: The ability to influence stakeholders and drive consensus across the organization without formal reporting lines
* Structured, thorough and detail oriented
* Genuine interest in or direct experience on the full product lifecycle (product strategy, sales, delivery, adoption, support, sunsetting)
**Required Qualifications**
* Must have experience from a SaaS company at scale
* Must have software development experience (any language) in developing, testing, deploying code for a software product
* Strong system design understanding, specifically regarding scalable systems, agentic and generative AI infrastructure, retrieval architectures, and the unique constraints of LLM\-based products
* Proven ability to use AI tools (e.g., Cursor, Claude code, custom agents) to accelerate productivity
**Preferred Experience**
* Technical MSc degree or proven technical hands\-on experience
* Experience in leading and managing product development teams, running sprints, scrums, making scoping trade\-offs and assessing technical options with tech leads and architects
**A snapshot of our many perks and benefits as a Cogniter**
* Competitive compensation
* 401(k) with employer matching
* Competitive health, dental, vision \&amp; disability coverages for employees and all dependents
* Unlimited PTO
* Paid Parental Leave Program
* Employee Referral Program
* Join a team of 60\+ different nationalities 🌐 with Diversity, Equality and Inclusion (DEI) in focus 🤝
* A highly modern and fun working environment with sublime culture across the organization, follow us on Instagram @cognitedata 📷 to know more
* Opportunity to work with and learn from some of the best people on some of the most ambitious projects found anywhere, across industries
* Join our HUB 🗣️ to be part of the conversation directly with Cogniters and our partners
* Paid mobile phone and WiFi
***Equal Opportunity***
*Cognite is committed to creating a diverse and inclusive environment at work and is proud to be an equal opportunity employer. All qualified applicants will receive the same level of consideration for employment.*</t>
        </is>
      </c>
    </row>
    <row r="154">
      <c r="A154" t="inlineStr">
        <is>
          <t>li-4369128101</t>
        </is>
      </c>
      <c r="B154" t="inlineStr">
        <is>
          <t>Program Manager (AI &amp; Pharma Background Only)</t>
        </is>
      </c>
      <c r="C154" t="inlineStr">
        <is>
          <t>Propelsys Technologies LLC</t>
        </is>
      </c>
      <c r="D154" t="inlineStr">
        <is>
          <t>linkedin</t>
        </is>
      </c>
      <c r="E154">
        <f>HYPERLINK("https://www.linkedin.com/jobs/view/4369128101", "https://www.linkedin.com/jobs/view/4369128101")</f>
        <v/>
      </c>
      <c r="F154" t="inlineStr"/>
      <c r="G154" t="inlineStr">
        <is>
          <t>Raritan, NJ</t>
        </is>
      </c>
      <c r="H154" t="inlineStr"/>
      <c r="I154" t="inlineStr">
        <is>
          <t>* **Location** 
  \- Raritan, NJ. 
 **(Local to NJ/NY only)**
* **Work Mode** 
  \- This position will be a hybrid role based in NJ, requiring 3\-4 days in the office.
* **Resource Type** 
  \- Full\-time is preferred as it proves to be more cost\-effective.
* **Cost** 
 – DOE
**Candidate brief \-** 
 Full\-time with overall 15\+ years of experience, with 8\+ years of experience in Project management.
 The position is for a Program Manager with the following qualifications:
* PMP certification (preferred)
* Proficiency in MS Project
* Strong project management skills
* Experience managing RAID logs and providing status updates to executives
* Strong release management skills
* Excellent written and verbal communication skills
* AI experience (preferred)
* Pharma experience (preferred)</t>
        </is>
      </c>
    </row>
    <row r="155">
      <c r="A155" t="inlineStr">
        <is>
          <t>li-4321728085</t>
        </is>
      </c>
      <c r="B155" t="inlineStr">
        <is>
          <t>Senior Product Manager - Pro - Tax Reporting</t>
        </is>
      </c>
      <c r="C155" t="inlineStr">
        <is>
          <t>Kraken</t>
        </is>
      </c>
      <c r="D155" t="inlineStr">
        <is>
          <t>linkedin</t>
        </is>
      </c>
      <c r="E155">
        <f>HYPERLINK("https://www.linkedin.com/jobs/view/4321728085", "https://www.linkedin.com/jobs/view/4321728085")</f>
        <v/>
      </c>
      <c r="F155">
        <f>HYPERLINK("https://jobs.ashbyhq.com/kraken.com/8c8aef42-d41e-4c87-8737-f3cd813bed78/application?utm_source=LinkedIn&amp;urlHash=Jv1I", "https://jobs.ashbyhq.com/kraken.com/8c8aef42-d41e-4c87-8737-f3cd813bed78/application?utm_source=LinkedIn&amp;urlHash=Jv1I")</f>
        <v/>
      </c>
      <c r="G155" t="inlineStr"/>
      <c r="H155" t="inlineStr"/>
      <c r="I155" t="inlineStr">
        <is>
          <t>**Building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This role is part of the Client Reporting team at Kraken which owns the end\-to\-end reporting platform delivering scalable solutions to help clients understand trading activity, asset allocations and meet tax / compliance obligations.
 The team sets the global direction for statements, exports, tax reports and the client experience for the reporting user interfaces.
**The opportunity**
* Own the platform strategy and execution of client reporting experiences globally, covering diverse asset classes like crypto, equities and derivatives.
* Re\-imagine account statements, transaction history, tax reports and portfolio summaries to provide best in class client experience.
* Collaborate with data, finance, and compliance to anticipate regulatory changes and incorporate them into the reporting frameworks.
* Provide reporting solutions that meet diverse regulatory and geographical requirements, balancing compliance with exceptional user experience.
* Partner with the design team to champion the client UX for the documentation centers across web and mobile applications.
* Lead vendor strategy: assess, integrate and optimize third\-party tools for data aggregation, report generation and export functionality.
**Skills You Should HODL**
* 5\+ years of product management experience, including building reporting products for clients, such as account statements, tax forms (e.g. 1099\-B, 1099\-MISC, 1099\-K forms), transaction exports and user audit trails.
* Demonstrate a proven track record of owning strategy and delivering high\-impact reporting tools in complex, regulated environments.
* Excellent stakeholder management and communications skills, including writing PRDs, strategy docs and product vision narratives.
* Experience leading vendor evaluations, integrations and performance management for data and reporting services.
* A deep passion for the crypto industry, including staying at the forefront of new trends, technologies, and developments. A learning attitude and willingness to innovate are crucial.
* Able to align diverse stakeholders, clearly articulate product decisions, and inspire cross\-functional teams.
* Thrives in a fast\-paced, ambiguous startup environment and brings a hands\-on, can\-do attitude to problem solving.
*Unless a specific application deadline is stated in the job posting, applications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
**Stay in the know**
 Follow us on Twitter
 Learn on the Kraken Blog
 Connect on LinkedIn
 Candidate Privacy Notice
 Compensation Range: $110\.4K \- $220\.8K</t>
        </is>
      </c>
    </row>
    <row r="156">
      <c r="A156" t="inlineStr">
        <is>
          <t>li-4362379607</t>
        </is>
      </c>
      <c r="B156" t="inlineStr">
        <is>
          <t>Senior Associate, Client Growth &amp; Retention Enablement - Product Owner</t>
        </is>
      </c>
      <c r="C156" t="inlineStr">
        <is>
          <t>New York Life Insurance Company</t>
        </is>
      </c>
      <c r="D156" t="inlineStr">
        <is>
          <t>linkedin</t>
        </is>
      </c>
      <c r="E156">
        <f>HYPERLINK("https://www.linkedin.com/jobs/view/4362379607", "https://www.linkedin.com/jobs/view/4362379607")</f>
        <v/>
      </c>
      <c r="F156">
        <f>HYPERLINK("https://careers.newyorklife.com/careers/job/38742838?utm_source=linkedin&amp;domain=newyorklife.com&amp;urlHash=u6ei", "https://careers.newyorklife.com/careers/job/38742838?utm_source=linkedin&amp;domain=newyorklife.com&amp;urlHash=u6ei")</f>
        <v/>
      </c>
      <c r="G156" t="inlineStr">
        <is>
          <t>New York, NY</t>
        </is>
      </c>
      <c r="H156" t="inlineStr"/>
      <c r="I156" t="inlineStr">
        <is>
          <t>**Location Designation:** 
 Hybrid \- 3 days per week
**Role Overview**
 When you join New York Life, you become part of a company that values growth, collaboration, innovation, and inclusion. You’ll have opportunities to advance your career while developing personally and professionally through a wide range of resources and programs.
 We are seeking a Product Owner who thrives on collaboration and is energized by enabling digital products that advance client growth and retention goals.
 This role sits at the intersection of business and technology—translating business needs and features into digital product solutions and requirements that deliver measurable business outcomes. Success requires a strong grasp of digital product delivery, the ability to connect business priorities to execution, and the influence to align cross\-functional teams around shared objectives.
**What Great Looks Like In This Role**
* A proactive, team\-oriented problem solver who thrives on bringing clarity to complexity.
* Connects business strategy to digital product execution with precision and focus.
* Shapes and maintains a prioritized, transparent backlog aligned to business objectives and technology capabilities.
* Balances speed, quality, and stakeholder alignment through strong facilitation and trade\-off decisioning.
* Creates clarity across functions, ensuring the right people are engaged, informed, and empowered to act.
**What You’ll Do**
* Digital Product Backlog Planning \&amp; Management:
+ Partner with Business Leads and Product Managers to understand strategy, impact goals, and OKRs, and translate them into actionable backlog priorities.
+ Accountable for defining, grooming, and managing the product backlog with a focus on delivering value early and often.
* Delivery \&amp; Execution Management:
+ Partner with Technology to lead the digital product delivery process.
+ Manage sprint planning, feature delivery, and risk escalation, ensuring trade\-offs are transparent and data\-informed.
+ Balance business expectations and technical feasibility through clear communication and proactive alignment.
* User Acceptance \&amp; Quality:
+ Partner with the UAT team to validate that products meet defined business and user expectations.
+ Guide the creation and prioritization of test scripts; support triage, prioritization, and resolution of defects.
+ Ensure readiness for deployment through collaboration with key business and technology stakeholders.
+ Review and conduct post\-deployment validation and ongoing monitoring, as demanded by the initiative.
* Activation \&amp; Adoption:
+ Contribute to activation, training, and communication plans to ensure readiness and seamless adoption.
+ Contribute to documentation and enablement materials to ensure seamless adoption and measurable impact post\-launch.
* Platform \&amp; Vendor Collaboration:
+ Support platform evaluations and vendor RFPs as needed, ensuring scalability, cost\-effectiveness, and alignment with strategy.
+ Influence vendor roadmaps to support evolving business needs and enterprise goals.
* Manage day\-to\-day platform and operations:
+ Support back\-end processes and workflows,
+ Create processes with documentation of processes/workflows/operations for record retention and management
**What You’ll Bring**
**Skills \&amp; Competencies**
* Proven experience with consumer\-facing, data\-driven digital products
* Strong delivery discipline and problem\-solving orientation
* Strong facilitator who drives clarity, consensus, and accountability
* Ability to manage multiple priorities and navigate ambiguity effectively
* High attention to detail, self\-starter, and ability to balance the need to work strategically and hands\-on
* Strong written and verbal communication skills across technical and business audiences
* Confident negotiator and trusted advisor in cross\-functional discussions
**Education \&amp; Background**
* Bachelor’s degree and/or equivalent experience
* Minimum of 7\+ years of relevant experience, with 5\+ years specializing in digital product delivery
**Pay Transparency**
 Salary Range: $108,000 \- $140,000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92872</t>
        </is>
      </c>
    </row>
    <row r="157">
      <c r="A157" t="inlineStr">
        <is>
          <t>li-4325498552</t>
        </is>
      </c>
      <c r="B157" t="inlineStr">
        <is>
          <t>Senior Product Manager - Vault CRM Suite</t>
        </is>
      </c>
      <c r="C157" t="inlineStr">
        <is>
          <t>Veeva Systems</t>
        </is>
      </c>
      <c r="D157" t="inlineStr">
        <is>
          <t>linkedin</t>
        </is>
      </c>
      <c r="E157">
        <f>HYPERLINK("https://www.linkedin.com/jobs/view/4325498552", "https://www.linkedin.com/jobs/view/4325498552")</f>
        <v/>
      </c>
      <c r="F157">
        <f>HYPERLINK("https://veevasystems.contacthr.com/150082391&amp;urlHash=XR-W", "https://veevasystems.contacthr.com/150082391&amp;urlHash=XR-W")</f>
        <v/>
      </c>
      <c r="G157" t="inlineStr">
        <is>
          <t>Pleasanton, CA</t>
        </is>
      </c>
      <c r="H157" t="inlineStr"/>
      <c r="I157"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The Senior Product Manager, Vault CRM is a critical position responsible in developing our world\-class CRM solution. You will work closely with customers, sales, consulting, and engineering to construct product roadmaps and define detailed product specifications. This role is for the core Vault CRM application which includes areas such as Account Management, Interaction Planning, Interaction Recording, Sampling, Surveys, Next Best Actions, Order Management, Cycle Plans, and much more.
**What You’ll Do**
* Drive strategic direction of Vault CRM
* Define product priorities and roadmap by collecting and synthesizing input from customers, partners, executives, market owners, sales, services, and engineering
* Be the voice of the customer and work collaboratively with product development teams to design and deliver product capabilities that meet customer/market requirements
* Evangelize products and become the subject matter expert for internal audiences, external customers, and market facing communications
* Collaborate with other departments (e.g.UX, engineering, QA, operations, etc.) to manage resources, timelines, and conflicts
* Ultimately you are responsible for creating features that are built, delivered with quality, and delight customers
**Requirements**
* 5\+ years of product management experience
* Experience in researching and understanding customer and market requirements to develop short and long\-term product roadmaps and plans
* Experience writing detailed user stories and managing a story backlog
* Track record of effectively collaborating with engineering/QA to define, design and deliver the product
* Ability to understand and communicate architectural requirements, preferences, and limitations
* Excellent oral and written communication skills
* A strong sense of professional ethics
****Nice to Have****
* Experience with commercial aspects of the Life Sciences industry, including Field Sales or Field Medical
* Experience developing configurable enterprise SaaS solutions in an agile environment
* Experience with federal regulatory requirements, including 21 CFR Part 11 and PDMA, as well as state laws and regulations
* Experience with the Veeva Vault platform
* Experience developing configurable enterprise SaaS solutions
* Prior work in software development, or computer science degree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158">
      <c r="A158" t="inlineStr">
        <is>
          <t>li-4369105057</t>
        </is>
      </c>
      <c r="B158" t="inlineStr">
        <is>
          <t>Technical Program Manager, AI/ML, Cloud Capacity Planning</t>
        </is>
      </c>
      <c r="C158" t="inlineStr">
        <is>
          <t>Google</t>
        </is>
      </c>
      <c r="D158" t="inlineStr">
        <is>
          <t>linkedin</t>
        </is>
      </c>
      <c r="E158">
        <f>HYPERLINK("https://www.linkedin.com/jobs/view/4369105057", "https://www.linkedin.com/jobs/view/4369105057")</f>
        <v/>
      </c>
      <c r="F158">
        <f>HYPERLINK("https://careers.google.com/jobs/results/97308458881032902-technical-program-manager/?src=Online/LinkedIn/linkedin_us&amp;utm_source=linkedin&amp;utm_medium=jobposting&amp;utm_campaign=contract&amp;urlHash=9qpM", "https://careers.google.com/jobs/results/97308458881032902-technical-program-manager/?src=Online/LinkedIn/linkedin_us&amp;utm_source=linkedin&amp;utm_medium=jobposting&amp;utm_campaign=contract&amp;urlHash=9qpM")</f>
        <v/>
      </c>
      <c r="G158" t="inlineStr">
        <is>
          <t>Austin, TX</t>
        </is>
      </c>
      <c r="H158" t="inlineStr"/>
      <c r="I158"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**Sunnyvale, CA, USA; Atlanta, GA, USA; Austin, TX, USA; Addison, TX, USA; New York, NY, USA; Thornton, CO, USA** 
 .
 **Minimum qualifications:**
* Bachelor's degree in a technical field, or equivalent practical experience.
* 8 years of experience in technical program management or managing cross\-functional projects.
* Experience in capacity planning, supply chain management, or infrastructure deployment.
* Experience in data modeling, trend analysis, forecasting, or data analytics.
* Experience leading regular review meetings with cross\-functional stakeholders to align business objectives with technical capabilities.
**Preferred qualifications:**
* 8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ensure to provide capacity to our customers on\-time and in the right location, thus supporting the business' tremendous growth potential. You will be overseeing various aspects of supply planning, demand planning, and program management to help coordinate across numerous stakeholders to deliver a seamless capacity experience for our AI/ML customers.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Coordinate capacity planning activities for Google Cloud AI/ML portfolios and lead regular review meetings to align business objectives with technical capabilities.
* Collaborate with Engineering, Product Management, and Operations teams to ensure a smooth transition for customers migrating their workloads to Google Cloud.
* Design and implement capacity planning processes to improve cost\-effectiveness and performance, while proactively monitoring for and mitigating bottlenecks to minimize service disruptions.
* Analyze usage patterns and maintain Supply Demand Match (SDM) models to build long\-term demand forecasts that anticipate resource needs for long\-lead\-time products.
* Partner with engineering teams to design and implement automation that delivers operational excellence and reduces manual toil.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9">
      <c r="A159" t="inlineStr">
        <is>
          <t>li-4314985120</t>
        </is>
      </c>
      <c r="B159" t="inlineStr">
        <is>
          <t>Program Manager, Integrity GRC</t>
        </is>
      </c>
      <c r="C159" t="inlineStr">
        <is>
          <t>Meta</t>
        </is>
      </c>
      <c r="D159" t="inlineStr">
        <is>
          <t>linkedin</t>
        </is>
      </c>
      <c r="E159">
        <f>HYPERLINK("https://www.linkedin.com/jobs/view/4314985120", "https://www.linkedin.com/jobs/view/4314985120")</f>
        <v/>
      </c>
      <c r="F159" t="inlineStr"/>
      <c r="G159" t="inlineStr">
        <is>
          <t>New York, NY</t>
        </is>
      </c>
      <c r="H159" t="inlineStr"/>
      <c r="I159" t="inlineStr">
        <is>
          <t>Meta’s Integrity GRC team is the central force behind integrity risk management and compliance for Meta and our family of apps. We’re seeking experienced professionals in compliance, risk management, and integrity to help protect Meta’s global products and services by proactively identifying, assessing, and mitigating compliance and integrity risks across our platforms.In this role, you will:\- Drive risk assessments: Lead and support risk identification, evaluation, and mitigation across Meta’s business areas.\- Navigate regulatory obligations: Stay ahead of evolving global regulations, ensuring Meta’s products and services meet both existing and emerging compliance requirements.\- Empower the business: Enable Meta to achieve its goals at scale while maintaining its compliance posture.\- Collaborate globally: Build and maintain relationships with stakeholders across regions and functions.We strive to be the premier destination for governance, risk, compliance, and integrity experts.
 Program Manager, Integrity GRC Responsibilities:
* Lead Risk Assessment Activities: Proactively identify, assess, and mitigate compliance and integrity risks across Meta’s platforms, including conducting statutory risk assessments
* Support Regulatory Audit Readiness: Manage audit readiness activities and coordinate responses to regulatory audits and requests for information, ensuring Meta’s compliance posture is well\-documented and defensible
* Draft, Edit, and Review Regulatory Reports: Prepare, edit, and review regulatory and compliance reports, ensuring clarity, accuracy, and alignment with internal standards and external requirements. Maintain submission\-ready documentation
* Monitor and Interpret Regulatory Changes: Maintain an understanding of the evolving global regulatory landscape impacting Meta’s Integrity functions, and translate regulatory changes into actionable project work and risk management deliverables
* Serve as Integrity GRC Subject Matter Expert: Act as a key connection point between Integrity Risk Management, Legal, Regulatory Offices, and business teams, providing guidance on risk management matters
* Drive Cross\-Functional Collaboration: Build and maintain relationships with global stakeholders across Integrity, Legal, and business teams to ensure alignment and execution of compliance and risk management activities
* Ensure Regulatory and Policy Adherence: Ensure all activities and documentation adhere to internal standards and regulatory requirements, supporting Meta’s capacity to maintain legal and regulatory compliance
* Communicate Risk and Compliance Status: Establish streamlined communication models to provide regular updates, status reports, and feedback requests to stakeholders, ensuring transparency and cross\-functional alignment
* Identify and Address Gaps: Identify gaps in strategy, systems, or processes related to risk management, and work with relevant teams to implement improvements
* Support Business Travel: Travel as needed (up to 10%) to support regulatory or risk management activities
 Minimum Qualifications:
* 7\+ years in risk management, compliance, or integrity roles within large, complex, or regulated organizations
* Experience in risk assessment to identify, evaluate, and mitigate compliance and integrity risks
* Knowledge of global regulatory frameworks relevant to technology, social media, or digital platforms
* Demonstrated experience working across legal, regulatory, and business teams
* Demonstrated communication skills, with experience presenting risk management topics to leadership and regulators
* Demonstrated ability to prepare, edit, and review reports, including regulatory, risk, and compliance documentation
* Program/project management experience, including prioritizing deliverables and driving cross\-functional alignment
* Track record of process improvement, identifying and addressing gaps in risk management strategy, systems, or processes
 Preferred Qualifications:
* Relevant Professional Certifications: \- Certified Information Systems Auditor (CISA) \- Certified in Risk and Information Systems Control (CRISC) \- Certified Compliance \&amp; Ethics Professional (CCEP) \- Certified Internal Auditor (CIA) \- Certified Information Privacy Professional (CIPP) \- Artificial Intelligence Governance Professional (AIGP) – IAPP \- Other recognized certifications in risk management, compliance, privacy, or audit
* Master’s degree in Business, Law, Risk Management, Public Policy, or a related field
* Experience working with international regulatory bodies or in a global business environment, especially in technology, social media, or digital platforms
* Familiarity with risk management and compliance tools, data analytics, reporting systems, and AI governance frameworks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$153,000/year to $209,000/year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0">
      <c r="A160" t="inlineStr">
        <is>
          <t>li-4368999704</t>
        </is>
      </c>
      <c r="B160" t="inlineStr">
        <is>
          <t>Computer Vision IP program manager</t>
        </is>
      </c>
      <c r="C160" t="inlineStr">
        <is>
          <t>Qualcomm</t>
        </is>
      </c>
      <c r="D160" t="inlineStr">
        <is>
          <t>linkedin</t>
        </is>
      </c>
      <c r="E160">
        <f>HYPERLINK("https://www.linkedin.com/jobs/view/4368999704", "https://www.linkedin.com/jobs/view/4368999704")</f>
        <v/>
      </c>
      <c r="F160" t="inlineStr"/>
      <c r="G160" t="inlineStr">
        <is>
          <t>San Diego, CA</t>
        </is>
      </c>
      <c r="H160" t="inlineStr"/>
      <c r="I160" t="inlineStr">
        <is>
          <t>**Company**
 Qualcomm Technologies, Inc.
**Job Area**
 Operations Group, Operations Group \&gt; Project Manager
**General Summary**
* Plan and Manage execution for MSM chipset, perform gap analysis, prioritize development effort.
* Responsible for working with Camera/Display/Audio/Video technology focused organization to generate the resource assignment, delivery plan, risk analysis and contingency planning cross QCT chipset solutions.
* Work closely with technical staff to develop key customer relationships and align internal development milestones with key customer project/product plan.
* Abstract and analyze historical engineering loading data to support resource forecast/planning for QCT Multimedia engineering team.
* Work closely with TAM, sourcing and customer support team to enable eco\-system partners and leverage industry expertise for multimedia solution tuning and customization.
* Chair meetings to drive the milestones typically spanning multiple locations / geographic regions.
* Conducts weekly internal status reviews with various teams including the development, test, application engineering and the Executive Management
* Seeks to improve project operations, including tracking and reporting; interface with technical projects completion and documentation
* Facilitate clear and accurate communications across distributed teams including engineers in Asia, Europe and US
* Define, document, \&amp; communicate the critical path, timeline, issue list.
**Minimum Skills**
* 5\+ years in the following areas required:
* Experience in digital integrated circuit or core design, digital IC architecture, and product development with a later career emphasis on program management of those disciplines.
* Experience with multi\-tasking in order to understand/facilitate/guide a variety of disciplines such as System Architecture and modeling, IC digital design, verification and implementation, SW drivers, project and product management.
* Experience in complete ASIC lifecycle development.
* Microsoft tools like mpp, advanced excel, PowerPoint.
* Track record of proven leadership, business and project management.
**Preferred Skills**
* Experience and background in Multi Media technology.
* Self\-starter. Ability to manage, influence, and set direction of multi\-faceted, multi\-disciplined teams and programs independently with minimal supervision.
* Ability to articulate vision and influence decision making and outcomes both within internal and with external teams through effective communication skills at all levels.
* Capable of synchronizing and motivating other program managers, product management and engineering leads to attain common goal
**Minimum Qualifications**
* Bachelor's degree and 5\+ years of project management or related work experience.
 OR
 Associate's degree and 7\+ years of project management or related work experience.
 OR
 High School Diploma or equivalent and 9\+ years of project management or related work experience.
* Completed advanced degrees in a relevant field may be substituted for up to two years (Master’s \= one year, Doctorate \= two years) of work experience.
**Applicants** 
 :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$144,800\.00 \- $217,200\.00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61">
      <c r="A161" t="inlineStr">
        <is>
          <t>li-4368994152</t>
        </is>
      </c>
      <c r="B161" t="inlineStr">
        <is>
          <t>Senior Program Manager, Strategy &amp; Operations- Remote</t>
        </is>
      </c>
      <c r="C161" t="inlineStr">
        <is>
          <t>RemoteHunter</t>
        </is>
      </c>
      <c r="D161" t="inlineStr">
        <is>
          <t>linkedin</t>
        </is>
      </c>
      <c r="E161">
        <f>HYPERLINK("https://www.linkedin.com/jobs/view/4368994152", "https://www.linkedin.com/jobs/view/4368994152")</f>
        <v/>
      </c>
      <c r="F161" t="inlineStr"/>
      <c r="G161" t="inlineStr"/>
      <c r="H161" t="inlineStr"/>
      <c r="I161" t="inlineStr">
        <is>
          <t>About the Opportunity:
 This program is building an innovative inference cloud aimed at transforming how people and AI agents perform their work. It leverages a highly distributed cloud and networking platform to rethink a rapidly evolving space. The Senior Program Manager will drive multiple complex projects and lead cross\-functional alignment throughout the program lifecycle, contributing critically to the success of the AI Inference Cloud.
 Responsibilities:
 • Support cross\-functional teams with subject matter expertise in planning and executing multiple projects and programs
 • Foster effective communication and maintain detailed documentation
 • Report on program status, risks, opportunities, process dependencies, and success metrics to senior internal stakeholders
 • Engage regularly with key collaborators to communicate progress, assess business risks, determine priorities, and propose solutions
 • Implement continuous process improvements following best\-practice guidelines
 • Maintain and nurture relationships with internal engineering teams, focusing on server hardware components
 Requirements:
 • Minimum 8 years of relevant experience and a bachelor''s degree
 • Experience working with public cloud platforms, either Hyperscale or Neo Cloud
 • Multiple certifications from AWS, GCP, or Azure
 • Extensive expertise in program or project oversight within cross\-functional technical teams, including leadership and team management skills
 • Proficient in managing agile work processes
 • Experience managing external vendor relationships
 • Strong interpersonal and organizational skills with effective communication abilities for all stakeholders
 • Demonstrated teamwork skills and eagerness to engage in diverse, creative, and innovative projects
 Benefits \&amp; Perks:
 • Flexible working program offering choice to work from home, office, or both within the advertised country
 • Health benefits
 • Financial benefits including 401K savings plan
 • Family\-friendly benefits including parental leave
 • Paid time off including vacation (PTO), sick time, and company holidays
 Compensation:
 • Base salary range for US candidates is $101,400 to $210,600 per year, determined by experience, skills, certifications, and location
 • Additional compensation may include annual bonuses, incentives, equity awards, and an Employee Stock Purchase Plan (ESPP)
 • Compensation for candidates outside the US will vary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2">
      <c r="A162" t="inlineStr">
        <is>
          <t>li-4295844471</t>
        </is>
      </c>
      <c r="B162" t="inlineStr">
        <is>
          <t>Principal Program Manager</t>
        </is>
      </c>
      <c r="C162" t="inlineStr">
        <is>
          <t>Oracle</t>
        </is>
      </c>
      <c r="D162" t="inlineStr">
        <is>
          <t>linkedin</t>
        </is>
      </c>
      <c r="E162">
        <f>HYPERLINK("https://www.linkedin.com/jobs/view/4295844471", "https://www.linkedin.com/jobs/view/4295844471")</f>
        <v/>
      </c>
      <c r="F162" t="inlineStr"/>
      <c r="G162" t="inlineStr">
        <is>
          <t>Seattle, WA</t>
        </is>
      </c>
      <c r="H162" t="inlineStr"/>
      <c r="I162" t="inlineStr">
        <is>
          <t>**Job Description**
 We're seeking a Principal Demand Planner who enables the strategy and execution of forecasting and decision making through a strong combination of modeling, business intelligence, and market and industry trend analysis. An ideal candidate possesses a deep experience in developing data analytics, creating scenario analysis, and partnering supply management functions. The Principal Demand Planner possesses advanced knowledge of process improvement, and actively drives iteration and new learning into the inputs and methods for strategic requirement forecasting.
**Responsibilities**
**Responsibilities:**
* Develop, iterate, and maintain end to end long\-range demand planning models at the customer, initiative, SKU, and geo level. The plan will allow the team to correctly predict product demand and provide supply chain with the appropriate information to meet the customer demand.
* Build demand plans based on strategic goals, business trends, and inputs from stakeholders. Interact with engineering customer management, product management, networking, datacenter, and finance to understand demand requirements.
* Socialize demand plans with senior leaders in capacity planning and operations, supply chain, engineering, customer management, and finance to achieve alignment.
* Identify demand forecast risks and develop prioritized, effective, flexible, and durable mitigation strategies.
* Facilitate healthy balance between long range planning and short\-term execution. Understand end to end supply chain flow to help ensure customer demand is met.
* Collaborate with product management to understand product lifecycle, transition, and how that impacts forecasting.
* Provide direct inputs and analysis of demand data to management, finance, and operational teams in creating and maintaining the corporate S\&amp;OP process.
* Develop routine and ad\-hoc demand analyses and reports for senior management.
* Maintain demand planning review processes to improve forecast accuracy.
* Demand planning is both science and art. It is critical to understand how to translate business strategy into forecasting models, both quantitatively and qualitatively.
* Work with business intelligence teams to translate planning processes into system models to determine and plan resource needs that meets capacity and performance needs.
**Required Qualifications:**
* Bachelor’s degree in Business Administration, Supply Chain Management, Engineering or related fields
* 5\+ years’ relevant experience within demand planning and forecasting
* Extensive experience in developing demand plans and forecasts for new and existing products
* Understand impact of revenue goals, customer usage, overhead and buffer, data center space and power availability on capacity management.
* Demonstrate excellent analytical skills and meet deadlines with a strong desire to execute tasks with quality and a sense of urgency.
* Experienced with forecasting and demand planning for server storage and networking
* Advanced in Excel modeling and building complex forecasting models with multiple inputs to drive recommendations and decisions
* Ability to both dive deep into data and synthesize findings and insights for exec level communication
* Expert in Excel data analytics to drive action and outcome
* Experienced in working with VPs and Executives
* Experienced with infrastructure hardware, memory, CPU, JBoDs, servers, etc. Ability to read and interpret product BOM and documentation.
**Preferred Qualifications:**
* Previous cloud experience.
* Thrive in ambiguity and ability to make high judgement decisions from ambiguous context.
* Ability to translate large amounts of data into useful information and draw conclusions.
* Maintain key operational metrics that measure demand planning performance driving continuous improvement.
* Experience with building and improving business processes.
* Ability to work with technical and non\-technical business owners to overcome obstacles and deliver results.
* 7\+ years’ experience with Microsoft office (PowerPoint, Excel, Word, Outlook, Access).
* Excellent written and verbal communication skills with the ability to present complex information in a clear and concise manner to a variety of audiences.
* Ability to meet tight deadlines and prioritize workloads.
* Working proficiency of SQL.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63">
      <c r="A163" t="inlineStr">
        <is>
          <t>li-4369608725</t>
        </is>
      </c>
      <c r="B163" t="inlineStr">
        <is>
          <t>Program Manager (Navy/DoD)</t>
        </is>
      </c>
      <c r="C163" t="inlineStr">
        <is>
          <t>THOR Solutions, LLC</t>
        </is>
      </c>
      <c r="D163" t="inlineStr">
        <is>
          <t>linkedin</t>
        </is>
      </c>
      <c r="E163">
        <f>HYPERLINK("https://www.linkedin.com/jobs/view/4369608725", "https://www.linkedin.com/jobs/view/4369608725")</f>
        <v/>
      </c>
      <c r="F163" t="inlineStr"/>
      <c r="G163" t="inlineStr">
        <is>
          <t>Washington, DC</t>
        </is>
      </c>
      <c r="H163" t="inlineStr"/>
      <c r="I163" t="inlineStr">
        <is>
          <t>**THOR Solutions** 
 is actively seeking a
 **Program Manager** 
 to oversee an upcoming professional support services contract with Naval Sea Systems Command (NAVSEA)’s Engineering and Logistics Directorate (SEA 05\) at the Washington Navy Yard in
 **Washington, DC** 
 .
 SEA 05 is responsible for providing the engineering and scientific expertise, and knowledge necessary to design, build, maintain, repair, modernize, certify, and dispose of the Navy's ships, submarines, and associated warfare systems. This contract provides professional support services supporting research and development, new designs, construction, conversion, modernizations and fleet support of all surface ships, warfare systems, amphibious \&amp; auxiliary ships, as well as SEA 05 front office requirements.
***This position is part of an upcoming contract, with an expected work start in May 2026\.***
**Typical Responsibilities**
* Plan, direct, and coordinate the operations of a NAVSEA support contract by formulating policies, managing daily operations, and planning the use of materials and human resources.
* Effectively integrate General Administration, Business \&amp; Financial Management, and Strategic Planning support across all areas.
* Assume direct responsibility for the performance of the Task Order.
* Execute the complex requirements, technical analyses, and Business/Financial Management support associated with the requirements of the SOW.
**Location** 
 : Full time onsite at the Washington Navy Yard in Washington, DC.
**Travel** 
 : Up to 10% travel is anticipated, including visits to other THOR office locations and contract worksites in CONUS locations.
**Typical Physical Activity** 
 : Primarily desk/computer work in an office environment. May involve repetitive motion. Some direct\-report personnel work in warehouse or waterfront locations, or aboard LCAC vehicles. Supervisory functions will require visiting and traversing these locations.
**Typical Pay Range** 
 : The anticipated pay range for this position in the identified location(s) is $120,000 – 160,000\. Actual compensation offered will be based upon individual factors including education, qualifications, and experience.
**Existing SECRET Security Clearance Required** 
 : This position requires an existing active or interim Secret security clearance prior to hire. Only U.S. citizens are eligible for a security clearance; therefore, only current U.S. citizens will be considered for this position.
**Required Knowledge, Skills, and Abilities** 
 :
* Bachelor’s Degree in an engineering or business discipline.
* At least ten (10\) years of recent, relevant professional experience managing major NAVSEA, Navy or DoD programs/projects.
* Experience interacting with Government customers and contractor/subcontractor peers to maintain smooth operation of programs/contracts.
* Proficient with common productivity software including the Microsoft Office suite to include Microsoft Project.
* Excellent communication skills.
**Benefit Offerings:** 
 Along with competitive pay, THOR offers a comprehensive benefits package including:
* Paid Time Off (accrued)
* Paid Holidays
* 401(k) with employer match and traditional/Roth options
* Medical Insurance (3 plan options) \+ TRICARE Supplemental Coverage
* Dental Insurance (2 plan options)
* Vision Insurance Plan
* Healthcare and Dependent Care Flexible Spending Accounts
* Commuter/Transit Benefits
* Basic Life/AD\&amp;D, Short\-Term and Long\-Term Disability Insurance
* Supplemental Life Insurance
* Pet Benefits
* Legal Resources
* ID Theft Benefits
* Employee Assistant Plan and Work\-Life Program
* Voluntary Leave Transfer Program
* Tuition Reimbursement Program
* Employee Referral Program
 Please be aware that many of our positions require the ability to obtain a security clearance. Security clearances may only be granted to U.S. citizens.
 Founded in 2009,
 **THOR Solutions, LLC** 
 (THOR) is a rapidly growing Center for Veteran’s Excellence (CVE) verified Service\-Disabled Veteran\-Owned Small Business (SDVOSB) providing mission critical support across the Department of Defense, Department of Homeland Security, federal civilian agencies and commercial maritime industry, worldwide. THOR provides innovative and tailored expertise in multidisciplinary engineering, project and program management, business and financial management, technical support, integrated logistics support, training support, fleet support, corporate operations support, assessments and studies. THOR is privileged to deliver service solutions to the nation’s most complex military, public sector and industry challenges.
**THOR is proud to be an Equal Opportunity Employer, including veterans and individuals with disabilities** 
 . THOR considers all qualified applicants for employment without regard to legally protected characteristics. This policy applies to all terms and conditions of employment.
 If you are an individual with a disability and would like to request a reasonable accommodation as part the employment selection process, please contact us at recruiting@thorsolutions.us or (571\) 215\-0077\.</t>
        </is>
      </c>
    </row>
    <row r="164">
      <c r="A164" t="inlineStr">
        <is>
          <t>li-4360552942</t>
        </is>
      </c>
      <c r="B164" t="inlineStr">
        <is>
          <t>Sr Technical Program Manager</t>
        </is>
      </c>
      <c r="C164" t="inlineStr">
        <is>
          <t>Oracle</t>
        </is>
      </c>
      <c r="D164" t="inlineStr">
        <is>
          <t>linkedin</t>
        </is>
      </c>
      <c r="E164">
        <f>HYPERLINK("https://www.linkedin.com/jobs/view/4360552942", "https://www.linkedin.com/jobs/view/4360552942")</f>
        <v/>
      </c>
      <c r="F164" t="inlineStr"/>
      <c r="G164" t="inlineStr"/>
      <c r="H164" t="inlineStr"/>
      <c r="I164" t="inlineStr">
        <is>
          <t>**Job Description**
 The Strategic Customers Engineering organization within Oracle Cloud Infrastructure (OCI) sits at the center of the fastest\-growing and most technically demanding part of the cloud: building at scale for the world’s leading AI innovators. We are looking for a Technical Program Manager who thrives in complexity, moves with urgency, and brings people together to deliver outcomes that matter. This is a role for someone who doesn’t just track work but drives it. Someone who brings clarity where there is ambiguity, momentum where there is friction, and alignment where there are competing priorities.
**Responsibilities**
 In this role, you will:
* Work to drive Rhythm of the Business activities
* Drive organizational success
* Bring teams across OCI toward a unified north star, ensuring alignment, visibility, and progress across all stakeholders.
* Serve as the connective tissue between teams, identifying gaps early, removing blockers, and maintaining steady execution.
* Build trusted partnerships with senior engineering and business leaders to drive initiatives forward with confidence.
**Who You Are**
 You’re someone who:
* Has a bias for action and doesn’t hesitate to roll up your sleeves to move a program forward.
* Has a technical foundation that allows you to function in a highly technical environment while driving business activities
* Loves working across large organizations and can bring people together around shared goals.
* Embraces a growth mindset, learns fast, and approaches AI infrastructure with curiosity.
* Thrives in a space that is fast\-moving, cross\-cutting, and deeply collaborative.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65">
      <c r="A165" t="inlineStr">
        <is>
          <t>li-4346291968</t>
        </is>
      </c>
      <c r="B165" t="inlineStr">
        <is>
          <t>Quality Program Manager</t>
        </is>
      </c>
      <c r="C165" t="inlineStr">
        <is>
          <t>Mark Thomas</t>
        </is>
      </c>
      <c r="D165" t="inlineStr">
        <is>
          <t>linkedin</t>
        </is>
      </c>
      <c r="E165">
        <f>HYPERLINK("https://www.linkedin.com/jobs/view/4346291968", "https://www.linkedin.com/jobs/view/4346291968")</f>
        <v/>
      </c>
      <c r="F165">
        <f>HYPERLINK("https://markthomas.hua.hrsmart.com/hr/ats/Posting/view/209?source=LinkedIn&amp;urlHash=Veko", "https://markthomas.hua.hrsmart.com/hr/ats/Posting/view/209?source=LinkedIn&amp;urlHash=Veko")</f>
        <v/>
      </c>
      <c r="G165" t="inlineStr">
        <is>
          <t>California, United States</t>
        </is>
      </c>
      <c r="H165" t="inlineStr"/>
      <c r="I165" t="inlineStr">
        <is>
          <t>Mark Thomas is seeking qualified candidates for an exciting new career opportunity for an experienced professional engineer with a quality management background! The Quality Program Manager is responsible for developing, implementing, and supervising comprehensive quality control (QC) and quality assurance (QA) programs for civil engineering projects. This role ensures that all activities and processes meet established standards, regulatory requirements, and client expectations. This position designs and implements training activities and is responsible for creating a culture of quality within project delivery at Mark Thomas. Mark Thomas is a great place to grow your career \- join us!
**Responsibilities**
* Provides leadership, support, and guidance for project specific quality management activities.
* Maintains company QC Manuals; communicates updates as appropriate.
* Leads the development of quality control plans, training programs, and documentation processes.
* Provides guidance and support to project managers and engineers on quality\-related matters, including quality planning, assurance, and control; assesses and incorporates lessons learned from clients and project feedback.
* Conducts audits, plan inspections, and project reviews to identify persisting trends and to resolve quality issues.
* Designs, implements, and monitors QA policies and procedures for civil engineering projects; monitors program effectiveness.
* Manages quality review and comment resolution process (schedule meetings with reviewers, negotiate mutually acceptable resolutions, escalate disputed issues, and track open comments to closure).
* Assists in identifying and documenting issues that may cause, or contribute to, deviations from planned/expected quality outcomes and develop corrective action plans to address issues.
* Manages non\-conformance control; verifies that non\-conformances are identified, documented, tracked, and resolved by the project manager/team in an acceptable manner.
* Supervises subconsultant quality activities and deliverable review; audit subconsultant quality activities as appropriate.
* Prepares and presents quality reports, findings, and recommendations to stakeholders.
* Evaluates the adequacy of quality processes and activities.
* Interfaces externally with clients and subconsultants on all quality\-related issues.
* Stays current with industry trends, best practices, and technological advancements in quality management, incorporating new methodologies and tools into project delivery processes.
**Qualifications**
* Bachelor’s degree in civil engineering or closely related field.
* Professional Engineer (PE) license required.
* At least 10\+ years of demonstrated quality/process control experience in a civil professional services environment.
* Possess a strong understanding of quality management fundamentals.
* Strong knowledge of QA/QC processes, Caltrans and industry standards (AASHTO, ASTM, etc.)
* Excellent communication, documentation, and problem\-solving skills.
* Proficiency with project management and quality management software is a plus.
* Ability to manage tasks independently and prioritize competing priorities.
* Ability to travel to regional offices as business dictates.
**Benefits And Compensation**
* Mark Thomas offers fantastic benefits and compensation package to include:
* Competitive salary and incentives to include employee referral bonuses, certification and licensing incentives (PLA, PLS, PE, LSIT, EIT), and eligibility for year\-end performance incentives
* 401k and ESOP retirement benefits to include profit sharing and a 401k match
* Paid time off benefits to include PTO, public holidays \+ additional holidays, bereavement leave, jury/civic time, licensing \&amp; certification exam time
* Employer\-paid vision insurance, basic life insurance, short\-term \&amp; long\-term disability, long\-term care insurance, inclusive family planning \&amp; fertility resources, Employee Assistance Program (EAP), travel insurance, and in\-house wellness education \&amp; challenges
* Voluntary medical and dental insurance, life insurance, and pet insurance
* FSA programs for medical, dependent care, commuter \&amp; parking
* Reimbursements for certification and licensing exams and study classes and materials
* Tuition reimbursement, paid annual dues for industry professional/societal organizations, memberships, and events
* Budgeted time for training and career development
* Flexible schedules and hybrid and primarily remote work environments
* The offered base rate of compensation (California locations only) will be based on individual education, experience, knowledge, skills, and abilities in addition to internal equity and geographic location.
 Qualified applications with arrest or conviction records will be considered for employment in accordance with the Los Angeles County Fair Chance Ordinance for Employers and the California Fair Chance Act. The successful candidate selected for hire will need to submit to a background check due to client relationship responsibilities and interactions required for this position following the extension of a conditional offer.
 Mark Thomas is proud to be an Equal Opportunity Employer. Qualified applicants will receive consideration for employment without regard to race, color, religion, sex, sexual orientation, gender perception or identity, national origin, age, marital status, protected veteran status, or disability status. Mark Thomas welcomes all.</t>
        </is>
      </c>
    </row>
    <row r="166">
      <c r="A166" t="inlineStr">
        <is>
          <t>li-4346233833</t>
        </is>
      </c>
      <c r="B166" t="inlineStr">
        <is>
          <t>Senior Principal Program Manager</t>
        </is>
      </c>
      <c r="C166" t="inlineStr">
        <is>
          <t>Oracle</t>
        </is>
      </c>
      <c r="D166" t="inlineStr">
        <is>
          <t>linkedin</t>
        </is>
      </c>
      <c r="E166">
        <f>HYPERLINK("https://www.linkedin.com/jobs/view/4346233833", "https://www.linkedin.com/jobs/view/4346233833")</f>
        <v/>
      </c>
      <c r="F166" t="inlineStr"/>
      <c r="G166" t="inlineStr">
        <is>
          <t>Seattle, WA</t>
        </is>
      </c>
      <c r="H166" t="inlineStr"/>
      <c r="I166" t="inlineStr">
        <is>
          <t>**Job Description**
**Job Locations:**
* Seattle, WA (preferred)
* Austin, TX
* Nashville, TN
**Job Overview:**
 We are seeking an experienced Program Manager with a demonstrated ability to deliver high\-quality programs within aggressive timelines. The ideal candidate is a driven professional who moves with urgency, quickly understands complex situations, and devises actionable plans to ensure successful and timely program delivery. This role requires up to 50% travel.
**Key Responsibilities:**
* Lead fast\-paced, cross\-functional program teams to achieve on\-time, in\-scope delivery of complex initiatives.
* Rapidly assess project situations, identifying issues and opportunities, and quickly develop effective action plans.
* Drive execution with a strong sense of urgency, ensuring that all program milestones and deliverables are met.
* Communicate clearly and proactively with stakeholders at all levels regarding program status, risks, and next steps.
* Foster a culture of ownership, adaptability, and accountability within teams.
* Develop and implement risk mitigation strategies to address challenges as they arise.
**Responsibilities**
**Required Skills \&amp; Qualifications:**
* Bachelor’s degree in business, Management, Engineering, or a related field.
* 10\+ years of overall experience with 5\+ years of program management experience delivering complex projects against challenging timelines.
* Proven ability to move with urgency and drive results under pressure.
* Excellent problem\-solving, organizational, and analytical skills.
* Superior communication and stakeholder management abilities.
* Demonstrated skill in quickly understanding situations and developing action plans.
* Travel up to 50% to project sites and partner/customer locations as needed.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67">
      <c r="A167" t="inlineStr">
        <is>
          <t>li-4341026364</t>
        </is>
      </c>
      <c r="B167" t="inlineStr">
        <is>
          <t>Supply Chain Product Manager, Mechanical, SourceBlue</t>
        </is>
      </c>
      <c r="C167" t="inlineStr">
        <is>
          <t>Turner Construction Company</t>
        </is>
      </c>
      <c r="D167" t="inlineStr">
        <is>
          <t>linkedin</t>
        </is>
      </c>
      <c r="E167">
        <f>HYPERLINK("https://www.linkedin.com/jobs/view/4341026364", "https://www.linkedin.com/jobs/view/4341026364")</f>
        <v/>
      </c>
      <c r="F167">
        <f>HYPERLINK("https://turnerconstruction.csod.com/ux/ats/careersite/1/home/requisition/18418?c=turnerconstruction&amp;amp%3Bsource=LIN&amp;urlHash=EMXF", "https://turnerconstruction.csod.com/ux/ats/careersite/1/home/requisition/18418?c=turnerconstruction&amp;amp%3Bsource=LIN&amp;urlHash=EMXF")</f>
        <v/>
      </c>
      <c r="G167" t="inlineStr">
        <is>
          <t>New Jersey, United States</t>
        </is>
      </c>
      <c r="H167" t="inlineStr"/>
      <c r="I167" t="inlineStr">
        <is>
          <t>**Division:** 
 SourceBlue
**Project Location(s):** 
 Saddle Brook, NJ 07663 USA
**Minimum Years Experience:**
**Travel Involved:**
**Job Type:** 
 Regular
**Job Classification:** 
 Experienced
**Education:**
**Job Family:** 
 SourceBlue
**Compensation:** 
 Salaried Non\-Exempt
 SourceBlue is a subsidiary of Turner Construction Company that has been purchasing materials and equipment for major construction projects since 2001\. With a staff of 350\+ dedicated professionals and :$1B in equipment and materials procured annually, we provide Clients with comprehensive supply chain services that are unmatched in the industry today.
 Internal Applicants: This position can be performed from any Turner office.
 Position Description: Apply purchasing, product, and technical expertise to provide SourceBlue (SB) supply chain solutions for project teams and external clients. Manage global, national, regional, and local level vendor relationships to promote SB product solutions.
 Essential Duties \&amp; Key Responsibilities:
* Apply expertise in purchasing, product, technical, and supply chain to provide guidance to SourceBlue (SB) project teams and global company entities and clients.
* Review market dynamics to evaluate impact on vendor capacity, availability, and delivery demands. Collaborate with vendor to develop resolution process and actions to address issues and maintain clear expectations with project stakeholders and team.
* Conduct quarterly business reviews and strategic evaluations of vendors for product performance, responsiveness, quality and alignment to Environmental, Sustainability, and Governance (ESG) initiatives.
* Manage demand and capacity planning across supply chain programs and provide strategies for adherence to delivery client schedules.
* Identify global, national, regional, and local level supply chain vendors to address capacity requirements for SB services.
* Manage vendor qualifications, create, negotiate, and manage terms and agreements, establish governance, conduct onboarding, and communicate availability of vendors to project team.
* Provide recommendations and alternatives for strategic supply chain awards for final product selection by stakeholders.
* Develop and evaluate manufacturer vendor KPIs through stakeholder feedbackand publish lessons learned for internal next generation developments.
* Primary point of contact to manage supply chain issues, escalate and engage SB leadership as needed.
* Manage transactional tracking of products for large supply chain programs for specific tiers (e.g., fabricator, integrator).
* Solicit vendor pricing, analyze vendor bids, prepare bid analysis spread sheets, coordination matrix, and scope of work.
* Confirm vendor contract terms on specified projects to ensure completeness and accuracy in Review Bid Process.
* Schedule and coordinate factory testing and attend tests at vendor sites.
* Participate in company\-wide projects related to sourcing and procurement to identify sales opportunities, vendor capacity, and related risks.
* Participate in industry events to understand market dynamics and represent SB as industry leader.
* Supervise team members and participate in hiring process, onboard and deliver timely performance feedback for direct reports, contribute to performance appraisals during annual performance cycle, utilize talent management systems, and identify appropriate training to help with development needs.
* Other activities, duties, and responsibilities as assigned.
 Qualifications:
* Minimum of 8 years of manufacturing or construction experience, or equivalent combination of education, experience, and training; Bachelor’s Degree from accredited degree program in Engineering, Supply Chain Management, or related field desired
* Knowledge of manufacturing or construction industry material markets, competition, and industry trends
* Electrical, Mechanical, or Finished Products knowledge with expertise in differentiating manufacturer services
* Interpersonal relationship building skills with ability to engage and secure partnerships with broad range of contacts in manufacturing and supply chain industry
* Negotiation skills with ability effect decision making
* Knowledgeable of estimating, construction costs, scheduling, purchasing and engineering principals and techniques, general contract and subcontract documents, drawings and specifications, and familiar accounting and cost control procedures
* Able to manage high volumes of work and move complex projects forward in a timely manner
* Ability to identify sales opportunities and collaborate on solutions to secure work
* Advanced presentation and delivery skills, ability to anticipate needs of audience and tailor communications appropriately
* Process and critical thinking skills with sound judgement and decision\-making
* Supervisory experience desired, with ability to delegate and manage staff
* Regular domestic and local travel with possible international travel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frequently required to sit, use hands to finger, handle, or feel objects, tools, or controls; and reach with hands, talk, and hear. The employee frequently views a computer monitor and frequently uses a computer keyboard. Specific vision abilities required by this job include close vision, peripheral vision, depth perception, and the ability to adjust focus. The employee is regularly required to be mobile, and the employee regularly travels both short and long distances via a variety of conveyances. The employee regularly performs work on\-site at construction sites, manufacturing facilities, office locations, and/or off\-site venues. The employee must regularly lift and/or move up to 15 pounds and occasionally lift and/or move up to 50 pounds.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While performing the duties of this job, the employee regularly works in an office or remote setting. The noise in the work environment is usually quiet to moderate in an office setting. While performing the duties of this job, the employee regularly works at construction sites and manufacturing facilities where the employee is exposed to moving mechanical parts, high precarious places, fumes, or airborne particles, outside weather conditions, and risk of electrical shock. The noise in the work environment is usually moderate to loud. The employee is required to work in compliance with company safety policies, procedures, and applicable laws. SourceBlue, LLC is an Equal Opportunity Employer
 \*The salary range for this position in NJ is estimated to be $125K\-$190K annualized\*
 \*The salary range for this position in Seattle is estimated to be $130K\-$200K annualized.\*
 \*The salary range for this position in Denver is estimated to be $130K\-$190K annualized. \*
 \*The salary range for this position in California is estimated to be $140K\-210K annualized. \*
 \*The salary range for this position in Chicago is estimated to be $130K\-$175K annualized. \*
 \*The salary range for this position in NY is estimated to be $125K\-$220K annualized\*
**Turner is an Equal Opportunity Employer \- race, color, religion, sex, sexual orientation, gender identity, national origin, disability, status as a protected veteran, or other characteristics protected by applicable law.**</t>
        </is>
      </c>
    </row>
    <row r="168">
      <c r="A168" t="inlineStr">
        <is>
          <t>li-4353131236</t>
        </is>
      </c>
      <c r="B168" t="inlineStr">
        <is>
          <t>Health &amp; Safety Program Manager</t>
        </is>
      </c>
      <c r="C168" t="inlineStr">
        <is>
          <t>Integrated DNA Technologies</t>
        </is>
      </c>
      <c r="D168" t="inlineStr">
        <is>
          <t>linkedin</t>
        </is>
      </c>
      <c r="E168">
        <f>HYPERLINK("https://www.linkedin.com/jobs/view/4353131236", "https://www.linkedin.com/jobs/view/4353131236")</f>
        <v/>
      </c>
      <c r="F168" t="inlineStr"/>
      <c r="G168" t="inlineStr">
        <is>
          <t>San Diego, CA</t>
        </is>
      </c>
      <c r="H168" t="inlineStr"/>
      <c r="I168" t="inlineStr">
        <is>
          <t>**Bring more to life.**
 Are you ready to accelerate your potential and make a real difference within life sciences, diagnostics and biotechnology?
 At Integrated DNA Technologies (IDT),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Our team at Integrated DNA Technologies (IDT), is united by a commitment to collaboration and scientific excellence, building on a strong foundation of innovation, expertise, and reliability. Guided by our vision to help researchers rapidly move from the lab to life\-changing advances, we work closely with global partners to accelerate progress and genomics breakthroughs across fields like cancer, infectious disease, rare genetic disorders, and more. At IDT, you’ll be part of a culture rooted in continuous learning and improvement—where your growth fuels our mission to accelerate the pace of genomics and helps shape a healthier, brighter future for all.
 Learn about the Danaher Business System which makes everything possible.
 The
 **Health \&amp; Safety Program Manager** 
 is responsible for managing system safety programs and chemical compliance processes to ensure a safe and compliant operational environment. This role drives significant impact by developing standards, automating approvals, and maintaining critical safety programs.
 This position reports to the Director of EHS, is part of a multi\-site and operating company Environment, Health \&amp; Safety Team and will be an on\-site role at one of the IDT or Aldevron locations.
**In This Role, You Will Have The Opportunity To**
* Ensures Occupational Health \&amp; Safety performance through the development, implementation, management and collaboration of health and safety programs across US and international sites.
* Drives critical occupational health \&amp; safety programs such as Injury/Illness Reporting \&amp; Investigation, Hazard Communication, Respiratory Protection, Control of Hazardous Energy, Chemical Handling \&amp; Storage, Biological Safety, Fire Prevention, Ergonomics, etc. to reduce risks and company costs.
* Exhibits a working knowledge of federal, state, and local health and safety regulations.
* Identifies, prioritizes, mitigates, and communicates health \&amp; safety compliance risks to the organization.
* Assess and improve safety performance sites assessments and driving continuous improvement by establishing performance targets, data analysis and reporting.
**The Essential Requirements Of The Job Include**
* Bachelor’s degree in Occupational Health \&amp; Safety, Environmental Science, or related field.
* 3 to 5 years of experience in health and safety program management.
* Knowledge of regulatory requirements and safety frameworks.
* Strong analytical and project management skills.
* Strong leadership and excellent in communication skills.
**Travel, Motor Vehicle Record \&amp; Physical/Environment Requirements:** 
*if applicable for role*
* Ability to travel as required (up to 10%, including overnight stays)
**It would be a plus if you also possess previous experience in:**
* Experience with ergonomics and industrial hygiene programs
* Familiarity with global health and safety audits and compliance tools
 IDT, a Danaher operating company, offers a broad array of comprehensive, competitive benefit programs that add value to our lives. Whether it’s a health care program or paid time off, our programs contribute to life beyond the job. Check out our benefits at Danaher Benefits Info.
 The annual salary range for this role is $91,000\- $100,000\.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169">
      <c r="A169" t="inlineStr">
        <is>
          <t>li-4353007658</t>
        </is>
      </c>
      <c r="B169" t="inlineStr">
        <is>
          <t>Principal Program Manager</t>
        </is>
      </c>
      <c r="C169" t="inlineStr">
        <is>
          <t>Oracle</t>
        </is>
      </c>
      <c r="D169" t="inlineStr">
        <is>
          <t>linkedin</t>
        </is>
      </c>
      <c r="E169">
        <f>HYPERLINK("https://www.linkedin.com/jobs/view/4353007658", "https://www.linkedin.com/jobs/view/4353007658")</f>
        <v/>
      </c>
      <c r="F169">
        <f>HYPERLINK("https://eeho.fa.us2.oraclecloud.com/hcmUI/CandidateExperience/en/job/322458/?utm_medium=jobboard&amp;utm_source=LinkedIn&amp;urlHash=e-gV", "https://eeho.fa.us2.oraclecloud.com/hcmUI/CandidateExperience/en/job/322458/?utm_medium=jobboard&amp;utm_source=LinkedIn&amp;urlHash=e-gV")</f>
        <v/>
      </c>
      <c r="G169" t="inlineStr">
        <is>
          <t>Nashville, TN</t>
        </is>
      </c>
      <c r="H169" t="inlineStr"/>
      <c r="I169" t="inlineStr">
        <is>
          <t>**Job Description**
 We are specifically looking for an experienced Technical Program Manager with depth getting things done at scale. Think working with cross functional teams across large organizations, moving folks towards a unified goal and north star. You drive results, not just facilitate. You possess high judgement and are a “roll your sleeve up” person with a bias for action. You possess strong ownership and a strong ability to collaborate. Within this role, you will be responsible for managing complex, cross\-organizational/functional programs that impact both product and business.
 You will partner with every team in OCI to make these programs happen. The space is fun, agile, cross\-cutting, and complex. We work on true critical programs to the customer and that requires support, help, partnership, and alignment in the investment.
**Responsibilities**
 Take large, complex projects and break them down into manageable pieces.
* Identify process gaps and build mechanisms to scale.
* Develop functional specifications, then drive the delivery in a successful and timely manner.
* Oversee daily operations through collaboration with senior management and department leaders, performing an array of business operations functions from managing work\-back schedules, generating communications and presentations, and planning and coordinating meetings.
* Assist and communicate with executives in decision\-making, program management, and initiative implementation
* Improve current processes and coordinate organizational procedures for optimized efficiency and productivity
* Drive program schedules from design to launch, communicate to stakeholders and senior leaders.
* Gain a deep technical understanding of OCI servers and be able to drive the technical direction of the team, working with cross\-functional, cross\-service teams
* Thrive and succeed in an innovative and fast\-paced environment, and not be hindered by ambiguity or conflicting priorities.
* Anticipate bottlenecks, provide escalation management, anticipate and make tradeoffs, and balance the business needs versus technical constraints.
* Lead interactions with cross functional teams consisting of UX designers, Engineers, Product Managers and executive leadership.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70">
      <c r="A170" t="inlineStr">
        <is>
          <t>li-4369617625</t>
        </is>
      </c>
      <c r="B170" t="inlineStr">
        <is>
          <t>SAP Program Manager</t>
        </is>
      </c>
      <c r="C170" t="inlineStr">
        <is>
          <t>NeerInfo Solutions</t>
        </is>
      </c>
      <c r="D170" t="inlineStr">
        <is>
          <t>linkedin</t>
        </is>
      </c>
      <c r="E170">
        <f>HYPERLINK("https://www.linkedin.com/jobs/view/4369617625", "https://www.linkedin.com/jobs/view/4369617625")</f>
        <v/>
      </c>
      <c r="F170" t="inlineStr"/>
      <c r="G170" t="inlineStr"/>
      <c r="H170" t="inlineStr"/>
      <c r="I170" t="inlineStr">
        <is>
          <t>**Client is seeking a SAP Program Manager** 
 As a Program Manager, you will take end\-to\-end responsibility for a portfolio of projects. You will lead the project(s) from beginning to end, from initial proposal through completion, to provide our clients with innovative high quality solutions focused on their business needs. You will build and manage the project team, schedule assignments, monitor and review deliverables of project teams and ensure successful delivery and implementation. You will be part of a learning culture, where teamwork and collaboration are encouraged, excellence is rewarded, and diversity is respected and valued.
**Preferred Qualifications for SAP Program Manager.** 
* Experience, working with large IT ERP programs.
* SAP engagement and project management experience.
* Must have executed end to end large SAP programs in Program manager roles.
* Hands on experience of end to end Brownfield or Greenfield SAP S/4 HANA programs a big plus
* Hands on experience in handling global AMS / DevSecOps / ITIL based programs required
* Experience of having closely worked with C\-Level and Client Delivery / Project Managers for success of overall engagement and delivery
* Should have led engagement planning and budgeting, manage engagement teams, define deliverable structure and content, facilitate buy\-in of proposed solutions from top management levels at the client, direct on\-time, and quality delivery of work products, manage engagement economics and manage engagement risk.
* Should have led business development and proposal response activities as anchor and with sales and value design teams for downstream revenue and new account generation.
* Designed and managed complex SoWs and contracts including change management
* Experience with Program governance set up and managing using KPIs</t>
        </is>
      </c>
    </row>
    <row r="171">
      <c r="A171" t="inlineStr">
        <is>
          <t>li-4367711824</t>
        </is>
      </c>
      <c r="B171" t="inlineStr">
        <is>
          <t>Project/Program Manager</t>
        </is>
      </c>
      <c r="C171" t="inlineStr">
        <is>
          <t>Randstad Digital Americas</t>
        </is>
      </c>
      <c r="D171" t="inlineStr">
        <is>
          <t>linkedin</t>
        </is>
      </c>
      <c r="E171">
        <f>HYPERLINK("https://www.linkedin.com/jobs/view/4367711824", "https://www.linkedin.com/jobs/view/4367711824")</f>
        <v/>
      </c>
      <c r="F171" t="inlineStr"/>
      <c r="G171" t="inlineStr">
        <is>
          <t>San Antonio, TX</t>
        </is>
      </c>
      <c r="H171" t="inlineStr"/>
      <c r="I171" t="inlineStr">
        <is>
          <t>**Job Summary**
 We are seeking a creative and detail\-oriented Project Manager with a strong passion for delivering exceptional user experiences through compelling digital content. The ideal candidate will have a solid understanding of how UX principles and well\-crafted content drive member engagement and satisfaction. Experience in the financial services or a related highly regulated industry is a plus. The ability to collaborate effectively with cross\-functional teams, including marketing, product, design, and engineering, is critical. The candidate should be adept at translating complex user needs into clear, actionable content and design recommendations, and comfortable communicating progress and challenges to stakeholders. A portfolio showcasing UX and digital content work for messaging or similar digital communications is highly desirable.
 Manages multiple projects and orchestrates the results to achieve a broad program goal. Plans and implements schedules and monitors program from inception through delivery. Defines and reports program roadmap, status, development issues and success metrics. Identifies and monitors areas of risk. Continuously seeks opportunities to improve cost, performance and schedule. Builds and manages to budgets. Facilitates communication and coordination among projects. Manages stakeholder engagement and satisfaction. Maintains awareness of trends, business conditions and internal process and practices impacting component projects or overall program.
 location: San Antonio, Texas
 job type: Contract
 salary: $54 \- 58 per hour
 work hours: 8am to 5pm
 education: No Degree Required
**Responsibilities**
* Partner with the Senior Project Manager to lead the enhancement of the top 20 call\-driving message templates, focusing on improving clarity, user experience, and call\-to\-action effectiveness through content and design. \-Oversee the transformation of online document notifications, providing UX and content expertise to incorporate personalized and actionable content that drives member engagement. \-Contribute to comprehensive member journey mappings by providing UX and content\-focused analysis and recommendations for messaging touchpoints, identifying opportunities for template enhancement or obsolescence. \-Collaborate with product teammates and content experts to inform and update digital messaging and document standards, with a strong emphasis on UX and content best practices. \-Assist in measuring and reporting on key performance indicators related to UX and content effectiveness, such as message comprehension, user satisfaction with content, and the impact of personalized elements, in partnership with product teammates.
**Qualifications**
 You would primarily utilize Figma and Box to develop and refine message templates, create user journey visualizations, and collaborate with designers and content strategists on proposed enhancements. A typical day would involve using Jira Workflow Management (JWM) to update task statuses, monitor progress on UX/content\-related deliverables, and participate in daily stand\-ups. You'd work with CMS team to manage content within templates and ensure approved copy is integrated correctly. While not explicitly listed as a requirement for this role, familiarity with analytics tools would be highly beneficial for analyzing user interaction with content and informing improvements.
 Tools: Figma, CMS, JWM, analytics tools, Box, Microsoft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172">
      <c r="A172" t="inlineStr">
        <is>
          <t>li-4329027949</t>
        </is>
      </c>
      <c r="B172" t="inlineStr">
        <is>
          <t>xPL Program Manager</t>
        </is>
      </c>
      <c r="C172" t="inlineStr">
        <is>
          <t>Turner Construction Company</t>
        </is>
      </c>
      <c r="D172" t="inlineStr">
        <is>
          <t>linkedin</t>
        </is>
      </c>
      <c r="E172">
        <f>HYPERLINK("https://www.linkedin.com/jobs/view/4329027949", "https://www.linkedin.com/jobs/view/4329027949")</f>
        <v/>
      </c>
      <c r="F172">
        <f>HYPERLINK("https://turnerconstruction.csod.com/ux/ats/careersite/1/home/requisition/18703?c=turnerconstruction&amp;amp%3Bsource=LIN&amp;urlHash=uhk3", "https://turnerconstruction.csod.com/ux/ats/careersite/1/home/requisition/18703?c=turnerconstruction&amp;amp%3Bsource=LIN&amp;urlHash=uhk3")</f>
        <v/>
      </c>
      <c r="G172" t="inlineStr">
        <is>
          <t>Atlanta, GA</t>
        </is>
      </c>
      <c r="H172" t="inlineStr"/>
      <c r="I172" t="inlineStr">
        <is>
          <t>**Division:** 
 xPL Offsite
**Project Location(s):** 
 Huntsville, AL 35801 USA
**Minimum Years Experience:**
**Travel Involved:** 
 20\-30%
**Job Type:** 
 Regular
**Job Classification:** 
 Experienced
**Education:**
**Job Family:** 
 Construction
**Compensation:** 
 Salaried Exempt
**Position Description:** 
 Lead, direct, and manage an xPL program, initiative, and team from preconstruction through to closeout. Drive continuous improvement and team development to support program and xPL business expansion.
**Essential Duties \&amp; Key Responsibilities:**
* Develop and maintain long\-lasting and trusting partnership with specific program client, designers, manufacturers, and stakeholders for program success.
* Fully understand client objectives to discover and explore future business opportunities and broker connections with other xPL or functional business teams to facilitate demonstrations and conversations to showcase business value with clients and other stakeholders.
* Provide training, coaching, mentoring to Program Management team to align and support client program expectations. Foster culture of inclusiveness and employee engagement that results in high team performance.
* Develop measurable metrics and provide strategic guidance to clients and internal team leaders to communicate and support client’s program vision, business objectives, and progress.
* Maintain up\-to\-date progress and monitor overall health of client’s program, manage and/or escalate issues and provide summary of team progress to xPL leadership team.
* Partner with xPL Technology and Information Services (IS) teams to ensure effective operations of systems and applications to support internal and external (e.g., client) programs and team productivity.
* Partner with cross\-functional xPL teams to manage scope, timelines, deliverables, required resources, work plans, budgets and client delivery aligned with xPL business standard operating procedures (SOPs) and contractual obligations.
* Use data analytics to establish, monitor, and measure program Key Performance Indicators (KPIs) and identify potential program risks. Engage with cross\-functional xPL teams to review progress and amend program operations to increase alignment to KPIs and minimize risks.
* Assist with development of xPL Program Playbook to define business SOPs. Engage teams in continuous improvement reviews to enhance program processes, deliverables, and utilization of various xPL initiatives and technologies.
* Manage Project Management employees and other team members; and may participate in hiring process, onboard and deliver timely performance feedback for direct reports, contribute to performance appraisals during annual performance cycle, utilize talent management systems, and identify appropriate training to help with employee development needs.
* Other activities, duties, and responsibilities as assigned.
**Qualifications:**
* Bachelor’s Degree from accredited degree program in Engineering, Architecture, Business Administration, Construction Management, or related field of study, and minimum of 10 years of related experience with progressive responsibility, or equivalent combination of education, training, and experience
* Experience in supply chain, 4PL, commercial construction, or related industry with extensive knowledge of regional manufacturers, suppliers, and industry trends
* Knowledge of cost, scheduling, purchasing, estimating, engineering principles and techniques, and accounting principles
* Interpersonal relationship building skills to develop trusted relationships with stakeholders ability to engage and partner with stakeholders at various organizational levels
* Negotiation skills with ability influence outcomes
* Ability to interpret contract documents, scopes of work, and project schedule
* Analytical and process critical thinking skills with sound judgement and decision\-making
* Project management and leadership skills, able to manage high volumes of work and ability to motivate teams and projects to move forward in a complex environment
* Executive presentation delivery skills, anticipate needs of audience, and tailor communications appropriately
* Leadership and management experience, with ability to mentor and develop employees
* Ability to drive process enhancements through continuous improvement concepts and methodologies
* Proficient computer skills, Microsoft Office suite of applications, familiar with BIM based applications, and familiar with other technologies specific to manufacturing LOD\-400 and higher processes
* Limited travel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frequently required to sit, use hands to finger, handle, or feel objects, tools, or controls; and reach with hands, talk, and hear. The employee frequently views a computer monitor and frequently uses a computer keyboard. Specific vision abilities required by this job include close vision, peripheral vision, depth perception, and the ability to adjust focus. The employee is regularly required to be mobile, and the employee occasionally travels both short and long distances via a variety of conveyances. The employee regularly performs work on\-site at construction work sites, office locations, and/or off\-site venues. The employee must regularly lift and/or move up to 10 pounds and occasionally lift and/or move up to 25 pounds.
**Work Environment** 
 : The work environment characteristics described here are representative of those an employee encounters while performing the essential functions of this job. Reasonable accommodation may be made to enable individuals with disabilities to perform the essential functions. While performing the duties of this job, the employee regularly works in an office setting or remote location. The noise in the work environment is usually quiet to moderate in an office setting. The employee is required to work in compliance with company safety policies, procedures, and applicable laws.
**Turner is an Equal Opportunity Employer \- race, color, religion, sex, sexual orientation, gender identity, national origin, disability, status as a protected veteran, or other characteristics protected by applicable law.**</t>
        </is>
      </c>
    </row>
    <row r="173">
      <c r="A173" t="inlineStr">
        <is>
          <t>li-4335294992</t>
        </is>
      </c>
      <c r="B173" t="inlineStr">
        <is>
          <t>Program Manager - Materials Management</t>
        </is>
      </c>
      <c r="C173" t="inlineStr">
        <is>
          <t>Vertiv</t>
        </is>
      </c>
      <c r="D173" t="inlineStr">
        <is>
          <t>linkedin</t>
        </is>
      </c>
      <c r="E173">
        <f>HYPERLINK("https://www.linkedin.com/jobs/view/4335294992", "https://www.linkedin.com/jobs/view/4335294992")</f>
        <v/>
      </c>
      <c r="F173">
        <f>HYPERLINK("https://egup.fa.us2.oraclecloud.com/hcmUI/CandidateExperience/en/job/20261652/?utm_medium=jobboard&amp;utm_source=linkedin&amp;urlHash=WDk8", "https://egup.fa.us2.oraclecloud.com/hcmUI/CandidateExperience/en/job/20261652/?utm_medium=jobboard&amp;utm_source=linkedin&amp;urlHash=WDk8")</f>
        <v/>
      </c>
      <c r="G173" t="inlineStr">
        <is>
          <t>Westerville, OH</t>
        </is>
      </c>
      <c r="H173" t="inlineStr"/>
      <c r="I173" t="inlineStr">
        <is>
          <t>**Responsibilities**
**JOB DESCRIPTION**
* Serve as the materials execution lead for major sales programs, ensuring alignment between demand, procurement, production, and logistics.
* Translate commercial requirements and project timelines into material and capacity plans across global sites and suppliers.
* Coordinate with buyers, planners, and manufacturing teams to secure material availability and prevent production delays.
* Lead cross\-functional war rooms or program meetings, ensuring rapid decision\-making and escalation of supply risks.
* Develop and maintain program dashboards that track material status, risks, and key milestones for leadership visibility.
* Partner with sales, finance, and operations to validate material cost, lead time, and inventory investment impacts.
* Identify and mitigate supply chain risks, including long lead items, single\-source suppliers, and capacity constraints.
* Drive continuous improvement initiatives related to planning accuracy, lead time reduction, and supplier performance.
* Ensure compliance with corporate material management and SIOP processes while adapting to the unique needs of each sales opportunity.
* Act as the primary liaison between global supply chain and customer project teams to ensure commitments are met in full and on time.
**Qualifications**
* Bachelor’s degree in Supply Chain, Operations, Engineering, or Business Administration; MBA or master’s preferred.
* 4\-8 years of experience in materials management, program management, or supply chain execution within a manufacturing environment.
* Proven success managing large, complex customer programs or high\-value orders with tight delivery timelines.
* Strong understanding of ERP systems, SIOP/IBP processes, and material planning tools (Oracle, Kinaxis, etc.).
* Demonstrated ability to influence cross\-functional teams and manage competing priorities under pressure.
* Excellent analytical, problem\-solving, and communication skills.
* Experience with risk management and mitigation across global supply chains.
* PMP or APICS/ASCM certification preferred.
**PHYSICAL \&amp; ENVIRONMENTAL DEMANDS**
* The role is primarily based in an office environment but may requiring site visits and interaction with production teams.
* Required to wear personal protective equipment (PPE) and adhere to safety protocols.
* The role involves extended periods of sitting in front of a computer.
* Occasional standing or walking may be required during meetings, presentations, or site visits.
* Work is primarily conducted in an office environment with controlled temperature and lighting.
**Time Travel Required**
* Occasional travel to different office locations, client sites, or conferences may be necessary.
*The successful candidate will embrace Vertiv’s Core Principals \&amp; Behaviors to help execute our Strategic Priorities.*
***OUR CORE PRINCIPALS:**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 Promote Transparent and Open Communication
 At Vertiv, we offer the stability of a global leader in a growing industry
 *and* 
 the opportunity of a startup. We design, manufacture and service the mission\-critical infrastructure technologies for vital applications in data centers, communication networks and commercial and industrial environments. With $5 billion in sales, a strong customer base and global reach in nearly 70 countries, our move to establish a standalone business enables us to deliver greater value to our customers and create new opportunities for our people.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*help.join@vertivco.com* 
*. If you are interested in applying or learning more about this role, please visit the company’s career page located on Vertiv.com/Careers*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row>
    <row r="174">
      <c r="A174" t="inlineStr">
        <is>
          <t>li-4348453729</t>
        </is>
      </c>
      <c r="B174" t="inlineStr">
        <is>
          <t>GTM Enablement Program Manager</t>
        </is>
      </c>
      <c r="C174" t="inlineStr">
        <is>
          <t>Equinix</t>
        </is>
      </c>
      <c r="D174" t="inlineStr">
        <is>
          <t>linkedin</t>
        </is>
      </c>
      <c r="E174">
        <f>HYPERLINK("https://www.linkedin.com/jobs/view/4348453729", "https://www.linkedin.com/jobs/view/4348453729")</f>
        <v/>
      </c>
      <c r="F174" t="inlineStr"/>
      <c r="G174" t="inlineStr">
        <is>
          <t>Dallas, TX</t>
        </is>
      </c>
      <c r="H174" t="inlineStr"/>
      <c r="I174" t="inlineStr">
        <is>
          <t>**Who are we?**
 Equinix is the world’s digital infrastructure company®, shortening the path to connectivity to enable the innovations that enrich our work, life and planet.
 A place where bold ideas are welcomed, human connection is valued, and everyone has the opportunity to shape their future.
 A career at Equinix means being at the center of shaping what comes next and amplifying customer value through innovation and impact. You’ll work across teams, influence key decisions, and help shape the path forward. You’ll find belonging, purpose, and a team that welcomes you—because when you feel valued, you’re empowered to do your best work.
**Job Summary**
 The Enablement Program Manager for Operational Excellence is an individual contributor responsible for the end\-to\-end design, development, execution, and measurement of enablement programs focused on critical operational processes, systems, policies, and tools that impact the field organization. This role acts as a strategic partner to operational teams, translating complex changes into clear, measurable, and engaging learning experiences, with a mandate to leverage AI advancements to drive program efficiency and impact.
**Responsibilities**
 Program Strategy and Needs Analysis
* Partner with the GTM Operations team, the DIO organization, Legal and bid management teams to conduct thorough needs analyses and define the enablement scope for new process launches, policy rollouts, or significant tool updates
* Develop comprehensive, audience\-specific learning paths and curriculum structures that effectively translate operational requirements into field capabilities
* Manage the enablement lifecycle for multiple programs concurrently, ensuring alignment with project timelines and business readiness goals
 Content Development and AI Innovation
* Design and develop in partnership with Enablement Services, core enablement assets (e.g., job aids, training guides, presentations, knowledge checks) for field audiences, ensuring all content is accurate, clear, and focused on behavioral change
* Act as the internal liaison with the Enablement Instructional Design Vendor Manager, clearly defining content needs and providing Subject Matter Expertise (SME) inputs to external agencies
* Actively investigate, pilot, and deploy Generative AI and other advanced tools to accelerate the content development cycle (e.g., initial script drafting, knowledge article generation, quick simulation builds) and improve the personalization of learning delivery
 Program Execution and Delivery
* Coordinate all aspects of program launch, including scheduling training sessions, managing communications, work with the Enablement Services team on setting up tracking within the Learning Management System (LMS), and coordinating internal delivery resources
* Facilitate virtual and in\-person training sessions as required, acting as a credible subject matter expert on the enabled operational topics
* Manage post\-launch feedback loops and content iteration, ensuring programs remain current and effective as operational standards evolve
 Measurement and Impact
* Define and track enablement success metrics (e.g., adoption rates, usage compliance, knowledge retention, program satisfaction) aligned with the operational goals of the enabled systems or processes
* Analyze program data and reporting dashboards to provide actionable insights on program effectiveness and inform future design decisions
**Qualifications**
* Experience: Minimum 3 years of experience in Sales Enablement, Learning \&amp; Development, or Program Management, preferably within a global, B2B technology environment
* Program Management: Demonstrated ability to manage complex programs end\-to\-end, involving multiple stakeholders, strict deadlines, and clear success metrics
* Operational Enablement: Proven experience translating complex technical or operational concepts (systems, policies, or process changes) into simple, clear, and actionable learning content for a field audience
* AI Fluency: Demonstrated ability to leverage current AI tools (e.g., GenAI platforms, content creation assistants) to improve the speed and quality of enablement deliverables
* Soft Skills: Excellent written and verbal communication skills, including strong presentation and facilitation skills
**Preferred Qualifications**
* Technical Acumen: Familiarity with enterprise systems, particularly CRM (e.g., Salesforce), CPQ, or other sales/operational workflow tools
* LMS/Authoring Tools: Hands\-on experience with modern content authoring tools (e.g., Articulate Storyline/Rise) and familiarity with LMS administration and reporting
**This posting is a new position within our organization.**
 The targeted pay range for this position in the following location is / locations are:
 Canada \- Toronto Office TRO : 73,000 \- 109,000 CAD / Annual
 United States \- Dallas Infomart Office DAI : 70,000 \- 105,000 USD / Annual
 Our pay ranges reflect the minimum and maximum target for new hire pay for the full\-time position determined by role, level, and location.
 **The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**Equinix Benefits**
 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
**Employee Assistance Program** 
 : An Employee Assistance program is available to all employees.
 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benefits. Benefits are subject to change and may be subject to specific plan or program terms. Canada Core Benefits: \- Insurance: You may enroll in healthcare coverage that is designed to complement the provincial healthcare system, along with life, disability and optional benefit plans that are designed for you and your eligible family members. \- Retirement: You may also enroll in Equinix\-sponsored retirement or savings plans: Defined Contribution Pension Plan (DCPP), Group Retirement Savings Plan (RRSP) and Tax\-Free Savings Plan (TSFA). \- Vacation and Paid Holidays: Equinix offers both vacation and personal time, along with various paid holidays for you to rest and recharge. Eligibility requirements apply to some benefits. Benefits are subject to specific plan or program terms, and to change at Equinix discretion.
 Equinix is committed to ensuring that our employment process is open to all individuals, including those with a disability. If you are a qualified candidate and need assistance or an accommodation, please let us know by completing this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 
**.**</t>
        </is>
      </c>
    </row>
    <row r="175">
      <c r="A175" t="inlineStr">
        <is>
          <t>li-4335914336</t>
        </is>
      </c>
      <c r="B175" t="inlineStr">
        <is>
          <t>Specialty Clinic Practice/Program Manager II</t>
        </is>
      </c>
      <c r="C175" t="inlineStr">
        <is>
          <t>Cook Children's Health Care System</t>
        </is>
      </c>
      <c r="D175" t="inlineStr">
        <is>
          <t>linkedin</t>
        </is>
      </c>
      <c r="E175">
        <f>HYPERLINK("https://www.linkedin.com/jobs/view/4335914336", "https://www.linkedin.com/jobs/view/4335914336")</f>
        <v/>
      </c>
      <c r="F175" t="inlineStr"/>
      <c r="G175" t="inlineStr">
        <is>
          <t>Fort Worth, TX</t>
        </is>
      </c>
      <c r="H175" t="inlineStr"/>
      <c r="I175" t="inlineStr">
        <is>
          <t>**Location:**
 Dodson Medical Office Building
**Department:**
 Cln\-Plastics
**Shift:**
 First Shift (United States of America)
**Standard Weekly Hours:**
 40
**Summary:**
 The Practice Manager II facilitates teamwork and department pride by advocating for an environment that promotes high patient care standards and implements processes to ensure customer satisfaction. The Practice Manager II has the authority, accountability, and responsibility for the management of clerical and clinical staff. Areas of responsibility will include personnel management, staff development and positive customer relations. Demonstrates sound judgment and appropriate decision making abilities. Thoroughly understands and monitors financial performance of the unit/department.
**Education/Experience:**
* 3 years managerial experience in an outpatient medical, multi\-provider, ambulatory or behavioral health clinic.
* OR 1 year experience in a medical or behavioral health billing service AND at least 3 years managerial experience AND a working, up\-to\-date knowledge of general office procedures and general business accounting.
* OR Bachelors degree in management, business or healthcare administration AND 3 years of supervisory experience.
* OR Masters Degree in Mental Health, Counseling, or related degree AND 3 years managerial experience AND a working, up\-to\-date knowledge of general office procedures and general business accounting. OR Masters Degree in Healthcare Administration.
**Certification/Licensure:**
* Maintain BLS as defined in area of practice.
**About Us:**
**Cook Children's Medical Center** 
 is the cornerstone of Cook Children's, and offers advanced technologies, research and treatments, surgery, rehabilitation and ancillary services all designed to meet children's needs.
 Cook Children's is an EOE/AA, Minority/Female/Disability/Veteran employer.</t>
        </is>
      </c>
    </row>
    <row r="176">
      <c r="A176" t="inlineStr">
        <is>
          <t>li-4325540042</t>
        </is>
      </c>
      <c r="B176" t="inlineStr">
        <is>
          <t>Water Program Manager - Data Centers</t>
        </is>
      </c>
      <c r="C176" t="inlineStr">
        <is>
          <t>HDR</t>
        </is>
      </c>
      <c r="D176" t="inlineStr">
        <is>
          <t>linkedin</t>
        </is>
      </c>
      <c r="E176">
        <f>HYPERLINK("https://www.linkedin.com/jobs/view/4325540042", "https://www.linkedin.com/jobs/view/4325540042")</f>
        <v/>
      </c>
      <c r="F176" t="inlineStr"/>
      <c r="G176" t="inlineStr">
        <is>
          <t>Ann Arbor, MI</t>
        </is>
      </c>
      <c r="H176" t="inlineStr"/>
      <c r="I176"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We believe water is more than a resource, it's a shared responsibility. As part of our Water Business Group, you’ll help shape how communities manage water for generations to come. From delivering safe drinking water and treating wastewater responsibly to developing sustainable water supplies and protecting lives and property through flood control, your work will directly support public health, environmental sustainability, and infrastructure resilience. We bring together experts across disciplines to solve complex challenges with bold thinking and technical excellence. Whether you're modernizing aging systems or pioneering innovative approaches, your contributions will make a meaningful difference in people’s lives. This isn’t just a job, it's a chance to lead change, drive progress, and leave a lasting legacy.
**Overview**
 We have an exceptional opportunity for a Water Infrastructure Program Manager (PgmM), focused on developing, coordinating, and delivering water infrastructure consulting, design projects and tasks for data center clients. The role will coordinate and collaborate with teams inside HDR to support water infrastructure oriented tasks including environmental, permitting, industrial water/wastewater treatment, building architecture, and other expertise from all HDR’s service areas relating to data center water infrastructure. The role will also work with vendors and subconsultants as needed.
**Responsibility Details**
 This role includes program development, planning, and project delivery responsibilities supporting water infrastructure relating to designing and constructing data centers for a specific client or set of clients. This position will manage teams working to complete tasks from front\-end site due\-diligence evaluation, consulting, planning, and detailed design support through the construction administration and commissioning phases of data center projects. Services provided may include planning/consulting (due diligence/campus planning phase), design (including construction administration and commissioning phases), and O\&amp;M/retrofit scopes. The PgmM will also support water sustainability initiatives as aligned by client goals.
 To execute HDR’s water infrastructure scopes and responsibilities, this role will collaborate with our practices and professional discipline groups across HDR on staff assignments, technical services, activities to continually improve standards and best practices, and implementation of effective quality assurance and quality control procedures. This person will need to be able to balance the fast pace and variable environment of working with data center clients.
 The PgmM will participate in and oversee the execution of consulting, planning, and design scope delivery. The delivery includes overall performance, financial metrics for water infrastructure tasks, schedule, quality, contractual compliance, HDR task order safety planning, risk mitigation, and overall excellent client experience and satisfaction.
 Responsibilities also include day\-to\-day coordination of new potential task orders with the client and HDR’s Tech/Media/Telecom (TMT) business development teams. Overall, The PgmM will work with our TMT leadership and business development team to grow HDR’s water\-related work for data center clients and continue our growth as one of the top data center designers in the world. The PgmM will collaborate with business development teams to identify and develop opportunities and pursuits and work with HDR’s client managers and interface with clients to formulate project approaches and develop detailed project scopes that meet client expectations.
 HDR’s responsibilities to serve our client will require work on diverse geographic locations. As such, travel is estimated at 20\-30%.
**Specific responsibilities will include:**
**TMT Market Sector – Data Center Objectives**
* Incorporate our HDR Corporate 2027 Goals and specific strategic vision within the data center / mission critical market to become the industry leader.
* Communicate strategic and growth business plans to meet key financial objectives of our TMT sector specifically focused on Data Centers.
* Serve as the Client Manager for water infrastructure scope with selected data center clients in North America and be active and visible in the industry.
**Business Development Responsibilities**
* Support business development and pursuit activities through identification of project opportunities, proposal development, presentation to clients and scope development/contract negotiations after selection. Business development opportunities may include both new and existing sites.
* Cultivate long\-term, sustainable, value\-based client relationships with clients. In time the role may expand to include partners, such as subconsultants, water treatment vendors, and water treatment equipment manufacturers.
**Support to Key Project/Program Delivery**
* Take on Project Management (PM) and Principal in Charge (PIC) assignments that leverage this leadership role by driving client satisfaction, staff development, technical excellence and mentoring opportunities.
* Manage the day\-to\-day activities of project\-based team members and ensure that they meet deadlines and deliver high quality work. This effort may include assigning tasks, providing feedback, and facilitating collaboration.
* Identify key staff to support new opportunities, including monitoring of staff workload and facilitate work sharing amongst and between HDR groups. Scope may expand to recruit new staff based on client project needs
* Provide mentorship and coaching to staff working on data center projects.
* Facilitate development and dissemination of lessons learned, Standards \&amp; Practices, and other key delivery guidance/tools
**Qualifications**
* Bachelor’s degree (or higher) in Mechanical, Chemical, Environmental, Civil or other similar engineering disciplines.
* Experienced in development and management of a wide range of client relationships and specific program and/or project pursuits
* Ability to work cooperatively with multiple HDR positions such as Market Sector Leadership, Business Class Directors, Regional Business Group Directors, Area Business Group Managers, and Area Managers
* Demonstrated commitment to HDR values. An attitude and commitment to being an active participant of our employee\-owned culture is a must
* Strong verbal and written communication skills
* Works well in a team and matrix environment
* Highly motivated, articulate, and self\-starting
* Proficiency in Microsoft Platforms
 Demonstrated project management experience with winning and delivering projects in the Data Center and other industrial sectors, with responsibility for budget, schedule, contractual obligations, and quality standards.
**Preferred Qualifications**
* Registration as a Professional Engineer
* Project Management training and experience, including PMP certification
* 10\+ years of directly relevant experience in industrial water and wastewater engineering
* 5\+ years (within the total experience timeframe) specifically serving the Data Center industry.
* Experience designing industrial water and wastewater treatment plants, including development of conceptual/preliminary designs and detailed design document preparation.
* Knowledge of Google Workspace platforms (formerly G Suite or Google Apps)
**Required Qualifications**
* Bachelor's degree in Engineering
* 7 years related experience
* A minimum 2 years project management experience
* Requires professional engineering license recognized by the licensing board for the location of the position offered. Example: Professional Engineer (PE or P.Eng) license.
* MS Office and MS Project experience is required (Access experience would be plus)
* Demonstrated leadership skills
* An attitude and commitment to being an active participant of our employee\-owned culture is a must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We provide a comprehensive benefits package that promotes employee ownership, employee health, performance, and success, which includes medical, dental, vision, short and long\-term disability, life insurance, an employee assistance program, paid time away, parental leave, paid holidays, a retirement savings plan with employer match, employee referral bonus and tuition reimbursement. The expected compensation range for this position depends upon skills, experience, education and geographical location. (Stated benefits are for full\-time regular positions. Temporary and part\-time roles eligible for limited benefits.) {Minneapolis}: $120,761 \- $172,515 {Columbus}: $115,010 \- $164,300 {Denver}: $126511 \- $180,730
**Primary Location:**
 United States\-Missouri\-Kansas City
**Other Locations:**
 United States\-Pennsylvania\-Philadelphia, United States\-North Carolina\-Charlotte, United States\-Texas\-Austin, United States\-Nebraska\-Omaha, United States\-Colorado\-Denver, United States\-Virginia\-Vienna, United States\-Illinois\-Chicago, United States\-Minnesota\-Minneapolis, United States\-Michigan\-Ann Arbor, United States\-Pennsylvania\-Pittsburgh, United States\-Texas\-San Antonio, United States\-Texas\-Dallas, United States\-Ohio\-Columbus, United States\-Maryland\-Fulton
**Industry:**
 Water
**Schedule:**
 Full\-time
**Employee Status:**
 Regular
**BusinessClass:**
 WW Treatment and Effluent Mgmt
**Job Posting:**
 Dec 2, 2025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row>
    <row r="177">
      <c r="A177" t="inlineStr">
        <is>
          <t>li-4362426638</t>
        </is>
      </c>
      <c r="B177" t="inlineStr">
        <is>
          <t>Product Manager II - Reporting &amp; Analytics</t>
        </is>
      </c>
      <c r="C177" t="inlineStr">
        <is>
          <t>Equip</t>
        </is>
      </c>
      <c r="D177" t="inlineStr">
        <is>
          <t>linkedin</t>
        </is>
      </c>
      <c r="E177">
        <f>HYPERLINK("https://www.linkedin.com/jobs/view/4362426638", "https://www.linkedin.com/jobs/view/4362426638")</f>
        <v/>
      </c>
      <c r="F177" t="inlineStr"/>
      <c r="G177" t="inlineStr"/>
      <c r="H177" t="inlineStr"/>
      <c r="I177" t="inlineStr">
        <is>
          <t>**About Equip**
 Equip is the leading virtual, evidence\-based eating disorder treatment program on a mission to ensure that everyone with an eating disorder can access treatment that works. Created by clinical experts in the field and people with lived experience, Equip builds upon evidence\-based treatments to empower individuals to reach lasting recovery. All Equip patients receive a dedicated care team, including a therapist, dietitian, physician, and peer and family mentor. The company operates in all 50 states and is partnered with most major health insurance plans. Learn more about our strong outcomes and treatment approach at www.equip.health.
 Founded in 2019, Equip has been a fully virtual company since its inception and is proud of the highly\-engaged, passionate, and diverse Equisters that have created Equip’s culture. Recognized by Time as one of the most influential companies of 2023, along with awards from Linkedin and Lattice, we are grateful to Equipsters for building a sustainable treatment program that has served thousands of patients and families.
**About The Role**
 We are looking for a passionate Product Manager to join us to improve the user experience of our in house data analytics platform, with a focus on clinical and operations stakeholders. Data is the backbone of Equip—we use it every day to support business processes, measure our success, and inform our decisions. As the Product Manager for the analytics team, you will collaborate with domain experts to identify opportunities to use data to improve how data is organized, curated, discovered, and used throughout the organization.
 The Product Manager will apply a creative, rigorous, and efficient approach to product management. You will be a critical member of our team, collaborating with Data Analysts, Data Scientists, Data Engineers, and internal stakeholders. You will help develop and drive the roadmap for our data initiatives and work towards a strategy for enabling the organization to self\-serve data needs as we scale. If you’re eager to work in a dynamic, fast\-moving environment where you’ll strive to make a big impact at a mission\-driven organization, then this might be the right fit for you!
**Responsibilities**
* Be a thought partner with our clinical, operations, and product development departments to identify data initiatives that support both departmental and organizational goals.
* Advocate for the needs of your stakeholders when working with our analysts, data engineering and application development teams, third parties, and other cross\-functional stakeholders.
* Develop a strategy and roadmap for improving the user experience of our analytics users and other data consumers.
* Work closely with your Data Analyst, Engineering, and Data Scientist counterparts to come up with innovative ways to execute on the data roadmap, ensuring tight timelines and successful launches.
* Utilize testing, user research, and market analysis to iterate on features, derive insights, and enhance customer/user satisfaction.
* Design and prepare product requirement documents, including articulating the business case, value proposition, trade\-offs, and user stories.
* Drive features from development to launch in an agile scrum environment by coordinating and participating in development activities including daily standups, backlog grooming, retrospectives, sprint planning, demos, and other scrum ceremonies.
* Monitor usage and satisfaction of our data products to identify gaps and opportunities.
* Work towards improving the data literacy in the organization and enabling meaningful self\-service analytics.
* Demonstrate empathy and curiosity when approaching all complex issues (be they technical, societal, or personal) and share a genuine interest in solving problems for our users.
* Operate with a high degree of autonomy in a growing, early\-stage work environment.
* Find ways to improve efficiency and excellence in our product development process.
* Perform other duties as assigned.
**Qualifications**
* Bachelor’s degree in a quantitative, technical, or business\-related field (e.g., Computer Science, Engineering, Economics, Statistics, Information Systems, or equivalent practical experience).
* 4\+ years of experience as a Product Manager within a high\-growth company, ideally working on data products and/or products in the healthcare domain OR equivalent relevant experience in analytics, reporting, or research with some product experience.
* Proven track record of successfully delivering features on time following agile methodologies and best practices.
* Strong analytical skills, including the ability to clean, visualize, and present compelling narratives using data.
* Familiarity with data modeling, schema design, ETL/ELT pipelines, data lineage, and storage architectures.
* The ability to read and write SQL.
* Demonstrated business sense and intellectual curiosity with the desire to become a subject matter expert in eating disorder treatments.
* Organizational and project management skills with a demonstrated ability to balance numerous projects while meeting tight deadlines.
* Attention to detail.
* Effective interpersonal skills, particularly in building relationships, working collaboratively, and influencing and driving alignment.
* Strong written and verbal communication skills.
* Comfortable working in a fast\-paced environment with changing priorities.
**Benefits**
**Time Off:**
* Flex PTO policy (3\-5 wks/year recommended) \+ 11 paid company holidays.
**Medical Benefits**
* Competitive Medical, Dental, Vision, Life, and AD\&amp;D insurance.
* Equip pays for a significant percentage of benefits premiums for individuals and families.
* Maven, a company paid reproductive and family care benefit for all employees.
* Employee Assistance Program (EAP), a company paid resource for mental health, legal services, financial support, and more!
**Other Benefits**
**Work From Home Additional Perks:**
* $50/month stipend added directly to an employee’s paycheck to cover home internet expenses.
* One\-time work from home stipend of up to $500\.
**Physical Demands**
 Work is performed 100% from home with no requirement to travel. This is a stationary position that requires the ability to operate standard office equipment and keyboards as well as to talk or hear by telephone. Sit or stand as needed.
 At Equip, Diversity, Equity, Inclusion and Belonging (DEIB) are woven into everything we do. At the heart of Equip’s mission is a relentless dedication to making sure that everyone with an eating disorder has access to care that works regardless of race, gender, sexuality, ability, weight, socio\-economic status, and any marginalized identity. We also strive toward our providers and corporate team reflecting that same dedication both in bringing in
 *and* 
 retaining talented employees from all backgrounds and identities. We have an Equip DEIB council, Equip For All; also referred to as EFA.
 *EFA at Equip aims to be a space driven by mutual respect, and thoughtful, effective communication strategy \- enabling full participation of members who identify as marginalized or under\-represented and allies, amplifying diverse voices, creating opportunities for advocacy and contributing to the advancement of diversity, equity, inclusion, and belonging at Equip.*
 As an equal opportunity employer, we provide equal opportunity in all aspects of employment, including recruiting, hiring, compensation, training and promotion, termination, and any other terms and conditions of employment without regard to race, ethnicity, color, religion, sex, sexual orientation, gender identity, gender expression, familial status, age, disability, weight, and/or any other legally protected classification protected by federal, state, or local law.
 Our dedication to equitable access, which is core to our mission, extends to how we build our "village." In line with our commitment to Diversity, Equity, Inclusion, and Belonging (DEIB), we are dedicated to an accessible hiring process where all candidates feel a true sense of belonging. If you require a reasonable accommodation to complete your application, interview, or perform the essential functions of a role, we invite you to reach out to our People team at accommodations@equip.health.</t>
        </is>
      </c>
    </row>
    <row r="178">
      <c r="A178" t="inlineStr">
        <is>
          <t>li-4182806832</t>
        </is>
      </c>
      <c r="B178" t="inlineStr">
        <is>
          <t>Technical Product Manager - AI Solutions</t>
        </is>
      </c>
      <c r="C178" t="inlineStr">
        <is>
          <t>Veeva Systems</t>
        </is>
      </c>
      <c r="D178" t="inlineStr">
        <is>
          <t>linkedin</t>
        </is>
      </c>
      <c r="E178">
        <f>HYPERLINK("https://www.linkedin.com/jobs/view/4182806832", "https://www.linkedin.com/jobs/view/4182806832")</f>
        <v/>
      </c>
      <c r="F178" t="inlineStr"/>
      <c r="G178" t="inlineStr">
        <is>
          <t>Boston, MA</t>
        </is>
      </c>
      <c r="H178" t="inlineStr"/>
      <c r="I178"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Make the work of our customers delivering life\-changing medicines and treatments to patients more efficient and productive. We are looking for an experienced technical product manager to design and deliver high\-value AI Agent solutions for Veeva Development Cloud. In this role, you will be an expert in the use of AI to design and build AI agents that will speed up clinical trials, automate regulatory submissions, or make pharmacovigilance more efficient.
**What You’ll Do**
* Hands\-on design and development of prototypes of AI solutions for a specific application domain such as Submissions, Clinical, or Drug Safety working with application PMs and customers.
* Design and deliver production AI Agent applications including data flow, orchestration, and prompts.
* Work with engineering and UX to automate key business processes using AI.
* Present solution capabilities and value to internal and external stakeholders.
**Requirements**
* 5\+ years of enterprise software product management, engineering, or consulting experience, with at least 2 years focused on AI/ML applications.
* Experience with data flow design, algorithm selection, and model integration.
* Coding skills in Python and hands\-on experience with AI Frameworks and APIs.
* Strong understanding of AI/ML concepts, LLMs, and prompt engineering.
* Strong collaboration skills for working with engineering, UX design, and application product management teams.
* Excellent communication skills to work with non\-technical stakeholders.
****Nice to Have****
* Experience in Life Sciences
* Experience in a data scientist, machine learning, or data engineering role.
**Perks \&amp; Benefits**
* Medical, dental, vision, and basic life insurance
* Flexible PTO and company paid holidays
* Retirement programs
* 1% charitable giving program
**Compensation**
* Base pay: $75,000 \- $165,000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2026-02-05T15:24:51Z</dcterms:created>
  <dcterms:modified xsi:type="dcterms:W3CDTF">2026-02-05T15:24:51Z</dcterms:modified>
</cp:coreProperties>
</file>