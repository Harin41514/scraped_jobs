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in-d924816acf0426a7</t>
        </is>
      </c>
      <c r="B2" t="inlineStr">
        <is>
          <t>Staff Data Scientist</t>
        </is>
      </c>
      <c r="C2" t="inlineStr">
        <is>
          <t>Intuit</t>
        </is>
      </c>
      <c r="D2" t="inlineStr">
        <is>
          <t>indeed</t>
        </is>
      </c>
      <c r="E2" t="inlineStr"/>
      <c r="F2" t="inlineStr"/>
      <c r="G2" t="inlineStr">
        <is>
          <t>Mountain View, CA, US</t>
        </is>
      </c>
      <c r="H2" s="2" t="n">
        <v>46057</v>
      </c>
      <c r="I2" t="inlineStr">
        <is>
          <t>**Overview**
------------
Come join the Intuit \- QuickBooks Web Marketing Data Analytics team as a Staff Data Scientist! You'll be joining a highly motivated and fun team that is responsible for bringing new customers to the QuickBooks ecosystem of products and driving key decisions through user behaviour analysis, experimentation and machine learning. You'll apply statistical rigor to drive business outcomes and will be instrumental in providing actionable data backed insights and recommendations that inform our strategic decisions! **Responsibilities**
* Drive measurement strategy and lead E2E process of A/B testing (frequentist/ bayesian/mab) for areas of web optimization such as landing pages, user funnel, navigation, checkout, product lineup, pricing, search and monetization opportunities
* Analyze web user behavior at both visitor and session level using clickstream data by anchoring to key web metrics and identify user behavior through engagement and pathing analysis
* Help build a culture of rigorous experimentation across marketing/product managers Leverage AI/GenAI tools for automating tasks and building custom implementations
* Use data, strategic thinking and advanced scientific methods including predictive modeling to enable data\-backed decision making for Intuit at scale
* Measure performance and impact of various product releases Demonstrate strategic thinking and systems thinking to solve business problems and influence strategic decisions using data storytelling
* Partner with GTM, Product, Engineering, Design, Engineering teams to drive analytics projects end to end
 **Qualifications**
* \+7 years of experience working in web, product, marketing, or other related analytics fields to solve for marketing/product business problems
* \+5 years of experience in designing and executing experiments (A/B and multivariate) with a deep understanding of the stats behind hypothesis testing
* Proficient in alternative A/B testing methods like DiD, Synthetic control and other causal inference techniques
* \+5 years of technical proficiency in SQL, Python or R and data visualization tools like tableau
* \+5 years of experience in manipulating and analyzing large complex datasets (e.g. clickstream data), constructing data pipelines (ETL) and working on big data technologies (e.g., Redshift, Spark, Hive, BigQuery) and solutions from cloud platforms
* \+3 years of experience in web analytics, analyzing website traffic patterns and conversion funnels
* \+2 years of experience in building ML models (eg: regression, clustering, trees) for personalization applications
* Demonstrate ability to drive strategy, execution and insights for AI native experiences across the development lifecycle (ideation, discovery, experimentation, scaling)
* Outstanding communication skills with both technical and non\-technical audiences
* Ability to tell stories with data, influence business decisions at a leadership level, and provide solutions to business problems
* Ability to manage multiple projects simultaneously to meet objectives and key deadlines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
Bay Area California $ 186,500\- 252,000</t>
        </is>
      </c>
    </row>
    <row r="3">
      <c r="A3" t="inlineStr">
        <is>
          <t>in-dd6ff76ac9f49660</t>
        </is>
      </c>
      <c r="B3" t="inlineStr">
        <is>
          <t>Senior GenAI Engineer/Data Scientist / Remote</t>
        </is>
      </c>
      <c r="C3" t="inlineStr">
        <is>
          <t>Molina Healthcare</t>
        </is>
      </c>
      <c r="D3" t="inlineStr">
        <is>
          <t>indeed</t>
        </is>
      </c>
      <c r="E3" t="inlineStr"/>
      <c r="F3" t="inlineStr"/>
      <c r="G3" t="inlineStr">
        <is>
          <t>AZ, US</t>
        </is>
      </c>
      <c r="H3" s="2" t="n">
        <v>46057</v>
      </c>
      <c r="I3" t="inlineStr">
        <is>
          <t>Job Description
Job Summary
We are seeking a highly skilled GenAI / Agentic AI Engineer to design, build, and deploy autonomous, LLM\-powered systems that solve complex business problems at scale. This role focuses on agentic workflows, retrieval\-augmented generation (RAG), tool orchestration, evaluation, and production deployment of GenAI systems.
You will work at the intersection of LLMs, systems engineering, and applied ML, building intelligent agents that reason, plan, interact with tools, and operate reliably in real\-world environments—particularly across regulated domains such as healthcare.
Job Duties
Agentic AI \&amp; GenAI System Development
Design, build, and deploy agentic AI systems using LLMs, tools, memory, and planning frameworks.
Implement multi\-agent and single\-agent workflows for autonomous task execution, decision support, and orchestration.
Develop tool\-using agents (function calling, structured outputs, APIs, databases, workflows).
Retrieval\-Augmented Generation (RAG)
Design and optimize RAG pipelines, including document ingestion, chunking strategies, embeddings, vector stores, and retrieval ranking.
Implement advanced retrieval techniques (hybrid search, metadata filtering, re\-ranking, query rewriting).
Evaluate and tune RAG systems for accuracy, latency, grounding, and hallucination reduction.
Model Adaptation \&amp; Optimization
Fine\-tune and adapt foundation models (instruction tuning, LoRA, adapters) for domain\-specific use cases.
Optimize prompts, schemas, and system instructions for reliability and determinism.
Apply reinforcement or feedback\-driven optimization where applicable (human or automated eval loops).
Evaluation, Monitoring \&amp; Governance
Define evaluation frameworks for GenAI systems, including task success, factuality, grounding, latency, and cost.
Build monitoring and observability for agent behavior, tool calls, and failure modes.
Partner with governance and risk teams to ensure responsible AI practices, traceability, and compliance.
Production Deployment \&amp; MLOps for GenAI
Deploy GenAI and agentic systems into production using cloud\-native architectures.
Implement CI/CD, versioning, rollback, and runtime safeguards for LLM applications.
Optimize systems for performance, cost efficiency, and scalability.
Collaboration \&amp; Leadership
Collaborate closely with software engineers, product managers, data scientists, and business stakeholders.
Translate ambiguous business problems into well\-structured agentic solutions.
Mentor junior engineers and contribute to GenAI best practices and internal standards.
**Job Qualifications:**  
Technical Skills
Strong Python proficiency and experience building production\-grade services.
Deep understanding of LLMs and foundation models (GPT, Claude, Llama, etc.).
Hands\-on experience with agent frameworks (e.g., LangGraph, Semantic Kernel, DSPy, AutoGen, CrewAI, custom frameworks).
Strong knowledge of RAG architectures, vector databases, and embedding models.
Experience with structured outputs, function calling, JSON schemas, and tool orchestration.
Familiarity with LLM evaluation techniques and failure mode analysis.
Experience with APIs, microservices, and distributed systems.
Problem Solving \&amp; Communication
Strong analytical thinking and ability to structure ambiguous problems.
Ability to explain complex GenAI concepts to both technical and non\-technical audiences.
Proven ability to work cross\-functionally in fast\-moving environments.
**REQUIRED EDUCATION:**  
Master’s Degree in Computer Science, Data Science, Statistics, or a related field
**REQUIRED EXPERIENCE/KNOWLEDGE, SKILLS \&amp; ABILITIES:**  
* 6 plus years work experience as a data scientist preferably in healthcare environment but candidates with suitable experience in other industries will be considered
* Knowledge of big data technologies (e.g., Hadoop, Spark)
* Familiar with relational database concepts, and SDLC concepts
* Demonstrate critical thinking and the ability to bring order to unstructured problems
* Technical Proficiency: Strong programming skills in languages such as Python and R, and experience with machine learning frameworks like TensorFlow, Keras, or PyTorch.
* Statistical Analysis: Excellent understanding of statistical methods and machine learning algorithms, including k\-NN, Naive Bayes, SVM, and neural networks.
* Experience with Agentic Workflows: Familiarity with designing and implementing agentic workflows that leverage AI agents for autonomous operations.
* RAG Techniques: Knowledge of retrieval\-augmented generation techniques and their application in enhancing AI model outputs.
* Model Fine\-Tuning Expertise: Proven experience in fine\-tuning models for specific tasks, ensuring they meet the required performance metrics.
* Data Visualization: Proficiency in data visualization tools (e.g., Tableau, Power BI) to present complex data insights effectively.
* Database Management: Experience with SQL and NoSQL databases, data warehousing, and ETL processes.
* Problem\-Solving Skills: Strong analytical and problem\-solving abilities, with a focus on developing innovative solutions to complex challenges.
**PREFERRED EXPERIENCE:**  
Hands\-on experience building and deploying GenAI / LLM\-based systems.
Experience working in regulated industries (healthcare, finance, insurance).
Hands\-on experience with cloud GenAI platforms (Azure AI Studio / Foundry, Databricks, Snowflake Cortex).
Experience with observability and governance tools for GenAI systems.
Familiarity with NLP, document intelligence, or multimodal AI.
PhD or equivalent advanced research experience is a plus.
Proven experience designing agentic workflows, not just prompt\-based applications.
**To all current Molina employees:** If you are interested in applying for this position, please apply through the intranet job listing.
Molina Healthcare offers a competitive benefits and compensation package. Molina Healthcare is an Equal Opportunity Employer (EOE) M/F/D/V.
**Pay Range:** $107,028 \- $250,446 / ANNUAL
* Actual compensation may vary from posting based on geographic location, work experience, education and/or skill level.</t>
        </is>
      </c>
    </row>
    <row r="4">
      <c r="A4" t="inlineStr">
        <is>
          <t>in-a7ad28990318091d</t>
        </is>
      </c>
      <c r="B4" t="inlineStr">
        <is>
          <t>Sr Data Scientist</t>
        </is>
      </c>
      <c r="C4" t="inlineStr">
        <is>
          <t>Lucasfilm</t>
        </is>
      </c>
      <c r="D4" t="inlineStr">
        <is>
          <t>indeed</t>
        </is>
      </c>
      <c r="E4" t="inlineStr"/>
      <c r="F4" t="inlineStr"/>
      <c r="G4" t="inlineStr">
        <is>
          <t>San Francisco, CA, US</t>
        </is>
      </c>
      <c r="H4" s="2" t="n">
        <v>46057</v>
      </c>
      <c r="I4" t="inlineStr">
        <is>
          <t>Our R\&amp;D teams at Lucasfilm and ILM are seeking a Sr Data Scientist to join a strategic R\&amp;D initiative focused on Generative AI. The goal of this project is to develop a robust data curation pipeline that can help identify and leverage our most useful assets and media for technical model training.
You will play a critical role in bridging the gap between raw visual data and advanced machine learning applications. You will be responsible for the statistical analysis, sampling strategies, and evaluation metrics required to ensure our training data is diverse, relevant, and optimized for next\-generation image and video synthesis.
*This role is considered Hybrid, which means the employee will work 2\-3 days onsite at our San Francisco location and occasionally from home. This is a project position for 6 months.*
**What you’ll do**
**Data Strategy \&amp; Diversity Analysis**
* Independently design and implement statistical methods to ensure curated datasets retain representative coverage across various visual attributes, stylistic choices, and subject matter.
* Develop logic to identify and down\-weight low\-variance or repetitive data points to maximize training efficiency.
* Collaborate with key stakeholders on algorithms for de\-duplication to automatically eliminate redundant or near\-identical assets from the training corpus.
 **Evaluation Metrics \&amp; Quality Assurance**
* Design and lead implementation of automated metrics to assess the quality of generative images and videos.
* Validate automated quantitative metrics by correlating them against qualitative feedback provided by senior creative stakeholders.
* Establish success criteria for model fidelity, accuracy, and stylistic consistency.
 **Pipeline Integration**
* Work closely with the engineering team to integrate data cleaning, normalization, and sampling modules into a scalable automated pipeline.
* Assist in defining taxonomy and metadata standards to systematically organize unstructured visual assets.
**Project Focus \&amp; Timeline**
This is a fast\-paced, 6\-month initiative. You will move through rapidly iterating phases:
* Phase 1: defining data taxonomy and establishing baseline automated metrics.
* Phase 2: refining metrics for temporal consistency and validating against initial model fine\-tuning runs.
* Phase 3: final validation of metrics and delivery of fully curated, optimized datasets for cold storage.
 **What We’re Looking For**
* 5\+ years experience in related field
* Education \- Bachelor’s degree in Data Science, Computer Science, or a related field of study, and/or equivalent work experience. Master’s Degree preferred
* Experience: Proven background in Data Science with a strong emphasis on Computer Vision, Generative AI, or Deep Learning.
* Technical Skills: Proficiency in statistical analysis and dataset curation (distribution analysis, sampling techniques). Experience working with large\-scale unstructured media data is a plus.
* Evaluation Expertise: Familiarity with standard and novel metrics for evaluating Generative Models (e.g., FID, FVD, or similar).
* Communication: Ability to translate complex statistical insights for engineering partners and non\-technical creative leads.
The hiring range for this position in San Francisco is $155,400\-$208,400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5">
      <c r="A5" t="inlineStr">
        <is>
          <t>in-8ad3ccacebaa477b</t>
        </is>
      </c>
      <c r="B5" t="inlineStr">
        <is>
          <t>AI Data Scientist</t>
        </is>
      </c>
      <c r="C5" t="inlineStr">
        <is>
          <t>Microsoft</t>
        </is>
      </c>
      <c r="D5" t="inlineStr">
        <is>
          <t>indeed</t>
        </is>
      </c>
      <c r="E5" t="inlineStr"/>
      <c r="F5" t="inlineStr"/>
      <c r="G5" t="inlineStr">
        <is>
          <t>Bellevue, WA, US</t>
        </is>
      </c>
      <c r="H5" s="2" t="n">
        <v>46056</v>
      </c>
      <c r="I5" t="inlineStr">
        <is>
          <t>**Overview**  
We are seeking a pioneering and technically fluent **AI Data Scientist** to join our AI \&amp; Data Science Tools team. This role will be instrumental in shaping the future of AI\-powered product development within Microsoft Marketing’s Research \+ Insights organization. You will be integral to the design, build, testing, and scaling management of our newest inferencing AI tools powered by customer voice.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Insight Extraction from Inferencing Applications: Using python and gremlin to extract insightful information from the knowledge graph.
* AI Graph Building: Contribute to the design, development, and ongoing management of our knowledge graph architecture to support scalable AI solutions.
* Ownership of AI Tool Roadmap Portions: Own and evolve the product roadmap and ROB processes, ensuring alignment with strategic goals and technical feasibility.
* Cross\-Functional Collaboration: Interface with developer teams, Research \+ Insights research managers, Marketing leadership, and partner data science teams to translate business needs into technical requirements.
* Technical Communication: Articulate complex technical concepts clearly to both engineering teams and executive stakeholders.
* Innovation \&amp; Execution: Build customer voice AI tools in a fast\-paced, ambiguous environment with a focus on delivering high\-impact AI tools.
* Embody our culture and values.
**Qualifications** **Required/minimum qualifications**
* Doctorate in Data Science, Mathematics, Statistics, Econometrics, Economics, Operations Research, Computer Science, or related field
	+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 OR Bachelor's Degree in Data Science, Mathematics, Statistics, Econometrics, Economics, Operations Research, Computer Science, or related field AND 2\+ years data\-science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 Extensive experience with knowledge graph architecture and insight extraction.
* Proficiency in Python for building production services, including modular design, code readability, unit testing, and debugging.
* Demonstrated prowess in systems thinking to drive scale, sequencing work, surfacing risk, and driving hard prioritization decisions under uncertainty, including clear trade‑offs across scope, timing, and resourcing.
* Ability to synthesize complex, technical, and qualitative inputs into clear, repeatable, decision ready artifacts for senior leadership, translating insight into action.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6">
      <c r="A6" t="inlineStr">
        <is>
          <t>in-b4c6647c85c7e52b</t>
        </is>
      </c>
      <c r="B6" t="inlineStr">
        <is>
          <t>Principal AI Data Scientist</t>
        </is>
      </c>
      <c r="C6" t="inlineStr">
        <is>
          <t>HP</t>
        </is>
      </c>
      <c r="D6" t="inlineStr">
        <is>
          <t>indeed</t>
        </is>
      </c>
      <c r="E6" t="inlineStr"/>
      <c r="F6" t="inlineStr"/>
      <c r="G6" t="inlineStr">
        <is>
          <t>Spring, TX, US</t>
        </is>
      </c>
      <c r="H6" s="2" t="n">
        <v>46056</v>
      </c>
      <c r="I6" t="inlineStr">
        <is>
          <t>**About the Position**  
The HP Enterprise AI \&amp; Machine Learning organization is a centralized team of data scientists and machine learning engineers building GenAI\-based tools and digital products that enable increased productivity for 50,000\+ employees and improve the effectiveness of hundreds of critical business processes. We collaborate closely with business stakeholders across HP to scope, prototype, and develop models and products in the cloud and on the edge. We also serve as HP’s AI Center of Excellence, providing consulting assistance, reuseable components and frameworks, and training to other teams across the company.
As a Principal Data Scientist focused on Generative AI, you will lead multiple HP projects involving large language and multi\-model models and other cutting\-edge Generative AI capabilities for deployment on the cloud or edge. In addition to working with our core technical team, you’ll collaborate with business stakeholders and across various units to develop and deploy solutions at scale. Your primary focus and mindset will be on delivering real business value to our internal customers. Please note, this is not a research role.
 **Responsibilities**  
* Leads organization\-wide team or teams of other data science professionals in complex projects to create GenAI\-based models and digital products.
* Develops monitoring metrics to reflect real\-world model performance and makes recommendations to shape the future direction of models and digital solutions.
* Manages relationships with senior business partners to evaluate and foster data driven innovation, provides domain\-specific expertise in cross\-organization projects/initiatives.
* Ties insights into effective visualizations communicating business value and innovation potential.
* Works with development teams and business units to ensure models are scalable and can be implemented as part of the delivered solution.
* Leads project team(s) of data science professionals, assuring insights are communicated regularly and effectively, reviewing designs, models and data compliance.
* Represents the data science team for all phases of larger and more\-complex development projects.
* Provides guidance, training and mentoring to less experienced staff members.
**Education \&amp; Experience** **Recommended*** PhD related to AI and 5\+ years of experience or Master’s degree related to AI and 10\+ years of experience.
* Relevant experience must involve Generative AI and related technologies including machine learning. data analytics, and statistical modeling.
 **Preferred Certifications**  
* Programming Language/s Certification (SQL, Python, or similar)
**Knowledge \&amp; Skills*** Strong foundation in data science and core machine learning concepts.
* Experience with large language models, multi\-modal modals, prompt engineering, vector databases, Retrieval\-Augmented Generation (RAG), and search engines.
* Solid technical background. Experience working on software development teams, especially in cloud\-based business applications, is a strong plus.
* Familiarity with tools such as Azure Machine Learning, Azure Prompt Flow, Python, LangChain, Streamlit, and Docker.
* Experience working in distributed, diverse teams, with bonus points for time spent in small fast\-paced start\-ups.
* Comfortable representing the team in meetings with multiple stakeholders and driving discussions clearly and respectfully. Mastery of English is required.
* Able to explain technical concepts (e.g., LLMs) to non\-technical audiences.
* You suggest pragmatic solutions that are as simple as possible—even if that means no AI is required.
 **Cross\-Org Skills**  
* Effective Communication
* Results Orientation
* Learning Agility
* Digital Fluency
* Customer Centricity
The base pay range for this role is $147,050 to $230,850 annually with additional opportunities for pay in the form of bonus and/or equity (applies to US candidates only). Pay varies by work location, job\-related knowledge, skills, and experience.
**Benefits:**
HP offers a comprehensive benefits package for this position, including:
Health insurance
Dental insurance
Vision insurance
Long term/short term disability insurance
Employee assistance program
Flexible spending account
Life insurance
Generous time off policies, including;
* 4\-12 weeks fully paid parental leave based on tenure
* 11 paid holidays
* Additional flexible paid vacation and sick leave (US benefits overview)
The compensation and benefits information is accurate as of the date of this posting. The Company reserves the right to modify this information at any time, with or without notice, subject to applicable law.
6351</t>
        </is>
      </c>
    </row>
    <row r="7">
      <c r="A7" t="inlineStr">
        <is>
          <t>in-97a435a696e08e1d</t>
        </is>
      </c>
      <c r="B7" t="inlineStr">
        <is>
          <t>Principal Applied Scientist</t>
        </is>
      </c>
      <c r="C7" t="inlineStr">
        <is>
          <t>Microsoft</t>
        </is>
      </c>
      <c r="D7" t="inlineStr">
        <is>
          <t>indeed</t>
        </is>
      </c>
      <c r="E7" t="inlineStr"/>
      <c r="F7" t="inlineStr"/>
      <c r="G7" t="inlineStr">
        <is>
          <t>Washington, DC, US</t>
        </is>
      </c>
      <c r="H7" s="2" t="n">
        <v>46055</v>
      </c>
      <c r="I7" t="inlineStr">
        <is>
          <t>**Overview**  
Be at the forefront of AI by joining M365 Copilot team and take part in shaping the future of AI\-powered user experiences across multiple Microsoft platforms. As a Principal Applied Scientist, you will transform how M365 users conduct Deep Research by finetuning LLMs, chain of thought techniques, intelligent information retrieval techniques or through agent orchestration. These innovations will enhance M365 Chat, Researcher agent, Windows Companions, or highly personalized search and recommendations systems in widely used office applications.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You will master and gain expertise in broad areas of AI and ML, including trending research techniques.
* You’ll also gain deep knowledge of building enterprise intelligence on office user’s data.
* You will review business requirements and incorporate research to meet business goals.
* You ‘ll provide strategic direction for the kinds of data used to solve problems and apply deep subject matter knowledge to support business impact.
* You will participate in onboarding of junior team members and assist in developing academics to be members of multidiscipline teams.
* You’ll identify new research talent to join Microsoft and collaborate with the academic community to develop the recruiting pipeline.
* You will document work in progress and experimentation results and share findings to promote innovation.
* You’ll also use your deep understanding of fairness and bias to contribute to ethics and privacy policies related to research processes and data collection.
* You will collaborate with a multidisciplinary team to create scalable and ethical AI solutions.
**Qualifications** **Required Qualifications:**
* Bachelor's Degree in Statistics, Econometrics, Computer Science, Electrical or Computer Engineering, or related field AND 8\+ years related experience (e.g., statistics, predictive analytics, research)
	+ OR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5\+ years related experience (e.g., statistics, predictive analytics, research)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Statistics, Econometrics, Computer Science, Electrical or Computer Engineering, or related field AND 12\+ years related experience (e.g., statistics, predictive analytics, research)
	+ OR Doctorate in Statistics, Econometrics, Computer Science, Electrical or Computer Engineering, or related field AND 8\+ years related experience (e.g., statistics, predictive analytics, research)
	+ OR equivalent experience.
* 2\+ years experience presenting at conferences or other events in the outside research/industry community as an invited speaker.
* 5\+ years experience conducting research as part of a research program (in academic or industry settings).
* 3\+ years experience developing and deploying live production systems, as part of a product team.
* 3\+ years experience developing and deploying products or systems at multiple points in the product cycle from ideation to shipping.
* 5\+ years experience creating publications (e.g., patents, libraries, peer\-reviewed academic papers).
* 3\+ year(s) experience developing and deploying live production systems, as part of a product team.
* 1\+ years experience in Large Language Modeling (LLM) or Machine Learning (ML)
Applied Sciences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8">
      <c r="A8" t="inlineStr">
        <is>
          <t>in-23236a0532b17e31</t>
        </is>
      </c>
      <c r="B8" t="inlineStr">
        <is>
          <t>Principal Data Scientist</t>
        </is>
      </c>
      <c r="C8" t="inlineStr">
        <is>
          <t>Microsoft</t>
        </is>
      </c>
      <c r="D8" t="inlineStr">
        <is>
          <t>indeed</t>
        </is>
      </c>
      <c r="E8" t="inlineStr"/>
      <c r="F8" t="inlineStr"/>
      <c r="G8" t="inlineStr">
        <is>
          <t>Redmond, WA, US</t>
        </is>
      </c>
      <c r="H8" s="2" t="n">
        <v>46054</v>
      </c>
      <c r="I8" t="inlineStr">
        <is>
          <t>**Overview**  
The Bing organization is looking for a Principal Data and Applied Scientist for its online metric team. The team is pushing the boundaries of online A/B experimentation capabilities and impact measurement methods, as well as informs our understanding for how users engage with search engines and integrated AI experiences and then translates the insights into actionable metrics. These metrics provide direction to the Bing and MAI organization and help engineers make the right ship decisions for their thousands of A/B experiments.
Bing.com reaches about a billion people worldwide, and we have a large opportunity to grow further. At Bing, we celebrate our data driven culture: changes only ship when their impact is understood and positive. This role is at the center of what defines our decision\-making processes and is an excellent opportunity to make a multiplicative impact across the org.
As a data and applied scientist in this team, you will have the chance to work on and deliver metrics that drive the direction of major Bing initiatives. You will have the chance to be involved in the analysis and decision making for 1000s of online controlled A/B experiments. Come join us!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Drive innovation in large\-scale online A/B experimentation for AI\-powered web search, designing, building, and monitoring success metrics that directly measure user satisfaction, trust, and long\-term retention across Bing experiences.
* Serve as a technical visionary and thought leader in online experimentation, shaping the future of product learning through research\-driven, AI\-enabled approaches that support trustworthy, agile, and evidence\-based decision\-making at global scale.
* Provide senior technical leadership and deep industry perspective, guiding cross\-functional partners in the adoption of advanced experimentation platforms, causal inference techniques, and modern data science methodologies to deliver high\-impact, scientifically rigorous experimentation programs.
* Build and scale advanced experimentation expertise across teams, spanning specialized tools, statistical methods, and ML\-driven evaluation frameworks, to drive measurable business outcomes and extend the reach and impact of Search’s end\-to\-end experimentation ecosystem.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 OR Master's Degree in Data Science, Mathematics, Statistics, Econometrics, Economics, Operations Research, Computer Science, or related field AND 7\+ years data\-science experience (e.g., managing structured and unstructured data, applying statistical techniques and reporting results)
	+ OR Bachelor's Degree in Data Science, Mathematics, Statistics, Econometrics, Economics, Operations Research, Computer Science, or related field AND 10\+ years data 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8\+ years data\-science experience (e.g., managing structured and unstructured data, applying statistical techniques and reporting results)
	+ OR Master's Degree in Data Science, Mathematics, Statistics, Econometrics, Economics, Operations Research, Computer Science, or related field AND 10\+ years data\-science experience (e.g., managing structured and unstructured data, applying statistical techniques and reporting results)
	+ OR Bachelor's Degree in Data Science, Mathematics, Statistics, Econometrics, Economics, Operations Research, Computer Science, or related field AND 12\+ years data\-science experience (e.g., managing structured and unstructured data, applying statistical techniques and reporting results)
	+ OR equivalent experience.
	+ Experience with SQL\-like query languages
	+ Hands on experience in design \&amp; problem\-solving skills with one or more programming languages, such as Python, Java, C\# or C\+\+
	+ Ability to work independently, influence others, and solid communication and collaboration skills.
* Familiarity with search engines, dealing with online instrumentation.
* Experience with large datasets and interest in consumer online search behaviors.
Experience with building machine learning models on large scale data.  
*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\#Search \#MAI \#nextplay \#searchjobs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9">
      <c r="A9" t="inlineStr">
        <is>
          <t>in-8fef588c1405988a</t>
        </is>
      </c>
      <c r="B9" t="inlineStr">
        <is>
          <t>Principal Data Scientist</t>
        </is>
      </c>
      <c r="C9" t="inlineStr">
        <is>
          <t>Microsoft</t>
        </is>
      </c>
      <c r="D9" t="inlineStr">
        <is>
          <t>indeed</t>
        </is>
      </c>
      <c r="E9" t="inlineStr"/>
      <c r="F9" t="inlineStr"/>
      <c r="G9" t="inlineStr">
        <is>
          <t>Redmond, WA, US</t>
        </is>
      </c>
      <c r="H9" s="2" t="n">
        <v>45981</v>
      </c>
      <c r="I9" t="inlineStr">
        <is>
          <t>**Overview**  
We are inviting you to join the Microsoft Advertising Data Science Team. Microsoft Advertising platform is the single stop shop for all monetization needs for Publishers and Advertisers globally. Our team manages the marketplace, which includes monitoring business metrics, defining metrics, building analytical \&amp; experimentation frameworks, and enabling leadership to make data driven decisions. The team works across Engineering, Product and Business to address complex data science problems across users, advertisers, and publishers.
We are looking for high\-energy, creative modeling geeks who are willing to work in a dynamic environment to solve real life day to day problems, leveraging data science techniques. You will enjoy and be successful in this role if you are curious and willing to challenge the status quo and come up with data driven solutions to ambiguous problems.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Measurement: Define, invent, and deliver metrics which accurately measure user and business value across various products and marketplace components.
* Experimental Design: Think critically about sampling and experimental design across User and Demand dimensions.
* Product Iteration: Interpret the results of analyses, validate approaches, and learn to monitor, analyze, and iterate to continuously improve.
* Cooperation: Partner effectively with program management, engineers, and other areas of the business across our Consumer online business.
* Influence: Engage with stakeholders to produce clear, compelling, and actionable insights and data\-science driven workflows that influence product and service improvements.
* Make independent decisions for the team and handle difficult tradeoffs.
* Translate strategy into plans that are clear and measurable, with progress shared out monthly to stakeholders.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OR Master's Degree in Data Science, Mathematics, Statistics, Econometrics, Economics, Operations Research, Computer Science, or related field AND 7\+ years data\-science experience (e.g., managing structured and unstructured data, applying statistical techniques and reporting results) OR Bachelor's Degree in Data Science, Mathematics, Statistics, Econometrics, Economics, Operations Research, Computer Science, or related field AND 10\+ years data science experience (e.g., managing structured and unstructured data, applying statistical techniques and reporting results) OR equivalent experience.
**Preferred Qualifications:**
* Doctorate in Data Science, Mathematics, Statistics, Econometrics, Economics, Operations Research, Computer Science, or related field AND 8\+ years data\-science experience (e.g., managing structured and unstructured data, applying statistical techniques and reporting results) OR Master's Degree in Data Science, Mathematics, Statistics, Econometrics, Economics, Operations Research, Computer Science, or related field AND 10\+ years data\-science experience (e.g., managing structured and unstructured data, applying statistical techniques and reporting results) OR Bachelor's Degree in Data Science, Mathematics, Statistics, Econometrics, Economics, Operations Research, Computer Science, or related field AND 12\+ years data\-science experience (e.g., managing structured and unstructured data, applying statistical techniques and reporting results) OR equivalent experience.
\#MicrosoftAI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0">
      <c r="A10" t="inlineStr">
        <is>
          <t>in-7dfd553346a30141</t>
        </is>
      </c>
      <c r="B10" t="inlineStr">
        <is>
          <t>Senior Data Scientist</t>
        </is>
      </c>
      <c r="C10" t="inlineStr">
        <is>
          <t>Microsoft</t>
        </is>
      </c>
      <c r="D10" t="inlineStr">
        <is>
          <t>indeed</t>
        </is>
      </c>
      <c r="E10" t="inlineStr"/>
      <c r="F10" t="inlineStr"/>
      <c r="G10" t="inlineStr">
        <is>
          <t>Redmond, WA, US</t>
        </is>
      </c>
      <c r="H10" s="2" t="n">
        <v>45980</v>
      </c>
      <c r="I10" t="inlineStr">
        <is>
          <t>**Overview**  
What a time to join Microsoft! The Office of the Chief Economist works across the company to pursue commercial value using economics and data science. Examples of our work include algorithms that grow Microsoft’s cloud revenue and resource efficiency; some of the first\-ever studies of how AI changes the way that people work; and market design for software resellers.
We are looking for a **Senior Data Scientist** with broad technical skills, business acumen, and a player\-coach attitude. You will work alongside world\-class colleagues on high\-visibility projects answering some of Microsoft’s most pressing challenges. You will work directly with business partners to identify opportunities. Your initial first project will involve building algorithmic support for our deal teams, using machine learning, experimentation, and good old\-fashioned analytics. This is an opportunity to rethink, build, and operate internal processes and software.
Successful candidates can dive deep into sophisticated modeling approaches when needed; but more importantly, they know when a simple and pragmatic solution will do just as well, and they know how to inspire the same in others. They know how to tell good stories through data, how to visualize, and how to use many fast iterations in the face of ambiguous problems.
Our team values entrepreneurship, craftsmanship, and continuous learning. You will be able to shape and grow a positive and productive data science culture.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**Responsibilities**
* Understand business needs and develop appropriate data analysis to meet those needs including pipelining, exploratory data analysis, modeling, inference, and experimentation.
* Collaborate with senior economists to solve some of Microsoft’s most pressing issues, delivering tangible commercial value.
* Together with your team, interpret and present analysis results to senior stakeholders.
* Coach more junior team members, promoting a culture of learning and evangelizing modern data science methods.
* Build a robust product that makes data, econometrics, and ML useful for deal teams in the field.Embody our culture and values.
**Qualifications** **Required/minimum qualifications**
* Doctorate in Data Science, Mathematics, Statistics, Econometrics, Economics, Operations Research, Computer Science, or related field AND 1\+ year(s) data\-science experience (e.g., managing structured and unstructured data, applying statistical techniques and reporting results) OR Master's Degree in Data Science, Mathematics, Statistics, Econometrics, Economics, Operations Research, Computer Science, or related field AND 3\+ years data\-science experience (e.g., managing structured and unstructured data, applying statistical techniques and reporting results) OR Bachelor's Degree in Data Science, Mathematics, Statistics, Econometrics, Economics, Operations Research, Computer Science, or related field AND 5\+ years data\-science experience (e.g., managing structured and unstructured data, applying statistical techniques and reporting results) OR equivalent experience.
**Additional or preferred qualifications*** Doctorate in Data Science, Mathematics, Statistics, Econometrics, Economics, Operations Research, Computer Science, or related field AND 3\+ years data\-science experience (e.g., managing structured and unstructured data, applying statistical techniques and reporting results) OR Master's Degree in Data Science, Mathematics, Statistics, Econometrics, Economics, Operations Research, Computer Science, or related field AND 5\+ years data\-science experience (e.g., managing structured and unstructured data, applying statistical techniques and reporting results) OR Bachelor's Degree in Data Science, Mathematics, Statistics, Econometrics, Economics, Operations Research, Computer Science, or related field AND 7\+ years data\-science experience (e.g., managing structured and unstructured data, applying statistical techniques and reporting results) OR equivalent experience.
* 1\+ year of experience in preparing and executing analysis plans, evaluating various statistical methods (ML, causal inference, classical methods) and choosing the most appropriate approaches given business requirements.
* 1\+ year of industry experience in python and R and data query systems such as SQL or Spark, and management platforms such as Fabric, Databricks, SQL Server or Cosmos.
* 1\+ year of industry experience working with cross\-functional teams, gathering requirements, and building requirements into analysis plans.
* 1\+ year of experience with MLops, running Production\-grade ML systems and experience with Sales processes.
* 1\+ year of engineering experience in a modern cloud stack, including serverless methods and demonstrated experience leveraging your skills using AI.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1">
      <c r="A11" t="inlineStr">
        <is>
          <t>in-d924816acf0426a7</t>
        </is>
      </c>
      <c r="B11" t="inlineStr">
        <is>
          <t>Staff Data Scientist</t>
        </is>
      </c>
      <c r="C11" t="inlineStr">
        <is>
          <t>Intuit</t>
        </is>
      </c>
      <c r="D11" t="inlineStr">
        <is>
          <t>indeed</t>
        </is>
      </c>
      <c r="E11">
        <f>HYPERLINK("https://www.indeed.com/viewjob?jk=d924816acf0426a7", "https://www.indeed.com/viewjob?jk=d924816acf0426a7")</f>
        <v/>
      </c>
      <c r="F11">
        <f>HYPERLINK("https://dsp.prng.co/laFGncb", "https://dsp.prng.co/laFGncb")</f>
        <v/>
      </c>
      <c r="G11" t="inlineStr">
        <is>
          <t>Mountain View, CA, US</t>
        </is>
      </c>
      <c r="H11" s="3" t="n">
        <v>46057</v>
      </c>
      <c r="I11" t="inlineStr">
        <is>
          <t>**Overview**
------------
Come join the Intuit \- QuickBooks Web Marketing Data Analytics team as a Staff Data Scientist! You'll be joining a highly motivated and fun team that is responsible for bringing new customers to the QuickBooks ecosystem of products and driving key decisions through user behaviour analysis, experimentation and machine learning. You'll apply statistical rigor to drive business outcomes and will be instrumental in providing actionable data backed insights and recommendations that inform our strategic decisions! **Responsibilities**
* Drive measurement strategy and lead E2E process of A/B testing (frequentist/ bayesian/mab) for areas of web optimization such as landing pages, user funnel, navigation, checkout, product lineup, pricing, search and monetization opportunities
* Analyze web user behavior at both visitor and session level using clickstream data by anchoring to key web metrics and identify user behavior through engagement and pathing analysis
* Help build a culture of rigorous experimentation across marketing/product managers Leverage AI/GenAI tools for automating tasks and building custom implementations
* Use data, strategic thinking and advanced scientific methods including predictive modeling to enable data\-backed decision making for Intuit at scale
* Measure performance and impact of various product releases Demonstrate strategic thinking and systems thinking to solve business problems and influence strategic decisions using data storytelling
* Partner with GTM, Product, Engineering, Design, Engineering teams to drive analytics projects end to end
 **Qualifications**
* \+7 years of experience working in web, product, marketing, or other related analytics fields to solve for marketing/product business problems
* \+5 years of experience in designing and executing experiments (A/B and multivariate) with a deep understanding of the stats behind hypothesis testing
* Proficient in alternative A/B testing methods like DiD, Synthetic control and other causal inference techniques
* \+5 years of technical proficiency in SQL, Python or R and data visualization tools like tableau
* \+5 years of experience in manipulating and analyzing large complex datasets (e.g. clickstream data), constructing data pipelines (ETL) and working on big data technologies (e.g., Redshift, Spark, Hive, BigQuery) and solutions from cloud platforms
* \+3 years of experience in web analytics, analyzing website traffic patterns and conversion funnels
* \+2 years of experience in building ML models (eg: regression, clustering, trees) for personalization applications
* Demonstrate ability to drive strategy, execution and insights for AI native experiences across the development lifecycle (ideation, discovery, experimentation, scaling)
* Outstanding communication skills with both technical and non\-technical audiences
* Ability to tell stories with data, influence business decisions at a leadership level, and provide solutions to business problems
* Ability to manage multiple projects simultaneously to meet objectives and key deadlines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
Bay Area California $ 186,500\- 252,000</t>
        </is>
      </c>
    </row>
    <row r="12">
      <c r="A12" t="inlineStr">
        <is>
          <t>in-dd6ff76ac9f49660</t>
        </is>
      </c>
      <c r="B12" t="inlineStr">
        <is>
          <t>Senior GenAI Engineer/Data Scientist / Remote</t>
        </is>
      </c>
      <c r="C12" t="inlineStr">
        <is>
          <t>Molina Healthcare</t>
        </is>
      </c>
      <c r="D12" t="inlineStr">
        <is>
          <t>indeed</t>
        </is>
      </c>
      <c r="E12">
        <f>HYPERLINK("https://www.indeed.com/viewjob?jk=dd6ff76ac9f49660", "https://www.indeed.com/viewjob?jk=dd6ff76ac9f49660")</f>
        <v/>
      </c>
      <c r="F12">
        <f>HYPERLINK("https://careers.molinahealthcare.com/job/-/-/21726/91387536544", "https://careers.molinahealthcare.com/job/-/-/21726/91387536544")</f>
        <v/>
      </c>
      <c r="G12" t="inlineStr">
        <is>
          <t>AZ, US</t>
        </is>
      </c>
      <c r="H12" s="3" t="n">
        <v>46057</v>
      </c>
      <c r="I12" t="inlineStr">
        <is>
          <t>Job Description
Job Summary
We are seeking a highly skilled GenAI / Agentic AI Engineer to design, build, and deploy autonomous, LLM\-powered systems that solve complex business problems at scale. This role focuses on agentic workflows, retrieval\-augmented generation (RAG), tool orchestration, evaluation, and production deployment of GenAI systems.
You will work at the intersection of LLMs, systems engineering, and applied ML, building intelligent agents that reason, plan, interact with tools, and operate reliably in real\-world environments—particularly across regulated domains such as healthcare.
Job Duties
Agentic AI \&amp; GenAI System Development
Design, build, and deploy agentic AI systems using LLMs, tools, memory, and planning frameworks.
Implement multi\-agent and single\-agent workflows for autonomous task execution, decision support, and orchestration.
Develop tool\-using agents (function calling, structured outputs, APIs, databases, workflows).
Retrieval\-Augmented Generation (RAG)
Design and optimize RAG pipelines, including document ingestion, chunking strategies, embeddings, vector stores, and retrieval ranking.
Implement advanced retrieval techniques (hybrid search, metadata filtering, re\-ranking, query rewriting).
Evaluate and tune RAG systems for accuracy, latency, grounding, and hallucination reduction.
Model Adaptation \&amp; Optimization
Fine\-tune and adapt foundation models (instruction tuning, LoRA, adapters) for domain\-specific use cases.
Optimize prompts, schemas, and system instructions for reliability and determinism.
Apply reinforcement or feedback\-driven optimization where applicable (human or automated eval loops).
Evaluation, Monitoring \&amp; Governance
Define evaluation frameworks for GenAI systems, including task success, factuality, grounding, latency, and cost.
Build monitoring and observability for agent behavior, tool calls, and failure modes.
Partner with governance and risk teams to ensure responsible AI practices, traceability, and compliance.
Production Deployment \&amp; MLOps for GenAI
Deploy GenAI and agentic systems into production using cloud\-native architectures.
Implement CI/CD, versioning, rollback, and runtime safeguards for LLM applications.
Optimize systems for performance, cost efficiency, and scalability.
Collaboration \&amp; Leadership
Collaborate closely with software engineers, product managers, data scientists, and business stakeholders.
Translate ambiguous business problems into well\-structured agentic solutions.
Mentor junior engineers and contribute to GenAI best practices and internal standards.
**Job Qualifications:**  
Technical Skills
Strong Python proficiency and experience building production\-grade services.
Deep understanding of LLMs and foundation models (GPT, Claude, Llama, etc.).
Hands\-on experience with agent frameworks (e.g., LangGraph, Semantic Kernel, DSPy, AutoGen, CrewAI, custom frameworks).
Strong knowledge of RAG architectures, vector databases, and embedding models.
Experience with structured outputs, function calling, JSON schemas, and tool orchestration.
Familiarity with LLM evaluation techniques and failure mode analysis.
Experience with APIs, microservices, and distributed systems.
Problem Solving \&amp; Communication
Strong analytical thinking and ability to structure ambiguous problems.
Ability to explain complex GenAI concepts to both technical and non\-technical audiences.
Proven ability to work cross\-functionally in fast\-moving environments.
**REQUIRED EDUCATION:**  
Master’s Degree in Computer Science, Data Science, Statistics, or a related field
**REQUIRED EXPERIENCE/KNOWLEDGE, SKILLS \&amp; ABILITIES:**  
* 6 plus years work experience as a data scientist preferably in healthcare environment but candidates with suitable experience in other industries will be considered
* Knowledge of big data technologies (e.g., Hadoop, Spark)
* Familiar with relational database concepts, and SDLC concepts
* Demonstrate critical thinking and the ability to bring order to unstructured problems
* Technical Proficiency: Strong programming skills in languages such as Python and R, and experience with machine learning frameworks like TensorFlow, Keras, or PyTorch.
* Statistical Analysis: Excellent understanding of statistical methods and machine learning algorithms, including k\-NN, Naive Bayes, SVM, and neural networks.
* Experience with Agentic Workflows: Familiarity with designing and implementing agentic workflows that leverage AI agents for autonomous operations.
* RAG Techniques: Knowledge of retrieval\-augmented generation techniques and their application in enhancing AI model outputs.
* Model Fine\-Tuning Expertise: Proven experience in fine\-tuning models for specific tasks, ensuring they meet the required performance metrics.
* Data Visualization: Proficiency in data visualization tools (e.g., Tableau, Power BI) to present complex data insights effectively.
* Database Management: Experience with SQL and NoSQL databases, data warehousing, and ETL processes.
* Problem\-Solving Skills: Strong analytical and problem\-solving abilities, with a focus on developing innovative solutions to complex challenges.
**PREFERRED EXPERIENCE:**  
Hands\-on experience building and deploying GenAI / LLM\-based systems.
Experience working in regulated industries (healthcare, finance, insurance).
Hands\-on experience with cloud GenAI platforms (Azure AI Studio / Foundry, Databricks, Snowflake Cortex).
Experience with observability and governance tools for GenAI systems.
Familiarity with NLP, document intelligence, or multimodal AI.
PhD or equivalent advanced research experience is a plus.
Proven experience designing agentic workflows, not just prompt\-based applications.
**To all current Molina employees:** If you are interested in applying for this position, please apply through the intranet job listing.
Molina Healthcare offers a competitive benefits and compensation package. Molina Healthcare is an Equal Opportunity Employer (EOE) M/F/D/V.
**Pay Range:** $107,028 \- $250,446 / ANNUAL
* Actual compensation may vary from posting based on geographic location, work experience, education and/or skill level.</t>
        </is>
      </c>
    </row>
    <row r="13">
      <c r="A13" t="inlineStr">
        <is>
          <t>in-a7ad28990318091d</t>
        </is>
      </c>
      <c r="B13" t="inlineStr">
        <is>
          <t>Sr Data Scientist</t>
        </is>
      </c>
      <c r="C13" t="inlineStr">
        <is>
          <t>Lucasfilm</t>
        </is>
      </c>
      <c r="D13" t="inlineStr">
        <is>
          <t>indeed</t>
        </is>
      </c>
      <c r="E13">
        <f>HYPERLINK("https://www.indeed.com/viewjob?jk=a7ad28990318091d", "https://www.indeed.com/viewjob?jk=a7ad28990318091d")</f>
        <v/>
      </c>
      <c r="F13">
        <f>HYPERLINK("https://www.disneycareers.com/job/-/-/391/91357343728", "https://www.disneycareers.com/job/-/-/391/91357343728")</f>
        <v/>
      </c>
      <c r="G13" t="inlineStr">
        <is>
          <t>San Francisco, CA, US</t>
        </is>
      </c>
      <c r="H13" s="3" t="n">
        <v>46057</v>
      </c>
      <c r="I13" t="inlineStr">
        <is>
          <t>Our R\&amp;D teams at Lucasfilm and ILM are seeking a Sr Data Scientist to join a strategic R\&amp;D initiative focused on Generative AI. The goal of this project is to develop a robust data curation pipeline that can help identify and leverage our most useful assets and media for technical model training.
You will play a critical role in bridging the gap between raw visual data and advanced machine learning applications. You will be responsible for the statistical analysis, sampling strategies, and evaluation metrics required to ensure our training data is diverse, relevant, and optimized for next\-generation image and video synthesis.
*This role is considered Hybrid, which means the employee will work 2\-3 days onsite at our San Francisco location and occasionally from home. This is a project position for 6 months.*
**What you’ll do**
**Data Strategy \&amp; Diversity Analysis**
* Independently design and implement statistical methods to ensure curated datasets retain representative coverage across various visual attributes, stylistic choices, and subject matter.
* Develop logic to identify and down\-weight low\-variance or repetitive data points to maximize training efficiency.
* Collaborate with key stakeholders on algorithms for de\-duplication to automatically eliminate redundant or near\-identical assets from the training corpus.
 **Evaluation Metrics \&amp; Quality Assurance**
* Design and lead implementation of automated metrics to assess the quality of generative images and videos.
* Validate automated quantitative metrics by correlating them against qualitative feedback provided by senior creative stakeholders.
* Establish success criteria for model fidelity, accuracy, and stylistic consistency.
 **Pipeline Integration**
* Work closely with the engineering team to integrate data cleaning, normalization, and sampling modules into a scalable automated pipeline.
* Assist in defining taxonomy and metadata standards to systematically organize unstructured visual assets.
**Project Focus \&amp; Timeline**
This is a fast\-paced, 6\-month initiative. You will move through rapidly iterating phases:
* Phase 1: defining data taxonomy and establishing baseline automated metrics.
* Phase 2: refining metrics for temporal consistency and validating against initial model fine\-tuning runs.
* Phase 3: final validation of metrics and delivery of fully curated, optimized datasets for cold storage.
 **What We’re Looking For**
* 5\+ years experience in related field
* Education \- Bachelor’s degree in Data Science, Computer Science, or a related field of study, and/or equivalent work experience. Master’s Degree preferred
* Experience: Proven background in Data Science with a strong emphasis on Computer Vision, Generative AI, or Deep Learning.
* Technical Skills: Proficiency in statistical analysis and dataset curation (distribution analysis, sampling techniques). Experience working with large\-scale unstructured media data is a plus.
* Evaluation Expertise: Familiarity with standard and novel metrics for evaluating Generative Models (e.g., FID, FVD, or similar).
* Communication: Ability to translate complex statistical insights for engineering partners and non\-technical creative leads.
The hiring range for this position in San Francisco is $155,400\-$208,400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14">
      <c r="A14" t="inlineStr">
        <is>
          <t>in-3a6864067d58c3a6</t>
        </is>
      </c>
      <c r="B14" t="inlineStr">
        <is>
          <t>Sr Data Scientist - Model Development</t>
        </is>
      </c>
      <c r="C14" t="inlineStr">
        <is>
          <t>Citizens</t>
        </is>
      </c>
      <c r="D14" t="inlineStr">
        <is>
          <t>indeed</t>
        </is>
      </c>
      <c r="E14">
        <f>HYPERLINK("https://www.indeed.com/viewjob?jk=3a6864067d58c3a6", "https://www.indeed.com/viewjob?jk=3a6864067d58c3a6")</f>
        <v/>
      </c>
      <c r="F14">
        <f>HYPERLINK("https://jobs.citizensbank.com/job/-/-/288/91378880160", "https://jobs.citizensbank.com/job/-/-/288/91378880160")</f>
        <v/>
      </c>
      <c r="G14" t="inlineStr">
        <is>
          <t>Boston, MA, US</t>
        </is>
      </c>
      <c r="H14" s="3" t="n">
        <v>46056</v>
      </c>
      <c r="I14" t="inlineStr">
        <is>
          <t>**Description**
**Senior Data Scientist – Treasury Modeling**  
CFG is a leading financial institution dedicated to providing innovative solutions to manage financial risks and optimize asset and liability portfolios. Central Model Development team (CMD) under Treasury group plays a crucial role in developing and maintaining models that support our strategic decision\-making processes.
This position within CMD looks for talented and motivated candidates who will lead design, development, and deployment of advanced analytics, traditional statistical (e.g., regression, time series, GLMs) and machine learning solutions for ALM, liquidity, and CCAR/PPNR forecasting. The successful candidate will also be responsible for providing guidance to regarded functional leaders on model impacts, and collaborating with business partners including model validation, market risk, and internal audit for model governance and regulatory obligations.
**Responsibilities:**
* Develop and maintain models used by Treasury group in balance sheet forecasting
	+ By teaming with other Data Scientists and under the leadership of the Data Science Manager, develop customer behavior model for attrition, origination, and prepayment for deposit or loan products, and predictive model for market rates and other ALM/CCAR associated macroeconomic variables.
	+ Develop model documentation; interact effectively with Model Risk Management \&amp; Validation, Market Risk Management, and other challenge groups to facilitate periodic model validations and reviews.
	+ Monitor model performance and communicate results to internal stakeholders; propose model changes as necessary such as overlays and recalibration/redevelopment, supporting with sensitivity testing, back testing, and fundamental driver analyses.
	+ Demonstrate understanding of related models that affect ALM models and behavior, including interest rate and term structure models.
* Propose improved approaches to loan and deposit modeling, challenging all existing assumptions and status quo of current practices.
* Assist in developing forward\-looking macroeconomic and interest rate views while collaborating with CFG's Treasury for balance sheet management.
* Provide analytical support to management in developing strategies associated with balance sheet and liquidity decisions.
* Support initiatives such as Balance Sheet Optimization, Funds Transfer Pricing, Mortgage Servicing Rights and CCAR/DFAST when needed.
* Prepare detailed yet actionable materials for ALCO and Senior Management
 **Qualifications:**
* Hands\-on experience applying statistical analysis and machine learning techniques in the financial industry or consulting firm to support ALM, Stress Testing, Pricing or Credit Risk Management.
* Exposure to Treasury/ALM and CCAR/PPNR modeling, deposit behavior, interest\-rate/macroeconomic modeling, and stress testing workflows preferred.
* Proven experience developing ML models end\-to\-end using Python (pandas, scikit\-learn, PySpark), SQL, and version control.
* Experience with cloud \&amp; data platforms (AWS SageMaker, H2O, Snowflake) and MLOps practices.
* Strong statistical foundation and knowledge. Experience working with business partners across Line of Business, Validation, Audit, and Regulatory Relations, and producing regulatory\-compliant documentation.
* Experience with standard prepayment (BlackRock, Black Knight, QRM) or deposit (QRM, Novantas) models desirable
* Familiarity with common financial and economic data (FRED, Bloomberg, Economy.com, etc).
* Excellent presentation and communication skills; ability to convey actionable and understandable business intelligence
* Progress toward CFA charter desirable
**Education:**
* Graduate degree (M.S. or Ph.D.) in mathematical finance, economics, mathematics, statistics or similar STEM field is desired.
 **Pay Transparency**
The salary range for this position is $124,000 \- $150,000 per year, plus an opportunity to earn an annual discretionary bonus. Actual pay is based on various factors including but not limited to the work location, and relevant skills and experience.
We offer competitive pay, comprehensive medical, dental and vision coverage, retirement benefits, maternity/paternity leave, flexible work arrangements, education reimbursement, wellness programs and more. Note, Citizens’ paid time off policy exceeds the mandatory, paid sick or paid time\-away policy of every local and state jurisdiction in the United States. For an overview of our benefits, visit https://jobs.citizensbank.com/benefits .
**Work Authorization:** This role is not eligible for new employer‑sponsored or current H\-1 B visa holders. Applicants, including current OPT, L and other visa holders, must be authorized to work in the U.S. without the need for new employer sponsorship for themselves or their spouses now and in the future.
‌
*Some job boards have started using jobseeker\-reported data to estimate salary ranges for roles. If you apply and qualify for this role, a recruiter will discuss accurate pay guidance.*
**Equal Employment Opportunity**
Citizens, its parent, subsidiaries, and related companies (Citizens) provide equal employment and advancement opportunities to all colleagues and applicants for employment without regard to age, ancestry, color, citizenship, physical or mental disability, perceived disability or history or record of a disability, ethnicity, gender, gender identity or expression, genetic information, genetic characteristic, marital or domestic partner status, victim of domestic violence, family status/parenthood, medical condition, military or veteran status, national origin, pregnancy/childbirth/lactation, colleague’s or a dependent’s reproductive health decision making, race, religion, sex, sexual orientation, or any other category protected by federal, state and/or local laws. At Citizens, we are committed to fostering an inclusive culture that enables all colleagues to bring their best selves to work every day and everyone is expected to be treated with respect and professionalism. Employment decisions are based solely on merit, qualifications, performance and capability.
**Why Work for Us**
At Citizens, you'll find a customer\-centric culture built around helping our customers and giving back to our local communities. When you join our team, you are part of a supportive and collaborative workforce, with access to training and tools to accelerate your potential and maximize your career growth
*Background Check*
*Any offer of employment is conditioned upon the candidate successfully passing a background check, which may include initial credit, motor vehicle record, public record, prior employment verification, and criminal background checks. Results of the background check are individually reviewed based upon legal requirements imposed by our regulators and with consideration of the nature and gravity of the background history and the job offered. Any offer of employment will include further information.*</t>
        </is>
      </c>
    </row>
    <row r="15">
      <c r="A15" t="inlineStr">
        <is>
          <t>in-8ad3ccacebaa477b</t>
        </is>
      </c>
      <c r="B15" t="inlineStr">
        <is>
          <t>AI Data Scientist</t>
        </is>
      </c>
      <c r="C15" t="inlineStr">
        <is>
          <t>Microsoft</t>
        </is>
      </c>
      <c r="D15" t="inlineStr">
        <is>
          <t>indeed</t>
        </is>
      </c>
      <c r="E15">
        <f>HYPERLINK("https://www.indeed.com/viewjob?jk=8ad3ccacebaa477b", "https://www.indeed.com/viewjob?jk=8ad3ccacebaa477b")</f>
        <v/>
      </c>
      <c r="F15">
        <f>HYPERLINK("https://apply.careers.microsoft.com/careers/job/1970393556751627?utm_source=indeed&amp;domain=microsoft.com", "https://apply.careers.microsoft.com/careers/job/1970393556751627?utm_source=indeed&amp;domain=microsoft.com")</f>
        <v/>
      </c>
      <c r="G15" t="inlineStr">
        <is>
          <t>Bellevue, WA, US</t>
        </is>
      </c>
      <c r="H15" s="3" t="n">
        <v>46056</v>
      </c>
      <c r="I15" t="inlineStr">
        <is>
          <t>**Overview**  
We are seeking a pioneering and technically fluent **AI Data Scientist** to join our AI \&amp; Data Science Tools team. This role will be instrumental in shaping the future of AI\-powered product development within Microsoft Marketing’s Research \+ Insights organization. You will be integral to the design, build, testing, and scaling management of our newest inferencing AI tools powered by customer voice.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Insight Extraction from Inferencing Applications: Using python and gremlin to extract insightful information from the knowledge graph.
* AI Graph Building: Contribute to the design, development, and ongoing management of our knowledge graph architecture to support scalable AI solutions.
* Ownership of AI Tool Roadmap Portions: Own and evolve the product roadmap and ROB processes, ensuring alignment with strategic goals and technical feasibility.
* Cross\-Functional Collaboration: Interface with developer teams, Research \+ Insights research managers, Marketing leadership, and partner data science teams to translate business needs into technical requirements.
* Technical Communication: Articulate complex technical concepts clearly to both engineering teams and executive stakeholders.
* Innovation \&amp; Execution: Build customer voice AI tools in a fast\-paced, ambiguous environment with a focus on delivering high\-impact AI tools.
* Embody our culture and values.
**Qualifications** **Required/minimum qualifications**
* Doctorate in Data Science, Mathematics, Statistics, Econometrics, Economics, Operations Research, Computer Science, or related field
	+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 OR Bachelor's Degree in Data Science, Mathematics, Statistics, Econometrics, Economics, Operations Research, Computer Science, or related field AND 2\+ years data\-science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 Extensive experience with knowledge graph architecture and insight extraction.
* Proficiency in Python for building production services, including modular design, code readability, unit testing, and debugging.
* Demonstrated prowess in systems thinking to drive scale, sequencing work, surfacing risk, and driving hard prioritization decisions under uncertainty, including clear trade‑offs across scope, timing, and resourcing.
* Ability to synthesize complex, technical, and qualitative inputs into clear, repeatable, decision ready artifacts for senior leadership, translating insight into action.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6">
      <c r="A16" t="inlineStr">
        <is>
          <t>in-b4c6647c85c7e52b</t>
        </is>
      </c>
      <c r="B16" t="inlineStr">
        <is>
          <t>Principal AI Data Scientist</t>
        </is>
      </c>
      <c r="C16" t="inlineStr">
        <is>
          <t>HP</t>
        </is>
      </c>
      <c r="D16" t="inlineStr">
        <is>
          <t>indeed</t>
        </is>
      </c>
      <c r="E16">
        <f>HYPERLINK("https://www.indeed.com/viewjob?jk=b4c6647c85c7e52b", "https://www.indeed.com/viewjob?jk=b4c6647c85c7e52b")</f>
        <v/>
      </c>
      <c r="F16">
        <f>HYPERLINK("http://www.respondhr.com/150914921", "http://www.respondhr.com/150914921")</f>
        <v/>
      </c>
      <c r="G16" t="inlineStr">
        <is>
          <t>Spring, TX, US</t>
        </is>
      </c>
      <c r="H16" s="3" t="n">
        <v>46056</v>
      </c>
      <c r="I16" t="inlineStr">
        <is>
          <t>**About the Position**  
The HP Enterprise AI \&amp; Machine Learning organization is a centralized team of data scientists and machine learning engineers building GenAI\-based tools and digital products that enable increased productivity for 50,000\+ employees and improve the effectiveness of hundreds of critical business processes. We collaborate closely with business stakeholders across HP to scope, prototype, and develop models and products in the cloud and on the edge. We also serve as HP’s AI Center of Excellence, providing consulting assistance, reuseable components and frameworks, and training to other teams across the company.
As a Principal Data Scientist focused on Generative AI, you will lead multiple HP projects involving large language and multi\-model models and other cutting\-edge Generative AI capabilities for deployment on the cloud or edge. In addition to working with our core technical team, you’ll collaborate with business stakeholders and across various units to develop and deploy solutions at scale. Your primary focus and mindset will be on delivering real business value to our internal customers. Please note, this is not a research role.
 **Responsibilities**  
* Leads organization\-wide team or teams of other data science professionals in complex projects to create GenAI\-based models and digital products.
* Develops monitoring metrics to reflect real\-world model performance and makes recommendations to shape the future direction of models and digital solutions.
* Manages relationships with senior business partners to evaluate and foster data driven innovation, provides domain\-specific expertise in cross\-organization projects/initiatives.
* Ties insights into effective visualizations communicating business value and innovation potential.
* Works with development teams and business units to ensure models are scalable and can be implemented as part of the delivered solution.
* Leads project team(s) of data science professionals, assuring insights are communicated regularly and effectively, reviewing designs, models and data compliance.
* Represents the data science team for all phases of larger and more\-complex development projects.
* Provides guidance, training and mentoring to less experienced staff members.
**Education \&amp; Experience** **Recommended*** PhD related to AI and 5\+ years of experience or Master’s degree related to AI and 10\+ years of experience.
* Relevant experience must involve Generative AI and related technologies including machine learning. data analytics, and statistical modeling.
 **Preferred Certifications**  
* Programming Language/s Certification (SQL, Python, or similar)
**Knowledge \&amp; Skills*** Strong foundation in data science and core machine learning concepts.
* Experience with large language models, multi\-modal modals, prompt engineering, vector databases, Retrieval\-Augmented Generation (RAG), and search engines.
* Solid technical background. Experience working on software development teams, especially in cloud\-based business applications, is a strong plus.
* Familiarity with tools such as Azure Machine Learning, Azure Prompt Flow, Python, LangChain, Streamlit, and Docker.
* Experience working in distributed, diverse teams, with bonus points for time spent in small fast\-paced start\-ups.
* Comfortable representing the team in meetings with multiple stakeholders and driving discussions clearly and respectfully. Mastery of English is required.
* Able to explain technical concepts (e.g., LLMs) to non\-technical audiences.
* You suggest pragmatic solutions that are as simple as possible—even if that means no AI is required.
 **Cross\-Org Skills**  
* Effective Communication
* Results Orientation
* Learning Agility
* Digital Fluency
* Customer Centricity
The base pay range for this role is $147,050 to $230,850 annually with additional opportunities for pay in the form of bonus and/or equity (applies to US candidates only). Pay varies by work location, job\-related knowledge, skills, and experience.
**Benefits:**
HP offers a comprehensive benefits package for this position, including:
Health insurance
Dental insurance
Vision insurance
Long term/short term disability insurance
Employee assistance program
Flexible spending account
Life insurance
Generous time off policies, including;
* 4\-12 weeks fully paid parental leave based on tenure
* 11 paid holidays
* Additional flexible paid vacation and sick leave (US benefits overview)
The compensation and benefits information is accurate as of the date of this posting. The Company reserves the right to modify this information at any time, with or without notice, subject to applicable law.
6351</t>
        </is>
      </c>
    </row>
    <row r="17">
      <c r="A17" t="inlineStr">
        <is>
          <t>in-97a435a696e08e1d</t>
        </is>
      </c>
      <c r="B17" t="inlineStr">
        <is>
          <t>Principal Applied Scientist</t>
        </is>
      </c>
      <c r="C17" t="inlineStr">
        <is>
          <t>Microsoft</t>
        </is>
      </c>
      <c r="D17" t="inlineStr">
        <is>
          <t>indeed</t>
        </is>
      </c>
      <c r="E17">
        <f>HYPERLINK("https://www.indeed.com/viewjob?jk=97a435a696e08e1d", "https://www.indeed.com/viewjob?jk=97a435a696e08e1d")</f>
        <v/>
      </c>
      <c r="F17">
        <f>HYPERLINK("https://apply.careers.microsoft.com/careers/job/1970393556751332?utm_source=indeed&amp;domain=microsoft.com", "https://apply.careers.microsoft.com/careers/job/1970393556751332?utm_source=indeed&amp;domain=microsoft.com")</f>
        <v/>
      </c>
      <c r="G17" t="inlineStr">
        <is>
          <t>Washington, DC, US</t>
        </is>
      </c>
      <c r="H17" s="3" t="n">
        <v>46055</v>
      </c>
      <c r="I17" t="inlineStr">
        <is>
          <t>**Overview**  
Be at the forefront of AI by joining M365 Copilot team and take part in shaping the future of AI\-powered user experiences across multiple Microsoft platforms. As a Principal Applied Scientist, you will transform how M365 users conduct Deep Research by finetuning LLMs, chain of thought techniques, intelligent information retrieval techniques or through agent orchestration. These innovations will enhance M365 Chat, Researcher agent, Windows Companions, or highly personalized search and recommendations systems in widely used office applications.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You will master and gain expertise in broad areas of AI and ML, including trending research techniques.
* You’ll also gain deep knowledge of building enterprise intelligence on office user’s data.
* You will review business requirements and incorporate research to meet business goals.
* You ‘ll provide strategic direction for the kinds of data used to solve problems and apply deep subject matter knowledge to support business impact.
* You will participate in onboarding of junior team members and assist in developing academics to be members of multidiscipline teams.
* You’ll identify new research talent to join Microsoft and collaborate with the academic community to develop the recruiting pipeline.
* You will document work in progress and experimentation results and share findings to promote innovation.
* You’ll also use your deep understanding of fairness and bias to contribute to ethics and privacy policies related to research processes and data collection.
* You will collaborate with a multidisciplinary team to create scalable and ethical AI solutions.
**Qualifications** **Required Qualifications:**
* Bachelor's Degree in Statistics, Econometrics, Computer Science, Electrical or Computer Engineering, or related field AND 8\+ years related experience (e.g., statistics, predictive analytics, research)
	+ OR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5\+ years related experience (e.g., statistics, predictive analytics, research)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Statistics, Econometrics, Computer Science, Electrical or Computer Engineering, or related field AND 12\+ years related experience (e.g., statistics, predictive analytics, research)
	+ OR Doctorate in Statistics, Econometrics, Computer Science, Electrical or Computer Engineering, or related field AND 8\+ years related experience (e.g., statistics, predictive analytics, research)
	+ OR equivalent experience.
* 2\+ years experience presenting at conferences or other events in the outside research/industry community as an invited speaker.
* 5\+ years experience conducting research as part of a research program (in academic or industry settings).
* 3\+ years experience developing and deploying live production systems, as part of a product team.
* 3\+ years experience developing and deploying products or systems at multiple points in the product cycle from ideation to shipping.
* 5\+ years experience creating publications (e.g., patents, libraries, peer\-reviewed academic papers).
* 3\+ year(s) experience developing and deploying live production systems, as part of a product team.
* 1\+ years experience in Large Language Modeling (LLM) or Machine Learning (ML)
Applied Sciences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8">
      <c r="A18" t="inlineStr">
        <is>
          <t>in-23236a0532b17e31</t>
        </is>
      </c>
      <c r="B18" t="inlineStr">
        <is>
          <t>Principal Data Scientist</t>
        </is>
      </c>
      <c r="C18" t="inlineStr">
        <is>
          <t>Microsoft</t>
        </is>
      </c>
      <c r="D18" t="inlineStr">
        <is>
          <t>indeed</t>
        </is>
      </c>
      <c r="E18">
        <f>HYPERLINK("https://www.indeed.com/viewjob?jk=23236a0532b17e31", "https://www.indeed.com/viewjob?jk=23236a0532b17e31")</f>
        <v/>
      </c>
      <c r="F18">
        <f>HYPERLINK("https://apply.careers.microsoft.com/careers/job/1970393556750509?utm_source=indeed&amp;domain=microsoft.com", "https://apply.careers.microsoft.com/careers/job/1970393556750509?utm_source=indeed&amp;domain=microsoft.com")</f>
        <v/>
      </c>
      <c r="G18" t="inlineStr">
        <is>
          <t>Redmond, WA, US</t>
        </is>
      </c>
      <c r="H18" s="3" t="n">
        <v>46054</v>
      </c>
      <c r="I18" t="inlineStr">
        <is>
          <t>**Overview**  
The Bing organization is looking for a Principal Data and Applied Scientist for its online metric team. The team is pushing the boundaries of online A/B experimentation capabilities and impact measurement methods, as well as informs our understanding for how users engage with search engines and integrated AI experiences and then translates the insights into actionable metrics. These metrics provide direction to the Bing and MAI organization and help engineers make the right ship decisions for their thousands of A/B experiments.
Bing.com reaches about a billion people worldwide, and we have a large opportunity to grow further. At Bing, we celebrate our data driven culture: changes only ship when their impact is understood and positive. This role is at the center of what defines our decision\-making processes and is an excellent opportunity to make a multiplicative impact across the org.
As a data and applied scientist in this team, you will have the chance to work on and deliver metrics that drive the direction of major Bing initiatives. You will have the chance to be involved in the analysis and decision making for 1000s of online controlled A/B experiments. Come join us!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Drive innovation in large\-scale online A/B experimentation for AI\-powered web search, designing, building, and monitoring success metrics that directly measure user satisfaction, trust, and long\-term retention across Bing experiences.
* Serve as a technical visionary and thought leader in online experimentation, shaping the future of product learning through research\-driven, AI\-enabled approaches that support trustworthy, agile, and evidence\-based decision\-making at global scale.
* Provide senior technical leadership and deep industry perspective, guiding cross\-functional partners in the adoption of advanced experimentation platforms, causal inference techniques, and modern data science methodologies to deliver high\-impact, scientifically rigorous experimentation programs.
* Build and scale advanced experimentation expertise across teams, spanning specialized tools, statistical methods, and ML\-driven evaluation frameworks, to drive measurable business outcomes and extend the reach and impact of Search’s end\-to\-end experimentation ecosystem.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 OR Master's Degree in Data Science, Mathematics, Statistics, Econometrics, Economics, Operations Research, Computer Science, or related field AND 7\+ years data\-science experience (e.g., managing structured and unstructured data, applying statistical techniques and reporting results)
	+ OR Bachelor's Degree in Data Science, Mathematics, Statistics, Econometrics, Economics, Operations Research, Computer Science, or related field AND 10\+ years data 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8\+ years data\-science experience (e.g., managing structured and unstructured data, applying statistical techniques and reporting results)
	+ OR Master's Degree in Data Science, Mathematics, Statistics, Econometrics, Economics, Operations Research, Computer Science, or related field AND 10\+ years data\-science experience (e.g., managing structured and unstructured data, applying statistical techniques and reporting results)
	+ OR Bachelor's Degree in Data Science, Mathematics, Statistics, Econometrics, Economics, Operations Research, Computer Science, or related field AND 12\+ years data\-science experience (e.g., managing structured and unstructured data, applying statistical techniques and reporting results)
	+ OR equivalent experience.
	+ Experience with SQL\-like query languages
	+ Hands on experience in design \&amp; problem\-solving skills with one or more programming languages, such as Python, Java, C\# or C\+\+
	+ Ability to work independently, influence others, and solid communication and collaboration skills.
* Familiarity with search engines, dealing with online instrumentation.
* Experience with large datasets and interest in consumer online search behaviors.
Experience with building machine learning models on large scale data.  
*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\#Search \#MAI \#nextplay \#searchjobs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9">
      <c r="A19" t="inlineStr">
        <is>
          <t>in-8fef588c1405988a</t>
        </is>
      </c>
      <c r="B19" t="inlineStr">
        <is>
          <t>Principal Data Scientist</t>
        </is>
      </c>
      <c r="C19" t="inlineStr">
        <is>
          <t>Microsoft</t>
        </is>
      </c>
      <c r="D19" t="inlineStr">
        <is>
          <t>indeed</t>
        </is>
      </c>
      <c r="E19">
        <f>HYPERLINK("https://www.indeed.com/viewjob?jk=8fef588c1405988a", "https://www.indeed.com/viewjob?jk=8fef588c1405988a")</f>
        <v/>
      </c>
      <c r="F19">
        <f>HYPERLINK("https://apply.careers.microsoft.com/careers/job/1970393556629369?utm_source=indeed&amp;domain=microsoft.com", "https://apply.careers.microsoft.com/careers/job/1970393556629369?utm_source=indeed&amp;domain=microsoft.com")</f>
        <v/>
      </c>
      <c r="G19" t="inlineStr">
        <is>
          <t>Redmond, WA, US</t>
        </is>
      </c>
      <c r="H19" s="3" t="n">
        <v>45981</v>
      </c>
      <c r="I19" t="inlineStr">
        <is>
          <t>**Overview**  
We are inviting you to join the Microsoft Advertising Data Science Team. Microsoft Advertising platform is the single stop shop for all monetization needs for Publishers and Advertisers globally. Our team manages the marketplace, which includes monitoring business metrics, defining metrics, building analytical \&amp; experimentation frameworks, and enabling leadership to make data driven decisions. The team works across Engineering, Product and Business to address complex data science problems across users, advertisers, and publishers.
We are looking for high\-energy, creative modeling geeks who are willing to work in a dynamic environment to solve real life day to day problems, leveraging data science techniques. You will enjoy and be successful in this role if you are curious and willing to challenge the status quo and come up with data driven solutions to ambiguous problems.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Measurement: Define, invent, and deliver metrics which accurately measure user and business value across various products and marketplace components.
* Experimental Design: Think critically about sampling and experimental design across User and Demand dimensions.
* Product Iteration: Interpret the results of analyses, validate approaches, and learn to monitor, analyze, and iterate to continuously improve.
* Cooperation: Partner effectively with program management, engineers, and other areas of the business across our Consumer online business.
* Influence: Engage with stakeholders to produce clear, compelling, and actionable insights and data\-science driven workflows that influence product and service improvements.
* Make independent decisions for the team and handle difficult tradeoffs.
* Translate strategy into plans that are clear and measurable, with progress shared out monthly to stakeholders.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OR Master's Degree in Data Science, Mathematics, Statistics, Econometrics, Economics, Operations Research, Computer Science, or related field AND 7\+ years data\-science experience (e.g., managing structured and unstructured data, applying statistical techniques and reporting results) OR Bachelor's Degree in Data Science, Mathematics, Statistics, Econometrics, Economics, Operations Research, Computer Science, or related field AND 10\+ years data science experience (e.g., managing structured and unstructured data, applying statistical techniques and reporting results) OR equivalent experience.
**Preferred Qualifications:**
* Doctorate in Data Science, Mathematics, Statistics, Econometrics, Economics, Operations Research, Computer Science, or related field AND 8\+ years data\-science experience (e.g., managing structured and unstructured data, applying statistical techniques and reporting results) OR Master's Degree in Data Science, Mathematics, Statistics, Econometrics, Economics, Operations Research, Computer Science, or related field AND 10\+ years data\-science experience (e.g., managing structured and unstructured data, applying statistical techniques and reporting results) OR Bachelor's Degree in Data Science, Mathematics, Statistics, Econometrics, Economics, Operations Research, Computer Science, or related field AND 12\+ years data\-science experience (e.g., managing structured and unstructured data, applying statistical techniques and reporting results) OR equivalent experience.
\#MicrosoftAI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20">
      <c r="A20" t="inlineStr">
        <is>
          <t>in-7dfd553346a30141</t>
        </is>
      </c>
      <c r="B20" t="inlineStr">
        <is>
          <t>Senior Data Scientist</t>
        </is>
      </c>
      <c r="C20" t="inlineStr">
        <is>
          <t>Microsoft</t>
        </is>
      </c>
      <c r="D20" t="inlineStr">
        <is>
          <t>indeed</t>
        </is>
      </c>
      <c r="E20">
        <f>HYPERLINK("https://www.indeed.com/viewjob?jk=7dfd553346a30141", "https://www.indeed.com/viewjob?jk=7dfd553346a30141")</f>
        <v/>
      </c>
      <c r="F20">
        <f>HYPERLINK("https://apply.careers.microsoft.com/careers/job/1970393556628390?utm_source=indeed&amp;domain=microsoft.com", "https://apply.careers.microsoft.com/careers/job/1970393556628390?utm_source=indeed&amp;domain=microsoft.com")</f>
        <v/>
      </c>
      <c r="G20" t="inlineStr">
        <is>
          <t>Redmond, WA, US</t>
        </is>
      </c>
      <c r="H20" s="3" t="n">
        <v>45980</v>
      </c>
      <c r="I20" t="inlineStr">
        <is>
          <t>**Overview**  
What a time to join Microsoft! The Office of the Chief Economist works across the company to pursue commercial value using economics and data science. Examples of our work include algorithms that grow Microsoft’s cloud revenue and resource efficiency; some of the first\-ever studies of how AI changes the way that people work; and market design for software resellers.
We are looking for a **Senior Data Scientist** with broad technical skills, business acumen, and a player\-coach attitude. You will work alongside world\-class colleagues on high\-visibility projects answering some of Microsoft’s most pressing challenges. You will work directly with business partners to identify opportunities. Your initial first project will involve building algorithmic support for our deal teams, using machine learning, experimentation, and good old\-fashioned analytics. This is an opportunity to rethink, build, and operate internal processes and software.
Successful candidates can dive deep into sophisticated modeling approaches when needed; but more importantly, they know when a simple and pragmatic solution will do just as well, and they know how to inspire the same in others. They know how to tell good stories through data, how to visualize, and how to use many fast iterations in the face of ambiguous problems.
Our team values entrepreneurship, craftsmanship, and continuous learning. You will be able to shape and grow a positive and productive data science culture.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**Responsibilities**
* Understand business needs and develop appropriate data analysis to meet those needs including pipelining, exploratory data analysis, modeling, inference, and experimentation.
* Collaborate with senior economists to solve some of Microsoft’s most pressing issues, delivering tangible commercial value.
* Together with your team, interpret and present analysis results to senior stakeholders.
* Coach more junior team members, promoting a culture of learning and evangelizing modern data science methods.
* Build a robust product that makes data, econometrics, and ML useful for deal teams in the field.Embody our culture and values.
**Qualifications** **Required/minimum qualifications**
* Doctorate in Data Science, Mathematics, Statistics, Econometrics, Economics, Operations Research, Computer Science, or related field AND 1\+ year(s) data\-science experience (e.g., managing structured and unstructured data, applying statistical techniques and reporting results) OR Master's Degree in Data Science, Mathematics, Statistics, Econometrics, Economics, Operations Research, Computer Science, or related field AND 3\+ years data\-science experience (e.g., managing structured and unstructured data, applying statistical techniques and reporting results) OR Bachelor's Degree in Data Science, Mathematics, Statistics, Econometrics, Economics, Operations Research, Computer Science, or related field AND 5\+ years data\-science experience (e.g., managing structured and unstructured data, applying statistical techniques and reporting results) OR equivalent experience.
**Additional or preferred qualifications*** Doctorate in Data Science, Mathematics, Statistics, Econometrics, Economics, Operations Research, Computer Science, or related field AND 3\+ years data\-science experience (e.g., managing structured and unstructured data, applying statistical techniques and reporting results) OR Master's Degree in Data Science, Mathematics, Statistics, Econometrics, Economics, Operations Research, Computer Science, or related field AND 5\+ years data\-science experience (e.g., managing structured and unstructured data, applying statistical techniques and reporting results) OR Bachelor's Degree in Data Science, Mathematics, Statistics, Econometrics, Economics, Operations Research, Computer Science, or related field AND 7\+ years data\-science experience (e.g., managing structured and unstructured data, applying statistical techniques and reporting results) OR equivalent experience.
* 1\+ year of experience in preparing and executing analysis plans, evaluating various statistical methods (ML, causal inference, classical methods) and choosing the most appropriate approaches given business requirements.
* 1\+ year of industry experience in python and R and data query systems such as SQL or Spark, and management platforms such as Fabric, Databricks, SQL Server or Cosmos.
* 1\+ year of industry experience working with cross\-functional teams, gathering requirements, and building requirements into analysis plans.
* 1\+ year of experience with MLops, running Production\-grade ML systems and experience with Sales processes.
* 1\+ year of engineering experience in a modern cloud stack, including serverless methods and demonstrated experience leveraging your skills using AI.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li-4357492872</t>
        </is>
      </c>
      <c r="B2" t="inlineStr">
        <is>
          <t>Data Engineer / Data Scientist / Data Architect - Full time</t>
        </is>
      </c>
      <c r="C2" t="inlineStr">
        <is>
          <t>Ztek Consulting</t>
        </is>
      </c>
      <c r="D2" t="inlineStr">
        <is>
          <t>linkedin</t>
        </is>
      </c>
      <c r="E2" t="inlineStr"/>
      <c r="F2" t="inlineStr"/>
      <c r="G2" t="inlineStr">
        <is>
          <t>Vienna, VA</t>
        </is>
      </c>
      <c r="H2" t="inlineStr"/>
      <c r="I2" t="inlineStr">
        <is>
          <t>Below are the 3 roles open:
 1\) Data Engineer
 2\) Data Scientist
 3\) Data Architect
**Job Descriptions:** 
**Data Engineer Job Description :** 
* Design, build, and optimize batch and real\-time data pipelines using Python, SQL, Airflow, Kafka, and AWS Glue
* Lead scalable ETL and data lake architectures across distributed cloud environments
* Ensure data quality, governance, security, and compliance while supporting analytics and data science needs
* Mentor junior engineers and collaborate with stakeholders to deliver reliable, well\-documented data solutions
**Data Scientist Job Description :** 
* 3\+ years of experience in statistical modeling and applied data analysis, including regression, classification, clustering, and time\-series analysis
* Proficient in Python or R, with hands\-on experience in data wrangling, visualization, and model development
* Strong experience with SQL/Spark SQL, basic data modeling, and cloud platforms (AWS, Azure, or GCP)
* Excellent ability to communicate complex insights and manage multiple priorities effectively
**Data Architect Job Description :** 
* Lead and mentor data engineering teams while architecting and building enterprise\-scale data platforms from design through production
* Develop and optimize production\-grade ETL/ELT pipelines, data models, and data warehouses using Python, SQL, PySpark, and cloud platforms (AWS/GCP)
* Implement CI/CD, data governance, quality frameworks, and secure, compliant data solutions aligned with federal/VA standards
* Collaborate with cross\-functional stakeholders to translate business requirements into scalable, high\-quality data solutions</t>
        </is>
      </c>
    </row>
    <row r="3">
      <c r="A3" t="inlineStr">
        <is>
          <t>li-4359584630</t>
        </is>
      </c>
      <c r="B3" t="inlineStr">
        <is>
          <t>Data Scientist 5 - Member Experience for Games</t>
        </is>
      </c>
      <c r="C3" t="inlineStr">
        <is>
          <t>Netflix</t>
        </is>
      </c>
      <c r="D3" t="inlineStr">
        <is>
          <t>linkedin</t>
        </is>
      </c>
      <c r="E3" t="inlineStr"/>
      <c r="F3" t="inlineStr"/>
      <c r="G3" t="inlineStr"/>
      <c r="H3" t="inlineStr"/>
      <c r="I3"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The New Content Experiences DSE team focuses on introducing new content types and innovative experiences to our product. We partner closely with Product, Design, Algorithms, and Engineering to surface opportunities, inform product strategy, and evaluate the success of initiatives. The content we focus on includes Games, Live, Podcasts, and more exciting things to come.
**The Role**
 In this role, you will:
* Drive product innovation focused on our Games vertical and help shape the member experience through robust measurement strategies covering experimentation, modeling, and analytics.
* Establish strong partnerships with stakeholders to realize our vision for Games
* Develop experimentation and measurement frameworks to increase the velocity of investments and aid complex decision\-making.
* Facilitate ownership and accountability by ensuring the team produces trustworthy, high\-quality outputs that inform decisions and shape the direction of member experience.
* Be flexible to changing circumstances. Netflix Games is evolving rapidly, and this role will help shape its future.
**To Be Successful In This Role, You Have**
* Experience with supporting experimentation at scale and observational causal inference to drive product development
* Strong statistical intuition and applied experience solving problems in consumer\-facing products. Experience analyzing recommender systems is a plus.
* Expertise in SQL and statistical programming (Python and/or R)
* Exceptional communication with technical and non\-technical audiences. Excellent at managing multiple stakeholders and competing priorities.
* Comfort with ambiguity; ability to thrive with minimal oversight and process.
* A passion for product development and design.
 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$372,000\.00 \- $600,000\.00\. This compensation range will vary based on location.
 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
 Netflix is a unique culture and environment. Learn more here.
 Inclusion is a Netflix value and we strive to host a meaningful interview experience for all candidates. If you want an accommodation/adjustment for a disability or any other reason during the hiring process, please send a request to your recruiting partner.
 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
 Job is open for no less than 7 days and will be removed when the position is filled.</t>
        </is>
      </c>
    </row>
    <row r="4">
      <c r="A4" t="inlineStr">
        <is>
          <t>li-4369451935</t>
        </is>
      </c>
      <c r="B4" t="inlineStr">
        <is>
          <t>Data Scientist, Road Safety - Autonomous Vehicles</t>
        </is>
      </c>
      <c r="C4" t="inlineStr">
        <is>
          <t>Uber</t>
        </is>
      </c>
      <c r="D4" t="inlineStr">
        <is>
          <t>linkedin</t>
        </is>
      </c>
      <c r="E4" t="inlineStr"/>
      <c r="F4" t="inlineStr"/>
      <c r="G4" t="inlineStr">
        <is>
          <t>San Francisco, CA</t>
        </is>
      </c>
      <c r="H4" t="inlineStr"/>
      <c r="I4" t="inlineStr">
        <is>
          <t>**About The Role**
 The road safety science team is committed to making rare safety events even rarer. In this role you will partner closely with our safety and Autonomous Vehicles (AV) teams to develop insights analysis and metrics to understand an improve the safety of autonomous vehicles on Uber's platform.
**What The Candidate Will Do**
* Partner with cross\-functional teams across product, ops and engineering as weel as external partners to measure and understand AV safety.
* Identify interventions and product improvements that make Uber safer for everyone.
* Present findings to technical and non\-technical teams.
**Basic Qualifications**
* Ph.D., M.S. or Bachelor's degree in Statistics, Mathematics, Computer Science, Machine Learning, Operations Research, or other quantitative fields.
* 2\+ Years experience industry experience in Data Science
* Strong SQL and Python programming
* Strong applied knowledge of experiment design and analysis
* Excellent communication skills
**Preferred Qualifications**
* Experience in safety, risk or insurance.
* Ability to drive clarity through analytics and metrics
* Strong cross\-functional collaboration
* Experience in multi\-sided marketplace applications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5">
      <c r="A5" t="inlineStr">
        <is>
          <t>li-4317555573</t>
        </is>
      </c>
      <c r="B5" t="inlineStr">
        <is>
          <t>Data Scientist - Payments</t>
        </is>
      </c>
      <c r="C5" t="inlineStr">
        <is>
          <t>Plaid</t>
        </is>
      </c>
      <c r="D5" t="inlineStr">
        <is>
          <t>linkedin</t>
        </is>
      </c>
      <c r="E5" t="inlineStr"/>
      <c r="F5" t="inlineStr"/>
      <c r="G5" t="inlineStr">
        <is>
          <t>New York, NY</t>
        </is>
      </c>
      <c r="H5" t="inlineStr"/>
      <c r="I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Data team is building data insights and models that improve how millions of users understand and grow their financial lives. We're looking for data scientists with experience applying state\-of\-the\-art data analytics techniques to different product areas. We value not only technical know\-how, but also creativity, user empathy, and teamwork.
 You’ll be a data scientist as a part of the Data organization, contributing to diverse, high\-impact data insights and machine learning challenges. Specifically, you will focus on driving business impact, and production directions through data analysis and potentially help evaluate and improve ML solutions and systems. If you're interested in building state\-of\-the\-art Data/ML solutions to unblock financial freedom for everyone, let's chat!
**Responsibilities**
* Applying your expertise in quantitative analysis, data mining, and data visualization to find insights for improving our API products
* Conducting large\-scale A/B experiments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3\+ years of industry experience in a product\-focused Data Science role
* Deep familiarity with SQL and data visualization tools
* Experiencing conducting large\-scale A/B experiments, analyzing results, and translating them into concrete recommendations
* Familiarity with the AWS stack
* Understanding of modern machine learning (ML)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$162,000 \- $222,000 a year
 The target base salary for this position ranges from $162,000/year to $221,000/year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6">
      <c r="A6" t="inlineStr">
        <is>
          <t>li-4368194084</t>
        </is>
      </c>
      <c r="B6" t="inlineStr">
        <is>
          <t>Junior Data Scientist &amp; AI</t>
        </is>
      </c>
      <c r="C6" t="inlineStr">
        <is>
          <t>Joinrs</t>
        </is>
      </c>
      <c r="D6" t="inlineStr">
        <is>
          <t>linkedin</t>
        </is>
      </c>
      <c r="E6" t="inlineStr"/>
      <c r="F6" t="inlineStr"/>
      <c r="G6" t="inlineStr"/>
      <c r="H6" t="inlineStr"/>
      <c r="I6" t="inlineStr">
        <is>
          <t>**Our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 **Data Analysis and Modeling:** 
 You will participate in data analysis, developing predictive models and contributing to provide meaningful insights to enhance business decisions.
*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 **Optimization of Business Processes:** 
 You will collaborate in identifying and optimizing business processes through the application of data\-driven solutions.
* **Participation in Technological Brainstorming Sessions:** 
 You will be involved in brainstorming sessions to generate innovative ideas and contribute to identifying new opportunities in the field of Artificial Intelligence.
* **Continuous Training and Updates on the Latest Trends:** 
 You will have access to continuous training programs to stay updated on the latest trends and advancements in the fields of Data Science and Artificial Intelligence.
**What We Offer:** 
*Working in the Joinrs team means being able to choose the best psychophysical conditions for tranquility and productivity. This translates into:* 
* **Remote working and flexibility.** 
 You'll have the opportunity to work remotely full\-time, but you can also use one of our offices.
* **Dynamic work environment.** 
 Our offices remain open, providing shared workspaces, meeting rooms, break areas, and a bar with fresh fruit and various snacks. You'll also find a foosball table and a gaming station. We aim for an informal work environment that encourages shared moments, always respecting individual activities.
* **Team building \&amp; fun.** 
 We frequently organize aperitifs, games, and leisure moments, which are integral parts of life at Joinrs, both inside and outside the office.
* **Company welfare.** 
 We guarantee you a company welfare package that meets your expectations.
* **Tech pack.** 
 You'll use advanced software and modern technologies, and you'll be provided with the latest\-generation MacBook.
* **Training.** 
 You'll always have a mentor in your Joinrs journey, acting as a reference for both technical and team aspects. We ensure constant professional growth with progressively increasing responsibilities. You can participate in industry events and training courses, along with continuous education on the best e\-learning platforms.
* **Social Impact.** 
 Your contribution will support thousands of recent graduates in finding the job they aspire to.
**Who We Are:** 
**Our mission is to support every recent graduate and junior professional in achieving their goals** 
 , helping them start their careers with optimism and a clear vision for their future.
**We are a united team that strongly believes in collaboration** 
 : together we work, discuss, and achieve results that inspire us to aim for ever more ambitious goals.
 Our community includes over
 **1,500,000 members across the US, UK, Europe, and Brazil** 
 , as well as
 **700\+ companies** 
 like
 *PwC, Accenture, Adecco, BNP Paribas, and Barilla* 
 . And we’re growing fast—join us!
**Contract \&amp; Compensation:** 
**For all Junior positions we offer a 6\-month internship contract with a salary of $90,000 yearly** 
 , aiming for a permanent contract.
**The annual base salary is $90,000 (USD)** 
 which will be prorated based on internship start and end date. Actual compensation offered to the successful candidate may vary from posted hiring based upon geographic location, work experience, education, and/or skill level, among other things.
**Salary reviews are scheduled every six months,** 
 with your compensation increasing rapidly as you gain experience and translate it into a more significant impact.
**Selection Process:** 
**CV Screening:** 
 The first step is a curriculum vitae (CV) screening (usually within 20 days of application).
**Phone Interview:** 
 The second step involves a 15\-minute phone interview with our HR Manager.
**Video Interview:** 
 The final step is a video interview with both the HR Manager and your future supervisor, lasting at least 45 minutes.
**Why Join Our Team?** 
* **Social Impact:** 
 You'll have the opportunity to support our community in realizing their ambitions, as well as your own.
* **Successful Startup:** 
 Joinrs was selected among the top 10 startups globally at the Web Summit in Lisbon.
* **Exponential Personal Growth:** 
 You'll have the opportunity for exponential growth, both in hard and soft skills, thanks to a training program based on on\-the\-job training and online support.</t>
        </is>
      </c>
    </row>
    <row r="7">
      <c r="A7" t="inlineStr">
        <is>
          <t>li-4317564442</t>
        </is>
      </c>
      <c r="B7" t="inlineStr">
        <is>
          <t>Data Scientist - Payments</t>
        </is>
      </c>
      <c r="C7" t="inlineStr">
        <is>
          <t>Plaid</t>
        </is>
      </c>
      <c r="D7" t="inlineStr">
        <is>
          <t>linkedin</t>
        </is>
      </c>
      <c r="E7" t="inlineStr"/>
      <c r="F7" t="inlineStr"/>
      <c r="G7" t="inlineStr">
        <is>
          <t>San Francisco, CA</t>
        </is>
      </c>
      <c r="H7" t="inlineStr"/>
      <c r="I7"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Data team is building data insights and models that improve how millions of users understand and grow their financial lives. We're looking for data scientists with experience applying state\-of\-the\-art data analytics techniques to different product areas. We value not only technical know\-how, but also creativity, user empathy, and teamwork.
 You’ll be a data scientist as a part of the Data organization, contributing to diverse, high\-impact data insights and machine learning challenges. Specifically, you will focus on driving business impact, and production directions through data analysis and potentially help evaluate and improve ML solutions and systems. If you're interested in building state\-of\-the\-art Data/ML solutions to unblock financial freedom for everyone, let's chat!
**Responsibilities**
* Applying your expertise in quantitative analysis, data mining, and data visualization to find insights for improving our API products
* Conducting large\-scale A/B experiments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3\+ years of industry experience in a product\-focused Data Science role
* Deep familiarity with SQL and data visualization tools
* Experiencing conducting large\-scale A/B experiments, analyzing results, and translating them into concrete recommendations
* Familiarity with the AWS stack
* Understanding of modern machine learning (ML)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$162,000 \- $222,000 a year
 The target base salary for this position ranges from $162,000/year to $221,000/year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8">
      <c r="A8" t="inlineStr">
        <is>
          <t>li-4369478052</t>
        </is>
      </c>
      <c r="B8" t="inlineStr">
        <is>
          <t>Data Scientist</t>
        </is>
      </c>
      <c r="C8" t="inlineStr">
        <is>
          <t>Humana</t>
        </is>
      </c>
      <c r="D8" t="inlineStr">
        <is>
          <t>linkedin</t>
        </is>
      </c>
      <c r="E8" t="inlineStr"/>
      <c r="F8" t="inlineStr"/>
      <c r="G8" t="inlineStr"/>
      <c r="H8" t="inlineStr"/>
      <c r="I8" t="inlineStr">
        <is>
          <t>**About The Company** 
 Humana Inc. is a leading health and well\-being company dedicated to putting health first for its members, employees, and communities. As a pioneer in healthcare innovation, Humana offers a wide range of insurance and healthcare services through its subsidiaries, including Humana Insurance and CenterWell Healthcare. The company strives to improve the quality of life for diverse populations such as Medicare beneficiaries, Medicaid recipients, military personnel, and individuals seeking personalized health solutions. Humana’s commitment to excellence, inclusivity, and technological advancement positions it as a trusted partner in healthcare transformation.
**About The Role** 
 We are seeking a highly skilled and innovative AI professional to join our Enterprise AI organization at Humana. This role focuses on developing advanced autonomous agents capable of managing complex, dynamic goals in real\-world environments. The ideal candidate will have expertise in agent design, planning, and control, contributing to the scientific and engineering foundations that ensure AI agents are reliable, interpretable, and robust across long\-term tasks. You will work collaboratively with cross\-functional teams to architect goal\-setting mechanisms, design dynamic planning systems, and develop evaluation frameworks that align with human intent and operational safety. Your work will directly impact the future of healthcare AI, enabling autonomous systems to improve care quality, operational efficiency, and patient outcomes.
**Qualifications** 
* Master’s Degree in Computer Science, Data Science, Machine Learning, or a related field
* 4\+ years of experience in research, ML engineering, or applied research roles, with a focus on AI solutions
* 2\+ years of experience leading the development of AI/ML systems
* Proficiency in SQL, Python, and data analysis/data mining tools
* Experience with machine learning frameworks such as Pytorch, Jax, LangChain, LangGraph, or AutoGen
* Experience working with high\-performance, large\-scale ML systems
* Knowledge of language modeling with transformers
* Experience with symbolic planning, causal reasoning, and model\-based reinforcement learning
* Experience with large\-scale ETL processes
* Preferred: Ph.D. in Computer Science, Data Science, or related fields
* Demonstrated success in deploying autonomous or semi\-autonomous agents in production or simulation environments
* Experience with LLM\-based agents with scratchpad/self\-reflection or hierarchical task decomposition
* Understanding of autonomy risk mitigation strategies, including off\-switch protocols and bounded rationality
**Responsibilities** 
* Architect goal setting and goal decomposition mechanisms for autonomous agents operating in uncertain or open\-ended environments
* Design and implement dynamic planning systems, including hierarchical planning, curriculum learning, and self\-refinement loops
* Collaborate on memory, tool\-use, and feedback\-loop designs to enable multi\-step, self\-directed agent behavior
* Develop evaluation frameworks to ensure alignment with human intent, consistency, and progress toward long\-horizon objectives
* Prototype agents capable of interfacing with APIs, servers, search engines, databases, or real\-world actuators to pursue goals safely and efficiently
* Explore mechanisms to detect and mitigate goal misalignment, looping behaviors, or undesirable emergent strategies
* Work across teams to integrate goal alignment with safety, operational reliability, and risk mitigation mechanisms
**Benefits** 
* Work\-from\-home flexibility with a remote US\-based work environment
* Generous paid time off and holiday benefits
* Health benefits effective from day one of employment
* Annual incentive plan based on individual and company performance
* 401(k) retirement plan with an excellent company match
* Well\-being programs supporting physical and mental health
* Paid volunteer time off to engage with community initiatives
* Opportunities for professional development and career growth within a forward\-thinking organization
 Equal Opportunity
 Humana is an equal opportunity employer and values diversity in the workplace. We do not discriminate against any employee or applicant based on race, color, religion, sex, sexual orientation, gender identity, national origin, age, marital status, genetic information, disability, or protected veteran status. We are committed to affirmative action and compliance with all applicable federal, state, and local laws.</t>
        </is>
      </c>
    </row>
    <row r="9">
      <c r="A9" t="inlineStr">
        <is>
          <t>li-4369473927</t>
        </is>
      </c>
      <c r="B9" t="inlineStr">
        <is>
          <t>Sr Data Scientist</t>
        </is>
      </c>
      <c r="C9" t="inlineStr">
        <is>
          <t>Industrial Light &amp; Magic</t>
        </is>
      </c>
      <c r="D9" t="inlineStr">
        <is>
          <t>linkedin</t>
        </is>
      </c>
      <c r="E9" t="inlineStr"/>
      <c r="F9" t="inlineStr"/>
      <c r="G9" t="inlineStr">
        <is>
          <t>San Francisco, CA</t>
        </is>
      </c>
      <c r="H9" t="inlineStr"/>
      <c r="I9" t="inlineStr">
        <is>
          <t>Our R\&amp;D teams at Lucasfilm and ILM are seeking a Sr Data Scientist to join a strategic R\&amp;D initiative focused on Generative AI. The goal of this project is to develop a robust data curation pipeline that can help identify and leverage our most useful assets and media for technical model training.
 You will play a critical role in bridging the gap between raw visual data and advanced machine learning applications. You will be responsible for the statistical analysis, sampling strategies, and evaluation metrics required to ensure our training data is diverse, relevant, and optimized for next\-generation image and video synthesis.
*This role is considered Hybrid, which means the employee will work 2\-3 days onsite at our San Francisco location and occasionally from home. This is a project position for 6 months.*
**What You’ll Do**
**Data Strategy \&amp; Diversity Analysis**
* Independently design and implement statistical methods to ensure curated datasets retain representative coverage across various visual attributes, stylistic choices, and subject matter.
* Develop logic to identify and down\-weight low\-variance or repetitive data points to maximize training efficiency.
* Collaborate with key stakeholders on algorithms for de\-duplication to automatically eliminate redundant or near\-identical assets from the training corpus.
**Evaluation Metrics \&amp; Quality Assurance**
* Design and lead implementation of automated metrics to assess the quality of generative images and videos.
* Validate automated quantitative metrics by correlating them against qualitative feedback provided by senior creative stakeholders.
* Establish success criteria for model fidelity, accuracy, and stylistic consistency.
**Pipeline Integration**
* Work closely with the engineering team to integrate data cleaning, normalization, and sampling modules into a scalable automated pipeline.
* Assist in defining taxonomy and metadata standards to systematically organize unstructured visual assets.
**Project Focus \&amp; Timeline**
 This is a fast\-paced, 6\-month initiative. You will move through rapidly iterating phases:
* Phase 1: defining data taxonomy and establishing baseline automated metrics.
* Phase 2: refining metrics for temporal consistency and validating against initial model fine\-tuning runs.
* Phase 3: final validation of metrics and delivery of fully curated, optimized datasets for cold storage.
**What We’re Looking For**
* 5\+ years experience in related field
* Education \- Bachelor’s degree in Data Science, Computer Science, or a related field of study, and/or equivalent work experience. Master’s Degree preferred
* Experience: Proven background in Data Science with a strong emphasis on Computer Vision, Generative AI, or Deep Learning.
* Technical Skills: Proficiency in statistical analysis and dataset curation (distribution analysis, sampling techniques). Experience working with large\-scale unstructured media data is a plus.
* Evaluation Expertise: Familiarity with standard and novel metrics for evaluating Generative Models (e.g., FID, FVD, or similar).
* Communication: Ability to translate complex statistical insights for engineering partners and non\-technical creative leads.
 The hiring range for this position in San Francisco is $155,400\-$208,400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10">
      <c r="A10" t="inlineStr">
        <is>
          <t>li-4361678555</t>
        </is>
      </c>
      <c r="B10" t="inlineStr">
        <is>
          <t>Data Scientist I</t>
        </is>
      </c>
      <c r="C10" t="inlineStr">
        <is>
          <t>Unum</t>
        </is>
      </c>
      <c r="D10" t="inlineStr">
        <is>
          <t>linkedin</t>
        </is>
      </c>
      <c r="E10" t="inlineStr"/>
      <c r="F10" t="inlineStr"/>
      <c r="G10" t="inlineStr">
        <is>
          <t>Portland, ME</t>
        </is>
      </c>
      <c r="H10" t="inlineStr"/>
      <c r="I10" t="inlineStr">
        <is>
          <t>When you join the team at Unum, you become part of an organization committed to helping you thrive.
**Benefits**
 Here, we work to provide the employee benefits and service solutions that enable employees at our client companies to thrive throughout life’s moments. And this starts with ensuring that every one of our team members enjoys opportunities to succeed both professionally and personally. To enable this, we provide:
* Award\-winning culture
* Inclusion and diversity as a priority
* Performance Based Incentive Plans
* Competitive benefits package that includes: Health, Vision, Dental, Short \&amp; Long\-Term Disability
* Generous PTO (including paid time to volunteer!)
* Up to 9\.5% 401(k) employer contribution
* Mental health support
* Career advancement opportunities
* Student loan repayment options
* Tuition reimbursement
* Flexible work environments
* All the benefits listed above are subject to the terms of their individual Plans.
 And that’s just the beginning…
 With 10,000 employees helping more than 39 million people worldwide, every role at Unum is meaningful and impacts the lives of our customers. Whether you’re directly supporting a growing family, or developing online tools to help navigate a difficult loss, customers are counting on the combined talents of our entire team. Help us help others, and join Team Unum today!
**General Summary**
 This position for a developing data scientist who is excited to transform data into actionable insights and impact the business through his/her work. The role requires increasing technical expertise in the fields of computer programming, applied statistics and data manipulation; and relies on developing business knowledge. The individual will participate in project work primarily within the functional area, with direction and review by manager. The individual is expected to continuously increase business knowledge and take initiative in identifying and executing analytical approaches to support assigned projects.
**Job Specifications**
* Bachelor’s degree in quantitative field is preferred
* 2 years preferred of professional experience or equivalent relevant work experience
* Core Data Science Capabilities: Deep expertise in at least one of the following skillsets preferred, with basic capability in the others:
* Programming \&amp; Process automation: Experience using APIs, file I/O, database, and analysis libraries. Understanding of programming in jupyter notebooks and/ or statistical packages. Understanding of process mapping and demonstrated application of scripting languages to automate processes. Exposure to data mining and web scraping.
* Data Visualization: Working knowledge of two or more data visualization tools and proficiency in static data visualization. Basic understanding of dynamic data visualization
* Statistics \&amp; Statistical modeling: Solid understanding of statistical inference and regression. Basic understanding of machine learning techniques including random forests and neural nets. Basic understanding of feature selection and extraction which may include analysis of categorical data, multiple comparisons, Central Limit Theorem, bootstrapping, and permutation tests
* Data Extraction, Transformation, and Loading (ETL) skillsets preferred: Expertise in writing complex SQL queries that join multiple tables/databases. Given a business problem, independently explore databases/tables to identify best data sources. Demonstrates ability to troubleshoot complex SQL queries written by others with little guidance.
* Core business capabilities: basic communication skills, exposure to financial services industry, and attention to detail and ability to prioritize while working on multiple projects keeping track of due dates
* Leadership Capabilities: Ability to coach or mentor team members, respond quickly and positively to change, adheres to technical best practices by collaborating with team members to deliver high quality output
* Preferred characteristics: Entrepreneurial self\-starter. A thorough, results\-oriented problem\-solver, and a lifelong learner with voracious curiosity. Basic understanding of their organization.
**Principal Duties And Responsibilities**
* Design and execute analytical solutions using statistical, optimization, simulation and data mining methods with a focus on delivering actionable insights and partnership to deliver business value.
* Integrate large volume of data from different sources (including DB2, SQL Server, Web API and Teradata) to create data assets and perform analyses
* Apply validation, aggregation and reconciliation techniques to create rich modeling\-ready data framework.
* Construct predictive models using machine learning to explain and understand observed events, forecast expected behavior, or identify risk through scoring or clustering.
* Familiarity with AI agents like github co\-pilot, MS co\-pilot to speed through code development and self \- learning.
* Knowledge of working with LLMs and agent libraries like Langgraph. Langchain \&amp; OpenAI SDK.
* Efficiently interpret results and communicate findings and potential value to manager.
* Support integration of solutions within existing business processes using automation techniques.
* Understand theory and application of current and emerging statistical methods and tools.
* Knowledge of tools – Python, VS code, Databricks, Azure, AWS, Streamlit, tableau, SQL
* Perform other related duties as assigned
 IN4
 Unum and Colonial Life are part of Unum Group, a Fortune 500 company and leading provider of employee benefits to companies worldwide. Headquartered in Chattanooga, TN, with international offices in Ireland, Poland and the UK, Unum also has significant operations in Portland, ME, and Baton Rouge, LA \- plus over 35 US field offices. Colonial Life is headquartered in Columbia, SC, with over 40 field offices nationwide.
 Unum is an equal opportunity employer, considering all qualified applicants and employees for hiring, placement, and advancement, without regard to a person's race, color, religion, national origin, age, genetic information, military status, gender, sexual orientation, gender identity or expression, disability, or protected veteran status.
 The base salary range for applicants for this position is listed below. Unless actual salary is indicated above in the job description, actual pay will be based on skill, geographical location and experience.
 $60,500\.00\-$123,400\.00
 Additionally, Unum offers a portfolio of benefits and rewards that are competitive and comprehensive including healthcare benefits (health, vision, dental), insurance benefits (short \&amp; long\-term disability), performance\-based incentive plans, paid time off, and a 401(k) retirement plan with an employer match up to 5% and an additional 4\.5% contribution whether you contribute to the plan or not. All benefits are subject to the terms and conditions of individual Plans.
**Company**
 Unum</t>
        </is>
      </c>
    </row>
    <row r="11">
      <c r="A11" t="inlineStr">
        <is>
          <t>li-4358858223</t>
        </is>
      </c>
      <c r="B11" t="inlineStr">
        <is>
          <t>Data Scientist</t>
        </is>
      </c>
      <c r="C11" t="inlineStr">
        <is>
          <t>Galent</t>
        </is>
      </c>
      <c r="D11" t="inlineStr">
        <is>
          <t>linkedin</t>
        </is>
      </c>
      <c r="E11" t="inlineStr"/>
      <c r="F11" t="inlineStr"/>
      <c r="G11" t="inlineStr">
        <is>
          <t>New York, NY</t>
        </is>
      </c>
      <c r="H11" t="inlineStr"/>
      <c r="I11" t="inlineStr">
        <is>
          <t>**Data Scientist** 
**NYC, NY / SFO, CA (Onsite)** 
**Primary focus : Model reproduction, feature engineering logic, performance validation, and** 
 ensuring alignment with client’s established modeling frameworks.
 • Rebuild and port existing client Python based models into customer’s Databricks platform.
 • Develop, train, and validate predictive models using Python, PySpark, and ML frameworks
 such as scikitlearn, XGBoost, and Spark MLlib.
 • Develop, validate and reproduce feature engineering logic and ensure parity with client
 models.
 • Train, retain, validate, and benchmark model performance using customer provided
 datasets while maintain performance parity with baseline models.
 • Work with data engineers to define feature requirements and ensure datasets support
 model needs.
 • Perform model diagnostics, bias checks, stability checks, and accuracy assessments.
 • Prepare model documentation, validation summaries, and stakeholder ready insights.
 • Support scoring pipeline design and ensure reproducibility across Dev/QA/Prod.
 • Collaborate with compliance and platform teams to ensure adherence to governance.
 • Perform model diagnostics, hyperparameter tuning, and stability analysis.
 • Evaluate model performance across population segments and time periods.
 • Work with platform and engineering teams to support scoring pipeline deployment across
 Dev/QA/Prod.
**Qualifications:** 
* 4–6 years of experience in applied machine learning or data science.
* Strong hands\-on experience with Python, scikit\-learn, XGBoost, LightGBM,
 CatBoost, or similar libraries.
* Experience developing ML models in Databricks with Python or PySpark.
* Strong knowledge of feature engineering, model training workflows, and evaluation
 techniques.
* Experience working with large structured datasets (financial or transactional data
 preferred).
* Ability to write clear documentation and communicate technical results to non\-technical stakeholders.
* 4\+ years of hands\-on experience developing, deploying, and maintaining machine\-learning models.
* Advanced proficiency in Python (NumPy, pandas, scikit\-learn, PyTorch or TensorFlow).
* Strong statistical and mathematical foundation, including regression, classification probability, optimization, etc.
* Experience building end\-to\-end ML pipelines: data ingestion, cleaning, feature engineering, modeling, evaluation, deployment.
* Experience working within client environments, including adapting to unfamiliar Infrastructure, constraints, and security requirements.
* Experience with cloud platforms (AWS, Azure, or GCP) and on\-prem environments.
* Advanced SQL ability and experience with big\-data tools (Spark, Databricks, Hadoop).</t>
        </is>
      </c>
    </row>
    <row r="12">
      <c r="A12" t="inlineStr">
        <is>
          <t>li-4369484620</t>
        </is>
      </c>
      <c r="B12" t="inlineStr">
        <is>
          <t>Data Scientist</t>
        </is>
      </c>
      <c r="C12" t="inlineStr">
        <is>
          <t>Hirenza</t>
        </is>
      </c>
      <c r="D12" t="inlineStr">
        <is>
          <t>linkedin</t>
        </is>
      </c>
      <c r="E12" t="inlineStr"/>
      <c r="F12" t="inlineStr"/>
      <c r="G12" t="inlineStr"/>
      <c r="H12" t="inlineStr"/>
      <c r="I12" t="inlineStr">
        <is>
          <t>**About The Company**
 Capital One is a leading financial services company renowned for its innovative approach to banking and credit solutions. Established with a passion for harnessing data to deliver personalized customer experiences, Capital One has transformed the financial landscape since its inception. The company's pioneering use of statistical modeling and relational databases in 1988 set the stage for its continued leadership in data\-driven decision\-making. Today, Capital One is a Fortune 200 organization, recognized globally for leveraging cutting\-edge technology and analytics to enhance financial products and services. Its commitment to innovation, customer\-centricity, and operational excellence positions it as a trailblazer in the industry, continuously seeking new ways to disrupt and redefine banking and payments ecosystems.
**About The Role**
 We are seeking a highly skilled Principal Associate, Data Scientist to join our Bank Operations Data Science team within the Payments Organization. This pivotal role involves developing and deploying advanced machine learning models that underpin core operational capabilities, including check and document reading, anomaly detection, natural language processing of customer calls, and operational forecasting. As part of this team, you will be instrumental in building industry\-leading models utilizing emerging technologies such as neural networks, large language models, transformer architectures, and agentic systems. Your work will directly impact the efficiency and effectiveness of our payment channels, streamlining processes from data ingestion to anomaly detection and operational automation.
 This position offers an exciting opportunity to operate at the intersection of data science, technology, and business, working closely with cross\-functional teams including software engineers, business analysts, and product managers. Your insights will help shape innovative solutions that enhance customer experience and operational resilience, supporting the company's mission to deliver smarter, faster, and more secure financial services.
**Qualifications**
 The ideal candidate will possess a strong foundation in quantitative analysis, machine learning, and software development, with a proven track record of applying these skills in complex, real\-world environments. Candidates should hold a minimum of a Bachelor's degree in a relevant field such as Statistics, Economics, Operations Research, Mathematics, Computer Science, or related disciplines, with significant professional experience. Advanced degrees—Master's or PhD—in STEM fields or a quantitative concentration are highly preferred, especially with experience in data analytics, cloud computing, and machine learning frameworks. Familiarity with AWS, Python, SQL, and open\-source data science tools is essential. Candidates with hands\-on experience in developing agentic systems, machine vision models, or deploying models in cloud environments will be highly regarded.
 We value innovative thinkers who are passionate about staying current with emerging technologies and applying them creatively to solve undefined or complex problems. Strong interpersonal skills, the ability to communicate technical concepts to non\-technical stakeholders, and a collaborative mindset are crucial for success in this role.
**Responsibilities**
* Collaborate with cross\-functional teams including data scientists, software engineers, business analysts, and product managers to deliver impactful data\-driven solutions.
* Design, develop, evaluate, and implement machine learning models that address core operational challenges within the payments ecosystem.
* Utilize a broad technology stack—Python, Snowflake, cloud platforms, and more—to analyze large volumes of numeric and textual data and extract actionable insights.
* Translate complex technical findings into clear, business\-oriented narratives to inform decision\-making and strategic planning.
* Lead efforts to innovate with emerging technologies such as neural networks, large language models, transformer architectures, and agentic systems.
* Work directly with the Enterprise Payments team to streamline payment and monetary transfer channels, from data ingestion to anomaly detection and operational automation.
* Validate and backtest models rigorously, ensuring robustness and compliance with best practices and regulatory standards.
* Mentor junior team members and foster a culture of continuous learning and innovation within the data science community.
**Benefits**
 Capital One offers a comprehensive and competitive benefits package designed to support your physical, financial, and emotional well\-being. Employees enjoy health insurance options, wellness programs, retirement plans, paid time off, and opportunities for professional development. The company also provides flexible work arrangements, tuition reimbursement, and a collaborative work environment that encourages innovation and growth. Additionally, employees are eligible for performance\-based incentives, including cash bonuses and long\-term incentives, recognizing their contributions to the company's success.
 Capital One is committed to fostering an inclusive culture that values diversity and promotes equity. The organization invests in employee resource groups, mentorship programs, and initiatives that support a diverse and dynamic workforce.
 Equal Opportunity
 Capital One is an equal opportunity employer committed to creating an inclusive environment for all employees. We do not discriminate based on race, color, religion, sex, national origin, age, disability, veteran status, or any other protected characteristic. We promote a drug\-free workplace and comply with all applicable laws regarding non\-discrimination and equal employment opportunity. We consider qualified applicants with criminal histories in a manner consistent with legal obligations and applicable laws. Capital One values diversity and strives to provide equal employment opportunities to all individuals, fostering a workplace where everyone can thrive and succeed.</t>
        </is>
      </c>
    </row>
    <row r="13">
      <c r="A13" t="inlineStr">
        <is>
          <t>li-4328867363</t>
        </is>
      </c>
      <c r="B13" t="inlineStr">
        <is>
          <t>Data Scientist Lead</t>
        </is>
      </c>
      <c r="C13" t="inlineStr">
        <is>
          <t>hackajob</t>
        </is>
      </c>
      <c r="D13" t="inlineStr">
        <is>
          <t>linkedin</t>
        </is>
      </c>
      <c r="E13" t="inlineStr"/>
      <c r="F13" t="inlineStr"/>
      <c r="G13" t="inlineStr">
        <is>
          <t>Jersey City, NJ</t>
        </is>
      </c>
      <c r="H13" t="inlineStr"/>
      <c r="I13" t="inlineStr">
        <is>
          <t>***hackajob** 
 is collaborating with
 **J.P. Morgan** 
 to connect them with exceptional tech professionals for this role.*
* Base Pay/SalaryJersey City,NJ $142,500\.00\-$210,000\.00
**Job Description**
 As a Data Science Lead in Digital \&amp; Platform Services (D\&amp;PS), you will lead the charge in developing innovative AI solutions that propel our business forward. Your work will directly impact our ability to provide exceptional service to clients by delivering cutting\-edge technology solutions. You will work closely with software engineers, business stakeholders, and AI practitioners to deliver transformative solutions that enable our business to scale and thrive. We are seeking a technical leader who is passionate about leveraging data and artificial intelligence to drive meaningful, real\-world change. You will be integral to the newly established Client Relationship Management (CRM) Transformation Program, known as Client360\.
**Job Responsibilities:\-**
* Lead the formulation and development of AI solutions to tackle complex challenges in Client360, ensuring alignment with business objectives.
* Oversee the design, development, and deployment of robust, scalable, and reusable machine learning models and systems that deliver measurable business impact.
* Actively contribute to coding efforts, ensuring high technical standards and best practices are maintained across all projects.
* Collaborate with engineering and business teams to seamlessly integrate AI services into strategic systems and processes, enhancing operational efficiency.
* Work with business partners to redefine processes and controls for an AI\-first business, driving innovation and efficiency.
* Establish comprehensive evaluation frameworks to assess model performance and drive continuous improvement in alignment with business goals.
* Deepen your understanding of the Client Relationship Management to identify opportunities for AI\-driven innovation and deliver practical, impactful solutions.
* Inspire other AI practitioners, fostering a culture of excellence, innovation, and continuous learning.
**Required Qualifications, Experience, and Skills:\-**
* Advanced degree qualification in Computer Science, Artificial Intelligence, Machine Learning, Data Science, or a related highly quantitative field.
* Extensive experience in high\-performing AI or data science teams.
* Deep understanding of fundamental machine learning approaches and practical experience with statistical data analysis and experimental design.
* Proven track record of developing and deploying data science and ML capabilities in production at scale.
* Strong experience with Python programming and common ML frameworks (e.g., PyTorch, Pandas, NumPy).
* Exceptional verbal and written communication skills, with the ability to convey complex technical concepts to diverse audiences.
* Demonstrated ability to work effectively on multi\-disciplinary teams with diverse backgrounds.
**Preferred qualifications, capabilities, and skills:\-**
* Demonstrated prior experience working in a highly matrixed, complex organization.
* Extensive experience in data platform management, CRM systems, or related fields within a financial institution.
* Master’s or PhD qualification in Computer Science, Artificial Intelligence, Machine Learning, Data Science, or a related highly quantitative field.
* Clear experience in working with technologists and product teams.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14">
      <c r="A14" t="inlineStr">
        <is>
          <t>li-4369485523</t>
        </is>
      </c>
      <c r="B14" t="inlineStr">
        <is>
          <t>AI Data Scientist</t>
        </is>
      </c>
      <c r="C14" t="inlineStr">
        <is>
          <t>Microsoft</t>
        </is>
      </c>
      <c r="D14" t="inlineStr">
        <is>
          <t>linkedin</t>
        </is>
      </c>
      <c r="E14" t="inlineStr"/>
      <c r="F14" t="inlineStr"/>
      <c r="G14" t="inlineStr">
        <is>
          <t>Redmond, WA</t>
        </is>
      </c>
      <c r="H14" t="inlineStr"/>
      <c r="I14" t="inlineStr">
        <is>
          <t>**Overview**
 We are seeking a pioneering and technically fluent
 **AI Data Scientist** 
 to join our AI \&amp; Data Science Tools team. This role will be instrumental in shaping the future of AI\-powered product development within Microsoft Marketing’s Research \+ Insights organization. You will be integral to the design, build, testing, and scaling management of our newest inferencing AI tools powered by customer voice.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Insight Extraction from Inferencing Applications: Using python and gremlin to extract insightful information from the knowledge graph.
* AI Graph Building: Contribute to the design, development, and ongoing management of our knowledge graph architecture to support scalable AI solutions.
* Ownership of AI Tool Roadmap Portions: Own and evolve the product roadmap and ROB processes, ensuring alignment with strategic goals and technical feasibility.
* Cross\-Functional Collaboration: Interface with developer teams, Research \+ Insights research managers, Marketing leadership, and partner data science teams to translate business needs into technical requirements.
* Technical Communication: Articulate complex technical concepts clearly to both engineering teams and executive stakeholders.
* Innovation \&amp; Execution: Build customer voice AI tools in a fast\-paced, ambiguous environment with a focus on delivering high\-impact AI tools.
* Embody our culture and values.
**Qualifications**
**Required/minimum qualifications**
* Doctorate in Data Science, Mathematics, Statistics, Econometrics, Economics, Operations Research, Computer Science, or related field
+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 OR Bachelor's Degree in Data Science, Mathematics, Statistics, Econometrics, Economics, Operations Research, Computer Science, or related field AND 2\+ years data\-science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 Extensive experience with knowledge graph architecture and insight extraction.
* Proficiency in Python for building production services, including modular design, code readability, unit testing, and debugging.
* Demonstrated prowess in systems thinking to drive scale, sequencing work, surfacing risk, and driving hard prioritization decisions under uncertainty, including clear trade‑offs across scope, timing, and resourcing.
* Ability to synthesize complex, technical, and qualitative inputs into clear, repeatable, decision ready artifacts for senior leadership, translating insight into action.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5">
      <c r="A15" t="inlineStr">
        <is>
          <t>li-4368290383</t>
        </is>
      </c>
      <c r="B15" t="inlineStr">
        <is>
          <t>Data Scientist</t>
        </is>
      </c>
      <c r="C15" t="inlineStr">
        <is>
          <t>EssilorLuxottica</t>
        </is>
      </c>
      <c r="D15" t="inlineStr">
        <is>
          <t>linkedin</t>
        </is>
      </c>
      <c r="E15" t="inlineStr"/>
      <c r="F15" t="inlineStr"/>
      <c r="G15" t="inlineStr">
        <is>
          <t>Dallas, TX</t>
        </is>
      </c>
      <c r="H15" t="inlineStr"/>
      <c r="I15" t="inlineStr">
        <is>
          <t>**Requisition I** 
**D:** 
 914851
 **Store \#:** 
 A00057 Tech Srvcs Wholesale PW
**Position** 
 : Full\-Time
**Total Rewards: Benefits/Incentive Information**
 If you’ve worn a pair of glasses, we’ve already met.
 We are a global leader in the design, manufacture, and distribution of ophthalmic lenses, frames, and sunglasses. We offer our industry stakeholders in over 150 countries access to a global platform of high\-quality vision care products such as the Essilor brand, with Varilux, Crizal, Eyezen, Stellest and Transitions, iconic brands that consumers love such as Ray\-Ban, Oakley, Persol and Oliver Peoples, as well as a network that offers consumers high\-quality vision care and best\-in\-class shopping experiences such as Sunglass Hut, LensCrafters, and Target Optical, and leading e\-commerce platforms.
 Our portfolio of more than 150 renowned brands span various categories, from frames, lenses and instruments to brick and mortar and digital distribution as well as mid\-range to premium segments. Our Shared Services Team, accompany and enable others within the EssilorLuxottica collective to achieve their targets. They keep people and projects running smoothly, ensuring every part of our business is provided for and well taken care of.
 Join our global community of over 200,000 dedicated employees around the world in driving the transformation of the eyewear and eyecare industry. Discover more by following us on LinkedIn!
**GENERAL FUNCTION**
 The Applied Data Scientist is a business\-facing analytics professional responsible for AI research and solution delivery. The role owns the full problem\-to\-solution journey: engaging stakeholders, translating business challenges into ML solutions, researching emerging AI techniques, and delivering production\-ready models that drive measurable business value. It balances innovation with execution, ensuring outcomes are practical, scalable, and aligned to business needs.
**Major Duties And Responsibilities**
 Managing
* Engage with stakeholders to understand objectives, constraints, and success metrics
* Deliver end\-to\-end ML solutions from problem framing to production deployment
* Conduct applied research to evaluate and prototype new AI/ML techniques
* Prioritize between research and delivery based on business impact
* Manage model lifecycle: validation, monitoring, retraining, and optimization
 Organizing
* Translate ambiguous business problems into structured data science statements
* Organize exploratory analysis, experimentation, and research frameworks
* Structure scalable ML pipelines for training, inference, and deployment
* Develop proof\-of\-concepts to validate new AI techniques
* Convert insights and research outcomes into actionable recommendations
 Leading
* Drive solutions from research to production
* Act as a trusted analytics advisor through consultative problem\-solving
* Promote adoption of ML solutions by communicating value and limitations
* Evaluate and adopt emerging AI/ML techniques
* Mentor junior team members on research and delivery best practices
**Basic Qualifications**
* Bachelor’s degree in Computer Science, Data Science, Statistics, or related field
* 5\+ years of relevant work experience
* Proven experience delivering ML solutions in production
* Ability to work independently with stakeholders and own delivery
* Strong programming skills in Python or R; experience with ML libraries (scikit\-learn, TensorFlow, PyTorch)
* Solid understanding of statistical modeling, ML techniques, and data mining
**Preferred Qualifications**
* Master’s or PhD in Data Science, Statistics, or related discipline
* Experience in applied research and rapid prototyping of AI/ML solutions
* Exposure to advanced AI techniques (deep learning, generative AI, optimization)
* Experience deploying ML models using Docker, Kubernetes, or cloud\-native services
* Familiarity with Azure, Databricks, Spark, Synapse, and Lakehouse architecture
* Strong storytelling and communication skills for technical and non\-technical audiences
* Experience in agile, fast\-paced, cross\-functional environments
* Balance research depth with delivery focus
* Ability to evaluate and apply new AI techniques pragmatically
* Excellent listening and problem\-solving skills
* Strong ownership mindset with minimal supervision
* Ability to translate complex research into business value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t>
        </is>
      </c>
    </row>
    <row r="16">
      <c r="A16" t="inlineStr">
        <is>
          <t>li-4369471585</t>
        </is>
      </c>
      <c r="B16" t="inlineStr">
        <is>
          <t>Data Scientist, Sr.</t>
        </is>
      </c>
      <c r="C16" t="inlineStr">
        <is>
          <t>BNSF Railway</t>
        </is>
      </c>
      <c r="D16" t="inlineStr">
        <is>
          <t>linkedin</t>
        </is>
      </c>
      <c r="E16" t="inlineStr"/>
      <c r="F16" t="inlineStr"/>
      <c r="G16" t="inlineStr"/>
      <c r="H16" t="inlineStr"/>
      <c r="I16" t="inlineStr">
        <is>
          <t>**About The Company**
 Join BNSF Railway, one of the largest and most influential freight railroads in the United States, renowned for its commitment to safety, inclusion, and operational excellence. Operating across 28 western states and three Canadian provinces, BNSF plays a vital role in transporting essential goods that sustain communities and economies nationwide. Our dedicated team supports the movement of products that feed, clothe, supply, and power communities, making a tangible difference in people's lives. BNSF is at the forefront of innovation in freight transportation, continuously striving to improve efficiency, safety, and sustainability.
 The BNSF \| Tech division is the company's technology arm, focused on transforming freight rail through cutting\-edge technological solutions. As part of this division, you will contribute to making BNSF a leader in freight and mobility services across North America. Our culture emphasizes diversity, inclusion, and equal opportunity, fostering an environment where all employees can thrive and make meaningful contributions.
**About The Role**
 We are seeking a highly skilled Data \&amp; AI Lead to spearhead our data science and artificial intelligence initiatives. In this remote role based in the US, you will be instrumental in leveraging data assets to drive real\-time enterprise solutions. Your responsibilities will include leading cross\-functional teams to develop and implement advanced machine learning models, analyzing complex datasets to extract actionable insights, and deploying solutions that optimize workflows and forecast outcomes. You will collaborate closely with stakeholders to understand their needs, design compelling visualizations, and communicate analytical findings effectively.
 This position offers an exciting opportunity to shape the future of freight rail through innovative data\-driven strategies. You will oversee the maintenance of data pipelines, stay abreast of emerging technologies in AI and machine learning, and ensure the successful integration of analytic solutions into production environments. Your expertise will directly influence strategic decision\-making, operational efficiency, and technological advancement within BNSF.
**Qualifications**
* Minimum 6 years of experience in building optimization algorithms or relevant data science roles
* Advanced proficiency in programming languages including Python, R, SQL, and Java
* Proven expertise in data visualization tools for clear communication of insights
* Extensive experience with data science cloud platforms and their integration into business solutions
* Strong understanding of statistical analysis and advanced machine learning techniques
* Proficiency in core architecture of Large Language Models (LLMs), including transformers and attention mechanisms
* Experience with prompt engineering, retrieval\-augmented generation (RAG), fine\-tuning language models, and evaluation methodologies
* Knowledge of vector databases, embeddings, GPU optimization, and model fine\-tuning
* Bachelor’s degree or higher in Operations Research, Computer Science, Industrial Engineering, or related fields; Ph.D. preferred
* Excellent communication skills and ability to articulate complex technical concepts
* Experience with agile methodologies such as Scrum, Kanban, or SAFe is a plus
**Responsibilities**
* Lead cross\-functional teams to identify, define, and execute analytic initiatives aligned with business goals
* Develop, deploy, and maintain advanced machine learning models to forecast outcomes and optimize workflows
* Analyze large and complex datasets to uncover meaningful patterns and insights
* Collaborate with stakeholders to gather requirements and deliver actionable insights for strategic decision\-making
* Design and present visualizations and reports that effectively communicate analytical findings
* Oversee the development and enhancement of data pipelines to ensure data quality and accuracy
* Stay current with emerging trends and breakthroughs in data science and AI fields
* Extract, transform, and analyze data from SQL and NoSQL databases using Python, R, or other tools
* Lead the integration of analytic solutions into reporting platforms and production systems
* Manage the testing, validation, and monitoring of models and solutions to ensure performance
**Benefits**
* Industry\-leading 401(k) plan and Railroad Retirement program
* Comprehensive health care options including medical, dental, vision, and mental health services
* Health savings accounts (HSA) with employer contributions, life and disability insurance
* Family benefits such as parental leave, pediatric and family support, adoption, and surrogacy reimbursement
* Dependent care spending accounts with employer matching
* Discount programs on travel, gym memberships, counseling, and wellness services
* Annual incentive bonus and performance\-based incentives
 Equal Opportunity
 BNSF Railway is an Equal Opportunity Employer. We are committed to fostering an inclusive environment where all qualified applicants receive consideration for employment without regard to race, color, religion, sex, sexual orientation, gender identity, national origin, disability, veteran status, or any other protected characteristic. We encourage individuals from diverse backgrounds to apply and contribute to our ongoing success.</t>
        </is>
      </c>
    </row>
    <row r="17">
      <c r="A17" t="inlineStr">
        <is>
          <t>li-4369471587</t>
        </is>
      </c>
      <c r="B17" t="inlineStr">
        <is>
          <t>Data Scientist, ML</t>
        </is>
      </c>
      <c r="C17" t="inlineStr">
        <is>
          <t>Gemini</t>
        </is>
      </c>
      <c r="D17" t="inlineStr">
        <is>
          <t>linkedin</t>
        </is>
      </c>
      <c r="E17" t="inlineStr"/>
      <c r="F17" t="inlineStr"/>
      <c r="G17" t="inlineStr"/>
      <c r="H17" t="inlineStr"/>
      <c r="I17" t="inlineStr">
        <is>
          <t>**About The Company**
 Gemini is a leading global crypto and Web3 platform founded by Cameron and Tyler Winklevoss in 2014\. The company offers a comprehensive suite of simple, reliable, and secure crypto products and services to individuals and institutions across more than 70 countries. Gemini’s mission is to unlock the next era of financial, creative, and personal freedom by providing trusted access to the decentralized future. The company envisions a world where cryptocurrency reshapes the global financial system, internet, and money, fostering greater choice, independence, and opportunity for all. By bridging traditional finance with the emerging cryptoeconomy in a manner that is open, fair, and secure, Gemini aims to revolutionize how people interact with digital assets. As a publicly traded company, Gemini is positioned to accelerate this vision with increased scale, reach, and impact.
**About The Role**
 The Data Department at Gemini is the backbone of insight, innovation, and trust within the organization. The team comprises world\-class data engineers, platform engineers, machine learning engineers, analytics engineers, and data scientists, all working collaboratively to turn raw data into secure, reliable, and actionable intelligence. This role of Staff Data Scientist, Machine Learning (Risk), is pivotal in safeguarding the platform and its users. You will be responsible for designing, developing, and deploying machine learning models that detect, prevent, and mitigate various types of fraud, including payment fraud, account takeovers, and identity abuse. Your work will span the entire machine learning lifecycle—from identifying signals and engineering features to training, evaluating, and deploying models in real\-time production environments. Collaborating closely with stakeholders across Trust \&amp; Safety, Exchange Growth, and Credit Card teams, you will enhance Gemini’s risk scoring capabilities and identify emerging fraud patterns. This is a high\-impact, hands\-on individual contributor role that offers opportunities for technical leadership and mentorship. The position requires in\-person presence at least twice a week at either our San Francisco, CA or New York City, NY office.
**Qualifications**
* Bachelor’s degree in Computer Science, Data Science, Statistics, or a related field
* 8\+ years of experience applying data science and machine learning to financial, payments, or fraud\-related problems (5\+ years with a PhD)
* 3\+ years of experience developing, deploying, and maintaining production\-grade machine learning models, ideally for real\-time or large\-scale applications
* Proficiency in Python and relevant libraries such as scikit\-learn, xgboost, TensorFlow, or PyTorch
* Strong SQL skills and experience with data processing tools
* Experience with data pipeline and model lifecycle tools like Databricks, SageMaker, Snowflake, MLflow, or similar
* Familiarity with orchestration frameworks such as Airflow or Spark
* Ability to work effectively across cross\-functional teams including product managers, engineers, and operations
* Excellent communication skills with the ability to translate complex technical concepts into actionable insights
**Responsibilities**
* Analyze large, complex datasets to identify key indicators of fraud and engineer predictive features using internal and external data sources
* Design, train, and deploy machine learning models aimed at detecting and preventing fraud, including payment fraud, account takeovers, and identity abuse
* Build and maintain end\-to\-end data and model pipelines for risk scoring, anomaly detection, and behavioral profiling
* Continuously evaluate model performance through experiments, backtesting, and monitoring to enhance capture rates and minimize false positives
* Collaborate with product managers, engineers, and fraud operations teams to translate model insights into effective prevention strategies and user\-facing features
* Communicate findings and strategic recommendations to both technical and non\-technical stakeholders to influence decision\-making
* Stay updated on emerging fraud tactics and machine learning techniques to continually improve Gemini’s defenses
**Benefits**
* Competitive starting salary
* Discretionary annual bonus
* Long\-term incentive through equity grants
* Comprehensive health insurance plans
* 401(k) plan with company matching
* Paid parental leave
* Flexible time off policies
* Hybrid work model combining in\-office and remote work options
 Equal Opportunity
 Gemini is committed to fostering an inclusive and diverse workplace. We are an equal opportunity employer and do not discriminate based on race, color, religion, sex, sexual orientation, gender identity, national origin, age, disability, or veteran status. We believe that diverse teams drive innovation and excellence, and we welcome applicants from all backgrounds. If you require accommodations during the application process, please contact our People Team. We are dedicated to creating a welcoming environment where everyone can thrive.</t>
        </is>
      </c>
    </row>
    <row r="18">
      <c r="A18" t="inlineStr">
        <is>
          <t>li-4369488458</t>
        </is>
      </c>
      <c r="B18" t="inlineStr">
        <is>
          <t>Data Scientist</t>
        </is>
      </c>
      <c r="C18" t="inlineStr">
        <is>
          <t>Hirecrap</t>
        </is>
      </c>
      <c r="D18" t="inlineStr">
        <is>
          <t>linkedin</t>
        </is>
      </c>
      <c r="E18" t="inlineStr"/>
      <c r="F18" t="inlineStr"/>
      <c r="G18" t="inlineStr"/>
      <c r="H18" t="inlineStr"/>
      <c r="I18" t="inlineStr">
        <is>
          <t>**About The Company**
 Bowhead / UIC Technical Services is a leading provider of specialized engineering, technical, and scientific solutions dedicated to supporting national defense initiatives. With a strong commitment to innovation and excellence, the company partners with government agencies and military divisions to deliver mission\-critical services and cutting\-edge technology solutions. Bowhead’s expertise spans various domains including data analysis, systems engineering, and cybersecurity, ensuring the highest standards of quality, security, and operational effectiveness. The company fosters a collaborative environment that encourages professional growth, continuous learning, and a dedication to advancing national security objectives.
**About The Role**
 We are seeking a highly skilled Data Scientist to join our team supporting the Naval Surface Warfare Center Dahlgren Division (NSWCDD), E Department. This role is pivotal in analyzing complex data sets to uncover meaningful insights that inform decision\-making and operational strategies. The successful candidate will apply advanced mathematical, statistical, and machine learning techniques to a variety of data types, including numbers, symbols, text, sound, and images. The position involves designing, developing, and maintaining software tools for data testing, analysis, and visualization, ensuring that stakeholders receive actionable intelligence in real\-time or predictive formats. The role requires onsite presence at either the Bowhead office or Navy installation, emphasizing collaboration with cross\-disciplinary teams and direct engagement with government clients.
**Qualifications**
 The ideal candidate will possess a Bachelor's Degree in physics, data science, or a related field, complemented by 5\-8 years of relevant experience. Demonstrated expertise in database management and development, with a solid understanding of relational database management systems and data warehousing, is essential. Experience in creating reports and dashboards, as well as proficiency in SQL query writing and analysis, is highly desirable. Candidates with virtual machine or artificial intelligence experience will be prioritized. Strong coding and software development skills, along with mathematical reasoning capabilities, are critical for success. Excellent communication skills—both oral and written—are necessary to effectively collaborate with technical teams and senior government stakeholders. Knowledge of analytical tools, evaluation techniques, and intermediate to advanced proficiency in Microsoft Office applications is expected. Candidates must be US citizens capable of maintaining a security clearance at the Secret level, with the ability to read, write, and speak English fluently.
**Responsibilities**
 The Data Scientist will be responsible for applying advanced analytical methods to discover patterns and insights within large, complex datasets. This includes designing and implementing predictive models, machine learning algorithms, and statistical analyses to generate forward\-looking insights that support real\-time decision\-making. The role involves developing and refining software components, tools, and scripts for data testing, validation, and visualization, ensuring they meet stakeholder requirements. The candidate will analyze diverse data types—such as textual, numerical, auditory, and visual data—and manage data repositories to facilitate efficient data retrieval and analysis. Additionally, the Data Scientist will present findings through clear, compelling visualizations and reports tailored to both technical and non\-technical audiences. Managing internal and external data sources, validating data quality, and exploring new data sets for potential insights are ongoing tasks. The role also includes supporting other duties related to data management, analysis, and technical documentation, contributing to continuous improvement of data processes and analytical capabilities.
**Benefits**
 Bowhead / UIC Technical Services offers a comprehensive benefits package designed to support the well\-being and professional development of its employees. Benefits include competitive salary packages, health, dental, and vision insurance, and retirement plans. The company promotes work\-life balance through flexible work arrangements and paid time off policies. Employees have access to ongoing training and development opportunities to enhance their skills and advance their careers. Additionally, Bowhead values a diverse and inclusive workplace, fostering a collaborative environment where innovation and teamwork are encouraged. Employees also benefit from a supportive corporate culture that recognizes individual contributions and promotes a sense of purpose in supporting national defense missions.
 Equal Opportunity
 Bowhead / UIC Technical Services is an equal opportunity employer. We are committed to fostering an inclusive environment where all employees and applicants are treated with respect and dignity, regardless of race, color, religion, gender, sexual orientation, gender identity or expression, age, national origin, disability, or veteran status. We ensure that all employment decisions are made based on merit, qualifications, and business needs. We encourage individuals from diverse backgrounds to apply and join our team dedicated to supporting national security and technological innovation.</t>
        </is>
      </c>
    </row>
    <row r="19">
      <c r="A19" t="inlineStr">
        <is>
          <t>li-4313812386</t>
        </is>
      </c>
      <c r="B19" t="inlineStr">
        <is>
          <t>Data Scientist, Support</t>
        </is>
      </c>
      <c r="C19" t="inlineStr">
        <is>
          <t>OpenAI</t>
        </is>
      </c>
      <c r="D19" t="inlineStr">
        <is>
          <t>linkedin</t>
        </is>
      </c>
      <c r="E19" t="inlineStr"/>
      <c r="F19" t="inlineStr"/>
      <c r="G19" t="inlineStr">
        <is>
          <t>San Francisco, CA</t>
        </is>
      </c>
      <c r="H19" t="inlineStr"/>
      <c r="I19" t="inlineStr">
        <is>
          <t>**About The Team**
 The User Operations team is central to ensuring that our customers' experience with our products is nothing short of exceptional. We resolve complex issues, provide technical guidance, and support customers in maximizing value and adoption from deploying our products. We work closely with Sales, Technical Success, Product, Engineering and others to deliver the best possible experience to our customers at scale. OpenAI's customers represent a range of diverse backgrounds and maturity, from early\-stage startups to established global enterprises. Given OpenAI’s breakneck shipping cadence and growth—and the expectation that it will only accelerate—transforming our rich support data into real‑time insights and scalable, self‑serve analytics is critical to sustaining exceptional customer experiences on the path to AGI.
**About The Role**
 We’re seeking a Support Data Scientist who will dig deep into user‑support data—surfacing trends, volumes, and friction signals—and turn these findings into actionable insights and always‑on reporting. You’ll design, build, and maintain self‑serve dashboards that keep every stakeholder informed in real time, partnering closely with Data Science and Engineering to ensure clean pipelines, robust models, and scalable tooling. Think proactive friction detection and real‑time service‑health views that help us stay ahead of demand—delivering decision‑grade insights, not just prettier slide decks.
 This role is based in San Francisco, California. We use a hybrid work model of 3 days in the office per week and offer relocation assistance to new employees.
**In This Role, You Will**
* Explore large support and product datasets to uncover trends, volume drivers, and user‑experience pain points, distilling findings into clear, actionable narratives.
* Build, enhance, and maintain self‑serve dashboards and reporting tools, enabling non‑technical teams to answer their own data questions.
* Establish a unified metrics taxonomy for service‑health and performance—and build automated data‑sharing pipelines and scorecards with our BPO partners to ensure everyone operates from the same real‑time view of success
* Leverage LLMs to build bespoke classifiers that automatically label and segment inbound volumes—powering smarter routing, richer self‑serve insights, and swifter root‑cause analysis.
* Partner with Data Engineering to ensure reliable pipelines, implement data‑quality checks, and document sources of truth.
* Jump into high‑priority special projects to conduct bespoke deep‑dive analyses and deliver clear, strategic recommendations to leadership.
* Prototype quickly—leveraging ChatGPT, Jupyter notebooks, Retool, and other tools—to prove value before hardening with Engineering.
* Collaborate with Data Science on predictive models and experimentation, translating results into operational recommendations.
**You Might Thrive In This Role If You**
* 8 \+ years in analytics, business intelligence, or data science (experience with customer support or operations teams is a plus).
* Expert‑level SQL skills and proficiency in Python or R for advanced analysis and automation
* Hands‑on experience designing and maintaining BI dashboards (e.g. Looker, Mode, Tableau, Sundial) with a focus on clarity and self‑serve usability.
* Hands‑on experience fine‑tuning or prompt‑engineering LLMs to build text classifiers, sentiment analysis, or tagging systems.
* Demonstrated ability to translate complex datasets into clear business stories and recommendations for both technical and non‑technical audiences.
* Familiarity with support metrics (SLAs, FCR, deflection) and ability to define service health KPIs.
* Strong cross‑functional communication skills—comfortable collaborating daily with engineers, data scientists, and operations leaders.
* An eye for detail, a zero‑defect mindset, and a bias toward action over theoretical perfection
* Possess a strong bias for automation and can defend governance decisions that keep data and processes healthy as they grow.
* Thrive in a fast‑moving, ambiguous environment where priorities can shift quickly.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
 Compensation Range: $230K \- $255K</t>
        </is>
      </c>
    </row>
    <row r="20">
      <c r="A20" t="inlineStr">
        <is>
          <t>li-4360944379</t>
        </is>
      </c>
      <c r="B20" t="inlineStr">
        <is>
          <t>Data Scientist</t>
        </is>
      </c>
      <c r="C20" t="inlineStr">
        <is>
          <t>EssilorLuxottica</t>
        </is>
      </c>
      <c r="D20" t="inlineStr">
        <is>
          <t>linkedin</t>
        </is>
      </c>
      <c r="E20" t="inlineStr"/>
      <c r="F20" t="inlineStr"/>
      <c r="G20" t="inlineStr">
        <is>
          <t>Dallas, TX</t>
        </is>
      </c>
      <c r="H20" t="inlineStr"/>
      <c r="I20" t="inlineStr">
        <is>
          <t>**Requisition I** 
**D:** 
 915162
 **Store \#:** 
 A00152 Tech Srvcs Wholesale DAL\-T
**Position** 
 : Full\-Time
**Total Rewards: Benefits/Incentive Information**
 If you’ve worn a pair of glasses, we’ve already met.
 We are a global leader in the design, manufacture, and distribution of ophthalmic lenses, frames, and sunglasses. We offer our industry stakeholders in over 150 countries access to a global platform of high\-quality vision care products such as the Essilor brand, with Varilux, Crizal, Eyezen, Stellest and Transitions, iconic brands that consumers love such as Ray\-Ban, Oakley, Persol and Oliver Peoples, as well as a network that offers consumers high\-quality vision care and best\-in\-class shopping experiences such as Sunglass Hut, LensCrafters, and Target Optical, and leading e\-commerce platforms.
 Our portfolio of more than 150 renowned brands span various categories, from frames, lenses and instruments to brick and mortar and digital distribution as well as mid\-range to premium segments. Our Shared Services Team, accompany and enable others within the EssilorLuxottica collective to achieve their targets. They keep people and projects running smoothly, ensuring every part of our business is provided for and well taken care of.
 Join our global community of over 200,000 dedicated employees around the world in driving the transformation of the eyewear and eyecare industry. Discover more by following us on LinkedIn!
**GENERAL FUNCTION**
 The Applied Data Scientist is a business\-facing analytics professional responsible for AI research and solution delivery. The role owns the full problem\-to\-solution journey: engaging stakeholders, translating business challenges into ML solutions, researching emerging AI techniques, and delivering production\-ready models that drive measurable business value. It balances innovation with execution, ensuring outcomes are practical, scalable, and aligned to business needs.
**Major Duties And Responsibilities**
 Managing
* Engage with stakeholders to understand objectives, constraints, and success metrics
* Deliver end\-to\-end ML solutions from problem framing to production deployment
* Conduct applied research to evaluate and prototype new AI/ML techniques
* Prioritize between research and delivery based on business impact
* Manage model lifecycle: validation, monitoring, retraining, and optimization
 Organizing
* Translate ambiguous business problems into structured data science statements
* Organize exploratory analysis, experimentation, and research frameworks
* Structure scalable ML pipelines for training, inference, and deployment
* Develop proof\-of\-concepts to validate new AI techniques
* Convert insights and research outcomes into actionable recommendations
 Leading
* Drive solutions from research to production
* Act as a trusted analytics advisor through consultative problem\-solving
* Promote adoption of ML solutions by communicating value and limitations
* Evaluate and adopt emerging AI/ML techniques
* Mentor junior team members on research and delivery best practices
**Basic Qualifications**
* Bachelor’s degree in Computer Science, Data Science, Statistics, or related field
* 5\+ years of relevant work experience
* Proven experience delivering ML solutions in production
* Ability to work independently with stakeholders and own delivery
* Strong programming skills in Python or R; experience with ML libraries (scikit\-learn, TensorFlow, PyTorch)
* Solid understanding of statistical modeling, ML techniques, and data mining
**Preferred Qualifications**
* Master’s or PhD in Data Science, Statistics, or related discipline
* Experience in applied research and rapid prototyping of AI/ML solutions
* Exposure to advanced AI techniques (deep learning, generative AI, optimization)
* Experience deploying ML models using Docker, Kubernetes, or cloud\-native services
* Familiarity with Azure, Databricks, Spark, Synapse, and Lakehouse architecture
* Strong storytelling and communication skills for technical and non\-technical audiences
* Experience in agile, fast\-paced, cross\-functional environments
* Balance research depth with delivery focus
* Ability to evaluate and apply new AI techniques pragmatically
* Excellent listening and problem\-solving skills
* Strong ownership mindset with minimal supervision
* Ability to translate complex research into business value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t>
        </is>
      </c>
    </row>
    <row r="21">
      <c r="A21" t="inlineStr">
        <is>
          <t>li-4359061520</t>
        </is>
      </c>
      <c r="B21" t="inlineStr">
        <is>
          <t>Future Talent Pipeline - Commercial Data Scientist</t>
        </is>
      </c>
      <c r="C21" t="inlineStr">
        <is>
          <t>Phillips 66</t>
        </is>
      </c>
      <c r="D21" t="inlineStr">
        <is>
          <t>linkedin</t>
        </is>
      </c>
      <c r="E21" t="inlineStr"/>
      <c r="F21" t="inlineStr"/>
      <c r="G21" t="inlineStr">
        <is>
          <t>Houston, TX</t>
        </is>
      </c>
      <c r="H21" t="inlineStr"/>
      <c r="I21" t="inlineStr">
        <is>
          <t>Are you interested in joining Phillips 66 but don’t see a current opening that matches your skills? We’d love to connect! This posting is part of our
 **Talent Pipeline Program** 
 for future Commercial Data Scientist opportunities.
 We are actively building a network of talented professionals we’d like to consider for
 **upcoming positions** 
 . If a current Commercial Data Scientist opening doesn’t align with your career goals or preferred location, we encourage you to apply to this "Future Talent Pipeline" position instead and stay connected for upcoming roles.
 The
 **Commercial Data Scientist is** 
 embedded in a collaborative, entrepreneurial environment, working alongside experienced data scientists, software engineers, and commercial teams. Expect to tackle complex, high\-impact problems, contribute to the energy transition, and see your work influence business decisions at scale.
**What You'll Do (When Postion Opens)**
* Analyze large, complex datasets to uncover insights, patterns, and trends that drive business strategy and operational improvements
* Partner with trading desks, commercial teams, and IT ML Engineers to implement predictive analytics projects and deploy models using MLOps best practices (CI/CD, MLflow, monitoring) on Databricks\-on\-Azure tech stack
* Design, build, and integrate data science solutions into existing systems and platforms for seamless user experiences
* Perform complex statistical analysis, data mining, and visualization to enable data\-driven decision\-making
* Contribute to reporting strategies, translating analytical findings into actionable recommendations for stakeholders
* Share knowledge and build data science expertise within the business through mentoring and collaboration
* Actively participate in code reviews, experiment design, and tooling decisions to drive team quality and velocity
**What You'll Bring – (Required Qualifications)**
* Bachelors degree (or equivalent) in Computer Science, Data Science, Machine Learning, or a related field; Ph.D. is a plus
* 3\+ years of industry experience developing and deploying machine learning models and advanced analytics solutions
* Advanced proficiency in Python and ML frameworks (PyTorch, TensorFlow, scikit\-learn); experience with Databricks, Spark, and Azure cloud services; familiarity with containerization (Docker) is a plus
* Advanced coursework in math, statistics, and machine learning
* Legally authorized to work in the posting country
**What Makes You Stand Out – (Preferred Qualifications)**
* Thrives in ambiguous, high\-volume data environments, accurately defining key elements and encouraging innovative analysis.
* Creates new and better ways for the organization to succeed, offering original ideas and enhancing others’ creative solutions.
* See’s ahead to future possibilities, translating trends and insights into breakthrough strategies for the business.
* Experience in the energy or commodities trading industry, with knowledge of financial markets and trading concepts
* Proven ability to integrate machine learning systems into interactive dashboards (e.g., Dash, Streamlit) and present use cases to non\-technical colleagues
* Resourceful, adaptable, and motivated to make an impact in a dynamic, fast\-growing team
* Demonstrable attention to detail and commitment to quality
* Expertise in exploring and extracting insights from large multi\-source data sets
* Strong problem\-solving skills and ability to work independently and collaboratively
* Strong foundations in statistics, time series modeling, and econometrics
* Excellent communication skills, able to explain complex technical concepts to non\-technical stakeholders
**Total Rewards**
**Benefits**
 At Phillips 66, providing access to high quality programs and care for you and your family is important to us. Maintaining a culture of well\-being — physical, emotional, social, and financial — is essential for a high\-performing organization. When we are at our best, we are poised to deliver exceptional results — personally and professionally. Benefits for certain eligible, full\-time employees include:
* Annual Variable Cash Incentive Program (VCIP) bonus
* 8% 401k company match
* Cash Balance Account pension
* Medical, Dental, and Vision benefits with an annual company contribution to a Health Savings Account for employees on HDHP
* Total well\-being programs and incentives, including Employee Assistance Plan, well\-being reimbursement, and backup family care services
 Learn more about
 **Phillips 66 Total Rewards** 
 .
 Phillips 66 has more than 140 years of experience in providing the energy that enables people to dream bigger and go farther, faster. We are committed to improving lives, and that is our promise to our employees and our communities. We are sustained by the backgrounds and experiences of our diverse teams, which reflect who we are, the environment we create and how we work together. We have been recognized by the Human Rights Campaign, U.S. Department of Labor and the
 *Military Times* 
 for our continued commitment to inclusive practices and policies in the hiring and retention of those in the LGBTQ\+ community and military veterans. Our company is built on values of safety, honor and commitment. We call our cultural mindset Our Energy in Action, which we define through four simple, intuitive behaviors: We work for the greater good, create an environment of trust, seek different perspectives and achieve excellence
 Learn more about Phillips 66 and how we are working to meet the world's energy needs today and tomorrow, by visiting phillips66\.com.
**Important Note**
* This is a pipelining requisition only. It is not tied to a current job opening.
* Applicants will be reviewed and contacted as positions matching their skills become available.
* We encourage you to apply so we can stay connected as opportunities arise
* Stay connected with us on LinkedIn
 Candidates for regular U.S. positions must be a U.S. citizen or national, or an alien admitted as permanent resident, refugee, asylee or temporary resident under 8 U.S.C. 1160(a) or 1255(a)(1\). Individuals with temporary visas such as E, F\-1, H\-1, H\-2, L, B, J, or TN or who need sponsorship for work authorization now or in the future, are not eligible for hire.
**Phillips 66 is an Equal Opportunity Employer**</t>
        </is>
      </c>
    </row>
    <row r="22">
      <c r="A22" t="inlineStr">
        <is>
          <t>li-4369485702</t>
        </is>
      </c>
      <c r="B22" t="inlineStr">
        <is>
          <t>Data Scientist</t>
        </is>
      </c>
      <c r="C22" t="inlineStr">
        <is>
          <t>Best Job Tool</t>
        </is>
      </c>
      <c r="D22" t="inlineStr">
        <is>
          <t>linkedin</t>
        </is>
      </c>
      <c r="E22" t="inlineStr"/>
      <c r="F22" t="inlineStr"/>
      <c r="G22" t="inlineStr"/>
      <c r="H22" t="inlineStr"/>
      <c r="I22" t="inlineStr">
        <is>
          <t>**About The Company**
 Capital One is a leading financial services company renowned for its innovative approach to banking and credit solutions. Founded in 1988, the company revolutionized the credit card industry by personalizing every offer through advanced statistical modeling and relational database technology. Over the years, Capital One has grown from a disruptive startup into a Fortune 200 organization, establishing itself as a leader in data\-driven decision\-making and technological innovation. Its commitment to leveraging data and technology to enhance customer experiences has positioned it at the forefront of the financial services sector.
**About The Role**
 The Principal Data Scientist, AI Foundations Data at Capital One plays a pivotal role in shaping the future of AI and machine learning within the organization. This position involves leading the development of scalable AI/ML solutions that power the company's award\-winning mobile applications and digital platforms. As part of the AI Foundations Specialist Models Data Science team, you will collaborate with cross\-functional teams including product managers, software engineers, and machine learning engineers to deliver innovative AI\-powered features that transform how customers interact with their finances. Your expertise will drive experimentation, innovation, and the creation of next\-generation experiences utilizing the latest generative AI technologies. You will work with extensive datasets, including billions of customer records, to unlock insights and develop models that deliver tangible business value while prioritizing customer\-centric solutions.
**Qualifications**
 The ideal candidate should possess a strong educational background in a quantitative field, such as Statistics, Mathematics, Computer Science, or related disciplines, with relevant professional experience. Candidates should have at least a Bachelor's degree with five years of data analytics experience, a Master's degree with three years, or a PhD in a related field. Proficiency in programming languages such as Python, Scala, or R, along with experience in machine learning and SQL, is essential. Experience working with cloud platforms like AWS, as well as familiarity with AI/ML frameworks such as PyTorch, Hugging Face, and Lightning, is highly preferred. A demonstrated ability to develop, fine\-tune, and operationalize large language models and other advanced AI solutions is critical. Strong communication skills and the ability to translate complex technical concepts into business insights are also vital for success in this role.
**Responsibilities**
* Partner with a diverse team of data scientists, engineers, and product managers to design and implement AI\-powered products that enhance customer engagement and financial decision\-making.
* Leverage advanced technologies including PyTorch, AWS Ultraclusters, Hugging Face, LangChain, VectorDBs, and others to analyze large volumes of numeric and textual data, uncover insights, and develop predictive models.
* Serve as an expert in Natural Language Processing (NLP) to harness the power of Large Language Models (LLMs), adapting and fine\-tuning them for customer\-facing applications and features.
* Lead the end\-to\-end development of machine learning and NLP models—from initial design and training to evaluation and validation—collaborating with engineering teams to deploy scalable, resilient production systems serving over 80 million customers.
* Translate complex technical findings into clear, actionable insights aligned with business objectives, effectively communicating with non\-technical stakeholders.
* Stay current with emerging AI/ML research, evaluate new tools and techniques, and incorporate innovative solutions into existing and new products.
* Mentor junior team members, fostering a culture of continuous learning and technical excellence within the team.
**Benefits**
 Capital One offers a comprehensive and competitive benefits package designed to support the overall well\-being of its employees. This includes health insurance, retirement plans, paid time off, and wellness programs. Employees are also eligible for performance\-based incentive compensation, which may include cash bonuses and long\-term incentives. The company promotes a flexible work environment, encourages professional development, and provides opportunities for career advancement. Additionally, Capital One fosters an inclusive culture that values diversity and promotes work\-life balance, ensuring employees feel supported and empowered to contribute their best.
 Equal Opportunity
 Capital One is an equal opportunity employer committed to fostering an inclusive environment for all employees and applicants. The company does not discriminate based on race, color, religion, sex, national origin, age, disability, veteran status, or any other protected characteristic. Capital One also supports workplace diversity and inclusion initiatives, ensuring that all individuals have equal access to employment opportunities and resources. The organization complies with all applicable federal, state, and local laws regarding non\-discrimination and equal employment opportunity. Reasonable accommodations are available for qualified applicants with disabilities throughout the recruitment process. Capital One promotes a drug\-free workplace and adheres to fair hiring practices to create a welcoming and equitable environment for everyone.</t>
        </is>
      </c>
    </row>
    <row r="23">
      <c r="A23" t="inlineStr">
        <is>
          <t>li-4357644016</t>
        </is>
      </c>
      <c r="B23" t="inlineStr">
        <is>
          <t>Data Scientist (ML Engineer) - San Ramon, CA</t>
        </is>
      </c>
      <c r="C23" t="inlineStr">
        <is>
          <t>Franklin Templeton</t>
        </is>
      </c>
      <c r="D23" t="inlineStr">
        <is>
          <t>linkedin</t>
        </is>
      </c>
      <c r="E23" t="inlineStr"/>
      <c r="F23" t="inlineStr"/>
      <c r="G23" t="inlineStr">
        <is>
          <t>San Ramon, CA</t>
        </is>
      </c>
      <c r="H23" t="inlineStr"/>
      <c r="I23" t="inlineStr">
        <is>
          <t>At Franklin Templeton, we’re advancing our industry forward by developing new and innovative ways to help our clients achieve their investment goals. Our dynamic firm spans asset management, wealth management, and fintech, offering many ways to help investors make progress toward their goals. Our talented teams working around the globe bring expertise that’s both broad and unique. From our welcoming, inclusive, and flexible culture to our global and diverse business, we provide opportunities to help you reach your potential while helping our clients reach theirs.
**Come join us in delivering better outcomes for our clients around the world!**
**About The Department**
**Franklin Templeton Technology (FTT)** 
 drives the technology strategy and delivers innovative technology solutions for Franklin Templeton (FT), a global investment leader delivering innovative multi\-asset solutions across public and private markets. FT integrates asset allocation, manager research, and implementation to drive portfolio construction, execution, and strategic oversight. Joining FT means working in a collaborative, growth\-oriented environment that values innovation in investment technology.
**What is the Data Scientist (ML Engineer) in the FTT Digital Technology Group Responsible For?**
 As a
 **Data Scientist / ML Engineer** 
 , you will play a critical role in
 **designing, building, and productionizing machine learning systems** 
 that solve real\-world business problems. You will focus on
 **end\-to\-end ML lifecycle ownership** 
 , including data ingestion, feature engineering, model development, deployment, monitoring, and optimization in production environments.
 You will work closely with
 **data engineering, platform, and product teams** 
 to deliver scalable, reliable, and secure ML solutions. Under the guidance of senior technical leaders, you will contribute to
 **engineering\-grade ML architecture** 
 , gain hands\-on experience with
 **cloud\-native ML systems** 
 , and help advance the organization’s AI capabilities.
**Job Location** 
 : San Mateo or San Ramon, California office (Hybrid Schedule)
**Ongoing Responsibilities (Engineering\-Focused)**
***Data Engineering \&amp; Pipelines***
* Design, implement, and maintain robust, scalable data pipelines for ML workloads.
* Build automated data ingestion, validation, and preprocessing frameworks.
* Collaborate with data engineers to integrate ML workflows into enterprise data platforms.
* Optimize data storage and access patterns for high\-volume, high\-performance ML use cases.
* Ensure data quality, lineage, and reproducibility across ML pipelines.
***Machine Learning Engineering***
* Develop, optimize, and maintain production\-grade machine learning models.
* Implement feature engineering pipelines and reusable ML components.
* Design and build end\-to\-end ML architectures, from experimentation to deployment.
* Apply model evaluation, testing, and validation frameworks to ensure robustness.
* Lead efforts in Generative AI system design, mentoring team members on applied GenAI patterns and best practices.
* Translate ambiguous business problems into clear technical designs and ML system architectures.
***MLOps \&amp; Production Systems***
* Deploy ML models using CI/CD pipelines, containerization, and cloud\-native services.
* Implement model monitoring, performance tracking, drift detection, and retraining strategies.
* Partner with platform teams to ensure models meet security, scalability, and reliability standards.
* Troubleshoot and optimize ML systems in production environments.
* Contribute to ML platform standards, tooling, and reusable frameworks.
***Cross\-Functional Engineering Collaboration***
* Work closely with product managers, engineers, and business stakeholders to define technical requirements.
* Translate analytical insights into engineering deliverables for downstream systems.
* Communicate technical designs, trade\-offs, and system behavior to both technical and non\-technical audiences.
* Collaborate with domain experts to integrate business logic into ML system design.
***Continuous Learning \&amp; Technical Innovation***
* Stay current with advancements in ML engineering, cloud platforms, MLOps, and Generative AI.
* Prototype and evaluate new tools, architectures, and frameworks.
* Contribute to technical documentation, design reviews, and best practices.
* Continuously improve system reliability, performance, and maintainability.
**Ideal Qualifications, Skills \&amp; Experience (Engineering\-Heavy)**
***Education \&amp; Experience***
* Bachelor’s or Master’s degree in Computer Science, Engineering, Data Science, or related discipline.
* 5\+ years of hands\-on experience building and deploying ML systems in production.
***Core Technical Skills***
* Strong proficiency in Python with experience building production ML code.
* Advanced SQL skills and experience working with large\-scale datasets.
* Experience with machine learning frameworks.
* Hands\-on experience with data pipelines, feature stores, and ML workflows.
* Familiarity with Generative AI models and applied GenAI system patterns.
***ML Engineering \&amp; MLOps***
* Experience deploying models using containers (Docker) and CI/CD pipelines.
* Exposure to cloud platforms (AWS, Azure, or GCP) and managed ML services.
* Understanding of model monitoring, drift detection, and lifecycle management.
* Ability to design scalable, fault\-tolerant ML architectures.
***Engineering Mindset***
* Strong ability to translate business problems into engineering solutions.
* Comfortable working with ambiguous requirements and defining technical direction.
* Experience designing modular, reusable, and maintainable systems.
* Strong debugging, performance optimization, and problem\-solving skills.
***Collaboration \&amp; Communication***
* Ability to explain complex ML systems and trade\-offs to diverse stakeholders.
* Strong written and verbal communication skills.
* Team\-oriented with the ability to work independently and take ownership.
* Effective planning, prioritization, and execution in fast\-paced environments.
**Compensation Range** 
 : Along with base compensation, other compensation is offered such as a discretionary bonus, 401k plan, health insurance, and other perks. There are several factors taken into consideration in making compensation decisions including but not limited to location, job\-related knowledge, skills, and experience. At Franklin Templeton, we apply a total reward philosophy where all aspects of compensation and benefits are taken into consideration in determining compensation. The salary, benefits and variable rewards will reflect the seniority of the position and a competitive market rate. We expect the annual salary for this position to range between $125,000 to $160,000\.
 When applying, please be sure to
 **attach your resume / CV** 
 . Applications without a resume file attachment will not be reviewed.
 \#ASSOCIATE
******Experience our welcoming culture and reach your professional and personal potential!******
 Our culture is shaped by the variety of perspectives and experiences brought by talent from around the world. Regardless of your interests, lifestyle, or background, there’s a place for you at Franklin Templeton. We provide employees with the tools, resources, and learning opportunities to help them excel in their career and personal life.
 By joining us, you will become part of a culture that focuses on employee well\-being and provides multidimensional support for a positive and healthy lifestyle. We understand that benefits are at the core of employee well\-being and may vary depending on individual needs. Whether you need support for maintaining your physical and mental health, saving for life’s adventures, taking care of your family members, or making a positive impact in your community, we aim to have your needs covered. Learn more about the wide range of benefits we offer at Franklin Templeton.
**Highlights Of Our Benefits Include**
* Three weeks paid time off the first year
* Medical, dental and vision insurance
* 401(k) Retirement Plan with 85% company match on your pre\-tax and/or Roth contributions, up to the IRS limits
* Employee Stock Investment Program
* Tuition Assistance Program
* Purchase of company funds with no sales charge
* Onsite fitness center and recreation center\*
* Onsite cafeteria\*
* Only applicable at certain locations
****Learn more about the wide range of benefits we offer at Franklin Templeton****
 Franklin Templeton is an Equal Opportunity Employer. We are committed to providing equal employment opportunities to all applicants and employees, and we evaluate qualified applicants without regard to ancestry, age, color, disability, genetic information, gender, gender identity, or gender expression, marital status, medical condition, military or veteran status, national origin, race, religion, sex, sexual orientation, and any other basis protected by federal, state, or local law, ordinance, or regulation.
 If you believe that you need an accommodation or adjustment to search for or apply for one of our positions, please send an email to accommodations@franklintempleton.com. In your email, please include the accommodation or adjustment you are requesting, the job title, and the job number you are applying for. It may take up to three business days to receive a response to your request. Please note that only accommodation requests will receive a response.</t>
        </is>
      </c>
    </row>
    <row r="24">
      <c r="A24" t="inlineStr">
        <is>
          <t>li-4369102480</t>
        </is>
      </c>
      <c r="B24" t="inlineStr">
        <is>
          <t>Data Scientist II / Data Analyst</t>
        </is>
      </c>
      <c r="C24" t="inlineStr">
        <is>
          <t>HDR</t>
        </is>
      </c>
      <c r="D24" t="inlineStr">
        <is>
          <t>linkedin</t>
        </is>
      </c>
      <c r="E24" t="inlineStr"/>
      <c r="F24" t="inlineStr"/>
      <c r="G24" t="inlineStr">
        <is>
          <t>Washington, DC</t>
        </is>
      </c>
      <c r="H24" t="inlineStr"/>
      <c r="I24" t="inlineStr">
        <is>
          <t>At HDR, our employee\-owners are fully engaged in creating a welcoming environment where each of us is valued and respected, a place where everyone is empowered to bring their authentic selves and novel ideas to work every day. As we foster a culture of inclusion throughout our company and within our communities, we constantly ask ourselves: What is our impact on the world?
 Watch Our Story:' https://www.hdrinc.com/our\-story'
 Each and every role throughout our organization makes a difference in our ability to change the world for the better. Read further to learn how you could help make great things possible not only in your community, but around the world.
 We believe transportation is more than movement, it’s the foundation of connected, thriving communities. As part of HDR’s Transportation Business Group, you’ll help shape the systems that move people and goods safely, efficiently, and sustainably. From designing resilient highways and iconic bridges to advancing transit, passenger and freight rail, aviation, federal transportation ports and marine infrastructure, your work will directly support economic vitality, public safety, sustainable and resilient communities and quality of life. We bring together planners, engineers, architects, construction management staff, environmental, strategic communications, economists, management consultants and specialists across disciplines to solve complex mobility challenges with innovation, technical excellence, and a deep understanding of community needs. Whether you're modernizing aging infrastructure or pioneering next\-generation transportation solutions, your contributions will help define the future of mobility. This isn’t just a job, it’s a chance to lead progress, drive meaningful impact, and leave a legacy of smarter, more connected transportation networks. We are all employee\-owners at HDR, which is the foundation of our collaborative culture that connects employees around the world.
 In the role of Data Scientist II / Data Analyst, we'll count on you to:
 \- Handle highly sensitive and confidential information with professionalism and discretion
 \- Collaborate with stakeholders to improve business decisions by identifying patterns and trends in data
 \- Develop data products including reports, visualizations, and dashboards
 \- Adhere to software and data science development standards
 \- Perform data acquisition, sourcing, cleaning, and exploratory data analysis (EDA)
 \- Transform raw data into usable attributes for machine learning modules through feature engineering
 \- Manage model lifecycle including development, deployment, data drift detection, model retraining, and model inference
 \- Create automated data pipelines and data engineering solutions
 \- Develop advanced and custom predictive models (classification, regression, time series, neural networks, natural language processing, and computer vision)
 \- Tune models with training, hyperparameters with comprehensive validation and testing processes
 \- Leverage predictive models to optimize business results
 \*Position will be based in a client office located in Arlington, VA\*
 Preferred Qualifications
 \- Bachelor's degree
 \- A minimum of 5 years experience strongly preferred
 \- Transit experience preferred
 \- WMATA experience preferred
 \- Preference given to candidates currently located in the area</t>
        </is>
      </c>
    </row>
    <row r="25">
      <c r="A25" t="inlineStr">
        <is>
          <t>li-4369106945</t>
        </is>
      </c>
      <c r="B25" t="inlineStr">
        <is>
          <t>Alibaba.com-Accio-Senior Applied Scientist-Sunnyvale</t>
        </is>
      </c>
      <c r="C25" t="inlineStr">
        <is>
          <t>Alibaba Group</t>
        </is>
      </c>
      <c r="D25" t="inlineStr">
        <is>
          <t>linkedin</t>
        </is>
      </c>
      <c r="E25" t="inlineStr"/>
      <c r="F25" t="inlineStr"/>
      <c r="G25" t="inlineStr">
        <is>
          <t>Sunnyvale, CA</t>
        </is>
      </c>
      <c r="H25" t="inlineStr"/>
      <c r="I25" t="inlineStr">
        <is>
          <t>**About Our Team**
 Our team is dedicated to revolutionizing B2B e\-commerce through the development of a groundbreaking AI search product. Leveraging cutting\-edge LLM technology, we're creating a brand new AI search engine and streamline the entire purchasing process for B2B customers.
**Responsibilities**
* Deliver full projects by defining the data structure, framework, design, and evaluation metrics for AI solution development and implementation.
* Develop and deploy Large Language Models (LLMs) to empower search and agent systems for a variety of applications.
* Identify new and upcoming product innovation areas by interacting with potential external and internal collaborators.
* Identify undefined problems in existing technology and engage stakeholders and leaders to address them.
**Qualifications**
**Job Requirements**
* PhD, Master's, or Bachelor's degree in Computer Science, Engineering, Mathematics, or related fields.
* Ability to implement and verify state\-of\-the\-art NLP or Computer Vision algorithms.
* Experience in successfully applying machine learning approaches to real\-world personalization problems.
* Experience with building large language models.
* Knowledge of statistical methods, with strong mathematical skills.
* Excellent problem\-solving and programming skills in Python.
 The pay range for this position at commencement of employment is expected to be between $162,400/year and $266,000/year. However, base pay offered may vary depending on multiple individualized factors, including market location, job\-related knowledge, skills, and experience.
 If hired, employee will be in an “at\-will position” and the Company reserves the right to modify base salary (as well as any other discretionary payment or compensation program) at any time, including for reasons related to individual performance, Company or individual department/team performance, and market factors.</t>
        </is>
      </c>
    </row>
    <row r="26">
      <c r="A26" t="inlineStr">
        <is>
          <t>li-4365502593</t>
        </is>
      </c>
      <c r="B26" t="inlineStr">
        <is>
          <t>Data Scientist</t>
        </is>
      </c>
      <c r="C26" t="inlineStr">
        <is>
          <t>Underdog.io -Apply to top tech jobs in 60 seconds. A place where companies apply to you</t>
        </is>
      </c>
      <c r="D26" t="inlineStr">
        <is>
          <t>linkedin</t>
        </is>
      </c>
      <c r="E26" t="inlineStr"/>
      <c r="F26" t="inlineStr"/>
      <c r="G26" t="inlineStr"/>
      <c r="H26" t="inlineStr"/>
      <c r="I26" t="inlineStr">
        <is>
          <t>Underdog.io is a modern recruiting platform. One of our hiring partners is looking to hire a Data Scientist to expand their retail analytics team.
**Job Title:** 
 Data Scientist
**Locations:** 
 San Francisco, CA, Irvine, CA, New York, NY, Seattle, WA, Austin, TX, and Remote
**About Our Company** 
 We’re the world’s largest live streaming platform, where millions of global communities connect daily around shared passions—from gaming, music, and sports to cooking and creative arts. Our mission is to empower creators and foster belonging through real\-time interaction. Backed by a collaborative, community\-driven culture, we’re solving complex challenges at the intersection of entertainment, technology, and human connection.
**The Opportunity** 
 Join our Monetization Data Science team to directly impact how creators earn revenue on our platform. As a Data Scientist focused on Payouts \&amp; Creator Economics, you’ll ensure fair, transparent, and innovative compensation systems for thousands of global creators. Partner with Product, Engineering, Finance, and Legal teams to refine payout policies, launch new monetization features, and combat fraud—all while growing into a senior technical leader.
 What You’ll Do
* **Analyze Policy Impact:** 
 Measure how payout program changes (e.g., eligibility rules, payment timelines) affect creator behavior and platform economics.
* **Own Creator Insights:** 
 Develop dashboards and reports tracking payout performance, earnings trends, and program health.
* **Drive Causal Inference:** 
 Apply methods like DiD, matching, and IPW to evaluate non\-experimental policy shifts.
* **Build Data Pipelines:** 
 Create and maintain SQL/Python workflows for recurring analytics (owning data ops when needed).
* **Cross\-Functional Leadership:** 
 Guide product decisions by translating data into actionable strategies for stakeholders.
* **Support Innovation:** 
 Shape new monetization initiatives to expand creator opportunities globally.
**Your Expertise** 
* 3\+ years in Data Science, Analytics, or related field.
**Technical Fluency:** 
* Advanced SQL (complex joins, window functions).
* Python (Pandas, SciPy) or R for data analysis.
* Causal inference mastery (experiment design, quasi\-experimental methods).
* **Communication:** 
 Distill technical insights for executives, legal teams, and engineers.
* **Ownership Mentality:** 
 Thrive in ambiguity; proactively solve problems with imperfect data.
* **Growth Mindset:** 
 Eager to evolve from tactical analytics to strategic leadership.
 Bonus Points For
* Airflow, SageMaker, or ML deployment experience (fraud/churn models).
* Econometrics background or A/B test design.
* Dashboarding (Tableau, Looker, Redshift).
 Perks \&amp; Benefits
* 💰
 **Competitive Salary** 
 \+ Annual Bonus
* 🩺
 **Full\-Coverage Health:** 
 Medical, dental, vision, disability (100% premiums)
* 👨 👩 👧
 **Family Support:** 
 16\-week parental leave \+ fertility benefits
* 🌴
 **Flexible PTO:** 
 Unlimited vacation \+ company\-wide breaks
* 💻
 **Workspace Stipend:** 
 $1,000/year home office upgrade
* 📈
 **401(k):** 
 100% match up to 6% of salary
* 🛒
 **Retail Discounts:** 
 10% off at leading e\-commerce brands
 Our Culture
* **Community First:** 
 We build belonging—for creators and each other.
* **Bold Ownership:** 
 Solve hard problems with autonomy and accountability.
* **Learn Together:** 
 Weekly tech talks, mentorship, and $5k/year learning stipend.
* **Global Impact:** 
 Your work directly empowers creators worldwide.
**Apply Now** 
 Ready to revolutionize how creators thrive? Join us to blend analytical rigor with creative problem\-solving—and grow your career in a team that values curiosity, collaboration, and human connection.</t>
        </is>
      </c>
    </row>
    <row r="27">
      <c r="A27" t="inlineStr">
        <is>
          <t>li-4346185004</t>
        </is>
      </c>
      <c r="B27" t="inlineStr">
        <is>
          <t>Senior Data Scientist</t>
        </is>
      </c>
      <c r="C27" t="inlineStr">
        <is>
          <t>Nexxen</t>
        </is>
      </c>
      <c r="D27" t="inlineStr">
        <is>
          <t>linkedin</t>
        </is>
      </c>
      <c r="E27" t="inlineStr"/>
      <c r="F27" t="inlineStr"/>
      <c r="G27" t="inlineStr">
        <is>
          <t>New York, NY</t>
        </is>
      </c>
      <c r="H27" t="inlineStr"/>
      <c r="I27"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28">
      <c r="A28" t="inlineStr">
        <is>
          <t>li-4346185001</t>
        </is>
      </c>
      <c r="B28" t="inlineStr">
        <is>
          <t>Senior Data Scientist</t>
        </is>
      </c>
      <c r="C28" t="inlineStr">
        <is>
          <t>Nexxen</t>
        </is>
      </c>
      <c r="D28" t="inlineStr">
        <is>
          <t>linkedin</t>
        </is>
      </c>
      <c r="E28" t="inlineStr"/>
      <c r="F28" t="inlineStr"/>
      <c r="G28" t="inlineStr">
        <is>
          <t>Dallas, TX</t>
        </is>
      </c>
      <c r="H28" t="inlineStr"/>
      <c r="I28"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29">
      <c r="A29" t="inlineStr">
        <is>
          <t>li-4346243637</t>
        </is>
      </c>
      <c r="B29" t="inlineStr">
        <is>
          <t>Senior Data Scientist</t>
        </is>
      </c>
      <c r="C29" t="inlineStr">
        <is>
          <t>Nexxen</t>
        </is>
      </c>
      <c r="D29" t="inlineStr">
        <is>
          <t>linkedin</t>
        </is>
      </c>
      <c r="E29" t="inlineStr"/>
      <c r="F29" t="inlineStr"/>
      <c r="G29" t="inlineStr">
        <is>
          <t>Redwood City, CA</t>
        </is>
      </c>
      <c r="H29" t="inlineStr"/>
      <c r="I29"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30">
      <c r="A30" t="inlineStr">
        <is>
          <t>li-4368996171</t>
        </is>
      </c>
      <c r="B30" t="inlineStr">
        <is>
          <t>Senior Data Scientist</t>
        </is>
      </c>
      <c r="C30" t="inlineStr">
        <is>
          <t>RemoteHunter</t>
        </is>
      </c>
      <c r="D30" t="inlineStr">
        <is>
          <t>linkedin</t>
        </is>
      </c>
      <c r="E30" t="inlineStr"/>
      <c r="F30" t="inlineStr"/>
      <c r="G30" t="inlineStr"/>
      <c r="H30" t="inlineStr"/>
      <c r="I30" t="inlineStr">
        <is>
          <t>About the Opportunity:
 The organization provides a platform that simplifies building and scaling in\-app subscriptions. It serves as a default monetization platform for mobile, present in over 40% of newly shipped subscription apps, processing more than $10 billion in annual purchase volume, and supporting a diverse range of developers globally. The Senior Data Scientist role focuses on driving product impact through proactive data analysis and collaboration with Product, Engineering, and Analytics teams, powering customer\-facing features and shaping product direction using data.
 Responsibilities:
 • Proactively explore the organization’s data to identify customer problems, opportunities, and product bets.
 • Translate ambiguous product and business questions into clear analyses, models, and recommendations.
 • Partner with Product Managers to shape roadmaps.
 • Design, build, and ship production\-grade predictive and descriptive models powering customer features.
 • Define and evaluate statistical approaches for experimentation, benchmarking, and forecasting.
 • Communicate insights clearly to technical and non\-technical audiences, emphasizing customer impact.
 • Continuously iterate on models and features based on usage and feedback.
 Requirements:
 • 5\+ years of experience as a Data Scientist.
 • Strong SQL skills and experience with data modeling.
 • Experience building and deploying predictive and descriptive models in production.
 • Experience writing or collaborating on production\-ready Python code.
 • Solid understanding of statistics and experimentation, ideally including Bayesian methods.
 • Ability to explain complex ideas and results clearly to broad audiences.
 • Highly proactive, comfortable pushing ideas forward.
 • Experience working with messy, real\-world data and imperfect information.
 • Focus on creating customer value over academic elegance.
 • Comfortable operating in ambiguity and building structure where none exists.
 • Enjoy working closely with Product teams and influencing decisions.
 • Interest in the consumer subscription ecosystem and developer monetization.
 Benefits \&amp; Perks:
 • Competitive equity in a fast\-growing, Series C startup backed by top\-tier investors including Y Combinator.
 • 10\-year window to exercise vested equity options.
 • Fully remote and flexible work environment.
 • 4\-5 weeks of suggested annual time off for mental, physical, and emotional recharge.
 • $2,000 USD for workspace setup and $1,000 USD annual stipend for continuous learning.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31">
      <c r="A31" t="inlineStr">
        <is>
          <t>li-4346194862</t>
        </is>
      </c>
      <c r="B31" t="inlineStr">
        <is>
          <t>Senior Data Scientist</t>
        </is>
      </c>
      <c r="C31" t="inlineStr">
        <is>
          <t>Nexxen</t>
        </is>
      </c>
      <c r="D31" t="inlineStr">
        <is>
          <t>linkedin</t>
        </is>
      </c>
      <c r="E31" t="inlineStr"/>
      <c r="F31" t="inlineStr"/>
      <c r="G31" t="inlineStr">
        <is>
          <t>Los Angeles, CA</t>
        </is>
      </c>
      <c r="H31" t="inlineStr"/>
      <c r="I31"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32">
      <c r="A32" t="inlineStr">
        <is>
          <t>li-4315926050</t>
        </is>
      </c>
      <c r="B32" t="inlineStr">
        <is>
          <t>Applied Scientist 4</t>
        </is>
      </c>
      <c r="C32" t="inlineStr">
        <is>
          <t>Oracle</t>
        </is>
      </c>
      <c r="D32" t="inlineStr">
        <is>
          <t>linkedin</t>
        </is>
      </c>
      <c r="E32" t="inlineStr"/>
      <c r="F32" t="inlineStr"/>
      <c r="G32" t="inlineStr"/>
      <c r="H32" t="inlineStr"/>
      <c r="I32" t="inlineStr">
        <is>
          <t>**Job Description**
 Invent, implement and deploy state\-of\-the\-art machine learning and/or specific domain industry algorithms and systems. Build prototypes and explore conceptually new solutions. Work collaboratively with science, engineering, and product teams to identify customer needs in order to create and implement solutions, promote innovation and drive model implementations. Applies data science capabilities and research findings to create and implement solutions to scale. Responsible for developing new intelligence around core products and services through applied research on behalf of our customers. Develops models, prototypes, and experiments that pave the way for innovative products and services. Build cloud services that work out of the box for enterprises, e.g. decision support, anomaly detection, forecasting and recommendations), natural language processing (NLP), Natural Language Understanding (NLU),Time Series, Automatic Speech Recognition (ASR), Machine Learning (ML), and Computer Vision (CV). Design and run experiments, research new algorithms, and find new ways of optimizing risk, profitability, and customer experience. Conversant on ethical problems in consideration of sciences.
**Responsibilities**
 Leading contributor providing guidance and mentorship to define, design and deliver product quality improvements from ideation stage to shipping to the customer. Write high quality code to power experiments and build models. Contributes to writing production model code. Work closely with product management and engineering to deliver products which solves the needs of our customers by building relevant, innovative results which strategically differentiates Oracle in the market. Set up environment needed to run experiments for all projects. Set up distributed environments. Engage with customers and help solve complex problems with the customer/partner. Directly impact our customers via innovation in products and services that make use of ML/AI technology. Clearly articulate technical work to audiences of all levels and across multiple functional areas. Keep track of the progress and ensure the team is following the best practices. Works on training data collection, feature engineering, model training, offline and online experimentation. Drives independent research and development. Advance the state\-of\-the\-art machine learning and algorithms for real\-world large\-scale applications. Ensure solutions are designed with fairness and explainability in mind. May perform other duties as assigned.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33">
      <c r="A33" t="inlineStr">
        <is>
          <t>li-4369481613</t>
        </is>
      </c>
      <c r="B33" t="inlineStr">
        <is>
          <t>Senior Data Scientist</t>
        </is>
      </c>
      <c r="C33" t="inlineStr">
        <is>
          <t>Microsoft</t>
        </is>
      </c>
      <c r="D33" t="inlineStr">
        <is>
          <t>linkedin</t>
        </is>
      </c>
      <c r="E33" t="inlineStr"/>
      <c r="F33" t="inlineStr"/>
      <c r="G33" t="inlineStr">
        <is>
          <t>Redmond, WA</t>
        </is>
      </c>
      <c r="H33" t="inlineStr"/>
      <c r="I33" t="inlineStr">
        <is>
          <t>**Overview**
 What a time to join Microsoft! The Office of the Chief Economist works across the company to pursue commercial value using economics and data science. Examples of our work include algorithms that grow Microsoft’s cloud revenue and resource efficiency; some of the first\-ever studies of how AI changes the way that people work; and market design for software resellers.
 We are looking for a
 **Senior Data Scientist** 
 with broad technical skills, business acumen, and a player\-coach attitude. You will work alongside world\-class colleagues on high\-visibility projects answering some of Microsoft’s most pressing challenges. You will work directly with business partners to identify opportunities. Your initial first project will involve building algorithmic support for our deal teams, using machine learning, experimentation, and good old\-fashioned analytics. This is an opportunity to rethink, build, and operate internal processes and software.
 Successful candidates can dive deep into sophisticated modeling approaches when needed; but more importantly, they know when a simple and pragmatic solution will do just as well, and they know how to inspire the same in others. They know how to tell good stories through data, how to visualize, and how to use many fast iterations in the face of ambiguous problems.
 Our team values entrepreneurship, craftsmanship, and continuous learning. You will be able to shape and grow a positive and productive data science culture.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**Responsibilities**
* Understand business needs and develop appropriate data analysis to meet those needs including pipelining, exploratory data analysis, modeling, inference, and experimentation.
* Collaborate with senior economists to solve some of Microsoft’s most pressing issues, delivering tangible commercial value.
* Together with your team, interpret and present analysis results to senior stakeholders.
* Coach more junior team members, promoting a culture of learning and evangelizing modern data science methods.
* Build a robust product that makes data, econometrics, and ML useful for deal teams in the field.Embody our culture and values.
**Qualifications**
**Required/minimum qualifications**
* Doctorate in Data Science, Mathematics, Statistics, Econometrics, Economics, Operations Research, Computer Science, or related field AND 1\+ year(s) data\-science experience (e.g., managing structured and unstructured data, applying statistical techniques and reporting results) OR Master's Degree in Data Science, Mathematics, Statistics, Econometrics, Economics, Operations Research, Computer Science, or related field AND 3\+ years data\-science experience (e.g., managing structured and unstructured data, applying statistical techniques and reporting results) OR Bachelor's Degree in Data Science, Mathematics, Statistics, Econometrics, Economics, Operations Research, Computer Science, or related field AND 5\+ years data\-science experience (e.g., managing structured and unstructured data, applying statistical techniques and reporting results) OR equivalent experience.
**Additional Or Preferred Qualifications**
* Doctorate in Data Science, Mathematics, Statistics, Econometrics, Economics, Operations Research, Computer Science, or related field AND 3\+ years data\-science experience (e.g., managing structured and unstructured data, applying statistical techniques and reporting results) OR Master's Degree in Data Science, Mathematics, Statistics, Econometrics, Economics, Operations Research, Computer Science, or related field AND 5\+ years data\-science experience (e.g., managing structured and unstructured data, applying statistical techniques and reporting results) OR Bachelor's Degree in Data Science, Mathematics, Statistics, Econometrics, Economics, Operations Research, Computer Science, or related field AND 7\+ years data\-science experience (e.g., managing structured and unstructured data, applying statistical techniques and reporting results) OR equivalent experience.
* 1\+ year of experience in preparing and executing analysis plans, evaluating various statistical methods (ML, causal inference, classical methods) and choosing the most appropriate approaches given business requirements.
* 1\+ year of industry experience in python and R and data query systems such as SQL or Spark, and management platforms such as Fabric, Databricks, SQL Server or Cosmos.
* 1\+ year of industry experience working with cross\-functional teams, gathering requirements, and building requirements into analysis plans.
* 1\+ year of experience with MLops, running Production\-grade ML systems and experience with Sales processes.
* 1\+ year of engineering experience in a modern cloud stack, including serverless methods and demonstrated experience leveraging your skills using AI.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4">
      <c r="A34" t="inlineStr">
        <is>
          <t>li-4368991805</t>
        </is>
      </c>
      <c r="B34" t="inlineStr">
        <is>
          <t>Senior Data Scientist, People</t>
        </is>
      </c>
      <c r="C34" t="inlineStr">
        <is>
          <t>RemoteHunter</t>
        </is>
      </c>
      <c r="D34" t="inlineStr">
        <is>
          <t>linkedin</t>
        </is>
      </c>
      <c r="E34" t="inlineStr"/>
      <c r="F34" t="inlineStr"/>
      <c r="G34" t="inlineStr"/>
      <c r="H34" t="inlineStr"/>
      <c r="I34" t="inlineStr">
        <is>
          <t>About the Opportunity:
 This organization provides a platform helping millions to manage and improve their homes through personalized guidance, AI tools, and a hiring experience connecting homeowners with local service businesses. The Senior Data Scientist, People role supports talent decisions by leveraging data, analytics, and AI to deliver insights and build scalable data products.
 Responsibilities:
 • Communicate clear, business\-relevant talent insights using data.
 • Apply AI to improve insight generation, decision support, and experimentation.
 • Design and maintain People data foundations, including pipelines and BigQuery models, collaborating with Data Engineering and HR Operations.
 • Develop scalable analytics products and tools such as Tableau dashboards and AI\-enabled solutions.
 • Collaborate with People Team and business leaders to identify and analyze high\-impact talent questions and provide actionable recommendations.
 • Manage end\-to\-end initiatives across People functions including Recruiting, Talent Management, and DEIB.
 • Promote a culture of data\-informed decision\-making across the People Team and organization.
 Requirements:
 • BA/BS degree in a quantitative field such as Economics, Statistics, or Psychology.
 • At least 4 years of experience, including 1 year in People Data Science or People Analytics.
 • Experience with managing data pipelines and data warehousing.
 • Strong written and verbal communication skills for diverse audiences including senior leadership.
 • Proficient in SQL for querying large datasets, Tableau, and familiar with statistical/programming languages such as R or Python.
 • Ability to work independently and collaborate effectively across teams.
 • Strong prioritization and project management skills.
 Compensation:
 • For candidates in San Francisco / Bay Area, San Jose, New York City, or Seattle metros, the expected salary range is $197,200 to $255,200\.
 • For candidates in Austin, TX; Washington DC metros; or in California, Massachusetts, New Jersey, or Washington states, the expected salary range is $140,400 to $177,700\.
 • For candidates in all other US locations, the expected salary range is $167,500 to $216,700\.
 Actual salaries vary based on job level, qualifications, skills, and proficiency.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35">
      <c r="A35" t="inlineStr">
        <is>
          <t>li-4339947625</t>
        </is>
      </c>
      <c r="B35" t="inlineStr">
        <is>
          <t>Sr. Applied Scientist, Prime Video - Recommendation/Search</t>
        </is>
      </c>
      <c r="C35" t="inlineStr">
        <is>
          <t>Prime Video &amp; Amazon MGM Studios</t>
        </is>
      </c>
      <c r="D35" t="inlineStr">
        <is>
          <t>linkedin</t>
        </is>
      </c>
      <c r="E35" t="inlineStr"/>
      <c r="F35" t="inlineStr"/>
      <c r="G35" t="inlineStr">
        <is>
          <t>Sunnyvale, CA</t>
        </is>
      </c>
      <c r="H35" t="inlineStr"/>
      <c r="I35"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Sr. Applied Scientists with Recommender System or Search Ranking or Ads Ranking experience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Recommendation/Search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Recommendation/Search Science team owns science solution to power search experience on various devices, from sourcing, relevance, ranking, to name a few. We work closely with the engineering teams to launch our solutions in production.
**Basic Qualifications**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A3124938</t>
        </is>
      </c>
    </row>
    <row r="36">
      <c r="A36" t="inlineStr">
        <is>
          <t>li-4314908936</t>
        </is>
      </c>
      <c r="B36" t="inlineStr">
        <is>
          <t>Principal Applied Scientist</t>
        </is>
      </c>
      <c r="C36" t="inlineStr">
        <is>
          <t>Oracle</t>
        </is>
      </c>
      <c r="D36" t="inlineStr">
        <is>
          <t>linkedin</t>
        </is>
      </c>
      <c r="E36" t="inlineStr"/>
      <c r="F36" t="inlineStr"/>
      <c r="G36" t="inlineStr"/>
      <c r="H36" t="inlineStr"/>
      <c r="I36" t="inlineStr">
        <is>
          <t>**Job Description**
 Responsible AI: Principal Applied Scientist.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**Responsibilities**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37">
      <c r="A37" t="inlineStr">
        <is>
          <t>li-4314917647</t>
        </is>
      </c>
      <c r="B37" t="inlineStr">
        <is>
          <t>Principal Applied Scientist</t>
        </is>
      </c>
      <c r="C37" t="inlineStr">
        <is>
          <t>Oracle</t>
        </is>
      </c>
      <c r="D37" t="inlineStr">
        <is>
          <t>linkedin</t>
        </is>
      </c>
      <c r="E37" t="inlineStr"/>
      <c r="F37" t="inlineStr"/>
      <c r="G37" t="inlineStr"/>
      <c r="H37" t="inlineStr"/>
      <c r="I37" t="inlineStr">
        <is>
          <t>**Job Description**
 Responsible AI: Principal Applied Scientist.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**Responsibilities**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38">
      <c r="A38" t="inlineStr">
        <is>
          <t>li-4315476944</t>
        </is>
      </c>
      <c r="B38" t="inlineStr">
        <is>
          <t>Principal Applied Scientist</t>
        </is>
      </c>
      <c r="C38" t="inlineStr">
        <is>
          <t>Oracle</t>
        </is>
      </c>
      <c r="D38" t="inlineStr">
        <is>
          <t>linkedin</t>
        </is>
      </c>
      <c r="E38" t="inlineStr"/>
      <c r="F38" t="inlineStr"/>
      <c r="G38" t="inlineStr"/>
      <c r="H38" t="inlineStr"/>
      <c r="I38" t="inlineStr">
        <is>
          <t>**Job Description**
 Invent, implement and deploy state\-of\-the\-art machine learning and/or specific domain industry algorithms and systems. Build prototypes and explore conceptually new solutions. Work collaboratively with science, engineering, and product teams to identify customer needs in order to create and implement solutions, promote innovation and drive model implementations. Applies data science capabilities and research findings to create and implement solutions to scale. Responsible for developing new intelligence around core products and services through applied research on behalf of our customers. Develops models, prototypes, and experiments that pave the way for innovative products and services
**About The Role**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**Business Justification:**
 This role is critical to advancing our AI strategy by accelerating the development and deployment of
 **scalable, production\-grade machine learning solutions** 
 that directly support customer use cases and drive differentiation in our core products. By combining
 **cutting\-edge research with applied innovation** 
 , this role will enable us to:
* Address high\-priority technical gaps in areas such as model safety, bias mitigation, explainability, and performance optimization
* Increase customer trust and adoption through more robust and responsible AI systems
* Strengthen our IP portfolio and thought leadership through novel model development and peer\-reviewed publications
 This position not only supports innovation but also
 **directly impacts revenue, customer satisfaction, and competitive advantage** 
 by ensuring our AI systems are performant, responsible, and aligned with user needs.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39">
      <c r="A39" t="inlineStr">
        <is>
          <t>li-4369111573</t>
        </is>
      </c>
      <c r="B39" t="inlineStr">
        <is>
          <t>Staff Applied Scientist</t>
        </is>
      </c>
      <c r="C39" t="inlineStr">
        <is>
          <t>Visa</t>
        </is>
      </c>
      <c r="D39" t="inlineStr">
        <is>
          <t>linkedin</t>
        </is>
      </c>
      <c r="E39" t="inlineStr"/>
      <c r="F39" t="inlineStr"/>
      <c r="G39" t="inlineStr">
        <is>
          <t>Bellevue, WA</t>
        </is>
      </c>
      <c r="H39" t="inlineStr"/>
      <c r="I39"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We are seeking a highly technical and hands\-on
 **Staff Applied Scientist** 
 to contribute to the development of AI\-driven data products across the Visa Acceptance Platform. In this role, you will work closely with engineering, product, and architecture partners to design, build, and deploy machine learning solutions that operate at global scale.
 This is an execution\-focused role for an experienced data scientist who thrives in production environments and enjoys solving complex data and modeling problems that directly impact customers.
 What You Will Do (Essential Functions)
* Design, develop, and deploy machine learning models and data solutions that support analytics, predictive insights, and AI\-powered platform features.
* Perform data exploration, feature engineering, modeling, and validation using large, complex datasets.
* Build, maintain, and improve data pipelines and model workflows in partnership with engineering teams.
* Apply appropriate metrics and evaluation techniques to measure model performance, reliability, and business impact.
* Collaborate with Product, Engineering, and Security partners to translate business requirements into scalable and secure data science solutions.
* Contribute to platform modernization efforts by improving data quality, performance, reliability, and observability.
* Support operational readiness through monitoring, troubleshooting, and continuous improvement of deployed models.
 This is a hybrid position. Expectation of days in the office will be confirmed by your Hiring Manager.
**Qualifications**
**Basic Qualifications:**
* 5 or more years of relevant work experience with a Bachelors Degree or at least 2 years of work experience with an Advanced degree (e.g. Masters, MBA, JD, MD) or 0 years of work experience with a PhD
**Preferred Qualifications:**
* 6 or more years of work experience with a Bachelors Degree or 4 or more years of relevant experience with an Advanced Degree (e.g. Masters, MBA, JD, MD) or up to 3 years of relevant experience with a PhD
* 2\+ years of experience building and deploying AI/ML models for analytics, predictions, or recommendations in production environments.
* 3\+ years of experience working with large\-scale data technologies such as Spark, Kafka, Hadoop, Hive, NoSQL, or relational databases.
* 2\+ years of experience designing and maintaining ETL or data pipelines.
* Experience working with big data, distributed systems, and batch or streaming data processing.
* Strong understanding of metrics design, experimentation, and model evaluation techniques.
* Proficiency in Python and SQL; experience with modern ML frameworks is a plus.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145,300\.00 to 232,700\.00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40">
      <c r="A40" t="inlineStr">
        <is>
          <t>li-4362427672</t>
        </is>
      </c>
      <c r="B40" t="inlineStr">
        <is>
          <t>Senior People Data Scientist - Teamwork Lab</t>
        </is>
      </c>
      <c r="C40" t="inlineStr">
        <is>
          <t>Atlassian</t>
        </is>
      </c>
      <c r="D40" t="inlineStr">
        <is>
          <t>linkedin</t>
        </is>
      </c>
      <c r="E40" t="inlineStr"/>
      <c r="F40" t="inlineStr"/>
      <c r="G40" t="inlineStr"/>
      <c r="H40" t="inlineStr"/>
      <c r="I40"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41">
      <c r="A41" t="inlineStr">
        <is>
          <t>li-4314381471</t>
        </is>
      </c>
      <c r="B41" t="inlineStr">
        <is>
          <t>Staff Data Scientist, Algorithm - Growth</t>
        </is>
      </c>
      <c r="C41" t="inlineStr">
        <is>
          <t>Airwallex</t>
        </is>
      </c>
      <c r="D41" t="inlineStr">
        <is>
          <t>linkedin</t>
        </is>
      </c>
      <c r="E41" t="inlineStr"/>
      <c r="F41" t="inlineStr"/>
      <c r="G41" t="inlineStr">
        <is>
          <t>San Francisco, CA</t>
        </is>
      </c>
      <c r="H41" t="inlineStr"/>
      <c r="I41" t="inlineStr">
        <is>
          <t>**About Airwallex**
 Airwallex is the only unified payments and financial platform for global businesses. Powered by our unique combination of proprietary infrastructure and software, we empower over 200,000 businesses worldwide – including Brex, Rippling, Navan, Qantas, SHEIN and many more – with fully integrated solutions to manage everything from business accounts, payments, spend management and treasury, to embedded finance at a global scale.
 Proudly founded in Melbourne, we have a team of over 2,000 of the brightest and most innovative people in tech across 26 offices around the globe. Valued at US$8 billion and backed by world\-leading investors including T. Rowe Price, Visa, Mastercard, Robinhood Ventures, Sequoia, Salesforce Ventures, DST Global, and Lone Pine Capital, Airwallex is leading the charge in building the global payments and financial platform of the future. If you’re ready to do the most ambitious work of your career, join us.
**Attributes We Value**
 We hire successful builders with founder\-like energy who want real impact, accelerated learning, and true ownership. You bring strong role\-related expertise and sharp thinking, and you’re motivated by our mission and operating principles. You move fast with good judgment, dig deep with curiosity, and make decisions from first principles, balancing speed and rigor.
 You're humble and collaborative; turn zero‑to‑one ideas into real products, and you “get stuff done” end\-to\-end. You use AI to work smarter and solve problems faster. Here, you’ll tackle complex, high‑visibility problems with exceptional teammates and grow your career as we build the future of global banking. If that sounds like you, let’s build what’s next.
**Growth Data Science Team**
 The Growth Data Science team sits at the center of Airwallex’s growth engine, turning data and AI into a durable competitive advantage. We build and scale advanced solutions—from predictive modeling and personalization to LLM\-powered systems, incentive optimization, and causal inference—to unlock step\-change growth across the customer lifecycle.
 Learn more about the data science team in this blog.
**The Role**
 We’re seeking a
 **Staff Data Scientist** 
 to partner closely with the Growth and Marketing teams to design, deploy, and iterate on high\-impact data science solutions that drive measurable business outcomes. In this role, you will apply machine learning models to influence how we acquire, engage, and retain customers globally.
 Your work will directly shape Airwallex’s growth strategy, influencing how we acquire, engage, and retain customers. You are naturally curious, business\-oriented, and have a proven track record of translating data insights into actionable recommendations that strengthen brand presence and accelerate growth.
**Why Join Now**
 You’ll join the Airwallex team during a critical period, where we are building a team that enables both global consistency in process, tooling and methodology and local flexibility and speed in execution. This is a great opportunity to shape the next phase of Airwallex’s growth.
**Responsibilities**
* Uplevel the data science team by providing technical mentorship, assuming hands\-on leadership to resolve complex problems, and setting the vision for longer term direction
* Serve as a strategic thought leader with Marketing, Growth Product, Engineering, and cross\-functional teams to inform, influence, support, and execute GTM strategy and investment decisions
* Design and deploy a range of data science solutions—including predictive models, personalization and recommendation systems, LLM\-powered applications, incentive optimization frameworks, and causal inference models—to drive measurable business outcomes
* Apply machine learning and/or statistical models to measure causal impact of Marketing initiatives
**Qualifications**
* 7\+ years industry experience and an advanced degree (PhD or MS) in a quantitative field (e.g. Statistics, Engineering, Sciences, Computer Science, Economics)
* Experience with communicating the results of analyses to leadership teams and cross\-functional teams to influence the strategy
* Technical mentorship experience with machine learning and experimentation in an industry setting
* Expert in machine learning and statistical modeling to drive data driven growth strategy
* Hands on experience building, deploying, and maintaining machine learning models in production\-grade systems (e.g., cloud\-based services, real\-time and batch pipelines).
* Expert in data querying languages (e.g. SQL), scripting languages (e.g. Python); experience in schema design and dimensional data modeling a plus
* Experience in technology, financial services and/or a high growth environment is advantageous
**Applicant Safety Policy: Fraud and Third\-Party Recruiters**
*To protect you from recruitment scams, please be aware that Airwallex will not ask for bank details, sensitive ID numbers (i.e. passport), or any form of payment during the application or interview process. All official communication will come from an @* 
*airwallex.com* 
*email address. Please apply only through* 
*careers.airwallex.com* 
*or our official LinkedIn page.*
*Airwallex does not accept unsolicited resumes from search firms/recruiters. Airwallex will not pay any fees to search firms/recruiters if a candidate is submitted by a search firm/recruiter unless an agreement has been entered into with respect to specific open position(s). Search firms/recruiters submitting resumes to Airwallex on an unsolicited basis shall be deemed to accept this condition, regardless of any other provision to the contrary.*
**Equal opportunity**
 Airwallex is proud to be an equal opportunity employer. We value diversity and anyone seeking employment at Airwallex is considered based on merit, qualifications, competence and talent. We don’t regard color, religion, race, national origin, sexual orientation, ancestry, citizenship, sex, marital or family status, disability, gender, or any other legally protected status when making our hiring decisions. If you have a disability or special need that requires accommodation, please let us know.
 Compensation Range: $250K \- $299K</t>
        </is>
      </c>
    </row>
    <row r="42">
      <c r="A42" t="inlineStr">
        <is>
          <t>li-4362367752</t>
        </is>
      </c>
      <c r="B42" t="inlineStr">
        <is>
          <t>Senior People Data Scientist - Teamwork Lab</t>
        </is>
      </c>
      <c r="C42" t="inlineStr">
        <is>
          <t>Atlassian</t>
        </is>
      </c>
      <c r="D42" t="inlineStr">
        <is>
          <t>linkedin</t>
        </is>
      </c>
      <c r="E42" t="inlineStr"/>
      <c r="F42" t="inlineStr"/>
      <c r="G42" t="inlineStr">
        <is>
          <t>New York, NY</t>
        </is>
      </c>
      <c r="H42" t="inlineStr"/>
      <c r="I42"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43">
      <c r="A43" t="inlineStr">
        <is>
          <t>li-4362407590</t>
        </is>
      </c>
      <c r="B43" t="inlineStr">
        <is>
          <t>Senior People Data Scientist - Teamwork Lab</t>
        </is>
      </c>
      <c r="C43" t="inlineStr">
        <is>
          <t>Atlassian</t>
        </is>
      </c>
      <c r="D43" t="inlineStr">
        <is>
          <t>linkedin</t>
        </is>
      </c>
      <c r="E43" t="inlineStr"/>
      <c r="F43" t="inlineStr"/>
      <c r="G43" t="inlineStr">
        <is>
          <t>San Francisco, CA</t>
        </is>
      </c>
      <c r="H43" t="inlineStr"/>
      <c r="I43"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44">
      <c r="A44" t="inlineStr">
        <is>
          <t>li-4368997503</t>
        </is>
      </c>
      <c r="B44" t="inlineStr">
        <is>
          <t>Data Scientist (Associate or Experienced)</t>
        </is>
      </c>
      <c r="C44" t="inlineStr">
        <is>
          <t>Jobs via Dice</t>
        </is>
      </c>
      <c r="D44" t="inlineStr">
        <is>
          <t>linkedin</t>
        </is>
      </c>
      <c r="E44" t="inlineStr"/>
      <c r="F44" t="inlineStr"/>
      <c r="G44" t="inlineStr">
        <is>
          <t>Everett, WA</t>
        </is>
      </c>
      <c r="H44" t="inlineStr"/>
      <c r="I44" t="inlineStr">
        <is>
          <t>**Company:**
 The Boeing Company
**Airplane Systems Integration is looking for a Data Scientist (Associate or Experienced) to join our team in Everett, WA.**
**Position Overview:**
 The Data Scientist will develop and build next generation Artificial Intelligence (AI) and Machine Learning (ML) products and services. This position will work effectively with cross\-functional teams and technical leads to determining, defining, and deploying analytics solutions to meet business goals.
**Primary Responsibilities:**
 You will be responsible for extracting valuable insights from complex datasets, identifying patterns, trends, and anomalies, and developing predictive models to support strategic decision\-making across the organization. You will collaborate closely with cross\-functional teams to design and implement data\-driven solutions that address business challenges and drive continuous improvement. Seeking someone with strong enthusiasm to learn new technologies and expand related skillsets.
* Analyze large\-scale time\-series and tabular datasets to extract meaningful insights and identify actionable opportunities.
* Develop and implement advanced statistical models, machine learning algorithms, and forecasting techniques to predict future trends and outcomes.
* Design and execute experiments to evaluate model performance, validate hypotheses, and optimize algorithms for accuracy and efficiency.
* Collaborate with stakeholders to define business requirements, prioritize analytical projects, and translate findings into actionable recommendations.
* Build and maintain robust data pipelines and automated workflows to streamline data collection, preprocessing, and analysis processes.
* Perform necessary data preparation and enhancements to models
* Evaluate technologies, assist in identifying capabilities gaps, develop and teach best practices and technology standards, and work alongside the rest of the global data scientists and technical leads in Analytics organization
* Communicate complex technical concepts and analytical findings to non\-technical stakeholders through clear and concise presentations, reports, and visualizations.
* Stay abreast of the latest developments in data science, machine learning, and statistical techniques, and evaluate their potential impact on business objectives.
* Contribute to technical documentation.
**Work Authorization:**
 This position is expected to be 100% onsite. The selected candidate will be required to work onsite at Everett, WA location.
**Basic Qualifications (Required Skills/ Experience):**
* Bachelor's or advanced degree in Computer Science, Statistics, Mathematics, Engineering, or a related field.
* 1\+ years of experience working with projects, teams, and/or leaders in the analytics and/or data science space
* 1\+ years of experience researching and applying large language and generative AI models
* 1\+ years of experience with various machine learning methods such as regression, clustering, classification, decision trees, natural language processing, ensemble methods, support vector machines (SVM), deep learning, reinforcement learning, etc.
* 1\+ years of experience in designing and implementing Natural Language Processing (NLP) models using machine learning techniques including neural networks, deep learning and transformer architectures
**Preferred Qualifications (Desired Skills/Experience):**
* Master's or Ph.D. degree in Engineering, Computer Science, or Math etc.
* Preferably experiences in Data processing and database programming skills, such as SQL or NoSQL
* Strong understanding of statistical concepts, hypothesis testing, regression analysis, time\-series modeling, and machine learning algorithms.
* Solid understanding of database systems, SQL, and data manipulation techniques for extracting, transforming, and loading (ETL) data.
* Experience supporting an AI or ML development team
* Proficiency in programming languages such as Python, and experience with libraries/frameworks such as pandas, NumPy, scikit\-learn, TensorFlow, or PyTorch.
* Level 3: 5 or more years' related work experience or an equivalent combination of education and experience
**Conflict of Interest**
 Successful candidates for this job must satisfy the Company's Conflict of Interest (COI) assessment process.
**Drug Free Workplace:**
 Boeing is a Drug Free Workplace where post offer applicants and employees are subject to testing for marijuana, cocaine, opioids, amphetamines, PCP, and alcohol when criteria is met as outlined in our policies.
**Union:**
 This is not a union\-represented position.
**Pay and Benefits:**
 At Boeing, we strive to deliver a Total Rewards package that will attract, engage and retain the top talent. Elements of the Total Rewards package include competitive base pay and variable compensation opportunities.
 The Boeing Company also provides eligible employees with an opportunity to enroll in a variety of benefit programs, generally including health insurance, flexible spending accounts, health savings accounts, retirement savings plans, life and disability insurance programs, and a number of programs that provide for both paid and unpaid time away from work.
 The specific programs and options available to any given employee may vary depending on eligibility factors such as geographic location, date of hire, and the applicability of collective bargaining agreements.
**Pay is based upon candidate experience and qualifications, as well as market and business considerations.**
**Summary Pay Range** 
 :
 Associate (Level 2\): $108,800 \- $147,200
 Experienced (Level 3\): $137,700 \- $186,300
**Language Requirements:**
 Not Applicable
**Education:**
 Bachelor's Degree or Equivalent
**Relocation:**
 This position offers relocation based on candidate eligibility.
**Export Control Requirement:**
 This is not an Export Control position.
**Safety Sensitive:**
 This is not a Safety Sensitive Position.
**Security Clearance:**
 This position does not require a Security Clearance.
**Visa Sponsorship:**
 Employer willing to sponsor applicants for employment visa status.
**Contingent Upon Award Program**
 This position is not contingent upon program award
**Shift:**
 Shift 1 (United States of America)
**Stay safe from recruitment fraud! The only way to apply for a position at Boeing is via our Careers website. Learn how to protect yourself from recruitment fraud** 
 \- Recruitment Fraud Warning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
 EEO is the law
 Boeing EEO Policy
 Request an Accommodation
 Applicant Privacy
**Boeing Participates in E \- Verify**
* E\-Verify (English)
* E\-Verify (Spanish)
**Right to Work Statement**
* Right to Work (English)
* Right to Work (Spanish)</t>
        </is>
      </c>
    </row>
    <row r="45">
      <c r="A45" t="inlineStr">
        <is>
          <t>li-4362377691</t>
        </is>
      </c>
      <c r="B45" t="inlineStr">
        <is>
          <t>Senior People Data Scientist - Teamwork Lab</t>
        </is>
      </c>
      <c r="C45" t="inlineStr">
        <is>
          <t>Atlassian</t>
        </is>
      </c>
      <c r="D45" t="inlineStr">
        <is>
          <t>linkedin</t>
        </is>
      </c>
      <c r="E45" t="inlineStr"/>
      <c r="F45" t="inlineStr"/>
      <c r="G45" t="inlineStr">
        <is>
          <t>Washington, DC</t>
        </is>
      </c>
      <c r="H45" t="inlineStr"/>
      <c r="I45"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46">
      <c r="A46" t="inlineStr">
        <is>
          <t>li-4362446761</t>
        </is>
      </c>
      <c r="B46" t="inlineStr">
        <is>
          <t>Senior People Data Scientist - Teamwork Lab</t>
        </is>
      </c>
      <c r="C46" t="inlineStr">
        <is>
          <t>Atlassian</t>
        </is>
      </c>
      <c r="D46" t="inlineStr">
        <is>
          <t>linkedin</t>
        </is>
      </c>
      <c r="E46" t="inlineStr"/>
      <c r="F46" t="inlineStr"/>
      <c r="G46" t="inlineStr">
        <is>
          <t>Seattle, WA</t>
        </is>
      </c>
      <c r="H46" t="inlineStr"/>
      <c r="I46"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47">
      <c r="A47" t="inlineStr">
        <is>
          <t>li-4369616288</t>
        </is>
      </c>
      <c r="B47" t="inlineStr">
        <is>
          <t>Sr. Applied Scientist, AGI Foundations</t>
        </is>
      </c>
      <c r="C47" t="inlineStr">
        <is>
          <t>Amazon</t>
        </is>
      </c>
      <c r="D47" t="inlineStr">
        <is>
          <t>linkedin</t>
        </is>
      </c>
      <c r="E47" t="inlineStr"/>
      <c r="F47" t="inlineStr"/>
      <c r="G47" t="inlineStr">
        <is>
          <t>Bellevue, WA</t>
        </is>
      </c>
      <c r="H47" t="inlineStr"/>
      <c r="I47" t="inlineStr">
        <is>
          <t>**Description**
 The Artificial General Intelligence (AGI) team is looking for a highly skilled and experienced Sr. Applied Scientist, to support the development and implementation of state\-of\-the\-art algorithms and models for supervised fine\-tuning and reinforcement learning through human feedback and and complex reasoning; with a focus across text, image, and video modalities.
 As an Sr. Applied Scientist, you will play a critical role in supporting the development of Generative AI (Gen AI) technologies that can handle Amazon\-scale use cases and have a significant impact on our customers' experiences.
 Key job responsibilities
 Key job responsibilities
 Collaborate with cross\-functional teams of engineers, product managers, and scientists to identify and solve complex problems in Gen AI
 Design and execute experiments to evaluate the performance of different algorithms and models, and iterate quickly to improve results
 Think big about the arc of development of Gen AI over a multi\-year horizon, and identify new opportunities to apply these technologies to solve real\-world problems
 Communicate results and insights to both technical and non\-technical audiences, including through presentations and written reports
**About The Team**
 We are passionate scientists dedicated to pushing the boundaries of innovation in Gen AI with focus on Software Development use cases.
**Basic Qualifications**
* 3\+ years of building machine learning models for business application experience
* PhD, or Master's degree and 6\+ years of applied research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in patents or publications at top\-tier peer\-reviewed conferences or journals
* PhD in Computer Science, Machine Learning, or a related field, with a focus on Gen AI and reinforcement learning
* Experience in developing and implementing algorithms and models for supervised fine\-tuning and reinforcement learning through human feedback
* Programming skills in Python and experience with deep learning frameworks such as Tensor Flow or PyTorch
* Excellent problem\-solving skills, with the ability to think creatively and critically about complex problems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A3123268</t>
        </is>
      </c>
    </row>
    <row r="48">
      <c r="A48" t="inlineStr">
        <is>
          <t>li-4332539856</t>
        </is>
      </c>
      <c r="B48" t="inlineStr">
        <is>
          <t>Senior Data Scientist</t>
        </is>
      </c>
      <c r="C48" t="inlineStr">
        <is>
          <t>Ericsson</t>
        </is>
      </c>
      <c r="D48" t="inlineStr">
        <is>
          <t>linkedin</t>
        </is>
      </c>
      <c r="E48" t="inlineStr"/>
      <c r="F48" t="inlineStr"/>
      <c r="G48" t="inlineStr">
        <is>
          <t>Santa Clara, CA</t>
        </is>
      </c>
      <c r="H48" t="inlineStr"/>
      <c r="I48" t="inlineStr">
        <is>
          <t>**Grow with us**
**About this opportunity:**
 Innovation \&amp; Incubation (AIII) unit in Santa Clara leads the charge in developing intelligent, autonomous network solutions. We are exploring agentic AI – AI agents that can sense, reason, and act independently – as a pathway to fully autonomous networks that self\-optimize without human intervention. In this exciting role, you will leverage your expertise in transformer models, large language models (LLMs), and advanced ML to build AI\-driven systems that push the boundaries of telecom network automation. If you are passionate about state\-of\-the\-art AI (from open\-source LLMs to time\-series foundation models) and eager to apply it in a 5G/telecom context, this is the opportunity to drive innovation in a real\-world, high\-impact domain.
 Ericsson Inc. does not sponsor US work authorizations for this job position including H\-1B, O\-1, and TN. Ericsson also does not hire F\-1’s working on EAD for this position.
**What you will do:**
* Lead AI Solution Development: Design, develop, and optimize advanced AI models leveraging large language models (LLMs), context engineering, knowledge graphs, advanced RAG techniques, and agentic AI systems to solve real\-world telecom network problems. This includes fine\-tuning transformer\-based LLMs for domain\-specific tasks and applying prompt engineering to refine their outputs.
* Autonomous Network Agents: Create and integrate intelligent AI agents capable of tool use and autonomous decision\-making for network operations. You will develop multi\-agent workflows that enable AI\-driven closed\-loop automation – allowing the network to monitor itself, evaluate solutions, and act on issues in real time.
* Time\-Series Modeling: Apply cutting\-edge time\-series foundation models to telecom data for forecasting and anomaly detection. You will experiment with state\-of\-the\-art architectures (e.g. Transformer\-based models) to model temporal patterns in network KPIs and signals, helping predict issues before they arise.
* Prototype and Deploy Solutions: Work closely with telecom domain experts to define ML project objectives and develop algorithms that meet automation goals. Collaborate with software engineering teams to prototype and deploy your models into Ericsson’s products for telco network operators, ensuring a seamless transition from proof\-of\-concept to production deployment. You will also enhance the reliability and scalability of these AI models in production environments.
* Innovate and Experiment: Explore new AI technologies and frameworks (e.g. new open\-source LLMs, generative AI APIs, agent\-based systems) that could improve network automation. You will stay up\-to\-date with the latest research in AI/ML and proactively bring in innovations – from novel agent evaluation methods to emerging AI tools – to continuously improve our solutions.
* Mentorship and Collaboration: Share your expertise by mentoring junior data scientists and fostering a culture of experimentation and knowledge\-sharing. Work in a cross\-functional setting, partnering with network engineers, data engineers, and product managers to ensure that AI solutions effectively address business needs and can be integrated smoothly into Ericsson’s network management offerings.
**The Skills You Bring**
* Experience \&amp; Education: 5–7 years of hands\-on experience as a data scientist or AI/ML engineer, with a proven track record of delivering ML solutions end\-to\-end (from exploration to production). A Bachelor’s degree in Computer Science, Data Science, Engineering or related field is required (Master’s/Ph.D. preferred).
* ML/AI Expertise: Deep knowledge of machine learning fundamentals and neural network algorithms, including classic models and modern architectures. You should be well\-versed in Transformer networks and NLP/LLM technologies, as well as other AI techniques like CNNs, RNNs, reinforcement learning, etc. Experience building and refining transformer\-based LLMs (e.g., GPT\-4, LLaMA, etc.) and familiarity with their open\-source implementations and APIs is expected.
* Generative AI \&amp; Agents: Hands\-on experience with state\-of\-the\-art generative AI tools, fine tuning approaches such as LoRA/GRPO/SFT/RFT, knowledge of MCP and A2A, and platforms – including working with open\-source LLMs and APIs (OpenAI, Anthropic, etc.). Knowledge of advanced RAG techniques, prompt engineering, and context engineering for improving LLM responses is highly valued. You should also understand advanced agentic AI concepts (e.g. the ReAct agent paradigm for decision\-making) and have exposure to frameworks for building AI agents or autonomous workflows.
* Programming \&amp; Tools: Strong programming skills in Python and proficiency with the modern AI/ML ecosystem. This includes experience with deep learning frameworks (PyTorch, TensorFlow), NLP libraries (HuggingFace Transformers), and AI orchestration frameworks (such as LangGraph or similar) for tool integration. Familiarity with data science notebooks, version control, and MLOps tools for model deployment/monitoring is also important.
* Data Analytics \&amp; Foundations: Demonstrated ability to work with large, complex datasets (including time\-series data). Experience in data preprocessing, feature engineering, and vector databases for embeddings is a plus. A solid foundation in mathematics, statistics, and probability is required to develop and validate models.
* Evaluation \&amp; Optimization: Experience in evaluating AI models and designing custom evaluation benchmarks to measure model/agent performance (e.g. testing for accuracy, bias, “hallucination” in LLM outputs, etc.). You continually iterate on models based on quantitative metrics and error analysis, and you are familiar with AI safety or reliability considerations in model development.
* Domain Knowledge: Basic understanding of telecommunications networks – including Radio access networks (RAN), Transport, and Core network domains. You have an interest in how AI can be applied to network optimization, operations, and automation; for instance, how AI\-powered rApps (Radio apps) or agents can improve network performance and orchestrate resources autonomously. (Telecom/IoT domain knowledge is a strong plus.)
* Collaboration \&amp; Communication: Excellent problem\-solving skills and ability to communicate complex AI concepts to cross\-functional teams. You can effectively partner with business stakeholders and engineers, translating requirements into AI solutions and articulating results/insights clearly. Experience working in an agile, collaborative environment on innovative projects is preferred.
* Bonus Skills: Knowledge of Ericsson’s product portfolio and solutions (for example, our network management tools, OSS/BSS systems, etc.) will greatly set you apart. Familiarity with industry standards (3GPP, O\-RAN) and prior experience in network automation or telecom analytics projects is an advantage. Additionally, experience with AI data cloud platforms such as Snowflake and cloud platforms (AWS, Azure, GCP) for scalable ML would be beneficial.
 Why join Ericsson?
 At Ericsson, you´ll have an outstanding opportunity. The chance to use your skills and imagination to push the boundaries of what´s possible. To build solutions never seen before to some of the world’s toughest problems. You´ll be challenged, but you won’t be alone. You´ll be joining a team of diverse innovators, all driven to go beyond the status quo to craft what comes next.
 What happens once you apply?
 Click Here to find all you need to know about what our typical hiring process looks like.
 Ericsson uses a merit\-based hiring approach that values people with different experiences, perspectives and skillsets. We truly believe this approach drives innovation, which is essential for our future growth. We encourage people from all backgrounds to apply and realize their full potential as part of our Ericsson team. Ericsson is proud to be an Equal Opportunity employer, learn more.
 If you need assistance or to request an accommodation due to a disability, please contact Ericsson at hr.direct.americas@ericsson.com.
 DISCLAIMER: The above statements are intended to describe the general nature and level of work being performed by employees in this position. They are not an exhaustive list of all responsibilities, duties and skills required for this position, and you may be required to perform additional job tasks as assigned.
 Primary country and city: United States (US) \|\| Santa Clara
 Job details: Data Scientist (Techn)
**Compensation And Benefits At Ericsson**
 At Ericsson, we know that our people are the key to our success. We offer a competitive package to help with your individual needs and goals.
 Your Pay
 The salary range for this position is dependent on various factors including, but not limited to, location, and the candidate’s combination of job\-related knowledge, qualifications, skills, education, training, and experience.
 The salary range for this position is
 Santa Clara
 $155,600\-233,400
 Short\-Term Variable Compensation Plan: Your pay also includes the opportunity for an annual bonus. Actual bonus payouts are based on performance of the business against the unit’s objectives, individual performance, and the individual bonus target. Certain eligibility and pro\-ration rules apply.
 Your Health
 Ericsson offers excellent health benefits including the choice of three medical plan options and a dental plan option that allow an employee to select the level of coverage that suits their needs. Employees will receive company credits in an amount equal to the cost that Ericsson pays toward the cost of their medical and dental premiums for themselves and eligible covered dependents.
 Your Financial Security
 We invest in both your short and long\-term financial wellbeing. The Ericsson US 401(k) Plan offers an automatic 3% company contribution and Ericsson matches $1 for every $1 you put into the 401(k) Plan on the first 3% of your eligible pay, plus 50 cents on every $1 on the next 2% of eligible pay. When you contribute at least 5% of eligible pay, you are receiving Ericsson’s full matching contributions. Matching and company automatic contributions stop when your total eligible pay for the year reaches the IRS limits. Employees will also receive company credits in an amount equal to the cost of basic life insurance and basic accidental death and dismemberment coverage, as well as short\-term and long\-term disability coverage. Employees also have the option to participate in Ericsson’s Stock Purchase Plan.
 Your Time
 Your work\-life balance is important to us. New employees are provided a minimum of 15 days of accrued vacation, up to 3 personal days per year, 11 annual holidays, 8 hours of volunteer time, and 80 hours of sick time annually. Please note paid time off is pro\-rated based on the employee’s start date. Furthermore, Ericsson provides up to 16 weeks of paid maternity leave and 6 weeks of parental or adoption leave at 100% of pay.
**Additional Benefits**
 Ericsson offers many other company\-paid benefits such as financial wellness programs, educational assistance, matching gifts, and recognition programs.</t>
        </is>
      </c>
    </row>
    <row r="49">
      <c r="A49" t="inlineStr">
        <is>
          <t>li-4357492872</t>
        </is>
      </c>
      <c r="B49" t="inlineStr">
        <is>
          <t>Data Engineer / Data Scientist / Data Architect - Full time</t>
        </is>
      </c>
      <c r="C49" t="inlineStr">
        <is>
          <t>Ztek Consulting</t>
        </is>
      </c>
      <c r="D49" t="inlineStr">
        <is>
          <t>linkedin</t>
        </is>
      </c>
      <c r="E49">
        <f>HYPERLINK("https://www.linkedin.com/jobs/view/4357492872", "https://www.linkedin.com/jobs/view/4357492872")</f>
        <v/>
      </c>
      <c r="F49" t="inlineStr"/>
      <c r="G49" t="inlineStr">
        <is>
          <t>Vienna, VA</t>
        </is>
      </c>
      <c r="H49" t="inlineStr"/>
      <c r="I49" t="inlineStr">
        <is>
          <t>Below are the 3 roles open:
 1\) Data Engineer
 2\) Data Scientist
 3\) Data Architect
**Job Descriptions:** 
**Data Engineer Job Description :** 
* Design, build, and optimize batch and real\-time data pipelines using Python, SQL, Airflow, Kafka, and AWS Glue
* Lead scalable ETL and data lake architectures across distributed cloud environments
* Ensure data quality, governance, security, and compliance while supporting analytics and data science needs
* Mentor junior engineers and collaborate with stakeholders to deliver reliable, well\-documented data solutions
**Data Scientist Job Description :** 
* 3\+ years of experience in statistical modeling and applied data analysis, including regression, classification, clustering, and time\-series analysis
* Proficient in Python or R, with hands\-on experience in data wrangling, visualization, and model development
* Strong experience with SQL/Spark SQL, basic data modeling, and cloud platforms (AWS, Azure, or GCP)
* Excellent ability to communicate complex insights and manage multiple priorities effectively
**Data Architect Job Description :** 
* Lead and mentor data engineering teams while architecting and building enterprise\-scale data platforms from design through production
* Develop and optimize production\-grade ETL/ELT pipelines, data models, and data warehouses using Python, SQL, PySpark, and cloud platforms (AWS/GCP)
* Implement CI/CD, data governance, quality frameworks, and secure, compliant data solutions aligned with federal/VA standards
* Collaborate with cross\-functional stakeholders to translate business requirements into scalable, high\-quality data solutions</t>
        </is>
      </c>
    </row>
    <row r="50">
      <c r="A50" t="inlineStr">
        <is>
          <t>li-4359584630</t>
        </is>
      </c>
      <c r="B50" t="inlineStr">
        <is>
          <t>Data Scientist 5 - Member Experience for Games</t>
        </is>
      </c>
      <c r="C50" t="inlineStr">
        <is>
          <t>Netflix</t>
        </is>
      </c>
      <c r="D50" t="inlineStr">
        <is>
          <t>linkedin</t>
        </is>
      </c>
      <c r="E50">
        <f>HYPERLINK("https://www.linkedin.com/jobs/view/4359584630", "https://www.linkedin.com/jobs/view/4359584630")</f>
        <v/>
      </c>
      <c r="F50" t="inlineStr"/>
      <c r="G50" t="inlineStr"/>
      <c r="H50" t="inlineStr"/>
      <c r="I5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The New Content Experiences DSE team focuses on introducing new content types and innovative experiences to our product. We partner closely with Product, Design, Algorithms, and Engineering to surface opportunities, inform product strategy, and evaluate the success of initiatives. The content we focus on includes Games, Live, Podcasts, and more exciting things to come.
**The Role**
 In this role, you will:
* Drive product innovation focused on our Games vertical and help shape the member experience through robust measurement strategies covering experimentation, modeling, and analytics.
* Establish strong partnerships with stakeholders to realize our vision for Games
* Develop experimentation and measurement frameworks to increase the velocity of investments and aid complex decision\-making.
* Facilitate ownership and accountability by ensuring the team produces trustworthy, high\-quality outputs that inform decisions and shape the direction of member experience.
* Be flexible to changing circumstances. Netflix Games is evolving rapidly, and this role will help shape its future.
**To Be Successful In This Role, You Have**
* Experience with supporting experimentation at scale and observational causal inference to drive product development
* Strong statistical intuition and applied experience solving problems in consumer\-facing products. Experience analyzing recommender systems is a plus.
* Expertise in SQL and statistical programming (Python and/or R)
* Exceptional communication with technical and non\-technical audiences. Excellent at managing multiple stakeholders and competing priorities.
* Comfort with ambiguity; ability to thrive with minimal oversight and process.
* A passion for product development and design.
 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$372,000\.00 \- $600,000\.00\. This compensation range will vary based on location.
 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
 Netflix is a unique culture and environment. Learn more here.
 Inclusion is a Netflix value and we strive to host a meaningful interview experience for all candidates. If you want an accommodation/adjustment for a disability or any other reason during the hiring process, please send a request to your recruiting partner.
 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
 Job is open for no less than 7 days and will be removed when the position is filled.</t>
        </is>
      </c>
    </row>
    <row r="51">
      <c r="A51" t="inlineStr">
        <is>
          <t>li-4317555573</t>
        </is>
      </c>
      <c r="B51" t="inlineStr">
        <is>
          <t>Data Scientist - Payments</t>
        </is>
      </c>
      <c r="C51" t="inlineStr">
        <is>
          <t>Plaid</t>
        </is>
      </c>
      <c r="D51" t="inlineStr">
        <is>
          <t>linkedin</t>
        </is>
      </c>
      <c r="E51">
        <f>HYPERLINK("https://www.linkedin.com/jobs/view/4317555573", "https://www.linkedin.com/jobs/view/4317555573")</f>
        <v/>
      </c>
      <c r="F51" t="inlineStr"/>
      <c r="G51" t="inlineStr">
        <is>
          <t>New York, NY</t>
        </is>
      </c>
      <c r="H51" t="inlineStr"/>
      <c r="I51"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Data team is building data insights and models that improve how millions of users understand and grow their financial lives. We're looking for data scientists with experience applying state\-of\-the\-art data analytics techniques to different product areas. We value not only technical know\-how, but also creativity, user empathy, and teamwork.
 You’ll be a data scientist as a part of the Data organization, contributing to diverse, high\-impact data insights and machine learning challenges. Specifically, you will focus on driving business impact, and production directions through data analysis and potentially help evaluate and improve ML solutions and systems. If you're interested in building state\-of\-the\-art Data/ML solutions to unblock financial freedom for everyone, let's chat!
**Responsibilities**
* Applying your expertise in quantitative analysis, data mining, and data visualization to find insights for improving our API products
* Conducting large\-scale A/B experiments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3\+ years of industry experience in a product\-focused Data Science role
* Deep familiarity with SQL and data visualization tools
* Experiencing conducting large\-scale A/B experiments, analyzing results, and translating them into concrete recommendations
* Familiarity with the AWS stack
* Understanding of modern machine learning (ML)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$162,000 \- $222,000 a year
 The target base salary for this position ranges from $162,000/year to $221,000/year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52">
      <c r="A52" t="inlineStr">
        <is>
          <t>li-4369451935</t>
        </is>
      </c>
      <c r="B52" t="inlineStr">
        <is>
          <t>Data Scientist, Road Safety - Autonomous Vehicles</t>
        </is>
      </c>
      <c r="C52" t="inlineStr">
        <is>
          <t>Uber</t>
        </is>
      </c>
      <c r="D52" t="inlineStr">
        <is>
          <t>linkedin</t>
        </is>
      </c>
      <c r="E52">
        <f>HYPERLINK("https://www.linkedin.com/jobs/view/4369451935", "https://www.linkedin.com/jobs/view/4369451935")</f>
        <v/>
      </c>
      <c r="F52">
        <f>HYPERLINK("https://tnl2.jometer.com/v2/job?jz=5wqzs124bc52f7c9e690bc047f7582f7862e4KIAGUCAAAABQ&amp;iis=Job%20Board%20-%20Recruitment%20Marketing&amp;iisn=LinkedIn&amp;urlHash=do_v", "https://tnl2.jometer.com/v2/job?jz=5wqzs124bc52f7c9e690bc047f7582f7862e4KIAGUCAAAABQ&amp;iis=Job%20Board%20-%20Recruitment%20Marketing&amp;iisn=LinkedIn&amp;urlHash=do_v")</f>
        <v/>
      </c>
      <c r="G52" t="inlineStr">
        <is>
          <t>San Francisco, CA</t>
        </is>
      </c>
      <c r="H52" t="inlineStr"/>
      <c r="I52" t="inlineStr">
        <is>
          <t>**About The Role**
 The road safety science team is committed to making rare safety events even rarer. In this role you will partner closely with our safety and Autonomous Vehicles (AV) teams to develop insights analysis and metrics to understand an improve the safety of autonomous vehicles on Uber's platform.
**What The Candidate Will Do**
* Partner with cross\-functional teams across product, ops and engineering as weel as external partners to measure and understand AV safety.
* Identify interventions and product improvements that make Uber safer for everyone.
* Present findings to technical and non\-technical teams.
**Basic Qualifications**
* Ph.D., M.S. or Bachelor's degree in Statistics, Mathematics, Computer Science, Machine Learning, Operations Research, or other quantitative fields.
* 2\+ Years experience industry experience in Data Science
* Strong SQL and Python programming
* Strong applied knowledge of experiment design and analysis
* Excellent communication skills
**Preferred Qualifications**
* Experience in safety, risk or insurance.
* Ability to drive clarity through analytics and metrics
* Strong cross\-functional collaboration
* Experience in multi\-sided marketplace applications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53">
      <c r="A53" t="inlineStr">
        <is>
          <t>li-4368194084</t>
        </is>
      </c>
      <c r="B53" t="inlineStr">
        <is>
          <t>Junior Data Scientist &amp; AI</t>
        </is>
      </c>
      <c r="C53" t="inlineStr">
        <is>
          <t>Joinrs</t>
        </is>
      </c>
      <c r="D53" t="inlineStr">
        <is>
          <t>linkedin</t>
        </is>
      </c>
      <c r="E53">
        <f>HYPERLINK("https://www.linkedin.com/jobs/view/4368194084", "https://www.linkedin.com/jobs/view/4368194084")</f>
        <v/>
      </c>
      <c r="F53" t="inlineStr"/>
      <c r="G53" t="inlineStr"/>
      <c r="H53" t="inlineStr"/>
      <c r="I53" t="inlineStr">
        <is>
          <t>**Our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 **Data Analysis and Modeling:** 
 You will participate in data analysis, developing predictive models and contributing to provide meaningful insights to enhance business decisions.
*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 **Optimization of Business Processes:** 
 You will collaborate in identifying and optimizing business processes through the application of data\-driven solutions.
* **Participation in Technological Brainstorming Sessions:** 
 You will be involved in brainstorming sessions to generate innovative ideas and contribute to identifying new opportunities in the field of Artificial Intelligence.
* **Continuous Training and Updates on the Latest Trends:** 
 You will have access to continuous training programs to stay updated on the latest trends and advancements in the fields of Data Science and Artificial Intelligence.
**What We Offer:** 
*Working in the Joinrs team means being able to choose the best psychophysical conditions for tranquility and productivity. This translates into:* 
* **Remote working and flexibility.** 
 You'll have the opportunity to work remotely full\-time, but you can also use one of our offices.
* **Dynamic work environment.** 
 Our offices remain open, providing shared workspaces, meeting rooms, break areas, and a bar with fresh fruit and various snacks. You'll also find a foosball table and a gaming station. We aim for an informal work environment that encourages shared moments, always respecting individual activities.
* **Team building \&amp; fun.** 
 We frequently organize aperitifs, games, and leisure moments, which are integral parts of life at Joinrs, both inside and outside the office.
* **Company welfare.** 
 We guarantee you a company welfare package that meets your expectations.
* **Tech pack.** 
 You'll use advanced software and modern technologies, and you'll be provided with the latest\-generation MacBook.
* **Training.** 
 You'll always have a mentor in your Joinrs journey, acting as a reference for both technical and team aspects. We ensure constant professional growth with progressively increasing responsibilities. You can participate in industry events and training courses, along with continuous education on the best e\-learning platforms.
* **Social Impact.** 
 Your contribution will support thousands of recent graduates in finding the job they aspire to.
**Who We Are:** 
**Our mission is to support every recent graduate and junior professional in achieving their goals** 
 , helping them start their careers with optimism and a clear vision for their future.
**We are a united team that strongly believes in collaboration** 
 : together we work, discuss, and achieve results that inspire us to aim for ever more ambitious goals.
 Our community includes over
 **1,500,000 members across the US, UK, Europe, and Brazil** 
 , as well as
 **700\+ companies** 
 like
 *PwC, Accenture, Adecco, BNP Paribas, and Barilla* 
 . And we’re growing fast—join us!
**Contract \&amp; Compensation:** 
**For all Junior positions we offer a 6\-month internship contract with a salary of $90,000 yearly** 
 , aiming for a permanent contract.
**The annual base salary is $90,000 (USD)** 
 which will be prorated based on internship start and end date. Actual compensation offered to the successful candidate may vary from posted hiring based upon geographic location, work experience, education, and/or skill level, among other things.
**Salary reviews are scheduled every six months,** 
 with your compensation increasing rapidly as you gain experience and translate it into a more significant impact.
**Selection Process:** 
**CV Screening:** 
 The first step is a curriculum vitae (CV) screening (usually within 20 days of application).
**Phone Interview:** 
 The second step involves a 15\-minute phone interview with our HR Manager.
**Video Interview:** 
 The final step is a video interview with both the HR Manager and your future supervisor, lasting at least 45 minutes.
**Why Join Our Team?** 
* **Social Impact:** 
 You'll have the opportunity to support our community in realizing their ambitions, as well as your own.
* **Successful Startup:** 
 Joinrs was selected among the top 10 startups globally at the Web Summit in Lisbon.
* **Exponential Personal Growth:** 
 You'll have the opportunity for exponential growth, both in hard and soft skills, thanks to a training program based on on\-the\-job training and online support.</t>
        </is>
      </c>
    </row>
    <row r="54">
      <c r="A54" t="inlineStr">
        <is>
          <t>li-4317564442</t>
        </is>
      </c>
      <c r="B54" t="inlineStr">
        <is>
          <t>Data Scientist - Payments</t>
        </is>
      </c>
      <c r="C54" t="inlineStr">
        <is>
          <t>Plaid</t>
        </is>
      </c>
      <c r="D54" t="inlineStr">
        <is>
          <t>linkedin</t>
        </is>
      </c>
      <c r="E54">
        <f>HYPERLINK("https://www.linkedin.com/jobs/view/4317564442", "https://www.linkedin.com/jobs/view/4317564442")</f>
        <v/>
      </c>
      <c r="F54">
        <f>HYPERLINK("https://jobs.lever.co/plaid/0106d105-641d-49f6-a605-4ea64b8c4bf7/apply?lever-origin=applied&amp;lever-source=LinkedInPaid&amp;urlHash=Jbjj", "https://jobs.lever.co/plaid/0106d105-641d-49f6-a605-4ea64b8c4bf7/apply?lever-origin=applied&amp;lever-source=LinkedInPaid&amp;urlHash=Jbjj")</f>
        <v/>
      </c>
      <c r="G54" t="inlineStr">
        <is>
          <t>San Francisco, CA</t>
        </is>
      </c>
      <c r="H54" t="inlineStr"/>
      <c r="I54"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Data team is building data insights and models that improve how millions of users understand and grow their financial lives. We're looking for data scientists with experience applying state\-of\-the\-art data analytics techniques to different product areas. We value not only technical know\-how, but also creativity, user empathy, and teamwork.
 You’ll be a data scientist as a part of the Data organization, contributing to diverse, high\-impact data insights and machine learning challenges. Specifically, you will focus on driving business impact, and production directions through data analysis and potentially help evaluate and improve ML solutions and systems. If you're interested in building state\-of\-the\-art Data/ML solutions to unblock financial freedom for everyone, let's chat!
**Responsibilities**
* Applying your expertise in quantitative analysis, data mining, and data visualization to find insights for improving our API products
* Conducting large\-scale A/B experiments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3\+ years of industry experience in a product\-focused Data Science role
* Deep familiarity with SQL and data visualization tools
* Experiencing conducting large\-scale A/B experiments, analyzing results, and translating them into concrete recommendations
* Familiarity with the AWS stack
* Understanding of modern machine learning (ML)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$162,000 \- $222,000 a year
 The target base salary for this position ranges from $162,000/year to $221,000/year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55">
      <c r="A55" t="inlineStr">
        <is>
          <t>li-4369478052</t>
        </is>
      </c>
      <c r="B55" t="inlineStr">
        <is>
          <t>Data Scientist</t>
        </is>
      </c>
      <c r="C55" t="inlineStr">
        <is>
          <t>Humana</t>
        </is>
      </c>
      <c r="D55" t="inlineStr">
        <is>
          <t>linkedin</t>
        </is>
      </c>
      <c r="E55">
        <f>HYPERLINK("https://www.linkedin.com/jobs/view/4369478052", "https://www.linkedin.com/jobs/view/4369478052")</f>
        <v/>
      </c>
      <c r="F55">
        <f>HYPERLINK("https://www.wiraa.com/job-description/usBDD630FB3DE0C87DB15142EF406F19FC?source=Linkedin&amp;urlHash=qdWw", "https://www.wiraa.com/job-description/usBDD630FB3DE0C87DB15142EF406F19FC?source=Linkedin&amp;urlHash=qdWw")</f>
        <v/>
      </c>
      <c r="G55" t="inlineStr"/>
      <c r="H55" t="inlineStr"/>
      <c r="I55" t="inlineStr">
        <is>
          <t>**About The Company** 
 Humana Inc. is a leading health and well\-being company dedicated to putting health first for its members, employees, and communities. As a pioneer in healthcare innovation, Humana offers a wide range of insurance and healthcare services through its subsidiaries, including Humana Insurance and CenterWell Healthcare. The company strives to improve the quality of life for diverse populations such as Medicare beneficiaries, Medicaid recipients, military personnel, and individuals seeking personalized health solutions. Humana’s commitment to excellence, inclusivity, and technological advancement positions it as a trusted partner in healthcare transformation.
**About The Role** 
 We are seeking a highly skilled and innovative AI professional to join our Enterprise AI organization at Humana. This role focuses on developing advanced autonomous agents capable of managing complex, dynamic goals in real\-world environments. The ideal candidate will have expertise in agent design, planning, and control, contributing to the scientific and engineering foundations that ensure AI agents are reliable, interpretable, and robust across long\-term tasks. You will work collaboratively with cross\-functional teams to architect goal\-setting mechanisms, design dynamic planning systems, and develop evaluation frameworks that align with human intent and operational safety. Your work will directly impact the future of healthcare AI, enabling autonomous systems to improve care quality, operational efficiency, and patient outcomes.
**Qualifications** 
* Master’s Degree in Computer Science, Data Science, Machine Learning, or a related field
* 4\+ years of experience in research, ML engineering, or applied research roles, with a focus on AI solutions
* 2\+ years of experience leading the development of AI/ML systems
* Proficiency in SQL, Python, and data analysis/data mining tools
* Experience with machine learning frameworks such as Pytorch, Jax, LangChain, LangGraph, or AutoGen
* Experience working with high\-performance, large\-scale ML systems
* Knowledge of language modeling with transformers
* Experience with symbolic planning, causal reasoning, and model\-based reinforcement learning
* Experience with large\-scale ETL processes
* Preferred: Ph.D. in Computer Science, Data Science, or related fields
* Demonstrated success in deploying autonomous or semi\-autonomous agents in production or simulation environments
* Experience with LLM\-based agents with scratchpad/self\-reflection or hierarchical task decomposition
* Understanding of autonomy risk mitigation strategies, including off\-switch protocols and bounded rationality
**Responsibilities** 
* Architect goal setting and goal decomposition mechanisms for autonomous agents operating in uncertain or open\-ended environments
* Design and implement dynamic planning systems, including hierarchical planning, curriculum learning, and self\-refinement loops
* Collaborate on memory, tool\-use, and feedback\-loop designs to enable multi\-step, self\-directed agent behavior
* Develop evaluation frameworks to ensure alignment with human intent, consistency, and progress toward long\-horizon objectives
* Prototype agents capable of interfacing with APIs, servers, search engines, databases, or real\-world actuators to pursue goals safely and efficiently
* Explore mechanisms to detect and mitigate goal misalignment, looping behaviors, or undesirable emergent strategies
* Work across teams to integrate goal alignment with safety, operational reliability, and risk mitigation mechanisms
**Benefits** 
* Work\-from\-home flexibility with a remote US\-based work environment
* Generous paid time off and holiday benefits
* Health benefits effective from day one of employment
* Annual incentive plan based on individual and company performance
* 401(k) retirement plan with an excellent company match
* Well\-being programs supporting physical and mental health
* Paid volunteer time off to engage with community initiatives
* Opportunities for professional development and career growth within a forward\-thinking organization
 Equal Opportunity
 Humana is an equal opportunity employer and values diversity in the workplace. We do not discriminate against any employee or applicant based on race, color, religion, sex, sexual orientation, gender identity, national origin, age, marital status, genetic information, disability, or protected veteran status. We are committed to affirmative action and compliance with all applicable federal, state, and local laws.</t>
        </is>
      </c>
    </row>
    <row r="56">
      <c r="A56" t="inlineStr">
        <is>
          <t>li-4369473927</t>
        </is>
      </c>
      <c r="B56" t="inlineStr">
        <is>
          <t>Sr Data Scientist</t>
        </is>
      </c>
      <c r="C56" t="inlineStr">
        <is>
          <t>Industrial Light &amp; Magic</t>
        </is>
      </c>
      <c r="D56" t="inlineStr">
        <is>
          <t>linkedin</t>
        </is>
      </c>
      <c r="E56">
        <f>HYPERLINK("https://www.linkedin.com/jobs/view/4369473927", "https://www.linkedin.com/jobs/view/4369473927")</f>
        <v/>
      </c>
      <c r="F56" t="inlineStr"/>
      <c r="G56" t="inlineStr">
        <is>
          <t>San Francisco, CA</t>
        </is>
      </c>
      <c r="H56" t="inlineStr"/>
      <c r="I56" t="inlineStr">
        <is>
          <t>Our R\&amp;D teams at Lucasfilm and ILM are seeking a Sr Data Scientist to join a strategic R\&amp;D initiative focused on Generative AI. The goal of this project is to develop a robust data curation pipeline that can help identify and leverage our most useful assets and media for technical model training.
 You will play a critical role in bridging the gap between raw visual data and advanced machine learning applications. You will be responsible for the statistical analysis, sampling strategies, and evaluation metrics required to ensure our training data is diverse, relevant, and optimized for next\-generation image and video synthesis.
*This role is considered Hybrid, which means the employee will work 2\-3 days onsite at our San Francisco location and occasionally from home. This is a project position for 6 months.*
**What You’ll Do**
**Data Strategy \&amp; Diversity Analysis**
* Independently design and implement statistical methods to ensure curated datasets retain representative coverage across various visual attributes, stylistic choices, and subject matter.
* Develop logic to identify and down\-weight low\-variance or repetitive data points to maximize training efficiency.
* Collaborate with key stakeholders on algorithms for de\-duplication to automatically eliminate redundant or near\-identical assets from the training corpus.
**Evaluation Metrics \&amp; Quality Assurance**
* Design and lead implementation of automated metrics to assess the quality of generative images and videos.
* Validate automated quantitative metrics by correlating them against qualitative feedback provided by senior creative stakeholders.
* Establish success criteria for model fidelity, accuracy, and stylistic consistency.
**Pipeline Integration**
* Work closely with the engineering team to integrate data cleaning, normalization, and sampling modules into a scalable automated pipeline.
* Assist in defining taxonomy and metadata standards to systematically organize unstructured visual assets.
**Project Focus \&amp; Timeline**
 This is a fast\-paced, 6\-month initiative. You will move through rapidly iterating phases:
* Phase 1: defining data taxonomy and establishing baseline automated metrics.
* Phase 2: refining metrics for temporal consistency and validating against initial model fine\-tuning runs.
* Phase 3: final validation of metrics and delivery of fully curated, optimized datasets for cold storage.
**What We’re Looking For**
* 5\+ years experience in related field
* Education \- Bachelor’s degree in Data Science, Computer Science, or a related field of study, and/or equivalent work experience. Master’s Degree preferred
* Experience: Proven background in Data Science with a strong emphasis on Computer Vision, Generative AI, or Deep Learning.
* Technical Skills: Proficiency in statistical analysis and dataset curation (distribution analysis, sampling techniques). Experience working with large\-scale unstructured media data is a plus.
* Evaluation Expertise: Familiarity with standard and novel metrics for evaluating Generative Models (e.g., FID, FVD, or similar).
* Communication: Ability to translate complex statistical insights for engineering partners and non\-technical creative leads.
 The hiring range for this position in San Francisco is $155,400\-$208,400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57">
      <c r="A57" t="inlineStr">
        <is>
          <t>li-4361678555</t>
        </is>
      </c>
      <c r="B57" t="inlineStr">
        <is>
          <t>Data Scientist I</t>
        </is>
      </c>
      <c r="C57" t="inlineStr">
        <is>
          <t>Unum</t>
        </is>
      </c>
      <c r="D57" t="inlineStr">
        <is>
          <t>linkedin</t>
        </is>
      </c>
      <c r="E57">
        <f>HYPERLINK("https://www.linkedin.com/jobs/view/4361678555", "https://www.linkedin.com/jobs/view/4361678555")</f>
        <v/>
      </c>
      <c r="F57" t="inlineStr"/>
      <c r="G57" t="inlineStr">
        <is>
          <t>Portland, ME</t>
        </is>
      </c>
      <c r="H57" t="inlineStr"/>
      <c r="I57" t="inlineStr">
        <is>
          <t>When you join the team at Unum, you become part of an organization committed to helping you thrive.
**Benefits**
 Here, we work to provide the employee benefits and service solutions that enable employees at our client companies to thrive throughout life’s moments. And this starts with ensuring that every one of our team members enjoys opportunities to succeed both professionally and personally. To enable this, we provide:
* Award\-winning culture
* Inclusion and diversity as a priority
* Performance Based Incentive Plans
* Competitive benefits package that includes: Health, Vision, Dental, Short \&amp; Long\-Term Disability
* Generous PTO (including paid time to volunteer!)
* Up to 9\.5% 401(k) employer contribution
* Mental health support
* Career advancement opportunities
* Student loan repayment options
* Tuition reimbursement
* Flexible work environments
* All the benefits listed above are subject to the terms of their individual Plans.
 And that’s just the beginning…
 With 10,000 employees helping more than 39 million people worldwide, every role at Unum is meaningful and impacts the lives of our customers. Whether you’re directly supporting a growing family, or developing online tools to help navigate a difficult loss, customers are counting on the combined talents of our entire team. Help us help others, and join Team Unum today!
**General Summary**
 This position for a developing data scientist who is excited to transform data into actionable insights and impact the business through his/her work. The role requires increasing technical expertise in the fields of computer programming, applied statistics and data manipulation; and relies on developing business knowledge. The individual will participate in project work primarily within the functional area, with direction and review by manager. The individual is expected to continuously increase business knowledge and take initiative in identifying and executing analytical approaches to support assigned projects.
**Job Specifications**
* Bachelor’s degree in quantitative field is preferred
* 2 years preferred of professional experience or equivalent relevant work experience
* Core Data Science Capabilities: Deep expertise in at least one of the following skillsets preferred, with basic capability in the others:
* Programming \&amp; Process automation: Experience using APIs, file I/O, database, and analysis libraries. Understanding of programming in jupyter notebooks and/ or statistical packages. Understanding of process mapping and demonstrated application of scripting languages to automate processes. Exposure to data mining and web scraping.
* Data Visualization: Working knowledge of two or more data visualization tools and proficiency in static data visualization. Basic understanding of dynamic data visualization
* Statistics \&amp; Statistical modeling: Solid understanding of statistical inference and regression. Basic understanding of machine learning techniques including random forests and neural nets. Basic understanding of feature selection and extraction which may include analysis of categorical data, multiple comparisons, Central Limit Theorem, bootstrapping, and permutation tests
* Data Extraction, Transformation, and Loading (ETL) skillsets preferred: Expertise in writing complex SQL queries that join multiple tables/databases. Given a business problem, independently explore databases/tables to identify best data sources. Demonstrates ability to troubleshoot complex SQL queries written by others with little guidance.
* Core business capabilities: basic communication skills, exposure to financial services industry, and attention to detail and ability to prioritize while working on multiple projects keeping track of due dates
* Leadership Capabilities: Ability to coach or mentor team members, respond quickly and positively to change, adheres to technical best practices by collaborating with team members to deliver high quality output
* Preferred characteristics: Entrepreneurial self\-starter. A thorough, results\-oriented problem\-solver, and a lifelong learner with voracious curiosity. Basic understanding of their organization.
**Principal Duties And Responsibilities**
* Design and execute analytical solutions using statistical, optimization, simulation and data mining methods with a focus on delivering actionable insights and partnership to deliver business value.
* Integrate large volume of data from different sources (including DB2, SQL Server, Web API and Teradata) to create data assets and perform analyses
* Apply validation, aggregation and reconciliation techniques to create rich modeling\-ready data framework.
* Construct predictive models using machine learning to explain and understand observed events, forecast expected behavior, or identify risk through scoring or clustering.
* Familiarity with AI agents like github co\-pilot, MS co\-pilot to speed through code development and self \- learning.
* Knowledge of working with LLMs and agent libraries like Langgraph. Langchain \&amp; OpenAI SDK.
* Efficiently interpret results and communicate findings and potential value to manager.
* Support integration of solutions within existing business processes using automation techniques.
* Understand theory and application of current and emerging statistical methods and tools.
* Knowledge of tools – Python, VS code, Databricks, Azure, AWS, Streamlit, tableau, SQL
* Perform other related duties as assigned
 IN4
 Unum and Colonial Life are part of Unum Group, a Fortune 500 company and leading provider of employee benefits to companies worldwide. Headquartered in Chattanooga, TN, with international offices in Ireland, Poland and the UK, Unum also has significant operations in Portland, ME, and Baton Rouge, LA \- plus over 35 US field offices. Colonial Life is headquartered in Columbia, SC, with over 40 field offices nationwide.
 Unum is an equal opportunity employer, considering all qualified applicants and employees for hiring, placement, and advancement, without regard to a person's race, color, religion, national origin, age, genetic information, military status, gender, sexual orientation, gender identity or expression, disability, or protected veteran status.
 The base salary range for applicants for this position is listed below. Unless actual salary is indicated above in the job description, actual pay will be based on skill, geographical location and experience.
 $60,500\.00\-$123,400\.00
 Additionally, Unum offers a portfolio of benefits and rewards that are competitive and comprehensive including healthcare benefits (health, vision, dental), insurance benefits (short \&amp; long\-term disability), performance\-based incentive plans, paid time off, and a 401(k) retirement plan with an employer match up to 5% and an additional 4\.5% contribution whether you contribute to the plan or not. All benefits are subject to the terms and conditions of individual Plans.
**Company**
 Unum</t>
        </is>
      </c>
    </row>
    <row r="58">
      <c r="A58" t="inlineStr">
        <is>
          <t>li-4369604982</t>
        </is>
      </c>
      <c r="B58" t="inlineStr">
        <is>
          <t>Data Scientist (Hybrid as needed)</t>
        </is>
      </c>
      <c r="C58" t="inlineStr">
        <is>
          <t>Northwell Health</t>
        </is>
      </c>
      <c r="D58" t="inlineStr">
        <is>
          <t>linkedin</t>
        </is>
      </c>
      <c r="E58">
        <f>HYPERLINK("https://www.linkedin.com/jobs/view/4369604982", "https://www.linkedin.com/jobs/view/4369604982")</f>
        <v/>
      </c>
      <c r="F58">
        <f>HYPERLINK("https://nslij.contacthr.com/150911317&amp;urlHash=56aj", "https://nslij.contacthr.com/150911317&amp;urlHash=56aj")</f>
        <v/>
      </c>
      <c r="G58" t="inlineStr">
        <is>
          <t>Lake Success, NY</t>
        </is>
      </c>
      <c r="H58" t="inlineStr"/>
      <c r="I58" t="inlineStr">
        <is>
          <t>173498
**Job Description**
 You will plan, implement, deploy, maintain/evaluate data\-driven solutions that will directly impact patients and healthcare delivery; communicate with adjacent engineering teams as well as non\-technical/clinical stakeholders to understand how their needs can be translated into data science solutions. You will validate models used in the healthcare setting to ensure that they are improving patient care and safety. Ensures that these projects and their outputs enhance clinical quality, patient safety, and institutional efficiency, focusing on all aspects of data science, including data gathering and wrangling, exploratory data analysis, data modeling and machine learning, and model implementation and evaluation. Provides expertise on mathematical concepts for the broader applied analytics team.
 Job Responsibility
* Involvement throughout the end\-to\-end lifecycle of complex data science projects/programs including problem scoping, due diligence, evaluation/validation/model design and development, deployment to production systems, monitoring prediction output, and measuring value
* Have strong communication skills to act as the bridge between technical and non\-technical team members and stake holders
* Support the data science team in technical and strategic analyses for decision making related to machine learning/AI
* Enthusiasm for self\-directed learning
* Works collaboratively to design, implement and maintain data science models and applications.
* Works on programs to apply data science methodologies, including predictive modeling and machine learning, data analytics and visualization, and usability and design, to departmental, service line, and enterprise applications and functions.
* Synthesizes complex data\-related problems into actionable business and/or clinical strategy, and communicate findings to appropriate end\-users and stakeholders.
* Assists with the development of specifications to support the design of new or modified data science projects, with a focus on data\-driven optimization, enhancement, and development.
* Assists in the evaluation of projects, systems, and initiatives at the department, service line, and enterprise level; ensures projects and their outputs enhance clinical quality, patient safety, and institutional efficiency, focusing on all aspects of data science, including data gathering and wrangling, exploratory data analysis, data modeling and machine learning, and model implementation and evaluation; ensures high quality execution of all proposed projects.
* Knowledgeable in present and planned data science projects and maintains voice of the customer in all project initiatives.
* Serves as the link between the clinical staff (customer) requirements and IS capabilities.
* Assists in ensuring that systems are implemented to support organization initiatives and goals to improve the quality of patient care, to maximize patient safety, and to provide operational efficiencies.
* Serves as a resource to the leadership; demonstrates familiarity with current hospital information systems.
* Operates under general guidance and work assignments are varied and require interpretation and independent decisions on course of action.
* Performs related duties as required. All responsibilities noted here are considered essential functions of the job under the Americans with Disabilities Act. Duties not mentioned here, but considered related are not essential functions.
 Job Qualification
* Bachelor’s Degree in Computer Science, Informatics, Statistics, Engineering, Data Science, or related field, required. Master’s Degree, preferred.
* Minimum of two (2\) years of post\-graduate training or experience involving quantitative data analysis, required and working with clinical data, data science, and machine learning, preferred.
* Working familiarity with basic medical and health information technology concepts, including standardized terminologies and ontologies and electronic health records, as well as Data Warehousing and Business Intelligence tools, required.
* Expertise in working with SQL relational databases and statistical or general programming languages (e.g., Python, R), required.
* Deep understanding of statistical and predictive modeling concepts, machine\-learning approaches, clustering and classification techniques, and recommendation and optimization algorithms.
**Highly Preferred**
* Clear and effective communication and presentation skills are highly preferred
* Comfortable presenting to non\-technical/clinical stakeholders and executive leadership
* Experience in data science projects with organizational\-level impact (healthcare related preferred)
* Experience with cloud computing (GCP, Vertex AI preferred)
* Experience with orchestration/ETL pipelines (e.g. Airflow, Prefect, Luigi, Kubeflow) with preference for Airflow
* Experience with DevOps/MLOps (e.g. containerization, CI/CD, feature stores, data lineage)
* Strong/advanced level proficiency in statistical analysis, machine learning techniques, model evaluation
* Strong/advanced level proficiency in modern machine learning frameworks (e.g. scikit\-learn), deep learning frameworks (e.g. Pytorch)
* Strong/advanced level experience in training/deploying embedding models, fine\-tuning large language models (various tasks), retrieval\-augmented generation, prompt and context engineering, and evaluation of generative AI systems
* Additional Salary Detail The salary range and/or hourly rate listed is a good faith determination of potential base compensation that may be offered to a successful applicant for this position at the time of this job advertisement and may be modified in the future. When determining a team member's base salary and/or rate, several factors may be considered as applicable (e.g., location, specialty, service line, years of relevant experience, education, credentials, negotiated contracts, budget and internal equity).</t>
        </is>
      </c>
    </row>
    <row r="59">
      <c r="A59" t="inlineStr">
        <is>
          <t>li-4358858223</t>
        </is>
      </c>
      <c r="B59" t="inlineStr">
        <is>
          <t>Data Scientist</t>
        </is>
      </c>
      <c r="C59" t="inlineStr">
        <is>
          <t>Galent</t>
        </is>
      </c>
      <c r="D59" t="inlineStr">
        <is>
          <t>linkedin</t>
        </is>
      </c>
      <c r="E59">
        <f>HYPERLINK("https://www.linkedin.com/jobs/view/4358858223", "https://www.linkedin.com/jobs/view/4358858223")</f>
        <v/>
      </c>
      <c r="F59" t="inlineStr"/>
      <c r="G59" t="inlineStr">
        <is>
          <t>New York, NY</t>
        </is>
      </c>
      <c r="H59" t="inlineStr"/>
      <c r="I59" t="inlineStr">
        <is>
          <t>**Data Scientist** 
**NYC, NY / SFO, CA (Onsite)** 
**Primary focus : Model reproduction, feature engineering logic, performance validation, and** 
 ensuring alignment with client’s established modeling frameworks.
 • Rebuild and port existing client Python based models into customer’s Databricks platform.
 • Develop, train, and validate predictive models using Python, PySpark, and ML frameworks
 such as scikitlearn, XGBoost, and Spark MLlib.
 • Develop, validate and reproduce feature engineering logic and ensure parity with client
 models.
 • Train, retain, validate, and benchmark model performance using customer provided
 datasets while maintain performance parity with baseline models.
 • Work with data engineers to define feature requirements and ensure datasets support
 model needs.
 • Perform model diagnostics, bias checks, stability checks, and accuracy assessments.
 • Prepare model documentation, validation summaries, and stakeholder ready insights.
 • Support scoring pipeline design and ensure reproducibility across Dev/QA/Prod.
 • Collaborate with compliance and platform teams to ensure adherence to governance.
 • Perform model diagnostics, hyperparameter tuning, and stability analysis.
 • Evaluate model performance across population segments and time periods.
 • Work with platform and engineering teams to support scoring pipeline deployment across
 Dev/QA/Prod.
**Qualifications:** 
* 4–6 years of experience in applied machine learning or data science.
* Strong hands\-on experience with Python, scikit\-learn, XGBoost, LightGBM,
 CatBoost, or similar libraries.
* Experience developing ML models in Databricks with Python or PySpark.
* Strong knowledge of feature engineering, model training workflows, and evaluation
 techniques.
* Experience working with large structured datasets (financial or transactional data
 preferred).
* Ability to write clear documentation and communicate technical results to non\-technical stakeholders.
* 4\+ years of hands\-on experience developing, deploying, and maintaining machine\-learning models.
* Advanced proficiency in Python (NumPy, pandas, scikit\-learn, PyTorch or TensorFlow).
* Strong statistical and mathematical foundation, including regression, classification probability, optimization, etc.
* Experience building end\-to\-end ML pipelines: data ingestion, cleaning, feature engineering, modeling, evaluation, deployment.
* Experience working within client environments, including adapting to unfamiliar Infrastructure, constraints, and security requirements.
* Experience with cloud platforms (AWS, Azure, or GCP) and on\-prem environments.
* Advanced SQL ability and experience with big\-data tools (Spark, Databricks, Hadoop).</t>
        </is>
      </c>
    </row>
    <row r="60">
      <c r="A60" t="inlineStr">
        <is>
          <t>li-4328867363</t>
        </is>
      </c>
      <c r="B60" t="inlineStr">
        <is>
          <t>Data Scientist Lead</t>
        </is>
      </c>
      <c r="C60" t="inlineStr">
        <is>
          <t>hackajob</t>
        </is>
      </c>
      <c r="D60" t="inlineStr">
        <is>
          <t>linkedin</t>
        </is>
      </c>
      <c r="E60">
        <f>HYPERLINK("https://www.linkedin.com/jobs/view/4328867363", "https://www.linkedin.com/jobs/view/4328867363")</f>
        <v/>
      </c>
      <c r="F60" t="inlineStr"/>
      <c r="G60" t="inlineStr">
        <is>
          <t>Jersey City, NJ</t>
        </is>
      </c>
      <c r="H60" t="inlineStr"/>
      <c r="I60" t="inlineStr">
        <is>
          <t>***hackajob** 
 is collaborating with
 **J.P. Morgan** 
 to connect them with exceptional tech professionals for this role.*
* Base Pay/SalaryJersey City,NJ $142,500\.00\-$210,000\.00
**Job Description**
 As a Data Science Lead in Digital \&amp; Platform Services (D\&amp;PS), you will lead the charge in developing innovative AI solutions that propel our business forward. Your work will directly impact our ability to provide exceptional service to clients by delivering cutting\-edge technology solutions. You will work closely with software engineers, business stakeholders, and AI practitioners to deliver transformative solutions that enable our business to scale and thrive. We are seeking a technical leader who is passionate about leveraging data and artificial intelligence to drive meaningful, real\-world change. You will be integral to the newly established Client Relationship Management (CRM) Transformation Program, known as Client360\.
**Job Responsibilities:\-**
* Lead the formulation and development of AI solutions to tackle complex challenges in Client360, ensuring alignment with business objectives.
* Oversee the design, development, and deployment of robust, scalable, and reusable machine learning models and systems that deliver measurable business impact.
* Actively contribute to coding efforts, ensuring high technical standards and best practices are maintained across all projects.
* Collaborate with engineering and business teams to seamlessly integrate AI services into strategic systems and processes, enhancing operational efficiency.
* Work with business partners to redefine processes and controls for an AI\-first business, driving innovation and efficiency.
* Establish comprehensive evaluation frameworks to assess model performance and drive continuous improvement in alignment with business goals.
* Deepen your understanding of the Client Relationship Management to identify opportunities for AI\-driven innovation and deliver practical, impactful solutions.
* Inspire other AI practitioners, fostering a culture of excellence, innovation, and continuous learning.
**Required Qualifications, Experience, and Skills:\-**
* Advanced degree qualification in Computer Science, Artificial Intelligence, Machine Learning, Data Science, or a related highly quantitative field.
* Extensive experience in high\-performing AI or data science teams.
* Deep understanding of fundamental machine learning approaches and practical experience with statistical data analysis and experimental design.
* Proven track record of developing and deploying data science and ML capabilities in production at scale.
* Strong experience with Python programming and common ML frameworks (e.g., PyTorch, Pandas, NumPy).
* Exceptional verbal and written communication skills, with the ability to convey complex technical concepts to diverse audiences.
* Demonstrated ability to work effectively on multi\-disciplinary teams with diverse backgrounds.
**Preferred qualifications, capabilities, and skills:\-**
* Demonstrated prior experience working in a highly matrixed, complex organization.
* Extensive experience in data platform management, CRM systems, or related fields within a financial institution.
* Master’s or PhD qualification in Computer Science, Artificial Intelligence, Machine Learning, Data Science, or a related highly quantitative field.
* Clear experience in working with technologists and product teams.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61">
      <c r="A61" t="inlineStr">
        <is>
          <t>li-4369484620</t>
        </is>
      </c>
      <c r="B61" t="inlineStr">
        <is>
          <t>Data Scientist</t>
        </is>
      </c>
      <c r="C61" t="inlineStr">
        <is>
          <t>Hirenza</t>
        </is>
      </c>
      <c r="D61" t="inlineStr">
        <is>
          <t>linkedin</t>
        </is>
      </c>
      <c r="E61">
        <f>HYPERLINK("https://www.linkedin.com/jobs/view/4369484620", "https://www.linkedin.com/jobs/view/4369484620")</f>
        <v/>
      </c>
      <c r="F61" t="inlineStr"/>
      <c r="G61" t="inlineStr"/>
      <c r="H61" t="inlineStr"/>
      <c r="I61" t="inlineStr">
        <is>
          <t>**About The Company**
 Capital One is a leading financial services company renowned for its innovative approach to banking and credit solutions. Established with a passion for harnessing data to deliver personalized customer experiences, Capital One has transformed the financial landscape since its inception. The company's pioneering use of statistical modeling and relational databases in 1988 set the stage for its continued leadership in data\-driven decision\-making. Today, Capital One is a Fortune 200 organization, recognized globally for leveraging cutting\-edge technology and analytics to enhance financial products and services. Its commitment to innovation, customer\-centricity, and operational excellence positions it as a trailblazer in the industry, continuously seeking new ways to disrupt and redefine banking and payments ecosystems.
**About The Role**
 We are seeking a highly skilled Principal Associate, Data Scientist to join our Bank Operations Data Science team within the Payments Organization. This pivotal role involves developing and deploying advanced machine learning models that underpin core operational capabilities, including check and document reading, anomaly detection, natural language processing of customer calls, and operational forecasting. As part of this team, you will be instrumental in building industry\-leading models utilizing emerging technologies such as neural networks, large language models, transformer architectures, and agentic systems. Your work will directly impact the efficiency and effectiveness of our payment channels, streamlining processes from data ingestion to anomaly detection and operational automation.
 This position offers an exciting opportunity to operate at the intersection of data science, technology, and business, working closely with cross\-functional teams including software engineers, business analysts, and product managers. Your insights will help shape innovative solutions that enhance customer experience and operational resilience, supporting the company's mission to deliver smarter, faster, and more secure financial services.
**Qualifications**
 The ideal candidate will possess a strong foundation in quantitative analysis, machine learning, and software development, with a proven track record of applying these skills in complex, real\-world environments. Candidates should hold a minimum of a Bachelor's degree in a relevant field such as Statistics, Economics, Operations Research, Mathematics, Computer Science, or related disciplines, with significant professional experience. Advanced degrees—Master's or PhD—in STEM fields or a quantitative concentration are highly preferred, especially with experience in data analytics, cloud computing, and machine learning frameworks. Familiarity with AWS, Python, SQL, and open\-source data science tools is essential. Candidates with hands\-on experience in developing agentic systems, machine vision models, or deploying models in cloud environments will be highly regarded.
 We value innovative thinkers who are passionate about staying current with emerging technologies and applying them creatively to solve undefined or complex problems. Strong interpersonal skills, the ability to communicate technical concepts to non\-technical stakeholders, and a collaborative mindset are crucial for success in this role.
**Responsibilities**
* Collaborate with cross\-functional teams including data scientists, software engineers, business analysts, and product managers to deliver impactful data\-driven solutions.
* Design, develop, evaluate, and implement machine learning models that address core operational challenges within the payments ecosystem.
* Utilize a broad technology stack—Python, Snowflake, cloud platforms, and more—to analyze large volumes of numeric and textual data and extract actionable insights.
* Translate complex technical findings into clear, business\-oriented narratives to inform decision\-making and strategic planning.
* Lead efforts to innovate with emerging technologies such as neural networks, large language models, transformer architectures, and agentic systems.
* Work directly with the Enterprise Payments team to streamline payment and monetary transfer channels, from data ingestion to anomaly detection and operational automation.
* Validate and backtest models rigorously, ensuring robustness and compliance with best practices and regulatory standards.
* Mentor junior team members and foster a culture of continuous learning and innovation within the data science community.
**Benefits**
 Capital One offers a comprehensive and competitive benefits package designed to support your physical, financial, and emotional well\-being. Employees enjoy health insurance options, wellness programs, retirement plans, paid time off, and opportunities for professional development. The company also provides flexible work arrangements, tuition reimbursement, and a collaborative work environment that encourages innovation and growth. Additionally, employees are eligible for performance\-based incentives, including cash bonuses and long\-term incentives, recognizing their contributions to the company's success.
 Capital One is committed to fostering an inclusive culture that values diversity and promotes equity. The organization invests in employee resource groups, mentorship programs, and initiatives that support a diverse and dynamic workforce.
 Equal Opportunity
 Capital One is an equal opportunity employer committed to creating an inclusive environment for all employees. We do not discriminate based on race, color, religion, sex, national origin, age, disability, veteran status, or any other protected characteristic. We promote a drug\-free workplace and comply with all applicable laws regarding non\-discrimination and equal employment opportunity. We consider qualified applicants with criminal histories in a manner consistent with legal obligations and applicable laws. Capital One values diversity and strives to provide equal employment opportunities to all individuals, fostering a workplace where everyone can thrive and succeed.</t>
        </is>
      </c>
    </row>
    <row r="62">
      <c r="A62" t="inlineStr">
        <is>
          <t>li-4369485523</t>
        </is>
      </c>
      <c r="B62" t="inlineStr">
        <is>
          <t>AI Data Scientist</t>
        </is>
      </c>
      <c r="C62" t="inlineStr">
        <is>
          <t>Microsoft</t>
        </is>
      </c>
      <c r="D62" t="inlineStr">
        <is>
          <t>linkedin</t>
        </is>
      </c>
      <c r="E62">
        <f>HYPERLINK("https://www.linkedin.com/jobs/view/4369485523", "https://www.linkedin.com/jobs/view/4369485523")</f>
        <v/>
      </c>
      <c r="F62" t="inlineStr"/>
      <c r="G62" t="inlineStr">
        <is>
          <t>Redmond, WA</t>
        </is>
      </c>
      <c r="H62" t="inlineStr"/>
      <c r="I62" t="inlineStr">
        <is>
          <t>**Overview**
 We are seeking a pioneering and technically fluent
 **AI Data Scientist** 
 to join our AI \&amp; Data Science Tools team. This role will be instrumental in shaping the future of AI\-powered product development within Microsoft Marketing’s Research \+ Insights organization. You will be integral to the design, build, testing, and scaling management of our newest inferencing AI tools powered by customer voice.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Insight Extraction from Inferencing Applications: Using python and gremlin to extract insightful information from the knowledge graph.
* AI Graph Building: Contribute to the design, development, and ongoing management of our knowledge graph architecture to support scalable AI solutions.
* Ownership of AI Tool Roadmap Portions: Own and evolve the product roadmap and ROB processes, ensuring alignment with strategic goals and technical feasibility.
* Cross\-Functional Collaboration: Interface with developer teams, Research \+ Insights research managers, Marketing leadership, and partner data science teams to translate business needs into technical requirements.
* Technical Communication: Articulate complex technical concepts clearly to both engineering teams and executive stakeholders.
* Innovation \&amp; Execution: Build customer voice AI tools in a fast\-paced, ambiguous environment with a focus on delivering high\-impact AI tools.
* Embody our culture and values.
**Qualifications**
**Required/minimum qualifications**
* Doctorate in Data Science, Mathematics, Statistics, Econometrics, Economics, Operations Research, Computer Science, or related field
+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 OR Bachelor's Degree in Data Science, Mathematics, Statistics, Econometrics, Economics, Operations Research, Computer Science, or related field AND 2\+ years data\-science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 Extensive experience with knowledge graph architecture and insight extraction.
* Proficiency in Python for building production services, including modular design, code readability, unit testing, and debugging.
* Demonstrated prowess in systems thinking to drive scale, sequencing work, surfacing risk, and driving hard prioritization decisions under uncertainty, including clear trade‑offs across scope, timing, and resourcing.
* Ability to synthesize complex, technical, and qualitative inputs into clear, repeatable, decision ready artifacts for senior leadership, translating insight into action.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3">
      <c r="A63" t="inlineStr">
        <is>
          <t>li-4368290383</t>
        </is>
      </c>
      <c r="B63" t="inlineStr">
        <is>
          <t>Data Scientist</t>
        </is>
      </c>
      <c r="C63" t="inlineStr">
        <is>
          <t>EssilorLuxottica</t>
        </is>
      </c>
      <c r="D63" t="inlineStr">
        <is>
          <t>linkedin</t>
        </is>
      </c>
      <c r="E63">
        <f>HYPERLINK("https://www.linkedin.com/jobs/view/4368290383", "https://www.linkedin.com/jobs/view/4368290383")</f>
        <v/>
      </c>
      <c r="F63" t="inlineStr"/>
      <c r="G63" t="inlineStr">
        <is>
          <t>Dallas, TX</t>
        </is>
      </c>
      <c r="H63" t="inlineStr"/>
      <c r="I63" t="inlineStr">
        <is>
          <t>**Requisition I** 
**D:** 
 914851
 **Store \#:** 
 A00057 Tech Srvcs Wholesale PW
**Position** 
 : Full\-Time
**Total Rewards: Benefits/Incentive Information**
 If you’ve worn a pair of glasses, we’ve already met.
 We are a global leader in the design, manufacture, and distribution of ophthalmic lenses, frames, and sunglasses. We offer our industry stakeholders in over 150 countries access to a global platform of high\-quality vision care products such as the Essilor brand, with Varilux, Crizal, Eyezen, Stellest and Transitions, iconic brands that consumers love such as Ray\-Ban, Oakley, Persol and Oliver Peoples, as well as a network that offers consumers high\-quality vision care and best\-in\-class shopping experiences such as Sunglass Hut, LensCrafters, and Target Optical, and leading e\-commerce platforms.
 Our portfolio of more than 150 renowned brands span various categories, from frames, lenses and instruments to brick and mortar and digital distribution as well as mid\-range to premium segments. Our Shared Services Team, accompany and enable others within the EssilorLuxottica collective to achieve their targets. They keep people and projects running smoothly, ensuring every part of our business is provided for and well taken care of.
 Join our global community of over 200,000 dedicated employees around the world in driving the transformation of the eyewear and eyecare industry. Discover more by following us on LinkedIn!
**GENERAL FUNCTION**
 The Applied Data Scientist is a business\-facing analytics professional responsible for AI research and solution delivery. The role owns the full problem\-to\-solution journey: engaging stakeholders, translating business challenges into ML solutions, researching emerging AI techniques, and delivering production\-ready models that drive measurable business value. It balances innovation with execution, ensuring outcomes are practical, scalable, and aligned to business needs.
**Major Duties And Responsibilities**
 Managing
* Engage with stakeholders to understand objectives, constraints, and success metrics
* Deliver end\-to\-end ML solutions from problem framing to production deployment
* Conduct applied research to evaluate and prototype new AI/ML techniques
* Prioritize between research and delivery based on business impact
* Manage model lifecycle: validation, monitoring, retraining, and optimization
 Organizing
* Translate ambiguous business problems into structured data science statements
* Organize exploratory analysis, experimentation, and research frameworks
* Structure scalable ML pipelines for training, inference, and deployment
* Develop proof\-of\-concepts to validate new AI techniques
* Convert insights and research outcomes into actionable recommendations
 Leading
* Drive solutions from research to production
* Act as a trusted analytics advisor through consultative problem\-solving
* Promote adoption of ML solutions by communicating value and limitations
* Evaluate and adopt emerging AI/ML techniques
* Mentor junior team members on research and delivery best practices
**Basic Qualifications**
* Bachelor’s degree in Computer Science, Data Science, Statistics, or related field
* 5\+ years of relevant work experience
* Proven experience delivering ML solutions in production
* Ability to work independently with stakeholders and own delivery
* Strong programming skills in Python or R; experience with ML libraries (scikit\-learn, TensorFlow, PyTorch)
* Solid understanding of statistical modeling, ML techniques, and data mining
**Preferred Qualifications**
* Master’s or PhD in Data Science, Statistics, or related discipline
* Experience in applied research and rapid prototyping of AI/ML solutions
* Exposure to advanced AI techniques (deep learning, generative AI, optimization)
* Experience deploying ML models using Docker, Kubernetes, or cloud\-native services
* Familiarity with Azure, Databricks, Spark, Synapse, and Lakehouse architecture
* Strong storytelling and communication skills for technical and non\-technical audiences
* Experience in agile, fast\-paced, cross\-functional environments
* Balance research depth with delivery focus
* Ability to evaluate and apply new AI techniques pragmatically
* Excellent listening and problem\-solving skills
* Strong ownership mindset with minimal supervision
* Ability to translate complex research into business value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t>
        </is>
      </c>
    </row>
    <row r="64">
      <c r="A64" t="inlineStr">
        <is>
          <t>li-4369471585</t>
        </is>
      </c>
      <c r="B64" t="inlineStr">
        <is>
          <t>Data Scientist, Sr.</t>
        </is>
      </c>
      <c r="C64" t="inlineStr">
        <is>
          <t>BNSF Railway</t>
        </is>
      </c>
      <c r="D64" t="inlineStr">
        <is>
          <t>linkedin</t>
        </is>
      </c>
      <c r="E64">
        <f>HYPERLINK("https://www.linkedin.com/jobs/view/4369471585", "https://www.linkedin.com/jobs/view/4369471585")</f>
        <v/>
      </c>
      <c r="F64" t="inlineStr"/>
      <c r="G64" t="inlineStr"/>
      <c r="H64" t="inlineStr"/>
      <c r="I64" t="inlineStr">
        <is>
          <t>**About The Company**
 Join BNSF Railway, one of the largest and most influential freight railroads in the United States, renowned for its commitment to safety, inclusion, and operational excellence. Operating across 28 western states and three Canadian provinces, BNSF plays a vital role in transporting essential goods that sustain communities and economies nationwide. Our dedicated team supports the movement of products that feed, clothe, supply, and power communities, making a tangible difference in people's lives. BNSF is at the forefront of innovation in freight transportation, continuously striving to improve efficiency, safety, and sustainability.
 The BNSF \| Tech division is the company's technology arm, focused on transforming freight rail through cutting\-edge technological solutions. As part of this division, you will contribute to making BNSF a leader in freight and mobility services across North America. Our culture emphasizes diversity, inclusion, and equal opportunity, fostering an environment where all employees can thrive and make meaningful contributions.
**About The Role**
 We are seeking a highly skilled Data \&amp; AI Lead to spearhead our data science and artificial intelligence initiatives. In this remote role based in the US, you will be instrumental in leveraging data assets to drive real\-time enterprise solutions. Your responsibilities will include leading cross\-functional teams to develop and implement advanced machine learning models, analyzing complex datasets to extract actionable insights, and deploying solutions that optimize workflows and forecast outcomes. You will collaborate closely with stakeholders to understand their needs, design compelling visualizations, and communicate analytical findings effectively.
 This position offers an exciting opportunity to shape the future of freight rail through innovative data\-driven strategies. You will oversee the maintenance of data pipelines, stay abreast of emerging technologies in AI and machine learning, and ensure the successful integration of analytic solutions into production environments. Your expertise will directly influence strategic decision\-making, operational efficiency, and technological advancement within BNSF.
**Qualifications**
* Minimum 6 years of experience in building optimization algorithms or relevant data science roles
* Advanced proficiency in programming languages including Python, R, SQL, and Java
* Proven expertise in data visualization tools for clear communication of insights
* Extensive experience with data science cloud platforms and their integration into business solutions
* Strong understanding of statistical analysis and advanced machine learning techniques
* Proficiency in core architecture of Large Language Models (LLMs), including transformers and attention mechanisms
* Experience with prompt engineering, retrieval\-augmented generation (RAG), fine\-tuning language models, and evaluation methodologies
* Knowledge of vector databases, embeddings, GPU optimization, and model fine\-tuning
* Bachelor’s degree or higher in Operations Research, Computer Science, Industrial Engineering, or related fields; Ph.D. preferred
* Excellent communication skills and ability to articulate complex technical concepts
* Experience with agile methodologies such as Scrum, Kanban, or SAFe is a plus
**Responsibilities**
* Lead cross\-functional teams to identify, define, and execute analytic initiatives aligned with business goals
* Develop, deploy, and maintain advanced machine learning models to forecast outcomes and optimize workflows
* Analyze large and complex datasets to uncover meaningful patterns and insights
* Collaborate with stakeholders to gather requirements and deliver actionable insights for strategic decision\-making
* Design and present visualizations and reports that effectively communicate analytical findings
* Oversee the development and enhancement of data pipelines to ensure data quality and accuracy
* Stay current with emerging trends and breakthroughs in data science and AI fields
* Extract, transform, and analyze data from SQL and NoSQL databases using Python, R, or other tools
* Lead the integration of analytic solutions into reporting platforms and production systems
* Manage the testing, validation, and monitoring of models and solutions to ensure performance
**Benefits**
* Industry\-leading 401(k) plan and Railroad Retirement program
* Comprehensive health care options including medical, dental, vision, and mental health services
* Health savings accounts (HSA) with employer contributions, life and disability insurance
* Family benefits such as parental leave, pediatric and family support, adoption, and surrogacy reimbursement
* Dependent care spending accounts with employer matching
* Discount programs on travel, gym memberships, counseling, and wellness services
* Annual incentive bonus and performance\-based incentives
 Equal Opportunity
 BNSF Railway is an Equal Opportunity Employer. We are committed to fostering an inclusive environment where all qualified applicants receive consideration for employment without regard to race, color, religion, sex, sexual orientation, gender identity, national origin, disability, veteran status, or any other protected characteristic. We encourage individuals from diverse backgrounds to apply and contribute to our ongoing success.</t>
        </is>
      </c>
    </row>
    <row r="65">
      <c r="A65" t="inlineStr">
        <is>
          <t>li-4369471587</t>
        </is>
      </c>
      <c r="B65" t="inlineStr">
        <is>
          <t>Data Scientist, ML</t>
        </is>
      </c>
      <c r="C65" t="inlineStr">
        <is>
          <t>Gemini</t>
        </is>
      </c>
      <c r="D65" t="inlineStr">
        <is>
          <t>linkedin</t>
        </is>
      </c>
      <c r="E65">
        <f>HYPERLINK("https://www.linkedin.com/jobs/view/4369471587", "https://www.linkedin.com/jobs/view/4369471587")</f>
        <v/>
      </c>
      <c r="F65">
        <f>HYPERLINK("https://www.wiraa.com/job-description/usA5B4C50B1A899D6AC8D68360B678540F?source=Linkedin&amp;urlHash=Bixm", "https://www.wiraa.com/job-description/usA5B4C50B1A899D6AC8D68360B678540F?source=Linkedin&amp;urlHash=Bixm")</f>
        <v/>
      </c>
      <c r="G65" t="inlineStr"/>
      <c r="H65" t="inlineStr"/>
      <c r="I65" t="inlineStr">
        <is>
          <t>**About The Company**
 Gemini is a leading global crypto and Web3 platform founded by Cameron and Tyler Winklevoss in 2014\. The company offers a comprehensive suite of simple, reliable, and secure crypto products and services to individuals and institutions across more than 70 countries. Gemini’s mission is to unlock the next era of financial, creative, and personal freedom by providing trusted access to the decentralized future. The company envisions a world where cryptocurrency reshapes the global financial system, internet, and money, fostering greater choice, independence, and opportunity for all. By bridging traditional finance with the emerging cryptoeconomy in a manner that is open, fair, and secure, Gemini aims to revolutionize how people interact with digital assets. As a publicly traded company, Gemini is positioned to accelerate this vision with increased scale, reach, and impact.
**About The Role**
 The Data Department at Gemini is the backbone of insight, innovation, and trust within the organization. The team comprises world\-class data engineers, platform engineers, machine learning engineers, analytics engineers, and data scientists, all working collaboratively to turn raw data into secure, reliable, and actionable intelligence. This role of Staff Data Scientist, Machine Learning (Risk), is pivotal in safeguarding the platform and its users. You will be responsible for designing, developing, and deploying machine learning models that detect, prevent, and mitigate various types of fraud, including payment fraud, account takeovers, and identity abuse. Your work will span the entire machine learning lifecycle—from identifying signals and engineering features to training, evaluating, and deploying models in real\-time production environments. Collaborating closely with stakeholders across Trust \&amp; Safety, Exchange Growth, and Credit Card teams, you will enhance Gemini’s risk scoring capabilities and identify emerging fraud patterns. This is a high\-impact, hands\-on individual contributor role that offers opportunities for technical leadership and mentorship. The position requires in\-person presence at least twice a week at either our San Francisco, CA or New York City, NY office.
**Qualifications**
* Bachelor’s degree in Computer Science, Data Science, Statistics, or a related field
* 8\+ years of experience applying data science and machine learning to financial, payments, or fraud\-related problems (5\+ years with a PhD)
* 3\+ years of experience developing, deploying, and maintaining production\-grade machine learning models, ideally for real\-time or large\-scale applications
* Proficiency in Python and relevant libraries such as scikit\-learn, xgboost, TensorFlow, or PyTorch
* Strong SQL skills and experience with data processing tools
* Experience with data pipeline and model lifecycle tools like Databricks, SageMaker, Snowflake, MLflow, or similar
* Familiarity with orchestration frameworks such as Airflow or Spark
* Ability to work effectively across cross\-functional teams including product managers, engineers, and operations
* Excellent communication skills with the ability to translate complex technical concepts into actionable insights
**Responsibilities**
* Analyze large, complex datasets to identify key indicators of fraud and engineer predictive features using internal and external data sources
* Design, train, and deploy machine learning models aimed at detecting and preventing fraud, including payment fraud, account takeovers, and identity abuse
* Build and maintain end\-to\-end data and model pipelines for risk scoring, anomaly detection, and behavioral profiling
* Continuously evaluate model performance through experiments, backtesting, and monitoring to enhance capture rates and minimize false positives
* Collaborate with product managers, engineers, and fraud operations teams to translate model insights into effective prevention strategies and user\-facing features
* Communicate findings and strategic recommendations to both technical and non\-technical stakeholders to influence decision\-making
* Stay updated on emerging fraud tactics and machine learning techniques to continually improve Gemini’s defenses
**Benefits**
* Competitive starting salary
* Discretionary annual bonus
* Long\-term incentive through equity grants
* Comprehensive health insurance plans
* 401(k) plan with company matching
* Paid parental leave
* Flexible time off policies
* Hybrid work model combining in\-office and remote work options
 Equal Opportunity
 Gemini is committed to fostering an inclusive and diverse workplace. We are an equal opportunity employer and do not discriminate based on race, color, religion, sex, sexual orientation, gender identity, national origin, age, disability, or veteran status. We believe that diverse teams drive innovation and excellence, and we welcome applicants from all backgrounds. If you require accommodations during the application process, please contact our People Team. We are dedicated to creating a welcoming environment where everyone can thrive.</t>
        </is>
      </c>
    </row>
    <row r="66">
      <c r="A66" t="inlineStr">
        <is>
          <t>li-4369488458</t>
        </is>
      </c>
      <c r="B66" t="inlineStr">
        <is>
          <t>Data Scientist</t>
        </is>
      </c>
      <c r="C66" t="inlineStr">
        <is>
          <t>Hirecrap</t>
        </is>
      </c>
      <c r="D66" t="inlineStr">
        <is>
          <t>linkedin</t>
        </is>
      </c>
      <c r="E66">
        <f>HYPERLINK("https://www.linkedin.com/jobs/view/4369488458", "https://www.linkedin.com/jobs/view/4369488458")</f>
        <v/>
      </c>
      <c r="F66" t="inlineStr"/>
      <c r="G66" t="inlineStr"/>
      <c r="H66" t="inlineStr"/>
      <c r="I66" t="inlineStr">
        <is>
          <t>**About The Company**
 Bowhead / UIC Technical Services is a leading provider of specialized engineering, technical, and scientific solutions dedicated to supporting national defense initiatives. With a strong commitment to innovation and excellence, the company partners with government agencies and military divisions to deliver mission\-critical services and cutting\-edge technology solutions. Bowhead’s expertise spans various domains including data analysis, systems engineering, and cybersecurity, ensuring the highest standards of quality, security, and operational effectiveness. The company fosters a collaborative environment that encourages professional growth, continuous learning, and a dedication to advancing national security objectives.
**About The Role**
 We are seeking a highly skilled Data Scientist to join our team supporting the Naval Surface Warfare Center Dahlgren Division (NSWCDD), E Department. This role is pivotal in analyzing complex data sets to uncover meaningful insights that inform decision\-making and operational strategies. The successful candidate will apply advanced mathematical, statistical, and machine learning techniques to a variety of data types, including numbers, symbols, text, sound, and images. The position involves designing, developing, and maintaining software tools for data testing, analysis, and visualization, ensuring that stakeholders receive actionable intelligence in real\-time or predictive formats. The role requires onsite presence at either the Bowhead office or Navy installation, emphasizing collaboration with cross\-disciplinary teams and direct engagement with government clients.
**Qualifications**
 The ideal candidate will possess a Bachelor's Degree in physics, data science, or a related field, complemented by 5\-8 years of relevant experience. Demonstrated expertise in database management and development, with a solid understanding of relational database management systems and data warehousing, is essential. Experience in creating reports and dashboards, as well as proficiency in SQL query writing and analysis, is highly desirable. Candidates with virtual machine or artificial intelligence experience will be prioritized. Strong coding and software development skills, along with mathematical reasoning capabilities, are critical for success. Excellent communication skills—both oral and written—are necessary to effectively collaborate with technical teams and senior government stakeholders. Knowledge of analytical tools, evaluation techniques, and intermediate to advanced proficiency in Microsoft Office applications is expected. Candidates must be US citizens capable of maintaining a security clearance at the Secret level, with the ability to read, write, and speak English fluently.
**Responsibilities**
 The Data Scientist will be responsible for applying advanced analytical methods to discover patterns and insights within large, complex datasets. This includes designing and implementing predictive models, machine learning algorithms, and statistical analyses to generate forward\-looking insights that support real\-time decision\-making. The role involves developing and refining software components, tools, and scripts for data testing, validation, and visualization, ensuring they meet stakeholder requirements. The candidate will analyze diverse data types—such as textual, numerical, auditory, and visual data—and manage data repositories to facilitate efficient data retrieval and analysis. Additionally, the Data Scientist will present findings through clear, compelling visualizations and reports tailored to both technical and non\-technical audiences. Managing internal and external data sources, validating data quality, and exploring new data sets for potential insights are ongoing tasks. The role also includes supporting other duties related to data management, analysis, and technical documentation, contributing to continuous improvement of data processes and analytical capabilities.
**Benefits**
 Bowhead / UIC Technical Services offers a comprehensive benefits package designed to support the well\-being and professional development of its employees. Benefits include competitive salary packages, health, dental, and vision insurance, and retirement plans. The company promotes work\-life balance through flexible work arrangements and paid time off policies. Employees have access to ongoing training and development opportunities to enhance their skills and advance their careers. Additionally, Bowhead values a diverse and inclusive workplace, fostering a collaborative environment where innovation and teamwork are encouraged. Employees also benefit from a supportive corporate culture that recognizes individual contributions and promotes a sense of purpose in supporting national defense missions.
 Equal Opportunity
 Bowhead / UIC Technical Services is an equal opportunity employer. We are committed to fostering an inclusive environment where all employees and applicants are treated with respect and dignity, regardless of race, color, religion, gender, sexual orientation, gender identity or expression, age, national origin, disability, or veteran status. We ensure that all employment decisions are made based on merit, qualifications, and business needs. We encourage individuals from diverse backgrounds to apply and join our team dedicated to supporting national security and technological innovation.</t>
        </is>
      </c>
    </row>
    <row r="67">
      <c r="A67" t="inlineStr">
        <is>
          <t>li-4313812386</t>
        </is>
      </c>
      <c r="B67" t="inlineStr">
        <is>
          <t>Data Scientist, Support</t>
        </is>
      </c>
      <c r="C67" t="inlineStr">
        <is>
          <t>OpenAI</t>
        </is>
      </c>
      <c r="D67" t="inlineStr">
        <is>
          <t>linkedin</t>
        </is>
      </c>
      <c r="E67">
        <f>HYPERLINK("https://www.linkedin.com/jobs/view/4313812386", "https://www.linkedin.com/jobs/view/4313812386")</f>
        <v/>
      </c>
      <c r="F67" t="inlineStr"/>
      <c r="G67" t="inlineStr">
        <is>
          <t>San Francisco, CA</t>
        </is>
      </c>
      <c r="H67" t="inlineStr"/>
      <c r="I67" t="inlineStr">
        <is>
          <t>**About The Team**
 The User Operations team is central to ensuring that our customers' experience with our products is nothing short of exceptional. We resolve complex issues, provide technical guidance, and support customers in maximizing value and adoption from deploying our products. We work closely with Sales, Technical Success, Product, Engineering and others to deliver the best possible experience to our customers at scale. OpenAI's customers represent a range of diverse backgrounds and maturity, from early\-stage startups to established global enterprises. Given OpenAI’s breakneck shipping cadence and growth—and the expectation that it will only accelerate—transforming our rich support data into real‑time insights and scalable, self‑serve analytics is critical to sustaining exceptional customer experiences on the path to AGI.
**About The Role**
 We’re seeking a Support Data Scientist who will dig deep into user‑support data—surfacing trends, volumes, and friction signals—and turn these findings into actionable insights and always‑on reporting. You’ll design, build, and maintain self‑serve dashboards that keep every stakeholder informed in real time, partnering closely with Data Science and Engineering to ensure clean pipelines, robust models, and scalable tooling. Think proactive friction detection and real‑time service‑health views that help us stay ahead of demand—delivering decision‑grade insights, not just prettier slide decks.
 This role is based in San Francisco, California. We use a hybrid work model of 3 days in the office per week and offer relocation assistance to new employees.
**In This Role, You Will**
* Explore large support and product datasets to uncover trends, volume drivers, and user‑experience pain points, distilling findings into clear, actionable narratives.
* Build, enhance, and maintain self‑serve dashboards and reporting tools, enabling non‑technical teams to answer their own data questions.
* Establish a unified metrics taxonomy for service‑health and performance—and build automated data‑sharing pipelines and scorecards with our BPO partners to ensure everyone operates from the same real‑time view of success
* Leverage LLMs to build bespoke classifiers that automatically label and segment inbound volumes—powering smarter routing, richer self‑serve insights, and swifter root‑cause analysis.
* Partner with Data Engineering to ensure reliable pipelines, implement data‑quality checks, and document sources of truth.
* Jump into high‑priority special projects to conduct bespoke deep‑dive analyses and deliver clear, strategic recommendations to leadership.
* Prototype quickly—leveraging ChatGPT, Jupyter notebooks, Retool, and other tools—to prove value before hardening with Engineering.
* Collaborate with Data Science on predictive models and experimentation, translating results into operational recommendations.
**You Might Thrive In This Role If You**
* 8 \+ years in analytics, business intelligence, or data science (experience with customer support or operations teams is a plus).
* Expert‑level SQL skills and proficiency in Python or R for advanced analysis and automation
* Hands‑on experience designing and maintaining BI dashboards (e.g. Looker, Mode, Tableau, Sundial) with a focus on clarity and self‑serve usability.
* Hands‑on experience fine‑tuning or prompt‑engineering LLMs to build text classifiers, sentiment analysis, or tagging systems.
* Demonstrated ability to translate complex datasets into clear business stories and recommendations for both technical and non‑technical audiences.
* Familiarity with support metrics (SLAs, FCR, deflection) and ability to define service health KPIs.
* Strong cross‑functional communication skills—comfortable collaborating daily with engineers, data scientists, and operations leaders.
* An eye for detail, a zero‑defect mindset, and a bias toward action over theoretical perfection
* Possess a strong bias for automation and can defend governance decisions that keep data and processes healthy as they grow.
* Thrive in a fast‑moving, ambiguous environment where priorities can shift quickly.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
 Compensation Range: $230K \- $255K</t>
        </is>
      </c>
    </row>
    <row r="68">
      <c r="A68" t="inlineStr">
        <is>
          <t>li-4360944379</t>
        </is>
      </c>
      <c r="B68" t="inlineStr">
        <is>
          <t>Data Scientist</t>
        </is>
      </c>
      <c r="C68" t="inlineStr">
        <is>
          <t>EssilorLuxottica</t>
        </is>
      </c>
      <c r="D68" t="inlineStr">
        <is>
          <t>linkedin</t>
        </is>
      </c>
      <c r="E68">
        <f>HYPERLINK("https://www.linkedin.com/jobs/view/4360944379", "https://www.linkedin.com/jobs/view/4360944379")</f>
        <v/>
      </c>
      <c r="F68" t="inlineStr"/>
      <c r="G68" t="inlineStr">
        <is>
          <t>Dallas, TX</t>
        </is>
      </c>
      <c r="H68" t="inlineStr"/>
      <c r="I68" t="inlineStr">
        <is>
          <t>**Requisition I** 
**D:** 
 915162
 **Store \#:** 
 A00152 Tech Srvcs Wholesale DAL\-T
**Position** 
 : Full\-Time
**Total Rewards: Benefits/Incentive Information**
 If you’ve worn a pair of glasses, we’ve already met.
 We are a global leader in the design, manufacture, and distribution of ophthalmic lenses, frames, and sunglasses. We offer our industry stakeholders in over 150 countries access to a global platform of high\-quality vision care products such as the Essilor brand, with Varilux, Crizal, Eyezen, Stellest and Transitions, iconic brands that consumers love such as Ray\-Ban, Oakley, Persol and Oliver Peoples, as well as a network that offers consumers high\-quality vision care and best\-in\-class shopping experiences such as Sunglass Hut, LensCrafters, and Target Optical, and leading e\-commerce platforms.
 Our portfolio of more than 150 renowned brands span various categories, from frames, lenses and instruments to brick and mortar and digital distribution as well as mid\-range to premium segments. Our Shared Services Team, accompany and enable others within the EssilorLuxottica collective to achieve their targets. They keep people and projects running smoothly, ensuring every part of our business is provided for and well taken care of.
 Join our global community of over 200,000 dedicated employees around the world in driving the transformation of the eyewear and eyecare industry. Discover more by following us on LinkedIn!
**GENERAL FUNCTION**
 The Applied Data Scientist is a business\-facing analytics professional responsible for AI research and solution delivery. The role owns the full problem\-to\-solution journey: engaging stakeholders, translating business challenges into ML solutions, researching emerging AI techniques, and delivering production\-ready models that drive measurable business value. It balances innovation with execution, ensuring outcomes are practical, scalable, and aligned to business needs.
**Major Duties And Responsibilities**
 Managing
* Engage with stakeholders to understand objectives, constraints, and success metrics
* Deliver end\-to\-end ML solutions from problem framing to production deployment
* Conduct applied research to evaluate and prototype new AI/ML techniques
* Prioritize between research and delivery based on business impact
* Manage model lifecycle: validation, monitoring, retraining, and optimization
 Organizing
* Translate ambiguous business problems into structured data science statements
* Organize exploratory analysis, experimentation, and research frameworks
* Structure scalable ML pipelines for training, inference, and deployment
* Develop proof\-of\-concepts to validate new AI techniques
* Convert insights and research outcomes into actionable recommendations
 Leading
* Drive solutions from research to production
* Act as a trusted analytics advisor through consultative problem\-solving
* Promote adoption of ML solutions by communicating value and limitations
* Evaluate and adopt emerging AI/ML techniques
* Mentor junior team members on research and delivery best practices
**Basic Qualifications**
* Bachelor’s degree in Computer Science, Data Science, Statistics, or related field
* 5\+ years of relevant work experience
* Proven experience delivering ML solutions in production
* Ability to work independently with stakeholders and own delivery
* Strong programming skills in Python or R; experience with ML libraries (scikit\-learn, TensorFlow, PyTorch)
* Solid understanding of statistical modeling, ML techniques, and data mining
**Preferred Qualifications**
* Master’s or PhD in Data Science, Statistics, or related discipline
* Experience in applied research and rapid prototyping of AI/ML solutions
* Exposure to advanced AI techniques (deep learning, generative AI, optimization)
* Experience deploying ML models using Docker, Kubernetes, or cloud\-native services
* Familiarity with Azure, Databricks, Spark, Synapse, and Lakehouse architecture
* Strong storytelling and communication skills for technical and non\-technical audiences
* Experience in agile, fast\-paced, cross\-functional environments
* Balance research depth with delivery focus
* Ability to evaluate and apply new AI techniques pragmatically
* Excellent listening and problem\-solving skills
* Strong ownership mindset with minimal supervision
* Ability to translate complex research into business value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t>
        </is>
      </c>
    </row>
    <row r="69">
      <c r="A69" t="inlineStr">
        <is>
          <t>li-4361397964</t>
        </is>
      </c>
      <c r="B69" t="inlineStr">
        <is>
          <t>Data Scientist</t>
        </is>
      </c>
      <c r="C69" t="inlineStr">
        <is>
          <t>Booz Allen Hamilton</t>
        </is>
      </c>
      <c r="D69" t="inlineStr">
        <is>
          <t>linkedin</t>
        </is>
      </c>
      <c r="E69">
        <f>HYPERLINK("https://www.linkedin.com/jobs/view/4361397964", "https://www.linkedin.com/jobs/view/4361397964")</f>
        <v/>
      </c>
      <c r="F69" t="inlineStr"/>
      <c r="G69" t="inlineStr">
        <is>
          <t>Pensacola, FL</t>
        </is>
      </c>
      <c r="H69" t="inlineStr"/>
      <c r="I69" t="inlineStr">
        <is>
          <t>**Job Number: R0232045**
 Data Scientist
**The Opportunity:**
 As a data scientist, you’re excited at the prospect of unlocking the secrets held by a data set, and you’re fascinated by the possibilities presented by IoT, machine learning, and artificial intelligence. In an increasingly connected world, massive amounts of structured and unstructured data open new opportunities. As a data scientist at Booz Allen, you can help turn these complex data sets into useful information to solve global challenges. Across private and public sectors from fraud detection to cancer research, to national intelligence, we need you to help find the answers in the data.
 On our team, you’ll use your analytical skills and data science knowledge to create real\-world impact. You’ll work closely with your clients to understand their questions and needs, and then dig into their data\-rich environments to find the pieces of their information puzzle. You’ll develop algorithms and systems and use the right combination of tools and frameworks to turn sets of disparate data points into objective answers to help clients make informed decisions. Ultimately, you’ll provide a deep understanding of the data, what it all means, and how it can be used.
 Work with us as we use data science for good.
 Join us. The world can’t wait.
**You Have:**
* 2\+ years of experience with data exploration, data cleaning, data analysis, data visualization, and data mining
* 2\+ years of experience working with statistical and general\-purpose programming languages such as R or Python
* 2\+ years of experience with Microsoft Power Platform, including PBI, Power Apps, and Power Automate
* Experience analyzing structured and unstructured data
* Experience with O365 and SharePoint
* Experience supporting the programming of utilization, optimization, and risk models
* Experience researching data sources
* Experience processing, cleansing, and verifying data integrity for analysis and integrating data from multiple data sources
* Experience working with structured, unstructured, or semi\-structured data and conducting analysis
* Bachelor’s degree
**Nice If You Have:**
* Experience with ML and AI methods and techniques
* Knowledge of Agile and Scrum processes
* Knowledge of ETL technologies such as Databricks
* Possession of excellent statistical and analytics skills
* Possession of excellent verbal and written communication skills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$77,500\.00 to $176,000\.00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70">
      <c r="A70" t="inlineStr">
        <is>
          <t>li-4315580159</t>
        </is>
      </c>
      <c r="B70" t="inlineStr">
        <is>
          <t>Senior Data Scientist, Yahoo Games</t>
        </is>
      </c>
      <c r="C70" t="inlineStr">
        <is>
          <t>Yahoo</t>
        </is>
      </c>
      <c r="D70" t="inlineStr">
        <is>
          <t>linkedin</t>
        </is>
      </c>
      <c r="E70">
        <f>HYPERLINK("https://www.linkedin.com/jobs/view/4315580159", "https://www.linkedin.com/jobs/view/4315580159")</f>
        <v/>
      </c>
      <c r="F70">
        <f>HYPERLINK("https://ouryahoo.wd5.myworkdayjobs.com/en-US/careers/job/United-States-of-America/Senior-Data-Scientist\u002d\u002dYahoo-Games_JR0026542-1?source=LinkedIn&amp;urlHash=_6z6", "https://ouryahoo.wd5.myworkdayjobs.com/en-US/careers/job/United-States-of-America/Senior-Data-Scientist\u002d\u002dYahoo-Games_JR0026542-1?source=LinkedIn&amp;urlHash=_6z6")</f>
        <v/>
      </c>
      <c r="G70" t="inlineStr"/>
      <c r="H70" t="inlineStr"/>
      <c r="I70" t="inlineStr">
        <is>
          <t>Yahoo serves as a trusted guide for hundreds of millions of people globally, helping them achieve their goals online through our portfolio of iconic products. For advertisers, Yahoo Advertising offers omnichannel solutions and powerful data to engage with our brands and deliver results.
**About The Role**
 Yahoo Games is seeking a Senior Data Scientist to serve as the strategic analytics expert for our fast\-growing gaming platform. This isn’t just about crunching numbers—it’s about understanding player behavior, crafting actionable stories from data, and guiding product, design, and engineering decisions that power engaging, monetizable gaming experiences.
 You’ll be embedded with key stakeholders across Yahoo Games, focusing on high\-impact analysis, experimentation, and metric innovation—steering strategy for user acquisition, retention, monetization, and cross\-game engagement. As the go\-to data partner, you’ll drive deep player segmentation, analyze in\-game economy trends, and deliver insights that shape the future of Yahoo Games.
 This is a highly visible, individual contributor role for someone who is hands\-on, analytical, and driven by results. This position requires a self\-starter who thrives in dynamic environments, is comfortable navigating ambiguity, and excels at independently managing complex analytical projects from inception to impact.
 You'll influence product direction through experimentation, advanced modeling, and behavioral research—while also creating tools and systems that keep data and insights flowing in real\-time.
* Analyze and segment player audiences to inform game development, feature prioritization, and live operations strategies.
* Assess player retention drivers, cross\-game engagement patterns, and monetization trends (e.g., in\-app purchases, ad revenue).
* Design and analyze A/B and multivariate tests on game mechanics, UI features, and content updates.
* Partner with product managers, game developers, and engineers to instrument gameplay events, develop clean measurement plans, and ensure trusted data capture.
* Lead definition and harmonization of key game metrics (DAU, MAU, ARPDAU, LTV, churn, etc.), creating single sources of truth for reporting and dashboarding.
* Build and maintain executive dashboards in Looker, Tableau, or equivalent BI tools, tailored to Yahoo Games leadership.
* Develop automated alerting in Slack or email for major shifts in core game KPIs.
* Identify and articulate strategic opportunities, risks, and growth levers—bringing games\-specific context to recommendations.
* Enable self\-serve analytics, driving adoption and training on dashboards..
* Proactively address data quality issues, maintain high standards for dataset documentation, and escalate gaps in reporting.
* Serve as the data voice in greenlight reviews, live ops syncs, and post\-launch retros—distilling complex insights to unlock business value.
**About You**
* 5\+ years as a business, product, or data scientist—ideally supporting games, gaming platforms, or entertainment tech.
* Expert in data storytelling, with a proven track record of supporting game studios or gaming platforms with clear, actionable insights.
* Highly skilled in SQL and Python for advanced analytics, automation of reporting pipelines, and large\-scale data manipulation (GCP/BigQuery/LookML a plus).
* Deep experience designing and analyzing controlled experiments in a gaming context (A/B tests on game features, tutorials, progression systems).
* Hands\-on with executive dashboard creation and metric harmonization for gaming KPIs using tools like Looker, Tableau—bonus if you’ve built dashboards for games product teams.
* Strategic thinker with strong business acumen and bias for action, thriving in ambiguous, growth\-driven gaming environments.
* Excellent communicator, able to present findings confidently to game executives, production leads, and studio partners.
* Track record of defining and evolving player and game\-level metrics; driving consensus and adoption within the Games squad.
* Experience empowering non\-analytical stakeholders to self\-serve via dashboards, explores, and alerting.
* Bachelor’s degree or equivalent professional experience.
 The material job duties and responsibilities of this role include those listed above as well as adhering to Yahoo policies; exercising sound judgment; working effectively, safely and inclusively with others; exhibiting trustworthiness and meeting expectations; and safeguarding business operations and brand integrity.
 At Yahoo, we offer flexible hybrid work options that our employees love! While most roles don’t require regular office attendance, you may occasionally be asked to attend in\-person events or team sessions. You’ll always get notice to make arrangements. Your recruiter will let you know if a specific job requires regular attendance at a Yahoo office or facility. If you have any questions about how this applies to the role, just ask the recruiter!
 Yahoo is proud to be an equal opportunity workplace. All qualified applicants will receive consideration for employment without regard to, and will not be discriminated against based on age, race, gender, color, religion, national origin, sexual orientation, gender identity, veteran status, disability or any other protected category. Yahoo will consider for employment qualified applicants with criminal histories in a manner consistent with applicable law. Yahoo is dedicated to providing an accessible environment for all candidates during the application process and for employees during their employment. If you need accessibility assistance and/or a reasonable accommodation due to a disability, please submit a request via the Accommodation Request Form (www.yahooinc.com/careers/contact\-us.html) or call \+1\.866\.772\.3182\. Requests and calls received for non\-disability related issues, such as following up on an application, will not receive a response.
 We believe that a diverse and inclusive workplace strengthens Yahoo and deepens our relationships. When you support everyone to be their best selves, they spark discovery, innovation and creativity. Among other efforts, our 11 employee resource groups (ERGs) enhance a culture of belonging with programs, events and fellowship that help educate, support and create a workplace where all feel welcome.
 The compensation for this position ranges from $128,250\.00 \- $266,875\.00/yr and will vary depending on factors such as your location, skills and experience.The compensation package may also include incentive compensation opportunities in the form of discretionary annual bonus or commissions. Our comprehensive benefits include healthcare, a great 401k, backup childcare, education stipends and much (much) more.
*Currently work for Yahoo? Please apply on our internal career site.*</t>
        </is>
      </c>
    </row>
    <row r="71">
      <c r="A71" t="inlineStr">
        <is>
          <t>li-4357644016</t>
        </is>
      </c>
      <c r="B71" t="inlineStr">
        <is>
          <t>Data Scientist (ML Engineer) - San Ramon, CA</t>
        </is>
      </c>
      <c r="C71" t="inlineStr">
        <is>
          <t>Franklin Templeton</t>
        </is>
      </c>
      <c r="D71" t="inlineStr">
        <is>
          <t>linkedin</t>
        </is>
      </c>
      <c r="E71">
        <f>HYPERLINK("https://www.linkedin.com/jobs/view/4357644016", "https://www.linkedin.com/jobs/view/4357644016")</f>
        <v/>
      </c>
      <c r="F71">
        <f>HYPERLINK("https://franklintempleton.wd5.myworkdayjobs.com/en-US/Primary-External-1/job/San-Ramon-California-United-States-of-America/Data-Scientist\u002d\u002dML-Engineer-_859081?src=JB-10760&amp;source=Linkedin&amp;urlHash=OWRD", "https://franklintempleton.wd5.myworkdayjobs.com/en-US/Primary-External-1/job/San-Ramon-California-United-States-of-America/Data-Scientist\u002d\u002dML-Engineer-_859081?src=JB-10760&amp;source=Linkedin&amp;urlHash=OWRD")</f>
        <v/>
      </c>
      <c r="G71" t="inlineStr">
        <is>
          <t>San Ramon, CA</t>
        </is>
      </c>
      <c r="H71" t="inlineStr"/>
      <c r="I71" t="inlineStr">
        <is>
          <t>At Franklin Templeton, we’re advancing our industry forward by developing new and innovative ways to help our clients achieve their investment goals. Our dynamic firm spans asset management, wealth management, and fintech, offering many ways to help investors make progress toward their goals. Our talented teams working around the globe bring expertise that’s both broad and unique. From our welcoming, inclusive, and flexible culture to our global and diverse business, we provide opportunities to help you reach your potential while helping our clients reach theirs.
**Come join us in delivering better outcomes for our clients around the world!**
**About The Department**
**Franklin Templeton Technology (FTT)** 
 drives the technology strategy and delivers innovative technology solutions for Franklin Templeton (FT), a global investment leader delivering innovative multi\-asset solutions across public and private markets. FT integrates asset allocation, manager research, and implementation to drive portfolio construction, execution, and strategic oversight. Joining FT means working in a collaborative, growth\-oriented environment that values innovation in investment technology.
**What is the Data Scientist (ML Engineer) in the FTT Digital Technology Group Responsible For?**
 As a
 **Data Scientist / ML Engineer** 
 , you will play a critical role in
 **designing, building, and productionizing machine learning systems** 
 that solve real\-world business problems. You will focus on
 **end\-to\-end ML lifecycle ownership** 
 , including data ingestion, feature engineering, model development, deployment, monitoring, and optimization in production environments.
 You will work closely with
 **data engineering, platform, and product teams** 
 to deliver scalable, reliable, and secure ML solutions. Under the guidance of senior technical leaders, you will contribute to
 **engineering\-grade ML architecture** 
 , gain hands\-on experience with
 **cloud\-native ML systems** 
 , and help advance the organization’s AI capabilities.
**Job Location** 
 : San Mateo or San Ramon, California office (Hybrid Schedule)
**Ongoing Responsibilities (Engineering\-Focused)**
***Data Engineering \&amp; Pipelines***
* Design, implement, and maintain robust, scalable data pipelines for ML workloads.
* Build automated data ingestion, validation, and preprocessing frameworks.
* Collaborate with data engineers to integrate ML workflows into enterprise data platforms.
* Optimize data storage and access patterns for high\-volume, high\-performance ML use cases.
* Ensure data quality, lineage, and reproducibility across ML pipelines.
***Machine Learning Engineering***
* Develop, optimize, and maintain production\-grade machine learning models.
* Implement feature engineering pipelines and reusable ML components.
* Design and build end\-to\-end ML architectures, from experimentation to deployment.
* Apply model evaluation, testing, and validation frameworks to ensure robustness.
* Lead efforts in Generative AI system design, mentoring team members on applied GenAI patterns and best practices.
* Translate ambiguous business problems into clear technical designs and ML system architectures.
***MLOps \&amp; Production Systems***
* Deploy ML models using CI/CD pipelines, containerization, and cloud\-native services.
* Implement model monitoring, performance tracking, drift detection, and retraining strategies.
* Partner with platform teams to ensure models meet security, scalability, and reliability standards.
* Troubleshoot and optimize ML systems in production environments.
* Contribute to ML platform standards, tooling, and reusable frameworks.
***Cross\-Functional Engineering Collaboration***
* Work closely with product managers, engineers, and business stakeholders to define technical requirements.
* Translate analytical insights into engineering deliverables for downstream systems.
* Communicate technical designs, trade\-offs, and system behavior to both technical and non\-technical audiences.
* Collaborate with domain experts to integrate business logic into ML system design.
***Continuous Learning \&amp; Technical Innovation***
* Stay current with advancements in ML engineering, cloud platforms, MLOps, and Generative AI.
* Prototype and evaluate new tools, architectures, and frameworks.
* Contribute to technical documentation, design reviews, and best practices.
* Continuously improve system reliability, performance, and maintainability.
**Ideal Qualifications, Skills \&amp; Experience (Engineering\-Heavy)**
***Education \&amp; Experience***
* Bachelor’s or Master’s degree in Computer Science, Engineering, Data Science, or related discipline.
* 5\+ years of hands\-on experience building and deploying ML systems in production.
***Core Technical Skills***
* Strong proficiency in Python with experience building production ML code.
* Advanced SQL skills and experience working with large\-scale datasets.
* Experience with machine learning frameworks.
* Hands\-on experience with data pipelines, feature stores, and ML workflows.
* Familiarity with Generative AI models and applied GenAI system patterns.
***ML Engineering \&amp; MLOps***
* Experience deploying models using containers (Docker) and CI/CD pipelines.
* Exposure to cloud platforms (AWS, Azure, or GCP) and managed ML services.
* Understanding of model monitoring, drift detection, and lifecycle management.
* Ability to design scalable, fault\-tolerant ML architectures.
***Engineering Mindset***
* Strong ability to translate business problems into engineering solutions.
* Comfortable working with ambiguous requirements and defining technical direction.
* Experience designing modular, reusable, and maintainable systems.
* Strong debugging, performance optimization, and problem\-solving skills.
***Collaboration \&amp; Communication***
* Ability to explain complex ML systems and trade\-offs to diverse stakeholders.
* Strong written and verbal communication skills.
* Team\-oriented with the ability to work independently and take ownership.
* Effective planning, prioritization, and execution in fast\-paced environments.
**Compensation Range** 
 : Along with base compensation, other compensation is offered such as a discretionary bonus, 401k plan, health insurance, and other perks. There are several factors taken into consideration in making compensation decisions including but not limited to location, job\-related knowledge, skills, and experience. At Franklin Templeton, we apply a total reward philosophy where all aspects of compensation and benefits are taken into consideration in determining compensation. The salary, benefits and variable rewards will reflect the seniority of the position and a competitive market rate. We expect the annual salary for this position to range between $125,000 to $160,000\.
 When applying, please be sure to
 **attach your resume / CV** 
 . Applications without a resume file attachment will not be reviewed.
 \#ASSOCIATE
******Experience our welcoming culture and reach your professional and personal potential!******
 Our culture is shaped by the variety of perspectives and experiences brought by talent from around the world. Regardless of your interests, lifestyle, or background, there’s a place for you at Franklin Templeton. We provide employees with the tools, resources, and learning opportunities to help them excel in their career and personal life.
 By joining us, you will become part of a culture that focuses on employee well\-being and provides multidimensional support for a positive and healthy lifestyle. We understand that benefits are at the core of employee well\-being and may vary depending on individual needs. Whether you need support for maintaining your physical and mental health, saving for life’s adventures, taking care of your family members, or making a positive impact in your community, we aim to have your needs covered. Learn more about the wide range of benefits we offer at Franklin Templeton.
**Highlights Of Our Benefits Include**
* Three weeks paid time off the first year
* Medical, dental and vision insurance
* 401(k) Retirement Plan with 85% company match on your pre\-tax and/or Roth contributions, up to the IRS limits
* Employee Stock Investment Program
* Tuition Assistance Program
* Purchase of company funds with no sales charge
* Onsite fitness center and recreation center\*
* Onsite cafeteria\*
* Only applicable at certain locations
****Learn more about the wide range of benefits we offer at Franklin Templeton****
 Franklin Templeton is an Equal Opportunity Employer. We are committed to providing equal employment opportunities to all applicants and employees, and we evaluate qualified applicants without regard to ancestry, age, color, disability, genetic information, gender, gender identity, or gender expression, marital status, medical condition, military or veteran status, national origin, race, religion, sex, sexual orientation, and any other basis protected by federal, state, or local law, ordinance, or regulation.
 If you believe that you need an accommodation or adjustment to search for or apply for one of our positions, please send an email to accommodations@franklintempleton.com. In your email, please include the accommodation or adjustment you are requesting, the job title, and the job number you are applying for. It may take up to three business days to receive a response to your request. Please note that only accommodation requests will receive a response.</t>
        </is>
      </c>
    </row>
    <row r="72">
      <c r="A72" t="inlineStr">
        <is>
          <t>li-4369102480</t>
        </is>
      </c>
      <c r="B72" t="inlineStr">
        <is>
          <t>Data Scientist II / Data Analyst</t>
        </is>
      </c>
      <c r="C72" t="inlineStr">
        <is>
          <t>HDR</t>
        </is>
      </c>
      <c r="D72" t="inlineStr">
        <is>
          <t>linkedin</t>
        </is>
      </c>
      <c r="E72">
        <f>HYPERLINK("https://www.linkedin.com/jobs/view/4369102480", "https://www.linkedin.com/jobs/view/4369102480")</f>
        <v/>
      </c>
      <c r="F72" t="inlineStr"/>
      <c r="G72" t="inlineStr">
        <is>
          <t>Washington, DC</t>
        </is>
      </c>
      <c r="H72" t="inlineStr"/>
      <c r="I72" t="inlineStr">
        <is>
          <t>At HDR, our employee\-owners are fully engaged in creating a welcoming environment where each of us is valued and respected, a place where everyone is empowered to bring their authentic selves and novel ideas to work every day. As we foster a culture of inclusion throughout our company and within our communities, we constantly ask ourselves: What is our impact on the world?
 Watch Our Story:' https://www.hdrinc.com/our\-story'
 Each and every role throughout our organization makes a difference in our ability to change the world for the better. Read further to learn how you could help make great things possible not only in your community, but around the world.
 We believe transportation is more than movement, it’s the foundation of connected, thriving communities. As part of HDR’s Transportation Business Group, you’ll help shape the systems that move people and goods safely, efficiently, and sustainably. From designing resilient highways and iconic bridges to advancing transit, passenger and freight rail, aviation, federal transportation ports and marine infrastructure, your work will directly support economic vitality, public safety, sustainable and resilient communities and quality of life. We bring together planners, engineers, architects, construction management staff, environmental, strategic communications, economists, management consultants and specialists across disciplines to solve complex mobility challenges with innovation, technical excellence, and a deep understanding of community needs. Whether you're modernizing aging infrastructure or pioneering next\-generation transportation solutions, your contributions will help define the future of mobility. This isn’t just a job, it’s a chance to lead progress, drive meaningful impact, and leave a legacy of smarter, more connected transportation networks. We are all employee\-owners at HDR, which is the foundation of our collaborative culture that connects employees around the world.
 In the role of Data Scientist II / Data Analyst, we'll count on you to:
 \- Handle highly sensitive and confidential information with professionalism and discretion
 \- Collaborate with stakeholders to improve business decisions by identifying patterns and trends in data
 \- Develop data products including reports, visualizations, and dashboards
 \- Adhere to software and data science development standards
 \- Perform data acquisition, sourcing, cleaning, and exploratory data analysis (EDA)
 \- Transform raw data into usable attributes for machine learning modules through feature engineering
 \- Manage model lifecycle including development, deployment, data drift detection, model retraining, and model inference
 \- Create automated data pipelines and data engineering solutions
 \- Develop advanced and custom predictive models (classification, regression, time series, neural networks, natural language processing, and computer vision)
 \- Tune models with training, hyperparameters with comprehensive validation and testing processes
 \- Leverage predictive models to optimize business results
 \*Position will be based in a client office located in Arlington, VA\*
 Preferred Qualifications
 \- Bachelor's degree
 \- A minimum of 5 years experience strongly preferred
 \- Transit experience preferred
 \- WMATA experience preferred
 \- Preference given to candidates currently located in the area</t>
        </is>
      </c>
    </row>
    <row r="73">
      <c r="A73" t="inlineStr">
        <is>
          <t>li-4369106945</t>
        </is>
      </c>
      <c r="B73" t="inlineStr">
        <is>
          <t>Alibaba.com-Accio-Senior Applied Scientist-Sunnyvale</t>
        </is>
      </c>
      <c r="C73" t="inlineStr">
        <is>
          <t>Alibaba Group</t>
        </is>
      </c>
      <c r="D73" t="inlineStr">
        <is>
          <t>linkedin</t>
        </is>
      </c>
      <c r="E73">
        <f>HYPERLINK("https://www.linkedin.com/jobs/view/4369106945", "https://www.linkedin.com/jobs/view/4369106945")</f>
        <v/>
      </c>
      <c r="F73">
        <f>HYPERLINK("https://aidc-jobs.alibaba.com/en/off-campus/position-detail?lang=en&amp;positionId=300024421&amp;SRC=Linkedin&amp;urlHash=P_nM", "https://aidc-jobs.alibaba.com/en/off-campus/position-detail?lang=en&amp;positionId=300024421&amp;SRC=Linkedin&amp;urlHash=P_nM")</f>
        <v/>
      </c>
      <c r="G73" t="inlineStr">
        <is>
          <t>Sunnyvale, CA</t>
        </is>
      </c>
      <c r="H73" t="inlineStr"/>
      <c r="I73" t="inlineStr">
        <is>
          <t>**About Our Team**
 Our team is dedicated to revolutionizing B2B e\-commerce through the development of a groundbreaking AI search product. Leveraging cutting\-edge LLM technology, we're creating a brand new AI search engine and streamline the entire purchasing process for B2B customers.
**Responsibilities**
* Deliver full projects by defining the data structure, framework, design, and evaluation metrics for AI solution development and implementation.
* Develop and deploy Large Language Models (LLMs) to empower search and agent systems for a variety of applications.
* Identify new and upcoming product innovation areas by interacting with potential external and internal collaborators.
* Identify undefined problems in existing technology and engage stakeholders and leaders to address them.
**Qualifications**
**Job Requirements**
* PhD, Master's, or Bachelor's degree in Computer Science, Engineering, Mathematics, or related fields.
* Ability to implement and verify state\-of\-the\-art NLP or Computer Vision algorithms.
* Experience in successfully applying machine learning approaches to real\-world personalization problems.
* Experience with building large language models.
* Knowledge of statistical methods, with strong mathematical skills.
* Excellent problem\-solving and programming skills in Python.
 The pay range for this position at commencement of employment is expected to be between $162,400/year and $266,000/year. However, base pay offered may vary depending on multiple individualized factors, including market location, job\-related knowledge, skills, and experience.
 If hired, employee will be in an “at\-will position” and the Company reserves the right to modify base salary (as well as any other discretionary payment or compensation program) at any time, including for reasons related to individual performance, Company or individual department/team performance, and market factors.</t>
        </is>
      </c>
    </row>
    <row r="74">
      <c r="A74" t="inlineStr">
        <is>
          <t>li-4365502593</t>
        </is>
      </c>
      <c r="B74" t="inlineStr">
        <is>
          <t>Data Scientist</t>
        </is>
      </c>
      <c r="C74" t="inlineStr">
        <is>
          <t>Underdog.io -Apply to top tech jobs in 60 seconds. A place where companies apply to you</t>
        </is>
      </c>
      <c r="D74" t="inlineStr">
        <is>
          <t>linkedin</t>
        </is>
      </c>
      <c r="E74">
        <f>HYPERLINK("https://www.linkedin.com/jobs/view/4365502593", "https://www.linkedin.com/jobs/view/4365502593")</f>
        <v/>
      </c>
      <c r="F74" t="inlineStr"/>
      <c r="G74" t="inlineStr"/>
      <c r="H74" t="inlineStr"/>
      <c r="I74" t="inlineStr">
        <is>
          <t>Underdog.io is a modern recruiting platform. One of our hiring partners is looking to hire a Data Scientist to expand their retail analytics team.
**Job Title:** 
 Data Scientist
**Locations:** 
 San Francisco, CA, Irvine, CA, New York, NY, Seattle, WA, Austin, TX, and Remote
**About Our Company** 
 We’re the world’s largest live streaming platform, where millions of global communities connect daily around shared passions—from gaming, music, and sports to cooking and creative arts. Our mission is to empower creators and foster belonging through real\-time interaction. Backed by a collaborative, community\-driven culture, we’re solving complex challenges at the intersection of entertainment, technology, and human connection.
**The Opportunity** 
 Join our Monetization Data Science team to directly impact how creators earn revenue on our platform. As a Data Scientist focused on Payouts \&amp; Creator Economics, you’ll ensure fair, transparent, and innovative compensation systems for thousands of global creators. Partner with Product, Engineering, Finance, and Legal teams to refine payout policies, launch new monetization features, and combat fraud—all while growing into a senior technical leader.
 What You’ll Do
* **Analyze Policy Impact:** 
 Measure how payout program changes (e.g., eligibility rules, payment timelines) affect creator behavior and platform economics.
* **Own Creator Insights:** 
 Develop dashboards and reports tracking payout performance, earnings trends, and program health.
* **Drive Causal Inference:** 
 Apply methods like DiD, matching, and IPW to evaluate non\-experimental policy shifts.
* **Build Data Pipelines:** 
 Create and maintain SQL/Python workflows for recurring analytics (owning data ops when needed).
* **Cross\-Functional Leadership:** 
 Guide product decisions by translating data into actionable strategies for stakeholders.
* **Support Innovation:** 
 Shape new monetization initiatives to expand creator opportunities globally.
**Your Expertise** 
* 3\+ years in Data Science, Analytics, or related field.
**Technical Fluency:** 
* Advanced SQL (complex joins, window functions).
* Python (Pandas, SciPy) or R for data analysis.
* Causal inference mastery (experiment design, quasi\-experimental methods).
* **Communication:** 
 Distill technical insights for executives, legal teams, and engineers.
* **Ownership Mentality:** 
 Thrive in ambiguity; proactively solve problems with imperfect data.
* **Growth Mindset:** 
 Eager to evolve from tactical analytics to strategic leadership.
 Bonus Points For
* Airflow, SageMaker, or ML deployment experience (fraud/churn models).
* Econometrics background or A/B test design.
* Dashboarding (Tableau, Looker, Redshift).
 Perks \&amp; Benefits
* 💰
 **Competitive Salary** 
 \+ Annual Bonus
* 🩺
 **Full\-Coverage Health:** 
 Medical, dental, vision, disability (100% premiums)
* 👨 👩 👧
 **Family Support:** 
 16\-week parental leave \+ fertility benefits
* 🌴
 **Flexible PTO:** 
 Unlimited vacation \+ company\-wide breaks
* 💻
 **Workspace Stipend:** 
 $1,000/year home office upgrade
* 📈
 **401(k):** 
 100% match up to 6% of salary
* 🛒
 **Retail Discounts:** 
 10% off at leading e\-commerce brands
 Our Culture
* **Community First:** 
 We build belonging—for creators and each other.
* **Bold Ownership:** 
 Solve hard problems with autonomy and accountability.
* **Learn Together:** 
 Weekly tech talks, mentorship, and $5k/year learning stipend.
* **Global Impact:** 
 Your work directly empowers creators worldwide.
**Apply Now** 
 Ready to revolutionize how creators thrive? Join us to blend analytical rigor with creative problem\-solving—and grow your career in a team that values curiosity, collaboration, and human connection.</t>
        </is>
      </c>
    </row>
    <row r="75">
      <c r="A75" t="inlineStr">
        <is>
          <t>li-4346185004</t>
        </is>
      </c>
      <c r="B75" t="inlineStr">
        <is>
          <t>Senior Data Scientist</t>
        </is>
      </c>
      <c r="C75" t="inlineStr">
        <is>
          <t>Nexxen</t>
        </is>
      </c>
      <c r="D75" t="inlineStr">
        <is>
          <t>linkedin</t>
        </is>
      </c>
      <c r="E75">
        <f>HYPERLINK("https://www.linkedin.com/jobs/view/4346185004", "https://www.linkedin.com/jobs/view/4346185004")</f>
        <v/>
      </c>
      <c r="F75" t="inlineStr"/>
      <c r="G75" t="inlineStr">
        <is>
          <t>New York, NY</t>
        </is>
      </c>
      <c r="H75" t="inlineStr"/>
      <c r="I75"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76">
      <c r="A76" t="inlineStr">
        <is>
          <t>li-4346185001</t>
        </is>
      </c>
      <c r="B76" t="inlineStr">
        <is>
          <t>Senior Data Scientist</t>
        </is>
      </c>
      <c r="C76" t="inlineStr">
        <is>
          <t>Nexxen</t>
        </is>
      </c>
      <c r="D76" t="inlineStr">
        <is>
          <t>linkedin</t>
        </is>
      </c>
      <c r="E76">
        <f>HYPERLINK("https://www.linkedin.com/jobs/view/4346185001", "https://www.linkedin.com/jobs/view/4346185001")</f>
        <v/>
      </c>
      <c r="F76" t="inlineStr"/>
      <c r="G76" t="inlineStr">
        <is>
          <t>Dallas, TX</t>
        </is>
      </c>
      <c r="H76" t="inlineStr"/>
      <c r="I76"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This role will be based in our local office
 **Locations** 
**.** 
 Our team follows a hybrid schedule,
 **working in the office three days** 
 a week and remotely for the rest.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Extensive Mar\-tech/Ad\-tech knowledge (Ad\-tech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77">
      <c r="A77" t="inlineStr">
        <is>
          <t>li-4369107493</t>
        </is>
      </c>
      <c r="B77" t="inlineStr">
        <is>
          <t>Staff Data Scientist - Growth / Care</t>
        </is>
      </c>
      <c r="C77" t="inlineStr">
        <is>
          <t>Grow Therapy</t>
        </is>
      </c>
      <c r="D77" t="inlineStr">
        <is>
          <t>linkedin</t>
        </is>
      </c>
      <c r="E77">
        <f>HYPERLINK("https://www.linkedin.com/jobs/view/4369107493", "https://www.linkedin.com/jobs/view/4369107493")</f>
        <v/>
      </c>
      <c r="F77" t="inlineStr"/>
      <c r="G77" t="inlineStr"/>
      <c r="H77" t="inlineStr"/>
      <c r="I77" t="inlineStr">
        <is>
          <t>**About Us:**
 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$178mm of funding from Sequoia Capital, Transformation Capital, TCV, SignalFire, and others.
**The Opportunity:**
 Grow Therapy is seeking a Staff Data Scientist to deepen our understanding of our users and unlock the next era of our growth trajectory. In this role, you will lead cross\-functional, data\-driven initiatives and drive insights that get more people successfully onboarded and retained in online therapy, shape how we build our mobile app and digital experiences, and lead the charge on how AI is used alongside therapy. You will also develop and own marketing and attribution models that help us reach patients more effectively and empower our providers’ success. Your work will shape product strategy, experimentation, and long\-term investment decisions across the company.
**What You’ll Be Doing:**
* Lead experimentation and metric development to understand user behavior, optimize onboarding and retention, and guide product direction across web and mobile experiences.
* Build predictive, attribution, and behavioral models that inform marketing strategy, therapist\-matching workflows, and future AI\-powered features.
* Partner closely with Product, Engineering, Design, and Operations to identify opportunities, quantify impact, and drive roadmap decisions with clear, actionable insights.
* Develop dashboards, analytical frameworks, and self\-serve tools that scale data access and empower teams to answer their own product questions.
* Shape Grow Therapy’s AI strategy by designing evaluation frameworks, running model\-level experiments, and identifying where AI can improve the patient and provider experience.
**You’ll Be a Good Fit If:**
* 8\+ years of experience in a quantitative role applying analytics, experimentation, and modeling in a product\-focused environment, including leading high\-impact, cross\-functional data science or analytics initiatives.
* Fluent in SQL and Python, with deep experience designing A/B tests, building models, and setting a high bar for translating complex data into clear recommendations for stakeholders at all levels.
* Proven experience owning and driving product or growth decisions through deep user understanding, funnel analytics, or marketplace dynamics, and doing so through influence as well as hands\-on work.
* Comfortable navigating ambiguity and working cross\-functionally in fast\-moving environments where data science directly influences strategy, and aligning multiple teams around shared metrics and insights.
* Excited about improving access to mental health care and motivated by building AI\-enhanced experiences that support therapists and patients.
**Role Details:**
**Employment Type:** 
 Full Time, Exempt
**Base Compensation:** 
 The base compensation range for this position is:
* Hybrid Commitment: $200,000–$250,000 USD USD Annually
* Fully Remote Commitment: $167,000–$208,000 USD Annually
 This role can be hybrid (onsite from our NYC, San Francisco, or Seattle hub location three days per week: Tuesday, Wednesday, Thursday) or fully remote. Both arrangements include travel 2–3 times per year (e.g., company and department off\-sites).
**Full Time Employee Benefits:**
* Comprehensive Health Coverage: Medical, dental, and vision insurance, plus life and disability coverage.
* Parental Leave \&amp; Family Support: Up to 18 weeks paid leave and a new child stipend.
* Financial Wellness: 401(k) program and equity opportunities.
* Meals \&amp; Home Office Support: Stipends for home office setup and ongoing funds for meals, with tailored perks for both remote and in\-office employees.
* Time Off to Recharge: Flexible PTO, 12 paid holidays, and a full winter break week.
* Wellness \&amp; Development: Annual stipends to put towards personal \&amp; professional growth.
* Mental \&amp; Physical Health Support: No\-cost access to therapy through the Grow platform, weekly flexible hours for self\-care (“Mental Health Mornings/Afternoons”) and memberships to leading wellness apps (such as One Medical, Headspace, and Talkspace).
* Extra Perks: Pet insurance discounts, commuter benefits, and global travel assistance.
*Research shows that some groups hesitate to apply unless they meet every qualification. If you’re excited about this role but don’t check every box, we encourage you to apply. At Grow, we value diverse experiences, transferable skills, and the unique strengths each person brings.*
*Grow Therapy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***Use of AI Tools:***
*By submitting your application, you acknowledge and consent to the use of automated tools as part of our recruitment process. Specifically, we use a third\-party AI tool,* 
*Gem* 
*, to assist in the* 
***initial screening of resumes***
*. This tool analyzes resumes based on role\-specific criteria provided by our recruiters to identify potentially strong matches for the role.* 
***I***
***mportantly, no hiring decisions are made by the AI tool***
***.***
*All decisions about which candidates move forward are made by our human recruiting team after independent review.* 
*More information about Gem’s approach to compliance with* 
*California FEHA regulations on automated decision systems* 
*and* 
*New York Local Law 144* 
*can be found on the Gem compliance website.* 
*We are committed to transparency and fairness in our hiring practices. If you have questions about how our AI tools work, or would like more information about how your application will be processed, please contact us at talentops@growtherapy.com* 
*.* 
*If you require an accommodation due to a disability, or have concerns about the use of AI in the hiring process, please also contact us. We are happy to provide assistance or offer an alternative method of participating in the recruitment process.*</t>
        </is>
      </c>
    </row>
    <row r="78">
      <c r="A78" t="inlineStr">
        <is>
          <t>li-4341723833</t>
        </is>
      </c>
      <c r="B78" t="inlineStr">
        <is>
          <t>Data Scientist, Mid</t>
        </is>
      </c>
      <c r="C78" t="inlineStr">
        <is>
          <t>Booz Allen Hamilton</t>
        </is>
      </c>
      <c r="D78" t="inlineStr">
        <is>
          <t>linkedin</t>
        </is>
      </c>
      <c r="E78">
        <f>HYPERLINK("https://www.linkedin.com/jobs/view/4341723833", "https://www.linkedin.com/jobs/view/4341723833")</f>
        <v/>
      </c>
      <c r="F78" t="inlineStr"/>
      <c r="G78" t="inlineStr">
        <is>
          <t>Washington, DC</t>
        </is>
      </c>
      <c r="H78" t="inlineStr"/>
      <c r="I78" t="inlineStr">
        <is>
          <t>**Job Number: R0230218**
 Data Scientist, Mid
**The Opportunity:**
 As a data scientist, you’re excited at the prospect of unlocking the secrets held by a data set, and you’re fascinated by the possibilities presented by IoT, machine learning, and artificial intelligence. In an increasingly connected world, massive amounts of structured and unstructured data open new opportunities. As a data scientist at Booz Allen, you can help turn these complex data sets into useful information to solve global challenges. Across private and public sectors from fraud detection to cancer research, to national intelligence, we need you to help find the answers in the data.
 On our team, you’ll use your leadership skills and data science expertise to create real\-world impact. You’ll work closely with clients to understand their questions and needs, and then dig into their data\-rich environments to find the pieces of their information puzzle. You’ll guide teammates and lead the development of algorithms and systems. You’ll use the right combination of tools and frameworks to turn sets of disparate data points into objective answers to advise your clients as they make informed decisions. Ultimately, you’ll provide a deep understanding of the data, what it all means, and how it can be used.
 Work with us as we use data science for good.
 Join us. The world can’t wait.
**You Have:**
* Experience using data science programming languages, such as Python or R
* Experience creating ETL pipelines, including querying APIs, cleaning and conditioning data, and creating schemas for data storage
* Knowledge of statistical analysis, predictive modeling, and machine learning methods
* Ability to design and develop automated analytic software, techniques, and algorithms
* Ability to develop solutions and integrate and extend free and open\-source software (FOSS) or COTS products
* Ability to generate data visualizations with tools, such as Tableau, Power BI, or ArcGIS
* TS/SCI clearance
* Scheduled to obtain a Bachelor's degree by Spring or Summer 2026
**Nice If You Have:**
* Experience working with GEOINT, HUMINT, MASINT, OSINT, and SIGINT and the data and tools associated with these disciplines
* Experience with intelligence or operations analysis in the DoD or Intelligence Community
* Experience with version control tools, including Git, GitLab, GitHub, or Bitbucket
* Knowledge of DevOps, including CI/CD pipelines and Jenkins
* TS/SCI clearance with a polygraph
* Bachelor's degree
**Clearance:** 
 Applicants selected will be subject to a security investigation and may need to meet eligibility requirements for access to classified information; TS/SCI clearance is required.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79">
      <c r="A79" t="inlineStr">
        <is>
          <t>li-4346273473</t>
        </is>
      </c>
      <c r="B79" t="inlineStr">
        <is>
          <t>Senior Data Scientist, SSP</t>
        </is>
      </c>
      <c r="C79" t="inlineStr">
        <is>
          <t>Nexxen</t>
        </is>
      </c>
      <c r="D79" t="inlineStr">
        <is>
          <t>linkedin</t>
        </is>
      </c>
      <c r="E79">
        <f>HYPERLINK("https://www.linkedin.com/jobs/view/4346273473", "https://www.linkedin.com/jobs/view/4346273473")</f>
        <v/>
      </c>
      <c r="F79" t="inlineStr"/>
      <c r="G79" t="inlineStr">
        <is>
          <t>Bellevue, WA</t>
        </is>
      </c>
      <c r="H79" t="inlineStr"/>
      <c r="I79" t="inlineStr">
        <is>
          <t>**Who is Nexxen?**
 Flexible advertising, unified by data. Nexxen empowers advertisers, agencies, publishers and broadcasters around the world to utilize data and advanced TV in the ways that are most meaningful to them. Our flexible and unified technology stack comprises a demand\-side platform (“DSP”) and supply\-side platform (“SSP”), with the Nexxen Data Platform at its core.
**Why join the Nexxen team?**
 With a global footprint, you can be part of a team that is transforming advertising through our creative, flexible and unified solutions. Employees hustle, commit and dedicate themselves to pillars that make up the Nexxen Way – the 3Cs \- Customer Centric, Curious Mindset, Collaborative with No Ego.
**Important Notice from Nexxen: Your Safety Matters**
 At Nexxen, we care about the well\-being of our current and future employees. We are aware of the growing number of online scams and fraudulent job postings, and we urge all job seekers to remain vigilant. Please be advised that Nexxen will never request payment (whether in cash, cryptocurrency, or any other form) as a condition of employment, offer positions that require you to invest in vague or dubious financial schemes, or promote roles that resemble get\-rich\-quick opportunities. If you receive a suspicious message claiming to be from Nexxen or encounter a questionable job posting associated with our name, please contact us at infosec@nexxen.com to verify its legitimacy. Your trust is important to us. Stay safe and informed.
 Nexxen Fraud Alert and Notice: Protect Yourself from Impersonation and Fraudulent Activity
**What You’ll Do**
 You'll develop and deploy groundbreaking data solutions, collaborating with talented engineers and product experts to transform complex problems into elegant solutions. With proven experience in data science, machine learning, statistical modeling, and/or deep learning, you will bring a passion for problem\-solving, turning data into actionable insights, and collaboration with supporting teams. Strong programming skills in Python, SQL, Spark, and other data science tools are essential.
**Each day can be different here at Nexxen, but some of the things you can expect to be doing are:**
* Design and implement scalable data science\-based solutions, data processing, and machine learning pipelines
* Optimize models and develop new and scalable methodologies to improve data quality
* Collaborate with other Engineering and Product teams to understand product requirements and create optimal/scalable solutions
* Communicate technical concepts and findings to both technical/non\-technical team members
* Write scalable and clean code
**What You’ll Bring**
* Education in Computer Science / Engineering or a related technical field with 7\+ years of overall experience
* 5\+ years of work experience in building production\-level data science\-based solutions
* Ad\-Tech vendor experience required (SSP preferred)
* Experience in Neural Networks, Deep Learning, TensorFlow, and/or PyTorch
* Experience with Spark and SQL
* Significant experience with Python and machine learning packages (e.g., sklearn, keras)
* Experience in implementing machine learning pipelines
* Creative problem\-solving and analytical skills with experience in statistical analysis and hypothesis testing.
* Excellent verbal and written communication skills to present complex data findings to technical and non\-technical stakeholders
**What We Would Like To See**
* MS/PhD in Computer Science / Engineering or a related technical field
* Experience with latency\-sensitive scalable machine learning models
* Supply Side Platform (SSP) Ad Tech experience
 At Nexxen, we value our differences, varied experiences, and collective contribution. We know that not everyone takes the same career path, so if you don’t match this job description perfectly, don’t worry! We would rather see your application than risk missing out on your potential to make an impact.
 In support of pay transparency and equity, the minimum and maximum full\-time annual base salary for this role is $160,000 \-210,000 the time of posting, with the potential of an incentive or bonusWhile this is our reasonable expectation this is not a guarantee of compensation or salary, actual compensation is influenced by a wide range of factors including but not limited to skill set, level of experience, education, certifications, responsibility, and geographic location. Candidates hired to work in other locations will be subject to the pay range associated with that location. We offer a variety of benefits, including medical, dental, vision, disability insurance, 401(k), EAP, parental leave, unlimited vacation, and company\-paid holidays. The specific programs and options available will vary depending on the state, start date, and employment type. Our Talent Acquisition team will be happy to answer any questions you may have.
*For information about how we handle your personal information please view our* 
*Applicant and Candidate Privacy Notice*</t>
        </is>
      </c>
    </row>
    <row r="80">
      <c r="A80" t="inlineStr">
        <is>
          <t>li-4318122336</t>
        </is>
      </c>
      <c r="B80" t="inlineStr">
        <is>
          <t>Data Scientist</t>
        </is>
      </c>
      <c r="C80" t="inlineStr">
        <is>
          <t>Booz Allen Hamilton</t>
        </is>
      </c>
      <c r="D80" t="inlineStr">
        <is>
          <t>linkedin</t>
        </is>
      </c>
      <c r="E80">
        <f>HYPERLINK("https://www.linkedin.com/jobs/view/4318122336", "https://www.linkedin.com/jobs/view/4318122336")</f>
        <v/>
      </c>
      <c r="F80" t="inlineStr"/>
      <c r="G80" t="inlineStr">
        <is>
          <t>Springfield, VA</t>
        </is>
      </c>
      <c r="H80" t="inlineStr"/>
      <c r="I80" t="inlineStr">
        <is>
          <t>**Job Number: R0227660**
 Data Scientist
**The Opportunity:**
 As a data scientist, you’re excited at the prospect of unlocking the secrets held by a data set, and you’re fascinated by the possibilities presented by IoT, machine learning, and artificial intelligence. In an increasingly connected world, massive amounts of structured and unstructured data open new opportunities. As a data scientist at Booz Allen, you can help turn these complex data sets into useful information to solve global challenges. Across private and public sectors—from fraud detection to cancer research to national intelligence—we need you to help find the answers in the data.
 On our team, you’ll use your analytical skills and data science knowledge to create real\-world impact. You’ll work closely with your clients to understand their questions and needs, and then dig into their data\-rich environments to find the pieces of their information puzzle. You’ll develop algorithms and systems and use the right combination of tools and frameworks to turn sets of disparate data points into objective answers to help clients make informed decisions. Ultimately, you’ll provide a deep understanding of the data, what it all means, and how it can be used.
 Work with us as we use data science for good.
 Join us. The world can't wait.
**You Have:** 
* 2\+ years of experience with data exploration, data cleaning, data analysis, data visualization, or data mining
* 2\+ years of experience with statistical and general\-purpose programming languages for data analysis
* Experience working in the IC using multi\-INT data sources for analysis
* Experience developing and deploying generative AI tools
* Knowledge of Machine Learning, Artificial Intelligence, or Natural Language Processing
* Active TS/SCI clearance; willingness to take a polygraph exam
* Bachelor’s degree
**Nice If You Have:** 
* 2\+ years of experience with Python for data analysis
* Experience with multiple intelligence types, including SIGINT, OSINT, ELINT, GEOINT, MASINT, or HUMINT
* Experience with geospatial data analysis tools
* Experience with R, SQL, HTML, and JavaScript
* Experience analyzing geospatially enabled data and deploying AI tools into operational software
* Knowledge of GEOINT collection and associated systems
* Ability to learn new technologies and adapt to dynamic mission needs
* TS/SCI clearance with a polygraph
* Master’s degree
**Clearance:**
 Applicants selected will be subject to a security investigation and may need to meet eligibility requirements for access to classified information; TS/SCI clearance is required.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81">
      <c r="A81" t="inlineStr">
        <is>
          <t>li-4341553997</t>
        </is>
      </c>
      <c r="B81" t="inlineStr">
        <is>
          <t>Data Scientist, Mid</t>
        </is>
      </c>
      <c r="C81" t="inlineStr">
        <is>
          <t>Booz Allen Hamilton</t>
        </is>
      </c>
      <c r="D81" t="inlineStr">
        <is>
          <t>linkedin</t>
        </is>
      </c>
      <c r="E81">
        <f>HYPERLINK("https://www.linkedin.com/jobs/view/4341553997", "https://www.linkedin.com/jobs/view/4341553997")</f>
        <v/>
      </c>
      <c r="F81" t="inlineStr"/>
      <c r="G81" t="inlineStr">
        <is>
          <t>Reston, VA</t>
        </is>
      </c>
      <c r="H81" t="inlineStr"/>
      <c r="I81" t="inlineStr">
        <is>
          <t>**Job Number: R0230218**
 Data Scientist, Mid
**The Opportunity:**
 As a data scientist, you’re excited at the prospect of unlocking the secrets held by a data set, and you’re fascinated by the possibilities presented by IoT, machine learning, and artificial intelligence. In an increasingly connected world, massive amounts of structured and unstructured data open new opportunities. As a data scientist at Booz Allen, you can help turn these complex data sets into useful information to solve global challenges. Across private and public sectors from fraud detection to cancer research, to national intelligence, we need you to help find the answers in the data.
 On our team, you’ll use your leadership skills and data science expertise to create real\-world impact. You’ll work closely with clients to understand their questions and needs, and then dig into their data\-rich environments to find the pieces of their information puzzle. You’ll guide teammates and lead the development of algorithms and systems. You’ll use the right combination of tools and frameworks to turn sets of disparate data points into objective answers to advise your clients as they make informed decisions. Ultimately, you’ll provide a deep understanding of the data, what it all means, and how it can be used.
 Work with us as we use data science for good.
 Join us. The world can’t wait.
**You Have:**
* Experience using data science programming languages, such as Python or R
* Experience creating ETL pipelines, including querying APIs, cleaning and conditioning data, and creating schemas for data storage
* Knowledge of statistical analysis, predictive modeling, and machine learning methods
* Ability to design and develop automated analytic software, techniques, and algorithms
* Ability to develop solutions and integrate and extend free and open\-source software (FOSS) or COTS products
* Ability to generate data visualizations with tools, such as Tableau, Power BI, or ArcGIS
* TS/SCI clearance
* Scheduled to obtain a Bachelor's degree by Spring or Summer 2026
**Nice If You Have:**
* Experience working with GEOINT, HUMINT, MASINT, OSINT, and SIGINT and the data and tools associated with these disciplines
* Experience with intelligence or operations analysis in the DoD or Intelligence Community
* Experience with version control tools, including Git, GitLab, GitHub, or Bitbucket
* Knowledge of DevOps, including CI/CD pipelines and Jenkins
* TS/SCI clearance with a polygraph
* Bachelor's degree
**Clearance:** 
 Applicants selected will be subject to a security investigation and may need to meet eligibility requirements for access to classified information; TS/SCI clearance is required.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82">
      <c r="A82" t="inlineStr">
        <is>
          <t>li-4369481613</t>
        </is>
      </c>
      <c r="B82" t="inlineStr">
        <is>
          <t>Senior Data Scientist</t>
        </is>
      </c>
      <c r="C82" t="inlineStr">
        <is>
          <t>Microsoft</t>
        </is>
      </c>
      <c r="D82" t="inlineStr">
        <is>
          <t>linkedin</t>
        </is>
      </c>
      <c r="E82">
        <f>HYPERLINK("https://www.linkedin.com/jobs/view/4369481613", "https://www.linkedin.com/jobs/view/4369481613")</f>
        <v/>
      </c>
      <c r="F82" t="inlineStr"/>
      <c r="G82" t="inlineStr">
        <is>
          <t>Redmond, WA</t>
        </is>
      </c>
      <c r="H82" t="inlineStr"/>
      <c r="I82" t="inlineStr">
        <is>
          <t>**Overview**
 What a time to join Microsoft! The Office of the Chief Economist works across the company to pursue commercial value using economics and data science. Examples of our work include algorithms that grow Microsoft’s cloud revenue and resource efficiency; some of the first\-ever studies of how AI changes the way that people work; and market design for software resellers.
 We are looking for a
 **Senior Data Scientist** 
 with broad technical skills, business acumen, and a player\-coach attitude. You will work alongside world\-class colleagues on high\-visibility projects answering some of Microsoft’s most pressing challenges. You will work directly with business partners to identify opportunities. Your initial first project will involve building algorithmic support for our deal teams, using machine learning, experimentation, and good old\-fashioned analytics. This is an opportunity to rethink, build, and operate internal processes and software.
 Successful candidates can dive deep into sophisticated modeling approaches when needed; but more importantly, they know when a simple and pragmatic solution will do just as well, and they know how to inspire the same in others. They know how to tell good stories through data, how to visualize, and how to use many fast iterations in the face of ambiguous problems.
 Our team values entrepreneurship, craftsmanship, and continuous learning. You will be able to shape and grow a positive and productive data science culture.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**Responsibilities**
* Understand business needs and develop appropriate data analysis to meet those needs including pipelining, exploratory data analysis, modeling, inference, and experimentation.
* Collaborate with senior economists to solve some of Microsoft’s most pressing issues, delivering tangible commercial value.
* Together with your team, interpret and present analysis results to senior stakeholders.
* Coach more junior team members, promoting a culture of learning and evangelizing modern data science methods.
* Build a robust product that makes data, econometrics, and ML useful for deal teams in the field.Embody our culture and values.
**Qualifications**
**Required/minimum qualifications**
* Doctorate in Data Science, Mathematics, Statistics, Econometrics, Economics, Operations Research, Computer Science, or related field AND 1\+ year(s) data\-science experience (e.g., managing structured and unstructured data, applying statistical techniques and reporting results) OR Master's Degree in Data Science, Mathematics, Statistics, Econometrics, Economics, Operations Research, Computer Science, or related field AND 3\+ years data\-science experience (e.g., managing structured and unstructured data, applying statistical techniques and reporting results) OR Bachelor's Degree in Data Science, Mathematics, Statistics, Econometrics, Economics, Operations Research, Computer Science, or related field AND 5\+ years data\-science experience (e.g., managing structured and unstructured data, applying statistical techniques and reporting results) OR equivalent experience.
**Additional Or Preferred Qualifications**
* Doctorate in Data Science, Mathematics, Statistics, Econometrics, Economics, Operations Research, Computer Science, or related field AND 3\+ years data\-science experience (e.g., managing structured and unstructured data, applying statistical techniques and reporting results) OR Master's Degree in Data Science, Mathematics, Statistics, Econometrics, Economics, Operations Research, Computer Science, or related field AND 5\+ years data\-science experience (e.g., managing structured and unstructured data, applying statistical techniques and reporting results) OR Bachelor's Degree in Data Science, Mathematics, Statistics, Econometrics, Economics, Operations Research, Computer Science, or related field AND 7\+ years data\-science experience (e.g., managing structured and unstructured data, applying statistical techniques and reporting results) OR equivalent experience.
* 1\+ year of experience in preparing and executing analysis plans, evaluating various statistical methods (ML, causal inference, classical methods) and choosing the most appropriate approaches given business requirements.
* 1\+ year of industry experience in python and R and data query systems such as SQL or Spark, and management platforms such as Fabric, Databricks, SQL Server or Cosmos.
* 1\+ year of industry experience working with cross\-functional teams, gathering requirements, and building requirements into analysis plans.
* 1\+ year of experience with MLops, running Production\-grade ML systems and experience with Sales processes.
* 1\+ year of engineering experience in a modern cloud stack, including serverless methods and demonstrated experience leveraging your skills using AI.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83">
      <c r="A83" t="inlineStr">
        <is>
          <t>li-4368991805</t>
        </is>
      </c>
      <c r="B83" t="inlineStr">
        <is>
          <t>Senior Data Scientist, People</t>
        </is>
      </c>
      <c r="C83" t="inlineStr">
        <is>
          <t>RemoteHunter</t>
        </is>
      </c>
      <c r="D83" t="inlineStr">
        <is>
          <t>linkedin</t>
        </is>
      </c>
      <c r="E83">
        <f>HYPERLINK("https://www.linkedin.com/jobs/view/4368991805", "https://www.linkedin.com/jobs/view/4368991805")</f>
        <v/>
      </c>
      <c r="F83">
        <f>HYPERLINK("https://www.remotehunter.com/apply-with-ai/894b3476-0fe4-4b62-9e6e-adae20949993?utm_medium=job_posting&amp;utm_source=linkedin&amp;utm_campaign=data_scientist&amp;utm_category=data_scientist&amp;utm_term=senior_data_scientist_people&amp;urlHash=GIud", "https://www.remotehunter.com/apply-with-ai/894b3476-0fe4-4b62-9e6e-adae20949993?utm_medium=job_posting&amp;utm_source=linkedin&amp;utm_campaign=data_scientist&amp;utm_category=data_scientist&amp;utm_term=senior_data_scientist_people&amp;urlHash=GIud")</f>
        <v/>
      </c>
      <c r="G83" t="inlineStr"/>
      <c r="H83" t="inlineStr"/>
      <c r="I83" t="inlineStr">
        <is>
          <t>About the Opportunity:
 This organization provides a platform helping millions to manage and improve their homes through personalized guidance, AI tools, and a hiring experience connecting homeowners with local service businesses. The Senior Data Scientist, People role supports talent decisions by leveraging data, analytics, and AI to deliver insights and build scalable data products.
 Responsibilities:
 • Communicate clear, business\-relevant talent insights using data.
 • Apply AI to improve insight generation, decision support, and experimentation.
 • Design and maintain People data foundations, including pipelines and BigQuery models, collaborating with Data Engineering and HR Operations.
 • Develop scalable analytics products and tools such as Tableau dashboards and AI\-enabled solutions.
 • Collaborate with People Team and business leaders to identify and analyze high\-impact talent questions and provide actionable recommendations.
 • Manage end\-to\-end initiatives across People functions including Recruiting, Talent Management, and DEIB.
 • Promote a culture of data\-informed decision\-making across the People Team and organization.
 Requirements:
 • BA/BS degree in a quantitative field such as Economics, Statistics, or Psychology.
 • At least 4 years of experience, including 1 year in People Data Science or People Analytics.
 • Experience with managing data pipelines and data warehousing.
 • Strong written and verbal communication skills for diverse audiences including senior leadership.
 • Proficient in SQL for querying large datasets, Tableau, and familiar with statistical/programming languages such as R or Python.
 • Ability to work independently and collaborate effectively across teams.
 • Strong prioritization and project management skills.
 Compensation:
 • For candidates in San Francisco / Bay Area, San Jose, New York City, or Seattle metros, the expected salary range is $197,200 to $255,200\.
 • For candidates in Austin, TX; Washington DC metros; or in California, Massachusetts, New Jersey, or Washington states, the expected salary range is $140,400 to $177,700\.
 • For candidates in all other US locations, the expected salary range is $167,500 to $216,700\.
 Actual salaries vary based on job level, qualifications, skills, and proficiency.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84">
      <c r="A84" t="inlineStr">
        <is>
          <t>li-4346126172</t>
        </is>
      </c>
      <c r="B84" t="inlineStr">
        <is>
          <t>Senior Data Scientist</t>
        </is>
      </c>
      <c r="C84" t="inlineStr">
        <is>
          <t>Trepp, Inc.</t>
        </is>
      </c>
      <c r="D84" t="inlineStr">
        <is>
          <t>linkedin</t>
        </is>
      </c>
      <c r="E84">
        <f>HYPERLINK("https://www.linkedin.com/jobs/view/4346126172", "https://www.linkedin.com/jobs/view/4346126172")</f>
        <v/>
      </c>
      <c r="F84" t="inlineStr"/>
      <c r="G84" t="inlineStr"/>
      <c r="H84" t="inlineStr"/>
      <c r="I84" t="inlineStr">
        <is>
          <t>**(This role is based in Trepp's NYC office and follows a hybrid work schedule)** 
**About this Role** 
 As a Senior Data Scientist at Trepp, you will take a leading role in designing, developing, and deploying advanced data science and GenAI solutions that directly support Trepp’s analytics and product offerings. You will operate with a high degree of autonomy, owning complex projects end\-to\-end while partnering closely with product, engineering, and business stakeholders.
 This role emphasizes technical leadership, GenAI production expertise, and mentorship, while continuing to contribute hands\-on to statistical, machine learning, and applied analytics initiatives. Your work will shape Trepp’s next generation of data\-driven and AI\-powered capabilities in commercial real estate and structured finance.
**Professional and Technical Responsibilities** 
* Partner with product managers, engineers, and domain experts to translate ambiguous business problems into scalable, data\-driven solutions.
* Architect and implement GenAI applications leveraging large language models (LLMs), retrieval\-augmented generation (RAG), embeddings, agentic architectures and prompt engineering techniques.
* Build, evaluate, and maintain machine learning models using appropriate statistical, ML, and deep learning approaches.
* Ensure model quality through rigorous experimentation, validation, monitoring, and performance evaluation.
* Communicate complex technical concepts, results, and trade\-offs clearly to both technical and non\-technical stakeholders.
* Provide technical mentorship and guidance to junior data scientists, contributing to best practices and team standards.
* Contribute to the evolution of Trepp’s data science and GenAI strategy, tools, and methodologies.
**Requirements** 
 Education \&amp; Experience
* Bachelor’s or Master’s degree in Data Science, Computer Science, Statistics, Engineering, or a related quantitative field.
* 5\+ years of professional data science or applied machine learning experience.
* 2\+ years of hands\-on experience developing, deploying, and maintaining GenAI solutions in production environments.
 Core Technical Skills
* Advanced proficiency in Python for data analysis, machine learning, and GenAI development.
* Strong SQL skills and experience working with large, complex datasets.
* Experience with modern ML libraries and frameworks (e.g., scikit\-learn, PyTorch, TensorFlow).
* Proven experience with LLMs and GenAI tooling, including:
* Prompt engineering and evaluation
* Embeddings and semantic search
* Retrieval\-augmented generation (RAG) architectures
* Model APIs and open\-source LLM frameworks
* Experience deploying models and GenAI services using cloud platforms (e.g., AWS).
* Proficiency with GitHub and collaborative development workflows.
 Professional Skills
* Strong analytical thinking and problem\-solving ability, with attention to detail.
* Ability to independently own complex projects and manage ambiguity.
* Excellent verbal and written communication skills, with the ability to tailor messaging to different audiences.
* Ability to balance multiple priorities and work effectively in a fast\-paced, cross\-functional environment.
**Salary Range:**
* Base salary starting from $160k plus bonus eligible
**Benefits and Perks:**
* Base \+ target bonus compensation structure
* Medical, Dental, Vision insurance
* 401K (with employer match)
* Life insurance, long term disability, short term disability all covered by the company
* Flexible paid time off (PTO)
* Sixteen (16\) weeks paid primary caregiver leave
 *(Biological, adoptive, and foster parents are all eligible)*
* Four (4\) weeks paid parental leave
* Wellness subsidy
* Pet insurance
* Laptop \+ WFH equipment
* Career progression plan
* Pre\-tax commuter benefit with company subsidy
 *(For NYC\-office based employees only)*
* Fun company events and volunteering opportunities
 Applicants for employment in the US must have work authorization that does not now or in the future require sponsorship of a visa for employment authorization in the United States and with Trepp (i.e., H1\-B visa, F\-1 visa (OPT), TN visa or any other non\-immigrant status).
**Workplace Policy:**
*NYC, PA, and London office\-based positions:* 
 Trepp’s offices follows a 3\-2 hybrid\-working policy with the expectation of in\-office work on Tuesday\-Thursday and the option to work from home on Monday and Friday.
 Trepp maintains a drug\-free workplace.</t>
        </is>
      </c>
    </row>
    <row r="85">
      <c r="A85" t="inlineStr">
        <is>
          <t>li-4339947625</t>
        </is>
      </c>
      <c r="B85" t="inlineStr">
        <is>
          <t>Sr. Applied Scientist, Prime Video - Recommendation/Search</t>
        </is>
      </c>
      <c r="C85" t="inlineStr">
        <is>
          <t>Prime Video &amp; Amazon MGM Studios</t>
        </is>
      </c>
      <c r="D85" t="inlineStr">
        <is>
          <t>linkedin</t>
        </is>
      </c>
      <c r="E85">
        <f>HYPERLINK("https://www.linkedin.com/jobs/view/4339947625", "https://www.linkedin.com/jobs/view/4339947625")</f>
        <v/>
      </c>
      <c r="F85">
        <f>HYPERLINK("https://www.amazon.jobs/jobs/3124938/sr-applied-scientist-prime-video\u002d\u002drecommendationsearch?cmpid=SPLICX0248M&amp;utm_source=linkedin.com&amp;utm_campaign=cxro&amp;utm_medium=social_media&amp;utm_content=job_posting&amp;ss=paid&amp;urlHash=8fM8", "https://www.amazon.jobs/jobs/3124938/sr-applied-scientist-prime-video\u002d\u002drecommendationsearch?cmpid=SPLICX0248M&amp;utm_source=linkedin.com&amp;utm_campaign=cxro&amp;utm_medium=social_media&amp;utm_content=job_posting&amp;ss=paid&amp;urlHash=8fM8")</f>
        <v/>
      </c>
      <c r="G85" t="inlineStr">
        <is>
          <t>Sunnyvale, CA</t>
        </is>
      </c>
      <c r="H85" t="inlineStr"/>
      <c r="I85"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Sr. Applied Scientists with Recommender System or Search Ranking or Ads Ranking experience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Recommendation/Search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Recommendation/Search Science team owns science solution to power search experience on various devices, from sourcing, relevance, ranking, to name a few. We work closely with the engineering teams to launch our solutions in production.
**Basic Qualifications**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A3124938</t>
        </is>
      </c>
    </row>
    <row r="86">
      <c r="A86" t="inlineStr">
        <is>
          <t>li-4369110596</t>
        </is>
      </c>
      <c r="B86" t="inlineStr">
        <is>
          <t>Sr. Staff Applied Scientist</t>
        </is>
      </c>
      <c r="C86" t="inlineStr">
        <is>
          <t>Visa</t>
        </is>
      </c>
      <c r="D86" t="inlineStr">
        <is>
          <t>linkedin</t>
        </is>
      </c>
      <c r="E86">
        <f>HYPERLINK("https://www.linkedin.com/jobs/view/4369110596", "https://www.linkedin.com/jobs/view/4369110596")</f>
        <v/>
      </c>
      <c r="F86" t="inlineStr"/>
      <c r="G86" t="inlineStr">
        <is>
          <t>Bellevue, WA</t>
        </is>
      </c>
      <c r="H86" t="inlineStr"/>
      <c r="I86"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Visa Acceptance Platform is the foundation for creating innovative payment solutions that drive exceptional customer experience. It lets you easily leverage a broad range of pre\-integrated modular services and a growing ecosystem of technology and payments partners. Because it's Visa, the platform is secure, robust, and resilient. And because it's open, it will continue evolving to support you into the future.
 At Visa, we believe AI technologies have the potential to radically transform commerce. We launched Visa Intelligent Commerce to enable this next era of commerce. This program provides the infrastructure and tools developers need to build trusted, agentic experiences.
 Make an impact with a purpose\-driven industry leader. Join us today and be part of AI transformation journey at Visa.
 We are looking for a versatile, curious, and energetic Senior Applied Scientist to join our team of passionate and dedicated data scientists and engineers. We are the backbone for innovative data science and artificial intelligence developments at Visa acceptance, and we thrive on solving complex challenges on a global scale! As a Senior Applied Scientist, you will be an integral part of a multi\-functional development team inventing, designing, building, and testing products that reach a truly global customer base.
* You will face big challenges and question the status quo, changing the way data products are developed at Visa! Come join us and see your efforts shape the digital future of payments.
* The focus is on defining, executing, and delivering product and technical features at scale quickly and promoting a diverse culture of cross\-functional collaboration and engineering excellence. Be an idea leader and bring industry best practices to benefit the team and the wider organization. The ability to balance demanding business capabilities with building for operational excellence while meeting regulatory, security and privacy requirements.
* Ability to quickly grasp and evaluate new ideas and technologies from internal and external sources. Lead/Influence multiple teams, matching them with appropriate technology and business problems while building a culture of both innovation and drive for excellence.
* Transform our digital offerings by leveraging AI to enhance our current product line and develop exciting new products targeting our banking, fintech and integration partners, which will enable the next wave of innovation in payments. We need a strong technology leader, who is an expert in data science, agile delivery, building purpose driven teams, and has a background in complex integration projects. Prior experience in payments, or a background in building high volume transaction and data processing systems is preferred.
 Essential Functions:
* Provides technical expertise and mentors others to implement extensible, maintainable, and reusable data models and strategies and adheres to all security and privacy requirements for the application of artificial intelligence and data science.
* Develops strategies for and leads team's efforts to drive efficiencies across data extraction and ensure data quality and completeness using data wrangling, complex data modeling, and artificial intelligence.
* Ensures adherence to data management principles, governance, process, and tools to maintain data quality across products.
* Advises on technical specifications during discussions with collaborators (e.g., Product owners, business partners, Cybersecurity) to identify and clarify sophisticated technical or business requirements and identify business needs and upstream and/or downstream system/application dependencies.
* Defines technical standards for the design and documents the architecture for a complex product, using existing architecture design patterns.
* Oversees and establishes unit testing requirements of unit testing to confirm functional capability of code, acts as subject matter expert in testing for coding standards and security scans, strategically leads user acceptance testing in collaboration with customer across multiple domains.
* Identifies complex trends across relevant data sources and uses insights to plan platform\-wide future solution updates. Identifies opportunities and defines roadmap for software upgrades and server patches for security remediation where applicable.
 This is a hybrid position. Expectation of days in office will be confirmed by your hiring manager.
**Qualifications**
**Basic Qualifications:**
* 8\+ years of relevant work experience with a Bachelor’s Degree or at least 5 years of experience with an Advanced Degree (e.g. Masters, MBA, JD, MD) or 2 years of work experience with a PhD, OR 11\+ years of relevant work experience.
**Preferred Qualifications:**
* 9 or more years of relevant work experience with a Bachelor Degree or 7 or more relevant years of experience with an Advanced Degree (e.g. Masters, MBA, JD, MD) or 3 or more years of experience with a PhD
* Four (4\) years of experience solving data problems using data technologies (e.g., Hadoop, Hive, Kafka, Redis, NoSQL, RDBMS)
* Two (2\) years of experience designing, building/fine tuning ML/AI models around data insights, anomaly detection e.t.c
* Two (2\) years of experience in designing, building, evaluating metrics for model performance and business outcome
* Three (3\) years of experience building and pushing code into production.
* Expert in at least one of the following: Python, R, Java
* Experience with Big Data and Analytics in general leveraging technologies like Hadoop, Spark, Flink and MapReduce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162,500\.00 to 260,400\.00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87">
      <c r="A87" t="inlineStr">
        <is>
          <t>li-4314381470</t>
        </is>
      </c>
      <c r="B87" t="inlineStr">
        <is>
          <t>Staff Data Scientist, Growth Analytics</t>
        </is>
      </c>
      <c r="C87" t="inlineStr">
        <is>
          <t>Airwallex</t>
        </is>
      </c>
      <c r="D87" t="inlineStr">
        <is>
          <t>linkedin</t>
        </is>
      </c>
      <c r="E87">
        <f>HYPERLINK("https://www.linkedin.com/jobs/view/4314381470", "https://www.linkedin.com/jobs/view/4314381470")</f>
        <v/>
      </c>
      <c r="F87" t="inlineStr"/>
      <c r="G87" t="inlineStr">
        <is>
          <t>San Francisco, CA</t>
        </is>
      </c>
      <c r="H87" t="inlineStr"/>
      <c r="I87" t="inlineStr">
        <is>
          <t>**About Airwallex**
 Airwallex is the only unified payments and financial platform for global businesses. Powered by our unique combination of proprietary infrastructure and software, we empower over 200,000 businesses worldwide – including Brex, Rippling, Navan, Qantas, SHEIN and many more – with fully integrated solutions to manage everything from business accounts, payments, spend management and treasury, to embedded finance at a global scale.
 Proudly founded in Melbourne, we have a team of over 2,000 of the brightest and most innovative people in tech across 26 offices around the globe. Valued at US$8 billion and backed by world\-leading investors including T. Rowe Price, Visa, Mastercard, Robinhood Ventures, Sequoia, Salesforce Ventures, DST Global, and Lone Pine Capital, Airwallex is leading the charge in building the global payments and financial platform of the future. If you’re ready to do the most ambitious work of your career, join us.
**Attributes We Value**
 We hire successful builders with founder\-like energy who want real impact, accelerated learning, and true ownership. You bring strong role\-related expertise and sharp thinking, and you’re motivated by our mission and operating principles. You move fast with good judgment, dig deep with curiosity, and make decisions from first principles, balancing speed and rigor.
 You're humble and collaborative; turn zero‑to‑one ideas into real products, and you “get stuff done” end\-to\-end. You use AI to work smarter and solve problems faster. Here, you’ll tackle complex, high‑visibility problems with exceptional teammates and grow your career as we build the future of global banking. If that sounds like you, let’s build what’s next.
 We’re hiring an experienced Staff Data Scientist to be the technical lead for our Growth Analytics team. You will partner with Growth, Sales, Marketing, and Product teams to identify opportunities, optimize strategies, and unlock scalable growth using data analytics.
**What You'll Do**
* Operate as the technical partner to Growth, Marketing, Sales and Data Science leaders to define and implement Airwallex’s growth strategy
* Lead and mentor the team in applying a variety of data science techniques—root\-cause analysis, statistical modeling, and experimentation—to identify opportunities and drive product\-led growth (acquisition, activation, retention, reactivation)
* Establish insight\-driven approaches to address key business problems and drive business impact
* Build scalable measurement frameworks that enable consistent, data\-driven decision\-making across teams and inform growth strategy
* Clearly and persuasively communicate data insights and recommendations to technical and non\-technical audiences, ensuring findings influence stakeholders
* Translate open\-ended business problems into clearly defined data science initiatives for the team to implement
* Mentor and coach junior data scientists, and act as the single\-threaded technical owner on cross\-functional initiatives
**Qualifications**
* 7\+ years industry experience and a degree in a quantitative field (e.g. Statistics, Engineering, Sciences, Computer Science, Economics). Advanced degree (PhD or MS) preferred
* Proven experience mentoring or leading data science or data analytics teams
* Excellent communication and interpersonal skills; proven ability to influence strategy in high\-growth environments
* Demonstrated experience applying data science to drive growth initiatives with concrete impact
* Strong skills in SQL and Python/R; experience with data modeling a plus
* Experience in technology, financial services and/or a high growth environment is advantageous
**Applicant Safety Policy: Fraud and Third\-Party Recruiters**
*To protect you from recruitment scams, please be aware that Airwallex will not ask for bank details, sensitive ID numbers (i.e. passport), or any form of payment during the application or interview process. All official communication will come from an @* 
*airwallex.com* 
*email address. Please apply only through* 
*careers.airwallex.com* 
*or our official LinkedIn page.*
*Airwallex does not accept unsolicited resumes from search firms/recruiters. Airwallex will not pay any fees to search firms/recruiters if a candidate is submitted by a search firm/recruiter unless an agreement has been entered into with respect to specific open position(s). Search firms/recruiters submitting resumes to Airwallex on an unsolicited basis shall be deemed to accept this condition, regardless of any other provision to the contrary.*
**Equal opportunity**
 Airwallex is proud to be an equal opportunity employer. We value diversity and anyone seeking employment at Airwallex is considered based on merit, qualifications, competence and talent. We don’t regard color, religion, race, national origin, sexual orientation, ancestry, citizenship, sex, marital or family status, disability, gender, or any other legally protected status when making our hiring decisions. If you have a disability or special need that requires accommodation, please let us know.
 Compensation Range: $250K \- $299K</t>
        </is>
      </c>
    </row>
    <row r="88">
      <c r="A88" t="inlineStr">
        <is>
          <t>li-4348276833</t>
        </is>
      </c>
      <c r="B88" t="inlineStr">
        <is>
          <t>Staff Data Scientist (Relo to SF)</t>
        </is>
      </c>
      <c r="C88" t="inlineStr">
        <is>
          <t>Airwallex</t>
        </is>
      </c>
      <c r="D88" t="inlineStr">
        <is>
          <t>linkedin</t>
        </is>
      </c>
      <c r="E88">
        <f>HYPERLINK("https://www.linkedin.com/jobs/view/4348276833", "https://www.linkedin.com/jobs/view/4348276833")</f>
        <v/>
      </c>
      <c r="F88">
        <f>HYPERLINK("https://jobs.ashbyhq.com/airwallex/89942b4d-6465-436c-8f7c-2966c0c322b8/application?utm_source=linkedin&amp;urlHash=mcBy", "https://jobs.ashbyhq.com/airwallex/89942b4d-6465-436c-8f7c-2966c0c322b8/application?utm_source=linkedin&amp;urlHash=mcBy")</f>
        <v/>
      </c>
      <c r="G88" t="inlineStr">
        <is>
          <t>San Francisco, CA</t>
        </is>
      </c>
      <c r="H88" t="inlineStr"/>
      <c r="I88" t="inlineStr">
        <is>
          <t>**About Airwallex**
 Airwallex is the only unified payments and financial platform for global businesses. Powered by our unique combination of proprietary infrastructure and software, we empower over 200,000 businesses worldwide – including Brex, Rippling, Navan, Qantas, SHEIN and many more – with fully integrated solutions to manage everything from business accounts, payments, spend management and treasury, to embedded finance at a global scale.
 Proudly founded in Melbourne, we have a team of over 2,000 of the brightest and most innovative people in tech across 26 offices around the globe. Valued at US$8 billion and backed by world\-leading investors including T. Rowe Price, Visa, Mastercard, Robinhood Ventures, Sequoia, Salesforce Ventures, DST Global, and Lone Pine Capital, Airwallex is leading the charge in building the global payments and financial platform of the future. If you’re ready to do the most ambitious work of your career, join us.
**Attributes We Value**
 We hire successful builders with founder\-like energy who want real impact, accelerated learning, and true ownership. You bring strong role\-related expertise and sharp thinking, and you’re motivated by our mission and operating principles. You move fast with good judgment, dig deep with curiosity, and make decisions from first principles, balancing speed and rigor.
 You're humble and collaborative; turn zero‑to‑one ideas into real products, and you “get stuff done” end\-to\-end. You use AI to work smarter and solve problems faster. Here, you’ll tackle complex, high‑visibility problems with exceptional teammates and grow your career as we build the future of global banking. If that sounds like you, let’s build what’s next.
**About The Team**
 The Strategic Data Science team team provides Airwallex’s Leadership with the data, tooling, and insights needed to amplify Airwallex’s rapid growth. We partner across the entire business, giving us an overarching view and opinion on what Airwallex should prioritize. Our expertise spans the full data stack, and we use it to tackle complex data problems that will shape the future of global fintech. The team is growing quickly, and currently based in the US, China, and Singapore.
 This role is based in San Francisco.
**Learn more about the data science team in** 
**this blog**
**Responsibilities**
**What you’ll do**
* Be the go\-to data partner for the CEO and Regional Business Leads.
* Use causal inference methods to understand how macroeconomic events impact the business.
* Leverage AI to generate insights and improve business and team efficiency.
* Lead Airwallex’s forecasting efforts by 1\) building tools that aggregate and evaluate forecasts 2\) applying advanced statistical methods to build your own forecasts.
* Scope and build data products. In some cases building MVPs, and in others, fully fleshed out solutions.
* Mentor junior team members and cultivate an environment grounded in technical excellence, clear communication, and proactive critical thinking.
**Who You Are**
 We're looking for people who meet the minimum qualifications for this role. The preferred qualifications are great to have, but are not mandatory.
**Minimum Qualifications**
* 7\+ years industry experience and an advanced degree (PhD or MS) in a quantitative field (e.g. Statistics, Engineering, Sciences, Computer Science, Economics)
* Excellent communication skills, ideally with a proven track record of working directly with executive\-level stakeholders to influence strategy.
* Expertise in causal inference methods and forecasting.
* Expertise in data querying languages (e.g. SQL) and scripting languages (e.g. Python, R).
* Experience with data architecture technologies such as Airflow, Databricks, and dbt.
**Preferred Qualifications**
* Experience in technology, financial services and/or a high growth environment.
* Experience with Excel and Finance systems (e.g. Oracle).
 \#sanfrancisco
**Applicant Safety Policy: Fraud and Third\-Party Recruiters**
*To protect you from recruitment scams, please be aware that Airwallex will not ask for bank details, sensitive ID numbers (i.e. passport), or any form of payment during the application or interview process. All official communication will come from an @* 
*airwallex.com* 
*email address. Please apply only through* 
*careers.airwallex.com* 
*or our official LinkedIn page.*
*Airwallex does not accept unsolicited resumes from search firms/recruiters. Airwallex will not pay any fees to search firms/recruiters if a candidate is submitted by a search firm/recruiter unless an agreement has been entered into with respect to specific open position(s). Search firms/recruiters submitting resumes to Airwallex on an unsolicited basis shall be deemed to accept this condition, regardless of any other provision to the contrary.*
**Equal opportunity**
 Airwallex is proud to be an equal opportunity employer. We value diversity and anyone seeking employment at Airwallex is considered based on merit, qualifications, competence and talent. We don’t regard color, religion, race, national origin, sexual orientation, ancestry, citizenship, sex, marital or family status, disability, gender, or any other legally protected status when making our hiring decisions. If you have a disability or special need that requires accommodation, please let us know.
 Compensation Range: $175K \- $275K</t>
        </is>
      </c>
    </row>
    <row r="89">
      <c r="A89" t="inlineStr">
        <is>
          <t>li-4362427672</t>
        </is>
      </c>
      <c r="B89" t="inlineStr">
        <is>
          <t>Senior People Data Scientist - Teamwork Lab</t>
        </is>
      </c>
      <c r="C89" t="inlineStr">
        <is>
          <t>Atlassian</t>
        </is>
      </c>
      <c r="D89" t="inlineStr">
        <is>
          <t>linkedin</t>
        </is>
      </c>
      <c r="E89">
        <f>HYPERLINK("https://www.linkedin.com/jobs/view/4362427672", "https://www.linkedin.com/jobs/view/4362427672")</f>
        <v/>
      </c>
      <c r="F89" t="inlineStr"/>
      <c r="G89" t="inlineStr"/>
      <c r="H89" t="inlineStr"/>
      <c r="I89"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90">
      <c r="A90" t="inlineStr">
        <is>
          <t>li-4314381471</t>
        </is>
      </c>
      <c r="B90" t="inlineStr">
        <is>
          <t>Staff Data Scientist, Algorithm - Growth</t>
        </is>
      </c>
      <c r="C90" t="inlineStr">
        <is>
          <t>Airwallex</t>
        </is>
      </c>
      <c r="D90" t="inlineStr">
        <is>
          <t>linkedin</t>
        </is>
      </c>
      <c r="E90">
        <f>HYPERLINK("https://www.linkedin.com/jobs/view/4314381471", "https://www.linkedin.com/jobs/view/4314381471")</f>
        <v/>
      </c>
      <c r="F90" t="inlineStr"/>
      <c r="G90" t="inlineStr">
        <is>
          <t>San Francisco, CA</t>
        </is>
      </c>
      <c r="H90" t="inlineStr"/>
      <c r="I90" t="inlineStr">
        <is>
          <t>**About Airwallex**
 Airwallex is the only unified payments and financial platform for global businesses. Powered by our unique combination of proprietary infrastructure and software, we empower over 200,000 businesses worldwide – including Brex, Rippling, Navan, Qantas, SHEIN and many more – with fully integrated solutions to manage everything from business accounts, payments, spend management and treasury, to embedded finance at a global scale.
 Proudly founded in Melbourne, we have a team of over 2,000 of the brightest and most innovative people in tech across 26 offices around the globe. Valued at US$8 billion and backed by world\-leading investors including T. Rowe Price, Visa, Mastercard, Robinhood Ventures, Sequoia, Salesforce Ventures, DST Global, and Lone Pine Capital, Airwallex is leading the charge in building the global payments and financial platform of the future. If you’re ready to do the most ambitious work of your career, join us.
**Attributes We Value**
 We hire successful builders with founder\-like energy who want real impact, accelerated learning, and true ownership. You bring strong role\-related expertise and sharp thinking, and you’re motivated by our mission and operating principles. You move fast with good judgment, dig deep with curiosity, and make decisions from first principles, balancing speed and rigor.
 You're humble and collaborative; turn zero‑to‑one ideas into real products, and you “get stuff done” end\-to\-end. You use AI to work smarter and solve problems faster. Here, you’ll tackle complex, high‑visibility problems with exceptional teammates and grow your career as we build the future of global banking. If that sounds like you, let’s build what’s next.
**Growth Data Science Team**
 The Growth Data Science team sits at the center of Airwallex’s growth engine, turning data and AI into a durable competitive advantage. We build and scale advanced solutions—from predictive modeling and personalization to LLM\-powered systems, incentive optimization, and causal inference—to unlock step\-change growth across the customer lifecycle.
 Learn more about the data science team in this blog.
**The Role**
 We’re seeking a
 **Staff Data Scientist** 
 to partner closely with the Growth and Marketing teams to design, deploy, and iterate on high\-impact data science solutions that drive measurable business outcomes. In this role, you will apply machine learning models to influence how we acquire, engage, and retain customers globally.
 Your work will directly shape Airwallex’s growth strategy, influencing how we acquire, engage, and retain customers. You are naturally curious, business\-oriented, and have a proven track record of translating data insights into actionable recommendations that strengthen brand presence and accelerate growth.
**Why Join Now**
 You’ll join the Airwallex team during a critical period, where we are building a team that enables both global consistency in process, tooling and methodology and local flexibility and speed in execution. This is a great opportunity to shape the next phase of Airwallex’s growth.
**Responsibilities**
* Uplevel the data science team by providing technical mentorship, assuming hands\-on leadership to resolve complex problems, and setting the vision for longer term direction
* Serve as a strategic thought leader with Marketing, Growth Product, Engineering, and cross\-functional teams to inform, influence, support, and execute GTM strategy and investment decisions
* Design and deploy a range of data science solutions—including predictive models, personalization and recommendation systems, LLM\-powered applications, incentive optimization frameworks, and causal inference models—to drive measurable business outcomes
* Apply machine learning and/or statistical models to measure causal impact of Marketing initiatives
**Qualifications**
* 7\+ years industry experience and an advanced degree (PhD or MS) in a quantitative field (e.g. Statistics, Engineering, Sciences, Computer Science, Economics)
* Experience with communicating the results of analyses to leadership teams and cross\-functional teams to influence the strategy
* Technical mentorship experience with machine learning and experimentation in an industry setting
* Expert in machine learning and statistical modeling to drive data driven growth strategy
* Hands on experience building, deploying, and maintaining machine learning models in production\-grade systems (e.g., cloud\-based services, real\-time and batch pipelines).
* Expert in data querying languages (e.g. SQL), scripting languages (e.g. Python); experience in schema design and dimensional data modeling a plus
* Experience in technology, financial services and/or a high growth environment is advantageous
**Applicant Safety Policy: Fraud and Third\-Party Recruiters**
*To protect you from recruitment scams, please be aware that Airwallex will not ask for bank details, sensitive ID numbers (i.e. passport), or any form of payment during the application or interview process. All official communication will come from an @* 
*airwallex.com* 
*email address. Please apply only through* 
*careers.airwallex.com* 
*or our official LinkedIn page.*
*Airwallex does not accept unsolicited resumes from search firms/recruiters. Airwallex will not pay any fees to search firms/recruiters if a candidate is submitted by a search firm/recruiter unless an agreement has been entered into with respect to specific open position(s). Search firms/recruiters submitting resumes to Airwallex on an unsolicited basis shall be deemed to accept this condition, regardless of any other provision to the contrary.*
**Equal opportunity**
 Airwallex is proud to be an equal opportunity employer. We value diversity and anyone seeking employment at Airwallex is considered based on merit, qualifications, competence and talent. We don’t regard color, religion, race, national origin, sexual orientation, ancestry, citizenship, sex, marital or family status, disability, gender, or any other legally protected status when making our hiring decisions. If you have a disability or special need that requires accommodation, please let us know.
 Compensation Range: $250K \- $299K</t>
        </is>
      </c>
    </row>
    <row r="91">
      <c r="A91" t="inlineStr">
        <is>
          <t>li-4362367752</t>
        </is>
      </c>
      <c r="B91" t="inlineStr">
        <is>
          <t>Senior People Data Scientist - Teamwork Lab</t>
        </is>
      </c>
      <c r="C91" t="inlineStr">
        <is>
          <t>Atlassian</t>
        </is>
      </c>
      <c r="D91" t="inlineStr">
        <is>
          <t>linkedin</t>
        </is>
      </c>
      <c r="E91">
        <f>HYPERLINK("https://www.linkedin.com/jobs/view/4362367752", "https://www.linkedin.com/jobs/view/4362367752")</f>
        <v/>
      </c>
      <c r="F91" t="inlineStr"/>
      <c r="G91" t="inlineStr">
        <is>
          <t>New York, NY</t>
        </is>
      </c>
      <c r="H91" t="inlineStr"/>
      <c r="I91"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92">
      <c r="A92" t="inlineStr">
        <is>
          <t>li-4362407590</t>
        </is>
      </c>
      <c r="B92" t="inlineStr">
        <is>
          <t>Senior People Data Scientist - Teamwork Lab</t>
        </is>
      </c>
      <c r="C92" t="inlineStr">
        <is>
          <t>Atlassian</t>
        </is>
      </c>
      <c r="D92" t="inlineStr">
        <is>
          <t>linkedin</t>
        </is>
      </c>
      <c r="E92">
        <f>HYPERLINK("https://www.linkedin.com/jobs/view/4362407590", "https://www.linkedin.com/jobs/view/4362407590")</f>
        <v/>
      </c>
      <c r="F92" t="inlineStr"/>
      <c r="G92" t="inlineStr">
        <is>
          <t>San Francisco, CA</t>
        </is>
      </c>
      <c r="H92" t="inlineStr"/>
      <c r="I92" t="inlineStr">
        <is>
          <t>**Overview**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**Your Future Team**
 This role reports to the Head of Business Insights within the People Insights team and is primarily responsible for supporting the Teamwork Lab at Atlassian. The role also partners closely with People Research and with Product teams.
 The People Insights team is a cross\-disciplinary group of analysts, data scientists, behavioral scientists, researchers and business partners, who use data and research to inform strategic and operational issues facing our leaders, teams, and people.
 The Teamwork Lab is Atlassian’s research and experimentation hub for how modern teams work, with a focus on distributed and AI\-powered collaboration. They create evidence\-based practices and thought leadership that help teams work smarter together.
**Responsibilities**
**In this role, you will:**
* Define, understand, and test opportunities to influence roadmaps and drive decision making at Atlassian
* Partner with cross\-functional teams to inform, influence, and execute strategy decision, and become a trusted strategic partner through the structure and clarity of your work
* Apply technical expertise with hypothesis development, analytical methodologies, and the presentation of data to develop strategies for our business and help solve the business's biggest challenges
* Scale actionable insights from people data by helping to enhance the data infrastructure, and innovating automated processes, analyses, and products
**Qualifications**
**Minimum Qualifications:**
* 5\+ Years of Experience in Data Science or related fields
* Serving as a data engineer when needed — sourcing the right data across systems, cleaning and transforming it, and creating new, user\-ready data tables tailored to each project’s needs
* Experience conducting network analysis / organizational network analysis (ONA) to understand collaboration patterns and inform people and workplace strategies
* Proficiency in SQL and another data manipulation programming language (e.g. Python, R)
* Familiarity with at least one visualization tool (e.g., Tableau, Power BI, Looker, Streamlit, Databricks, Hex)
* Experience in applying statistical concepts to business problems
* Proven ability to translate data into compelling and easy\-to\-understand insights, stories, and narratives that resonate with technical and non\-technical audiences
* Experience driving projects or programs which have had proven impact on business strategy and performance through your analytics skills
* Thrives in ambiguity, quickly structuring unclear asks into logical, actionable steps that drive progress toward a shared goal
**Desirable Qualifications**
* 7\+ Years of Experience in Data Science or related fields OR 5\+ Years of experience in Data Science along with a post\-graduate degree or equivalent in a related field
* Experience with establishing metrics frameworks
* Experience with data quality assessment, and the development of data infrastructure and downstream data solutions
* Experience with work automation or AI implementation, report generation, and basic API interaction to solve business problems
* Ability to use Git to collaborate with others and contribute to dynamic codebases
* Experience working with people data (e.g., HR data, survey data, human behavior data) in an applied setting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175500 \- USD 229125
 Zone B: USD 158400 \- USD 206800
 Zone C: USD 145800 \- USD 190350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93">
      <c r="A93" t="inlineStr">
        <is>
          <t>li-4332539856</t>
        </is>
      </c>
      <c r="B93" t="inlineStr">
        <is>
          <t>Senior Data Scientist</t>
        </is>
      </c>
      <c r="C93" t="inlineStr">
        <is>
          <t>Ericsson</t>
        </is>
      </c>
      <c r="D93" t="inlineStr">
        <is>
          <t>linkedin</t>
        </is>
      </c>
      <c r="E93">
        <f>HYPERLINK("https://www.linkedin.com/jobs/view/4332539856", "https://www.linkedin.com/jobs/view/4332539856")</f>
        <v/>
      </c>
      <c r="F93">
        <f>HYPERLINK("https://jobs.ericsson.com/careers/job/563121772830067?utm_source=linkedin&amp;domain=ericsson.com&amp;jobPipeline=LinkedIn&amp;urlHash=mHe3", "https://jobs.ericsson.com/careers/job/563121772830067?utm_source=linkedin&amp;domain=ericsson.com&amp;jobPipeline=LinkedIn&amp;urlHash=mHe3")</f>
        <v/>
      </c>
      <c r="G93" t="inlineStr">
        <is>
          <t>Santa Clara, CA</t>
        </is>
      </c>
      <c r="H93" t="inlineStr"/>
      <c r="I93" t="inlineStr">
        <is>
          <t>**Grow with us**
**About this opportunity:**
 Innovation \&amp; Incubation (AIII) unit in Santa Clara leads the charge in developing intelligent, autonomous network solutions. We are exploring agentic AI – AI agents that can sense, reason, and act independently – as a pathway to fully autonomous networks that self\-optimize without human intervention. In this exciting role, you will leverage your expertise in transformer models, large language models (LLMs), and advanced ML to build AI\-driven systems that push the boundaries of telecom network automation. If you are passionate about state\-of\-the\-art AI (from open\-source LLMs to time\-series foundation models) and eager to apply it in a 5G/telecom context, this is the opportunity to drive innovation in a real\-world, high\-impact domain.
 Ericsson Inc. does not sponsor US work authorizations for this job position including H\-1B, O\-1, and TN. Ericsson also does not hire F\-1’s working on EAD for this position.
**What you will do:**
* Lead AI Solution Development: Design, develop, and optimize advanced AI models leveraging large language models (LLMs), context engineering, knowledge graphs, advanced RAG techniques, and agentic AI systems to solve real\-world telecom network problems. This includes fine\-tuning transformer\-based LLMs for domain\-specific tasks and applying prompt engineering to refine their outputs.
* Autonomous Network Agents: Create and integrate intelligent AI agents capable of tool use and autonomous decision\-making for network operations. You will develop multi\-agent workflows that enable AI\-driven closed\-loop automation – allowing the network to monitor itself, evaluate solutions, and act on issues in real time.
* Time\-Series Modeling: Apply cutting\-edge time\-series foundation models to telecom data for forecasting and anomaly detection. You will experiment with state\-of\-the\-art architectures (e.g. Transformer\-based models) to model temporal patterns in network KPIs and signals, helping predict issues before they arise.
* Prototype and Deploy Solutions: Work closely with telecom domain experts to define ML project objectives and develop algorithms that meet automation goals. Collaborate with software engineering teams to prototype and deploy your models into Ericsson’s products for telco network operators, ensuring a seamless transition from proof\-of\-concept to production deployment. You will also enhance the reliability and scalability of these AI models in production environments.
* Innovate and Experiment: Explore new AI technologies and frameworks (e.g. new open\-source LLMs, generative AI APIs, agent\-based systems) that could improve network automation. You will stay up\-to\-date with the latest research in AI/ML and proactively bring in innovations – from novel agent evaluation methods to emerging AI tools – to continuously improve our solutions.
* Mentorship and Collaboration: Share your expertise by mentoring junior data scientists and fostering a culture of experimentation and knowledge\-sharing. Work in a cross\-functional setting, partnering with network engineers, data engineers, and product managers to ensure that AI solutions effectively address business needs and can be integrated smoothly into Ericsson’s network management offerings.
**The Skills You Bring**
* Experience \&amp; Education: 5–7 years of hands\-on experience as a data scientist or AI/ML engineer, with a proven track record of delivering ML solutions end\-to\-end (from exploration to production). A Bachelor’s degree in Computer Science, Data Science, Engineering or related field is required (Master’s/Ph.D. preferred).
* ML/AI Expertise: Deep knowledge of machine learning fundamentals and neural network algorithms, including classic models and modern architectures. You should be well\-versed in Transformer networks and NLP/LLM technologies, as well as other AI techniques like CNNs, RNNs, reinforcement learning, etc. Experience building and refining transformer\-based LLMs (e.g., GPT\-4, LLaMA, etc.) and familiarity with their open\-source implementations and APIs is expected.
* Generative AI \&amp; Agents: Hands\-on experience with state\-of\-the\-art generative AI tools, fine tuning approaches such as LoRA/GRPO/SFT/RFT, knowledge of MCP and A2A, and platforms – including working with open\-source LLMs and APIs (OpenAI, Anthropic, etc.). Knowledge of advanced RAG techniques, prompt engineering, and context engineering for improving LLM responses is highly valued. You should also understand advanced agentic AI concepts (e.g. the ReAct agent paradigm for decision\-making) and have exposure to frameworks for building AI agents or autonomous workflows.
* Programming \&amp; Tools: Strong programming skills in Python and proficiency with the modern AI/ML ecosystem. This includes experience with deep learning frameworks (PyTorch, TensorFlow), NLP libraries (HuggingFace Transformers), and AI orchestration frameworks (such as LangGraph or similar) for tool integration. Familiarity with data science notebooks, version control, and MLOps tools for model deployment/monitoring is also important.
* Data Analytics \&amp; Foundations: Demonstrated ability to work with large, complex datasets (including time\-series data). Experience in data preprocessing, feature engineering, and vector databases for embeddings is a plus. A solid foundation in mathematics, statistics, and probability is required to develop and validate models.
* Evaluation \&amp; Optimization: Experience in evaluating AI models and designing custom evaluation benchmarks to measure model/agent performance (e.g. testing for accuracy, bias, “hallucination” in LLM outputs, etc.). You continually iterate on models based on quantitative metrics and error analysis, and you are familiar with AI safety or reliability considerations in model development.
* Domain Knowledge: Basic understanding of telecommunications networks – including Radio access networks (RAN), Transport, and Core network domains. You have an interest in how AI can be applied to network optimization, operations, and automation; for instance, how AI\-powered rApps (Radio apps) or agents can improve network performance and orchestrate resources autonomously. (Telecom/IoT domain knowledge is a strong plus.)
* Collaboration \&amp; Communication: Excellent problem\-solving skills and ability to communicate complex AI concepts to cross\-functional teams. You can effectively partner with business stakeholders and engineers, translating requirements into AI solutions and articulating results/insights clearly. Experience working in an agile, collaborative environment on innovative projects is preferred.
* Bonus Skills: Knowledge of Ericsson’s product portfolio and solutions (for example, our network management tools, OSS/BSS systems, etc.) will greatly set you apart. Familiarity with industry standards (3GPP, O\-RAN) and prior experience in network automation or telecom analytics projects is an advantage. Additionally, experience with AI data cloud platforms such as Snowflake and cloud platforms (AWS, Azure, GCP) for scalable ML would be beneficial.
 Why join Ericsson?
 At Ericsson, you´ll have an outstanding opportunity. The chance to use your skills and imagination to push the boundaries of what´s possible. To build solutions never seen before to some of the world’s toughest problems. You´ll be challenged, but you won’t be alone. You´ll be joining a team of diverse innovators, all driven to go beyond the status quo to craft what comes next.
 What happens once you apply?
 Click Here to find all you need to know about what our typical hiring process looks like.
 Ericsson uses a merit\-based hiring approach that values people with different experiences, perspectives and skillsets. We truly believe this approach drives innovation, which is essential for our future growth. We encourage people from all backgrounds to apply and realize their full potential as part of our Ericsson team. Ericsson is proud to be an Equal Opportunity employer, learn more.
 If you need assistance or to request an accommodation due to a disability, please contact Ericsson at hr.direct.americas@ericsson.com.
 DISCLAIMER: The above statements are intended to describe the general nature and level of work being performed by employees in this position. They are not an exhaustive list of all responsibilities, duties and skills required for this position, and you may be required to perform additional job tasks as assigned.
 Primary country and city: United States (US) \|\| Santa Clara
 Job details: Data Scientist (Techn)
**Compensation And Benefits At Ericsson**
 At Ericsson, we know that our people are the key to our success. We offer a competitive package to help with your individual needs and goals.
 Your Pay
 The salary range for this position is dependent on various factors including, but not limited to, location, and the candidate’s combination of job\-related knowledge, qualifications, skills, education, training, and experience.
 The salary range for this position is
 Santa Clara
 $155,600\-233,400
 Short\-Term Variable Compensation Plan: Your pay also includes the opportunity for an annual bonus. Actual bonus payouts are based on performance of the business against the unit’s objectives, individual performance, and the individual bonus target. Certain eligibility and pro\-ration rules apply.
 Your Health
 Ericsson offers excellent health benefits including the choice of three medical plan options and a dental plan option that allow an employee to select the level of coverage that suits their needs. Employees will receive company credits in an amount equal to the cost that Ericsson pays toward the cost of their medical and dental premiums for themselves and eligible covered dependents.
 Your Financial Security
 We invest in both your short and long\-term financial wellbeing. The Ericsson US 401(k) Plan offers an automatic 3% company contribution and Ericsson matches $1 for every $1 you put into the 401(k) Plan on the first 3% of your eligible pay, plus 50 cents on every $1 on the next 2% of eligible pay. When you contribute at least 5% of eligible pay, you are receiving Ericsson’s full matching contributions. Matching and company automatic contributions stop when your total eligible pay for the year reaches the IRS limits. Employees will also receive company credits in an amount equal to the cost of basic life insurance and basic accidental death and dismemberment coverage, as well as short\-term and long\-term disability coverage. Employees also have the option to participate in Ericsson’s Stock Purchase Plan.
 Your Time
 Your work\-life balance is important to us. New employees are provided a minimum of 15 days of accrued vacation, up to 3 personal days per year, 11 annual holidays, 8 hours of volunteer time, and 80 hours of sick time annually. Please note paid time off is pro\-rated based on the employee’s start date. Furthermore, Ericsson provides up to 16 weeks of paid maternity leave and 6 weeks of parental or adoption leave at 100% of pay.
**Additional Benefits**
 Ericsson offers many other company\-paid benefits such as financial wellness programs, educational assistance, matching gifts, and recognition programs.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2026-02-05T15:24:52Z</dcterms:created>
  <dcterms:modified xsi:type="dcterms:W3CDTF">2026-02-05T15:24:52Z</dcterms:modified>
</cp:coreProperties>
</file>