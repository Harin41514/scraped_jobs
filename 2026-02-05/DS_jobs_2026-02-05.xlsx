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in-d924816acf0426a7</t>
        </is>
      </c>
      <c r="B2" t="inlineStr">
        <is>
          <t>Staff Data Scientist</t>
        </is>
      </c>
      <c r="C2" t="inlineStr">
        <is>
          <t>Intuit</t>
        </is>
      </c>
      <c r="D2" t="inlineStr">
        <is>
          <t>indeed</t>
        </is>
      </c>
      <c r="E2" t="inlineStr"/>
      <c r="F2" t="inlineStr"/>
      <c r="G2" t="inlineStr">
        <is>
          <t>Mountain View, CA, US</t>
        </is>
      </c>
      <c r="H2" s="2" t="n">
        <v>46057</v>
      </c>
      <c r="I2" t="inlineStr">
        <is>
          <t>**Overview**
------------
Come join the Intuit \- QuickBooks Web Marketing Data Analytics team as a Staff Data Scientist! You'll be joining a highly motivated and fun team that is responsible for bringing new customers to the QuickBooks ecosystem of products and driving key decisions through user behaviour analysis, experimentation and machine learning. You'll apply statistical rigor to drive business outcomes and will be instrumental in providing actionable data backed insights and recommendations that inform our strategic decisions! **Responsibilities**
* Drive measurement strategy and lead E2E process of A/B testing (frequentist/ bayesian/mab) for areas of web optimization such as landing pages, user funnel, navigation, checkout, product lineup, pricing, search and monetization opportunities
* Analyze web user behavior at both visitor and session level using clickstream data by anchoring to key web metrics and identify user behavior through engagement and pathing analysis
* Help build a culture of rigorous experimentation across marketing/product managers Leverage AI/GenAI tools for automating tasks and building custom implementations
* Use data, strategic thinking and advanced scientific methods including predictive modeling to enable data\-backed decision making for Intuit at scale
* Measure performance and impact of various product releases Demonstrate strategic thinking and systems thinking to solve business problems and influence strategic decisions using data storytelling
* Partner with GTM, Product, Engineering, Design, Engineering teams to drive analytics projects end to end
 **Qualifications**
* \+7 years of experience working in web, product, marketing, or other related analytics fields to solve for marketing/product business problems
* \+5 years of experience in designing and executing experiments (A/B and multivariate) with a deep understanding of the stats behind hypothesis testing
* Proficient in alternative A/B testing methods like DiD, Synthetic control and other causal inference techniques
* \+5 years of technical proficiency in SQL, Python or R and data visualization tools like tableau
* \+5 years of experience in manipulating and analyzing large complex datasets (e.g. clickstream data), constructing data pipelines (ETL) and working on big data technologies (e.g., Redshift, Spark, Hive, BigQuery) and solutions from cloud platforms
* \+3 years of experience in web analytics, analyzing website traffic patterns and conversion funnels
* \+2 years of experience in building ML models (eg: regression, clustering, trees) for personalization applications
* Demonstrate ability to drive strategy, execution and insights for AI native experiences across the development lifecycle (ideation, discovery, experimentation, scaling)
* Outstanding communication skills with both technical and non\-technical audiences
* Ability to tell stories with data, influence business decisions at a leadership level, and provide solutions to business problems
* Ability to manage multiple projects simultaneously to meet objectives and key deadlines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$ 186,500\- 252,000</t>
        </is>
      </c>
    </row>
    <row r="3">
      <c r="A3" t="inlineStr">
        <is>
          <t>in-dd6ff76ac9f49660</t>
        </is>
      </c>
      <c r="B3" t="inlineStr">
        <is>
          <t>Senior GenAI Engineer/Data Scientist / Remote</t>
        </is>
      </c>
      <c r="C3" t="inlineStr">
        <is>
          <t>Molina Healthcare</t>
        </is>
      </c>
      <c r="D3" t="inlineStr">
        <is>
          <t>indeed</t>
        </is>
      </c>
      <c r="E3" t="inlineStr"/>
      <c r="F3" t="inlineStr"/>
      <c r="G3" t="inlineStr">
        <is>
          <t>AZ, US</t>
        </is>
      </c>
      <c r="H3" s="2" t="n">
        <v>46057</v>
      </c>
      <c r="I3" t="inlineStr">
        <is>
          <t>Job Description
Job Summary
We are seeking a highly skilled GenAI / Agentic AI Engineer to design, build, and deploy autonomous, LLM\-powered systems that solve complex business problems at scale. This role focuses on agentic workflows, retrieval\-augmented generation (RAG), tool orchestration, evaluation, and production deployment of GenAI systems.
You will work at the intersection of LLMs, systems engineering, and applied ML, building intelligent agents that reason, plan, interact with tools, and operate reliably in real\-world environments—particularly across regulated domains such as healthcare.
Job Duties
Agentic AI \&amp; GenAI System Development
Design, build, and deploy agentic AI systems using LLMs, tools, memory, and planning frameworks.
Implement multi\-agent and single\-agent workflows for autonomous task execution, decision support, and orchestration.
Develop tool\-using agents (function calling, structured outputs, APIs, databases, workflows).
Retrieval\-Augmented Generation (RAG)
Design and optimize RAG pipelines, including document ingestion, chunking strategies, embeddings, vector stores, and retrieval ranking.
Implement advanced retrieval techniques (hybrid search, metadata filtering, re\-ranking, query rewriting).
Evaluate and tune RAG systems for accuracy, latency, grounding, and hallucination reduction.
Model Adaptation \&amp; Optimization
Fine\-tune and adapt foundation models (instruction tuning, LoRA, adapters) for domain\-specific use cases.
Optimize prompts, schemas, and system instructions for reliability and determinism.
Apply reinforcement or feedback\-driven optimization where applicable (human or automated eval loops).
Evaluation, Monitoring \&amp; Governance
Define evaluation frameworks for GenAI systems, including task success, factuality, grounding, latency, and cost.
Build monitoring and observability for agent behavior, tool calls, and failure modes.
Partner with governance and risk teams to ensure responsible AI practices, traceability, and compliance.
Production Deployment \&amp; MLOps for GenAI
Deploy GenAI and agentic systems into production using cloud\-native architectures.
Implement CI/CD, versioning, rollback, and runtime safeguards for LLM applications.
Optimize systems for performance, cost efficiency, and scalability.
Collaboration \&amp; Leadership
Collaborate closely with software engineers, product managers, data scientists, and business stakeholders.
Translate ambiguous business problems into well\-structured agentic solutions.
Mentor junior engineers and contribute to GenAI best practices and internal standards.
**Job Qualifications:**  
Technical Skills
Strong Python proficiency and experience building production\-grade services.
Deep understanding of LLMs and foundation models (GPT, Claude, Llama, etc.).
Hands\-on experience with agent frameworks (e.g., LangGraph, Semantic Kernel, DSPy, AutoGen, CrewAI, custom frameworks).
Strong knowledge of RAG architectures, vector databases, and embedding models.
Experience with structured outputs, function calling, JSON schemas, and tool orchestration.
Familiarity with LLM evaluation techniques and failure mode analysis.
Experience with APIs, microservices, and distributed systems.
Problem Solving \&amp; Communication
Strong analytical thinking and ability to structure ambiguous problems.
Ability to explain complex GenAI concepts to both technical and non\-technical audiences.
Proven ability to work cross\-functionally in fast\-moving environments.
**REQUIRED EDUCATION:**  
Master’s Degree in Computer Science, Data Science, Statistics, or a related field
**REQUIRED EXPERIENCE/KNOWLEDGE, SKILLS \&amp; ABILITIES:**  
* 6 plus years work experience as a data scientist preferably in healthcare environment but candidates with suitable experience in other industries will be considered
* Knowledge of big data technologies (e.g., Hadoop, Spark)
* Familiar with relational database concepts, and SDLC concepts
* Demonstrate critical thinking and the ability to bring order to unstructured problems
* Technical Proficiency: Strong programming skills in languages such as Python and R, and experience with machine learning frameworks like TensorFlow, Keras, or PyTorch.
* Statistical Analysis: Excellent understanding of statistical methods and machine learning algorithms, including k\-NN, Naive Bayes, SVM, and neural networks.
* Experience with Agentic Workflows: Familiarity with designing and implementing agentic workflows that leverage AI agents for autonomous operations.
* RAG Techniques: Knowledge of retrieval\-augmented generation techniques and their application in enhancing AI model outputs.
* Model Fine\-Tuning Expertise: Proven experience in fine\-tuning models for specific tasks, ensuring they meet the required performance metrics.
* Data Visualization: Proficiency in data visualization tools (e.g., Tableau, Power BI) to present complex data insights effectively.
* Database Management: Experience with SQL and NoSQL databases, data warehousing, and ETL processes.
* Problem\-Solving Skills: Strong analytical and problem\-solving abilities, with a focus on developing innovative solutions to complex challenges.
**PREFERRED EXPERIENCE:**  
Hands\-on experience building and deploying GenAI / LLM\-based systems.
Experience working in regulated industries (healthcare, finance, insurance).
Hands\-on experience with cloud GenAI platforms (Azure AI Studio / Foundry, Databricks, Snowflake Cortex).
Experience with observability and governance tools for GenAI systems.
Familiarity with NLP, document intelligence, or multimodal AI.
PhD or equivalent advanced research experience is a plus.
Proven experience designing agentic workflows, not just prompt\-based applications.
**To all current Molina employees:** If you are interested in applying for this position, please apply through the intranet job listing.
Molina Healthcare offers a competitive benefits and compensation package. Molina Healthcare is an Equal Opportunity Employer (EOE) M/F/D/V.
**Pay Range:** $107,028 \- $250,446 / ANNUAL
* Actual compensation may vary from posting based on geographic location, work experience, education and/or skill level.</t>
        </is>
      </c>
    </row>
    <row r="4">
      <c r="A4" t="inlineStr">
        <is>
          <t>in-a7ad28990318091d</t>
        </is>
      </c>
      <c r="B4" t="inlineStr">
        <is>
          <t>Sr Data Scientist</t>
        </is>
      </c>
      <c r="C4" t="inlineStr">
        <is>
          <t>Lucasfilm</t>
        </is>
      </c>
      <c r="D4" t="inlineStr">
        <is>
          <t>indeed</t>
        </is>
      </c>
      <c r="E4" t="inlineStr"/>
      <c r="F4" t="inlineStr"/>
      <c r="G4" t="inlineStr">
        <is>
          <t>San Francisco, CA, US</t>
        </is>
      </c>
      <c r="H4" s="2" t="n">
        <v>46057</v>
      </c>
      <c r="I4" t="inlineStr">
        <is>
          <t>Our R\&amp;D teams at Lucasfilm and ILM are seeking a Sr Data Scientist to join a strategic R\&amp;D initiative focused on Generative AI. The goal of this project is to develop a robust data curation pipeline that can help identify and leverage our most useful assets and media for technical model training.
You will play a critical role in bridging the gap between raw visual data and advanced machine learning applications. You will be responsible for the statistical analysis, sampling strategies, and evaluation metrics required to ensure our training data is diverse, relevant, and optimized for next\-generation image and video synthesis.
*This role is considered Hybrid, which means the employee will work 2\-3 days onsite at our San Francisco location and occasionally from home. This is a project position for 6 months.*
**What you’ll do**
**Data Strategy \&amp; Diversity Analysis**
* Independently design and implement statistical methods to ensure curated datasets retain representative coverage across various visual attributes, stylistic choices, and subject matter.
* Develop logic to identify and down\-weight low\-variance or repetitive data points to maximize training efficiency.
* Collaborate with key stakeholders on algorithms for de\-duplication to automatically eliminate redundant or near\-identical assets from the training corpus.
 **Evaluation Metrics \&amp; Quality Assurance**
* Design and lead implementation of automated metrics to assess the quality of generative images and videos.
* Validate automated quantitative metrics by correlating them against qualitative feedback provided by senior creative stakeholders.
* Establish success criteria for model fidelity, accuracy, and stylistic consistency.
 **Pipeline Integration**
* Work closely with the engineering team to integrate data cleaning, normalization, and sampling modules into a scalable automated pipeline.
* Assist in defining taxonomy and metadata standards to systematically organize unstructured visual assets.
**Project Focus \&amp; Timeline**
This is a fast\-paced, 6\-month initiative. You will move through rapidly iterating phases:
* Phase 1: defining data taxonomy and establishing baseline automated metrics.
* Phase 2: refining metrics for temporal consistency and validating against initial model fine\-tuning runs.
* Phase 3: final validation of metrics and delivery of fully curated, optimized datasets for cold storage.
 **What We’re Looking For**
* 5\+ years experience in related field
* Education \- Bachelor’s degree in Data Science, Computer Science, or a related field of study, and/or equivalent work experience. Master’s Degree preferred
* Experience: Proven background in Data Science with a strong emphasis on Computer Vision, Generative AI, or Deep Learning.
* Technical Skills: Proficiency in statistical analysis and dataset curation (distribution analysis, sampling techniques). Experience working with large\-scale unstructured media data is a plus.
* Evaluation Expertise: Familiarity with standard and novel metrics for evaluating Generative Models (e.g., FID, FVD, or similar).
* Communication: Ability to translate complex statistical insights for engineering partners and non\-technical creative leads.
The hiring range for this position in San Francisco is $155,400\-$208,400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5">
      <c r="A5" t="inlineStr">
        <is>
          <t>in-8ad3ccacebaa477b</t>
        </is>
      </c>
      <c r="B5" t="inlineStr">
        <is>
          <t>AI Data Scientist</t>
        </is>
      </c>
      <c r="C5" t="inlineStr">
        <is>
          <t>Microsoft</t>
        </is>
      </c>
      <c r="D5" t="inlineStr">
        <is>
          <t>indeed</t>
        </is>
      </c>
      <c r="E5" t="inlineStr"/>
      <c r="F5" t="inlineStr"/>
      <c r="G5" t="inlineStr">
        <is>
          <t>Bellevue, WA, US</t>
        </is>
      </c>
      <c r="H5" s="2" t="n">
        <v>46056</v>
      </c>
      <c r="I5" t="inlineStr">
        <is>
          <t>**Overview**  
We are seeking a pioneering and technically fluent **AI Data Scientist** to join our AI \&amp; Data Science Tools team. This role will be instrumental in shaping the future of AI\-powered product development within Microsoft Marketing’s Research \+ Insights organization. You will be integral to the design, build, testing, and scaling management of our newest inferencing AI tools powered by customer voice.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Insight Extraction from Inferencing Applications: Using python and gremlin to extract insightful information from the knowledge graph.
* AI Graph Building: Contribute to the design, development, and ongoing management of our knowledge graph architecture to support scalable AI solutions.
* Ownership of AI Tool Roadmap Portions: Own and evolve the product roadmap and ROB processes, ensuring alignment with strategic goals and technical feasibility.
* Cross\-Functional Collaboration: Interface with developer teams, Research \+ Insights research managers, Marketing leadership, and partner data science teams to translate business needs into technical requirements.
* Technical Communication: Articulate complex technical concepts clearly to both engineering teams and executive stakeholders.
* Innovation \&amp; Execution: Build customer voice AI tools in a fast\-paced, ambiguous environment with a focus on delivering high\-impact AI tools.
* Embody our culture and values.
**Qualifications** **Required/minimum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**Additional or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Extensive experience with knowledge graph architecture and insight extraction.
* Proficiency in Python for building production services, including modular design, code readability, unit testing, and debugging.
* Demonstrated prowess in systems thinking to drive scale, sequencing work, surfacing risk, and driving hard prioritization decisions under uncertainty, including clear trade‑offs across scope, timing, and resourcing.
* Ability to synthesize complex, technical, and qualitative inputs into clear, repeatable, decision ready artifacts for senior leadership, translating insight into action.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
      <c r="A6" t="inlineStr">
        <is>
          <t>in-b4c6647c85c7e52b</t>
        </is>
      </c>
      <c r="B6" t="inlineStr">
        <is>
          <t>Principal AI Data Scientist</t>
        </is>
      </c>
      <c r="C6" t="inlineStr">
        <is>
          <t>HP</t>
        </is>
      </c>
      <c r="D6" t="inlineStr">
        <is>
          <t>indeed</t>
        </is>
      </c>
      <c r="E6" t="inlineStr"/>
      <c r="F6" t="inlineStr"/>
      <c r="G6" t="inlineStr">
        <is>
          <t>Spring, TX, US</t>
        </is>
      </c>
      <c r="H6" s="2" t="n">
        <v>46056</v>
      </c>
      <c r="I6" t="inlineStr">
        <is>
          <t>**About the Position**  
The HP Enterprise AI \&amp; Machine Learning organization is a centralized team of data scientists and machine learning engineers building GenAI\-based tools and digital products that enable increased productivity for 50,000\+ employees and improve the effectiveness of hundreds of critical business processes. We collaborate closely with business stakeholders across HP to scope, prototype, and develop models and products in the cloud and on the edge. We also serve as HP’s AI Center of Excellence, providing consulting assistance, reuseable components and frameworks, and training to other teams across the company.
As a Principal Data Scientist focused on Generative AI, you will lead multiple HP projects involving large language and multi\-model models and other cutting\-edge Generative AI capabilities for deployment on the cloud or edge. In addition to working with our core technical team, you’ll collaborate with business stakeholders and across various units to develop and deploy solutions at scale. Your primary focus and mindset will be on delivering real business value to our internal customers. Please note, this is not a research role.
 **Responsibilities**  
* Leads organization\-wide team or teams of other data science professionals in complex projects to create GenAI\-based models and digital products.
* Develops monitoring metrics to reflect real\-world model performance and makes recommendations to shape the future direction of models and digital solutions.
* Manages relationships with senior business partners to evaluate and foster data driven innovation, provides domain\-specific expertise in cross\-organization projects/initiatives.
* Ties insights into effective visualizations communicating business value and innovation potential.
* Works with development teams and business units to ensure models are scalable and can be implemented as part of the delivered solution.
* Leads project team(s) of data science professionals, assuring insights are communicated regularly and effectively, reviewing designs, models and data compliance.
* Represents the data science team for all phases of larger and more\-complex development projects.
* Provides guidance, training and mentoring to less experienced staff members.
**Education \&amp; Experience** **Recommended*** PhD related to AI and 5\+ years of experience or Master’s degree related to AI and 10\+ years of experience.
* Relevant experience must involve Generative AI and related technologies including machine learning. data analytics, and statistical modeling.
 **Preferred Certifications**  
* Programming Language/s Certification (SQL, Python, or similar)
**Knowledge \&amp; Skills*** Strong foundation in data science and core machine learning concepts.
* Experience with large language models, multi\-modal modals, prompt engineering, vector databases, Retrieval\-Augmented Generation (RAG), and search engines.
* Solid technical background. Experience working on software development teams, especially in cloud\-based business applications, is a strong plus.
* Familiarity with tools such as Azure Machine Learning, Azure Prompt Flow, Python, LangChain, Streamlit, and Docker.
* Experience working in distributed, diverse teams, with bonus points for time spent in small fast\-paced start\-ups.
* Comfortable representing the team in meetings with multiple stakeholders and driving discussions clearly and respectfully. Mastery of English is required.
* Able to explain technical concepts (e.g., LLMs) to non\-technical audiences.
* You suggest pragmatic solutions that are as simple as possible—even if that means no AI is required.
 **Cross\-Org Skills**  
* Effective Communication
* Results Orientation
* Learning Agility
* Digital Fluency
* Customer Centricity
The base pay range for this role is $147,050 to $230,850 annually with additional opportunities for pay in the form of bonus and/or equity (applies to US candidates only). Pay varies by work location, job\-related knowledge, skills, and experience.
**Benefits:**
HP offers a comprehensive benefits package for this position, including:
Health insurance
Dental insurance
Vision insurance
Long term/short term disability insurance
Employee assistance program
Flexible spending account
Life insurance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
6351</t>
        </is>
      </c>
    </row>
    <row r="7">
      <c r="A7" t="inlineStr">
        <is>
          <t>in-97a435a696e08e1d</t>
        </is>
      </c>
      <c r="B7" t="inlineStr">
        <is>
          <t>Principal Applied Scientist</t>
        </is>
      </c>
      <c r="C7" t="inlineStr">
        <is>
          <t>Microsoft</t>
        </is>
      </c>
      <c r="D7" t="inlineStr">
        <is>
          <t>indeed</t>
        </is>
      </c>
      <c r="E7" t="inlineStr"/>
      <c r="F7" t="inlineStr"/>
      <c r="G7" t="inlineStr">
        <is>
          <t>Washington, DC, US</t>
        </is>
      </c>
      <c r="H7" s="2" t="n">
        <v>46055</v>
      </c>
      <c r="I7" t="inlineStr">
        <is>
          <t>**Overview**  
Be at the forefront of AI by joining M365 Copilot team and take part in shaping the future of AI\-powered user experiences across multiple Microsoft platforms. As a Principal Applied Scientist, you will transform how M365 users conduct Deep Research by finetuning LLMs, chain of thought techniques, intelligent information retrieval techniques or through agent orchestration. These innovations will enhance M365 Chat, Researcher agent, Windows Companions, or highly personalized search and recommendations systems in widely used office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and gain expertise in broad areas of AI and ML, including trending research techniques.
* You’ll also gain deep knowledge of building enterprise intelligence on office user’s data.
* You will review business requirements and incorporate research to meet business goals.
* You ‘ll provide strategic direction for the kinds of data used to solve problems and apply deep subject matter knowledge to support business impact.
* You will participate in onboarding of junior team members and assist in developing academics to be members of multidiscipline teams.
* You’ll identify new research talent to join Microsoft and collaborate with the academic community to develop the recruiting pipeline.
* You will document work in progress and experimentation results and share findings to promote innovation.
* You’ll also use your deep understanding of fairness and bias to contribute to ethics and privacy policies related to research processes and data collection.
* You will collaborate with a multidisciplinary team to create scalable and ethical AI solutions.
**Qualifications** **Required Qualifications:**
* Bachelor's Degree in Statistics, Econometrics, Computer Science, Electrical or Computer Engineering, or related field AND 8\+ years related experience (e.g., statistics, predictive analytics, research)
	+ OR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5\+ years related experience (e.g., statistics, predictive analytics, research)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Statistics, Econometrics, Computer Science, Electrical or Computer Engineering, or related field AND 12\+ years related experience (e.g., statistics, predictive analytics, research)
	+ OR Doctorate in Statistics, Econometrics, Computer Science, Electrical or Computer Engineering, or related field AND 8\+ years related experience (e.g., statistics, predictive analytics, research)
	+ OR equivalent experience.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5\+ years experience creating publications (e.g., patents, libraries, peer\-reviewed academic papers).
* 3\+ year(s) experience developing and deploying live production systems, as part of a product team.
* 1\+ years experience in Large Language Modeling (LLM) or Machine Learning (ML)
Applied Sciences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
      <c r="A8" t="inlineStr">
        <is>
          <t>in-23236a0532b17e31</t>
        </is>
      </c>
      <c r="B8" t="inlineStr">
        <is>
          <t>Principal Data Scientist</t>
        </is>
      </c>
      <c r="C8" t="inlineStr">
        <is>
          <t>Microsoft</t>
        </is>
      </c>
      <c r="D8" t="inlineStr">
        <is>
          <t>indeed</t>
        </is>
      </c>
      <c r="E8" t="inlineStr"/>
      <c r="F8" t="inlineStr"/>
      <c r="G8" t="inlineStr">
        <is>
          <t>Redmond, WA, US</t>
        </is>
      </c>
      <c r="H8" s="2" t="n">
        <v>46054</v>
      </c>
      <c r="I8" t="inlineStr">
        <is>
          <t>**Overview**  
The Bing organization is looking for a Principal Data and Applied Scientist for its online metric team. The team is pushing the boundaries of online A/B experimentation capabilities and impact measurement methods, as well as informs our understanding for how users engage with search engines and integrated AI experiences and then translates the insights into actionable metrics. These metrics provide direction to the Bing and MAI organization and help engineers make the right ship decisions for their thousands of A/B experiments.
Bing.com reaches about a billion people worldwide, and we have a large opportunity to grow further. At Bing, we celebrate our data driven culture: changes only ship when their impact is understood and positive. This role is at the center of what defines our decision\-making processes and is an excellent opportunity to make a multiplicative impact across the org.
As a data and applied scientist in this team, you will have the chance to work on and deliver metrics that drive the direction of major Bing initiatives. You will have the chance to be involved in the analysis and decision making for 1000s of online controlled A/B experiments. Come join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Drive innovation in large\-scale online A/B experimentation for AI\-powered web search, designing, building, and monitoring success metrics that directly measure user satisfaction, trust, and long\-term retention across Bing experiences.
* Serve as a technical visionary and thought leader in online experimentation, shaping the future of product learning through research\-driven, AI\-enabled approaches that support trustworthy, agile, and evidence\-based decision\-making at global scale.
* Provide senior technical leadership and deep industry perspective, guiding cross\-functional partners in the adoption of advanced experimentation platforms, causal inference techniques, and modern data science methodologies to deliver high\-impact, scientifically rigorous experimentation programs.
* Build and scale advanced experimentation expertise across teams, spanning specialized tools, statistical methods, and ML\-driven evaluation frameworks, to drive measurable business outcomes and extend the reach and impact of Search’s end\-to\-end experimentation ecosystem.
**Qualifications** **Required Qualifications:**
* Doctorate in Data Science, Mathematics, Statistics, Econometrics, Economics, Operations Research, Computer Science, or related field AND 5\+ years data\-science experience (e.g., managing structured and unstructured data, applying statistical techniques and reporting results)
	+ OR Master's Degree in Data Science, Mathematics, Statistics, Econometrics, Economics, Operations Research, Computer Science, or related field AND 7\+ years data\-science experience (e.g., managing structured and unstructured data, applying statistical techniques and reporting results)
	+ OR Bachelor's Degree in Data Science, Mathematics, Statistics, Econometrics, Economics, Operations Research, Computer Science, or related field AND 10\+ years data science experience (e.g., managing structured and unstructured data, applying statistical techniques and reporting results)
	+ OR equivalent experience.
**Additional or Preferred Qualifications:**
* Doctorate in Data Science, Mathematics, Statistics, Econometrics, Economics, Operations Research, Computer Science, or related field AND 8\+ years data\-science experience (e.g., managing structured and unstructured data, applying statistical techniques and reporting results)
	+ OR Master's Degree in Data Science, Mathematics, Statistics, Econometrics, Economics, Operations Research, Computer Science, or related field AND 10\+ years data\-science experience (e.g., managing structured and unstructured data, applying statistical techniques and reporting results)
	+ OR Bachelor's Degree in Data Science, Mathematics, Statistics, Econometrics, Economics, Operations Research, Computer Science, or related field AND 12\+ years data\-science experience (e.g., managing structured and unstructured data, applying statistical techniques and reporting results)
	+ OR equivalent experience.
	+ Experience with SQL\-like query languages
	+ Hands on experience in design \&amp; problem\-solving skills with one or more programming languages, such as Python, Java, C\# or C\+\+
	+ Ability to work independently, influence others, and solid communication and collaboration skills.
* Familiarity with search engines, dealing with online instrumentation.
* Experience with large datasets and interest in consumer online search behaviors.
Experience with building machine learning models on large scale data.  
*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\#Search \#MAI \#nextplay \#searchjobs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
      <c r="A9" t="inlineStr">
        <is>
          <t>in-8fef588c1405988a</t>
        </is>
      </c>
      <c r="B9" t="inlineStr">
        <is>
          <t>Principal Data Scientist</t>
        </is>
      </c>
      <c r="C9" t="inlineStr">
        <is>
          <t>Microsoft</t>
        </is>
      </c>
      <c r="D9" t="inlineStr">
        <is>
          <t>indeed</t>
        </is>
      </c>
      <c r="E9" t="inlineStr"/>
      <c r="F9" t="inlineStr"/>
      <c r="G9" t="inlineStr">
        <is>
          <t>Redmond, WA, US</t>
        </is>
      </c>
      <c r="H9" s="2" t="n">
        <v>45981</v>
      </c>
      <c r="I9" t="inlineStr">
        <is>
          <t>**Overview**  
We are inviting you to join the Microsoft Advertising Data Science Team. Microsoft Advertising platform is the single stop shop for all monetization needs for Publishers and Advertisers globally. Our team manages the marketplace, which includes monitoring business metrics, defining metrics, building analytical \&amp; experimentation frameworks, and enabling leadership to make data driven decisions. The team works across Engineering, Product and Business to address complex data science problems across users, advertisers, and publishers.
We are looking for high\-energy, creative modeling geeks who are willing to work in a dynamic environment to solve real life day to day problems, leveraging data science techniques. You will enjoy and be successful in this role if you are curious and willing to challenge the status quo and come up with data driven solutions to ambiguous problems.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Measurement: Define, invent, and deliver metrics which accurately measure user and business value across various products and marketplace components.
* Experimental Design: Think critically about sampling and experimental design across User and Demand dimensions.
* Product Iteration: Interpret the results of analyses, validate approaches, and learn to monitor, analyze, and iterate to continuously improve.
* Cooperation: Partner effectively with program management, engineers, and other areas of the business across our Consumer online business.
* Influence: Engage with stakeholders to produce clear, compelling, and actionable insights and data\-science driven workflows that influence product and service improvements.
* Make independent decisions for the team and handle difficult tradeoffs.
* Translate strategy into plans that are clear and measurable, with progress shared out monthly to stakeholders.
**Qualifications** **Required Qualifications:**
* Doctorate in Data Science, Mathematics, Statistics, Econometrics, Economics, Operations Research, Computer Science, or related field AND 5\+ years data\-science experience (e.g., managing structured and unstructured data, applying statistical techniques and reporting results) OR Master's Degree in Data Science, Mathematics, Statistics, Econometrics, Economics, Operations Research, Computer Science, or related field AND 7\+ years data\-science experience (e.g., managing structured and unstructured data, applying statistical techniques and reporting results) OR Bachelor's Degree in Data Science, Mathematics, Statistics, Econometrics, Economics, Operations Research, Computer Science, or related field AND 10\+ years data science experience (e.g., managing structured and unstructured data, applying statistical techniques and reporting results) OR equivalent experience.
**Preferred Qualifications:**
* Doctorate in Data Science, Mathematics, Statistics, Econometrics, Economics, Operations Research, Computer Science, or related field AND 8\+ years data\-science experience (e.g., managing structured and unstructured data, applying statistical techniques and reporting results) OR Master's Degree in Data Science, Mathematics, Statistics, Econometrics, Economics, Operations Research, Computer Science, or related field AND 10\+ years data\-science experience (e.g., managing structured and unstructured data, applying statistical techniques and reporting results) OR Bachelor's Degree in Data Science, Mathematics, Statistics, Econometrics, Economics, Operations Research, Computer Science, or related field AND 12\+ years data\-science experience (e.g., managing structured and unstructured data, applying statistical techniques and reporting results) OR equivalent experience.
\#MicrosoftAI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
      <c r="A10" t="inlineStr">
        <is>
          <t>in-7dfd553346a30141</t>
        </is>
      </c>
      <c r="B10" t="inlineStr">
        <is>
          <t>Senior Data Scientist</t>
        </is>
      </c>
      <c r="C10" t="inlineStr">
        <is>
          <t>Microsoft</t>
        </is>
      </c>
      <c r="D10" t="inlineStr">
        <is>
          <t>indeed</t>
        </is>
      </c>
      <c r="E10" t="inlineStr"/>
      <c r="F10" t="inlineStr"/>
      <c r="G10" t="inlineStr">
        <is>
          <t>Redmond, WA, US</t>
        </is>
      </c>
      <c r="H10" s="2" t="n">
        <v>45980</v>
      </c>
      <c r="I10" t="inlineStr">
        <is>
          <t>**Overview**  
What a time to join Microsoft! The Office of the Chief Economist works across the company to pursue commercial value using economics and data science. Examples of our work include algorithms that grow Microsoft’s cloud revenue and resource efficiency; some of the first\-ever studies of how AI changes the way that people work; and market design for software resellers.
We are looking for a **Senior Data Scientist** with broad technical skills, business acumen, and a player\-coach attitude. You will work alongside world\-class colleagues on high\-visibility projects answering some of Microsoft’s most pressing challenges. You will work directly with business partners to identify opportunities. Your initial first project will involve building algorithmic support for our deal teams, using machine learning, experimentation, and good old\-fashioned analytics. This is an opportunity to rethink, build, and operate internal processes and software.
Successful candidates can dive deep into sophisticated modeling approaches when needed; but more importantly, they know when a simple and pragmatic solution will do just as well, and they know how to inspire the same in others. They know how to tell good stories through data, how to visualize, and how to use many fast iterations in the face of ambiguous problems.
Our team values entrepreneurship, craftsmanship, and continuous learning. You will be able to shape and grow a positive and productive data science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**Responsibilities**
* Understand business needs and develop appropriate data analysis to meet those needs including pipelining, exploratory data analysis, modeling, inference, and experimentation.
* Collaborate with senior economists to solve some of Microsoft’s most pressing issues, delivering tangible commercial value.
* Together with your team, interpret and present analysis results to senior stakeholders.
* Coach more junior team members, promoting a culture of learning and evangelizing modern data science methods.
* Build a robust product that makes data, econometrics, and ML useful for deal teams in the field.Embody our culture and values.
**Qualifications** **Required/minimum qualifications**
*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OR equivalent experience.
**Additional or preferred qualifications*** Doctorate in Data Science, Mathematics, Statistics, Econometrics, Economics, Operations Research, Computer Science, or related field AND 3\+ years data\-science experience (e.g., managing structured and unstructured data, applying statistical techniques and reporting results) OR Master's Degree in Data Science, Mathematics, Statistics, Econometrics, Economics, Operations Research, Computer Science, or related field AND 5\+ years data\-science experience (e.g., managing structured and unstructured data, applying statistical techniques and reporting results) OR Bachelor's Degree in Data Science, Mathematics, Statistics, Econometrics, Economics, Operations Research, Computer Science, or related field AND 7\+ years data\-science experience (e.g., managing structured and unstructured data, applying statistical techniques and reporting results) OR equivalent experience.
* 1\+ year of experience in preparing and executing analysis plans, evaluating various statistical methods (ML, causal inference, classical methods) and choosing the most appropriate approaches given business requirements.
* 1\+ year of industry experience in python and R and data query systems such as SQL or Spark, and management platforms such as Fabric, Databricks, SQL Server or Cosmos.
* 1\+ year of industry experience working with cross\-functional teams, gathering requirements, and building requirements into analysis plans.
* 1\+ year of experience with MLops, running Production\-grade ML systems and experience with Sales processes.
* 1\+ year of engineering experience in a modern cloud stack, including serverless methods and demonstrated experience leveraging your skills using AI.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
      <c r="A11" t="inlineStr">
        <is>
          <t>in-3a6864067d58c3a6</t>
        </is>
      </c>
      <c r="B11" t="inlineStr">
        <is>
          <t>Sr Data Scientist - Model Development</t>
        </is>
      </c>
      <c r="C11" t="inlineStr">
        <is>
          <t>Citizens</t>
        </is>
      </c>
      <c r="D11" t="inlineStr">
        <is>
          <t>indeed</t>
        </is>
      </c>
      <c r="E11" t="inlineStr"/>
      <c r="F11" t="inlineStr"/>
      <c r="G11" t="inlineStr">
        <is>
          <t>Boston, MA, US</t>
        </is>
      </c>
      <c r="H11" s="2" t="n">
        <v>46056</v>
      </c>
      <c r="I11" t="inlineStr">
        <is>
          <t>**Description**
**Senior Data Scientist – Treasury Modeling**  
CFG is a leading financial institution dedicated to providing innovative solutions to manage financial risks and optimize asset and liability portfolios. Central Model Development team (CMD) under Treasury group plays a crucial role in developing and maintaining models that support our strategic decision\-making processes.
This position within CMD looks for talented and motivated candidates who will lead design, development, and deployment of advanced analytics, traditional statistical (e.g., regression, time series, GLMs) and machine learning solutions for ALM, liquidity, and CCAR/PPNR forecasting. The successful candidate will also be responsible for providing guidance to regarded functional leaders on model impacts, and collaborating with business partners including model validation, market risk, and internal audit for model governance and regulatory obligations.
**Responsibilities:**
* Develop and maintain models used by Treasury group in balance sheet forecasting
	+ By teaming with other Data Scientists and under the leadership of the Data Science Manager, develop customer behavior model for attrition, origination, and prepayment for deposit or loan products, and predictive model for market rates and other ALM/CCAR associated macroeconomic variables.
	+ Develop model documentation; interact effectively with Model Risk Management \&amp; Validation, Market Risk Management, and other challenge groups to facilitate periodic model validations and reviews.
	+ Monitor model performance and communicate results to internal stakeholders; propose model changes as necessary such as overlays and recalibration/redevelopment, supporting with sensitivity testing, back testing, and fundamental driver analyses.
	+ Demonstrate understanding of related models that affect ALM models and behavior, including interest rate and term structure models.
* Propose improved approaches to loan and deposit modeling, challenging all existing assumptions and status quo of current practices.
* Assist in developing forward\-looking macroeconomic and interest rate views while collaborating with CFG's Treasury for balance sheet management.
* Provide analytical support to management in developing strategies associated with balance sheet and liquidity decisions.
* Support initiatives such as Balance Sheet Optimization, Funds Transfer Pricing, Mortgage Servicing Rights and CCAR/DFAST when needed.
* Prepare detailed yet actionable materials for ALCO and Senior Management
 **Qualifications:**
* Hands\-on experience applying statistical analysis and machine learning techniques in the financial industry or consulting firm to support ALM, Stress Testing, Pricing or Credit Risk Management.
* Exposure to Treasury/ALM and CCAR/PPNR modeling, deposit behavior, interest\-rate/macroeconomic modeling, and stress testing workflows preferred.
* Proven experience developing ML models end\-to\-end using Python (pandas, scikit\-learn, PySpark), SQL, and version control.
* Experience with cloud \&amp; data platforms (AWS SageMaker, H2O, Snowflake) and MLOps practices.
* Strong statistical foundation and knowledge. Experience working with business partners across Line of Business, Validation, Audit, and Regulatory Relations, and producing regulatory\-compliant documentation.
* Experience with standard prepayment (BlackRock, Black Knight, QRM) or deposit (QRM, Novantas) models desirable
* Familiarity with common financial and economic data (FRED, Bloomberg, Economy.com, etc).
* Excellent presentation and communication skills; ability to convey actionable and understandable business intelligence
* Progress toward CFA charter desirable
**Education:**
* Graduate degree (M.S. or Ph.D.) in mathematical finance, economics, mathematics, statistics or similar STEM field is desired.
 **Pay Transparency**
The salary range for this position is $124,000 \- $150,000 per year, plus an opportunity to earn an annual discretionary bonus. Actual pay is based on various factors including but not limited to the work location, and relevant skills and experience.
We offer competitive pay, comprehensive medical, dental and vision coverage, retirement benefits, maternity/paternity leave, flexible work arrangements, education reimbursement, wellness programs and more. Note, Citizens’ paid time off policy exceeds the mandatory, paid sick or paid time\-away policy of every local and state jurisdiction in the United States. For an overview of our benefits, visit https://jobs.citizensbank.com/benefits .
**Work Authorization:** This role is not eligible for new employer‑sponsored or current H\-1 B visa holders. Applicants, including current OPT, L and other visa holders, must be authorized to work in the U.S. without the need for new employer sponsorship for themselves or their spouses now and in the future.
‌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
*Background Check*
*Any offer of employment is conditioned upon the candidate successfully passing a background check, which may include initial credit, motor vehicle record, public record, prior employment verification, and criminal background checks. Results of the background check are individually reviewed based upon legal requirements imposed by our regulators and with consideration of the nature and gravity of the background history and the job offered. Any offer of employment will include further information.*</t>
        </is>
      </c>
    </row>
    <row r="12">
      <c r="A12" t="inlineStr">
        <is>
          <t>in-1ad9283cbb841c22</t>
        </is>
      </c>
      <c r="B12" t="inlineStr">
        <is>
          <t>Senior Data Scientist</t>
        </is>
      </c>
      <c r="C12" t="inlineStr">
        <is>
          <t>Blue Cross Blue Shield of Massachusetts</t>
        </is>
      </c>
      <c r="D12" t="inlineStr">
        <is>
          <t>indeed</t>
        </is>
      </c>
      <c r="E12" t="inlineStr"/>
      <c r="F12" t="inlineStr"/>
      <c r="G12" t="inlineStr">
        <is>
          <t>Boston, MA, US</t>
        </is>
      </c>
      <c r="H12" s="2" t="n">
        <v>46057</v>
      </c>
      <c r="I12" t="inlineStr">
        <is>
          <t>Ready to help us transform healthcare? Bring your true colors to blue.
As a Senior Data Scientist working in the analytics hub within the finance department, you will serve as an analytics lead for our business units, responsible for connecting them with effective analytics solutions. Your work will go beyond traditional analysis; you will be deeply involved in understanding complex business challenges and building the analytical frameworks that guide our strategy and improve performance.
This role is for a data scientist who wants to see their work make a direct impact. You will act as a trusted consultant to business leaders, using your expertise to solve meaningful problems and find new business opportunities.
This role is eligible for our Flex Persona for candidates local to our Boston, MA office.
**What you will do:**  
**Drive Strategy \&amp; Discovery:** Partner directly with business leaders to translate their goals into data\-driven hypotheses. You'll move beyond taking requirements to proactively identifying and framing complex problems that can be solved with advanced analytics and machine learning.
**End\-to\-End Model Development:** Own the entire machine learning lifecycle, from prototyping and feature engineering to building, validating, and deploying production\-ready models. You'll be responsible for the quality and real\-world impact of your solutions.
**Quantify Business Impact:** Develop and execute the frameworks for measuring the success of analytical initiatives. You will be expected to clearly communicate the value of your work to stakeholders, connecting model performance to key business metrics like revenue, efficiency, and customer satisfaction.
**Champion Technical Excellence:** Promote best practices in code, modeling, and MLOps. You will build scalable, reproducible, and easily maintainable solutions and help mentor other members of the team.
**Lead through Influence:** Act as the central point of contact for your projects, collaborating with Data Engineers, Product Managers, and business stakeholders to ensure your models are successfully integrated and adopted.
**Innovate and Explore:** Stay current with state\-of\-the\-art techniques in the field and lead the exploration of new data sources, tools, and methodologies to solve emerging business challenges.
**What You Bring:**  
**Experience:** 5\+ years of hands\-on experience transforming large, complex datasets into impactful analytical solutions that have driven business decisions. Experience with healthcare data (e.g., medical claims, pharmacy claims, eligibility) is highly desirable.
**Education:** A degree in a quantitative field like Statistics, Mathematics, Computer Science, Engineering, or a related discipline.
**Technical Proficiency:**  
Deep expertise in Python or R for statistical modeling, machine learning, and data manipulation.
Proficiency in SQL and experience working with large\-scale relational databases (experience with Snowflake is highly desirable).
Advanced knowledge of the end\-to\-end machine learning lifecycle, from feature engineering and model development to validation and performance monitoring.
Proficiency with version control systems like Git for collaborative development.
Strong data visualization skills, with expertise in tools like Tableau to create compelling, easy\-to\-understand dashboards.
**Strategic \&amp; Collaborative Mindset:**  
A self\-directed and creative problem\-solver, with the ability to work independently on complex analytical challenges from data to platform to final solution.
An efficiency\-driven approach, with a demonstrated ability to automate processes and build scalable, repeatable solutions.
A proven ability to navigate ambiguity, translating high\-level business questions into well\-defined analytical projects.
Experience leading projects in an Agile environment, from initial discovery and use case definition to final delivery.
Excellent communication skills, with the ability to clearly explain complex technical concepts and results to both technical and non\-technical stakeholders.
A natural curiosity and drive to innovate, with the ability to mentor others and introduce new tools and techniques to the team.
**Minimum Education Requirements:**  
High school degree or equivalent required unless otherwise noted above
Location Boston Time Type Full time
**Salary Range:** $156,240\.00 \- $190,960\.00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 How We Work " Page.</t>
        </is>
      </c>
    </row>
    <row r="13">
      <c r="A13" t="inlineStr">
        <is>
          <t>in-e6be9cbd0cdaee65</t>
        </is>
      </c>
      <c r="B13" t="inlineStr">
        <is>
          <t>Data Scientist</t>
        </is>
      </c>
      <c r="C13" t="inlineStr">
        <is>
          <t>Blueconic</t>
        </is>
      </c>
      <c r="D13" t="inlineStr">
        <is>
          <t>indeed</t>
        </is>
      </c>
      <c r="E13" t="inlineStr"/>
      <c r="F13" t="inlineStr"/>
      <c r="G13" t="inlineStr">
        <is>
          <t>Philadelphia, PA, US</t>
        </is>
      </c>
      <c r="H13" s="2" t="n">
        <v>46057</v>
      </c>
      <c r="I13" t="inlineStr">
        <is>
          <t>Hybrid / Philadelphia, PA
At BlueConic, we’re reinventing how businesses grow by transforming customer data into real\-time intelligence and action. As the creators of the industry's first Customer Growth Engine (CGE), we help brands move beyond traditional CDPs to a smarter, faster model for growth—powered by AI, built for privacy, and designed to create meaningful value across the customer lifecycle.
Join us in shaping the future of customer engagement—where advanced machine learning, causal decisioning, and real\-time experimentation come together to power next\-best actions at scale.
#### **About the role:**
We’re looking for an experienced Data Scientist to join our Product \&amp; Technology team. In this role, you’ll work at the intersection of core product development and customer\-facing data science, helping build and apply advanced decisioning capabilities that power real\-time personalization, experimentation, and growth optimization.
You’ll collaborate closely with product managers, engineers, and customer teams to design, implement, and operationalize predictive and decisioning models—both as part of BlueConic’s product roadmap and in direct partnership with customers solving high\-impact growth challenges.
This is a hands\-on role for someone who enjoys moving from theory to production, and from models to real\-world outcomes.
#### **What you’ll do:**
* Design, build, and productionize predictive and decisioning models that power BlueConic’s product capabilities, including next\-best\-action and real\-time personalization
* Apply and advance techniques in causal inference, reinforcement learning (specifically: contextual multi\-armed bandits) to optimize customer interactions and measure incremental impact
* Partner with product and engineering teams to embed models into scalable, real\-time systems
Work directly with customers on advanced use cases, developing and validating models tailored to their business objectives and data environments  
* 
* Translate business goals into modeling strategies, and communicate results clearly to both technical and non\-technical stakeholders
* Contribute to experimentation frameworks, uplift modeling, and closed\-loop optimization approaches
* Help shape best practices for data science within the product organization, including model evaluation, testing, and deployment standards
#### **We are looking for:**
**Required:**
* 5\+ years of professional experience as a Data Scientist, Applied Scientist, or similar role
* Strong hands\-on experience with causal inference techniques (e.g. uplift modeling, counterfactual analysis, A/B and quasi\-experimental methods)
* Practical experience with reinforcement learning and contextual multi\-armed bandits in real\-world systems
* Solid foundation in machine learning, including experience with libraries such as scikit\-learn, XGBoost, or equivalent
* Advanced Python skills, including software engineering best practices (unit testing, modular code, packaging, version control)
* Experience taking models from experimentation to production environments
**Preferred:**
* Experience with turning models into Open Neural Network Exchange (ONNX) format
* Familiarity with cloud data platforms or modern data stacks (e.g. Snowflake, Databricks, feature stores)
* Experience working on B2C, personalization, marketing, or customer analytics use cases
* Experience with recommendation algorithms
* Comfort collaborating directly with customers or external stakeholders on advanced analytical projects
#### **You will be a great fit:**
* Enjoy working on problems where measurement, causality, and decision\-making really matter
* Are equally comfortable thinking about algorithms, product impact, and customer outcomes
* Care about building robust, maintainable data science systems—not just notebooks
* Like collaborating across disciplines and explaining complex ideas clearly
* Are curious, pragmatic, and motivated by seeing your work drive real business results
#### **Reasons to join us:**
* Be part of a dynamic, professional, and highly collaborative Product \&amp; Technology team
* Work on cutting\-edge applied ML problems at the intersection of AI, decisioning, and customer growth
* Combine deep technical work with real\-world customer impact
* Help build a category\-defining Customer Growth Engine
* Enjoy a competitive salary, generous paid leave, a MacBook, travel expenses, and a comprehensive benefits package
* Work in an international environment with strong opportunities for growth and ownership
### **About BlueConic**
BlueConic is the leading **Customer Growth Engine**, helping brands unlock the full value of their customer data. By combining AI\-powered intelligence with real\-time activation, BlueConic enables businesses to drive growth, increase retention, and optimize revenue.
More than 500 brands—including **ASICS, Forbes, Heineken, L’Oréal, Mattel, Michelin, Telia Company, and Unilever**—use BlueConic to create meaningful relationships and drive long\-term business impact.
If hired, applicants based in the US can expect an annual base salary and target bonus within the following ranges, depending on experience. BlueConic also offers a comprehensive benefits package to full\-time employees including a selection of medical, dental, and vision insurance plans, 401(k) matching, 28 vacation days annually, paid parenting leave, and more.
Annual base salary
$90,000—$120,000 USD
Annual target bonus
$9,000—$12,000 USD</t>
        </is>
      </c>
    </row>
    <row r="14">
      <c r="A14" t="inlineStr">
        <is>
          <t>in-423a52394f90bb92</t>
        </is>
      </c>
      <c r="B14" t="inlineStr">
        <is>
          <t>Data Scientist, Newark, NJ (Hybrid)</t>
        </is>
      </c>
      <c r="C14" t="inlineStr">
        <is>
          <t>IPolarity LLC</t>
        </is>
      </c>
      <c r="D14" t="inlineStr">
        <is>
          <t>indeed</t>
        </is>
      </c>
      <c r="E14" t="inlineStr"/>
      <c r="F14" t="inlineStr"/>
      <c r="G14" t="inlineStr">
        <is>
          <t>Whippany, NJ, US</t>
        </is>
      </c>
      <c r="H14" s="2" t="n">
        <v>46058</v>
      </c>
      <c r="I14" t="inlineStr">
        <is>
          <t>Hiring: Data Scientist
Location: Newark, NJ (Hybrid) W2 Only  
As a Data Scientist on/in the US Businesses Data Science Team you will partner with Machine Learning Engineers, Data Engineers, Business Leaders and other professionals to build GenAI and ML models to improve advisor experience, perform lead scoring, and increase sales revenue. You will implement AI and machine learning models that will deliver stability, scalability and integration with other advisor products and services. You will implement capabilities to solve sophisticated business problems, deploy innovative products, services and experiences to delight our customers! In addition to deep technical expertise and experience, you will bring excellent problem solving, communication and teamwork skills, along with agile ways of working, strong business insight, an inclusive leadership attitude and continuous learning focus on all that you do.  
**Here is what you can expect on a typical day:**  
* Provide deep technical leadership to a portfolio of high impact data science initiatives involving sales and advisor experience. Identify the optimal sets of data, models, training, and testing techniques required for successful product delivery. Remove complex technical impediments
* Leverage your experience and skills to identify new opportunities where data science and AI can improve experience, gain efficiency, and generate sales.
* Apply hands\-on experience to ensure best\-in\-class model development.
* Communicate clearly and concisely, in writing and verbally, all facets of model design and development. Continuously look for insights into developed models and generate new ideas for model improvement.
* Leverage continuous integration and continuous deployment best practices, including test automation and monitoring, to ensure successful deployment of ML models and application code on AI/ML platform.
* Bring a deep understanding of relevant and emerging technologies and embed learning and innovation in the day\-to\-day.
* Work on significant and unique issues where analysis of situations or data requires an evaluation of intangible variables and may impact future concepts, products or technologies.
* Familiarity with Python, SQL, AWS, and JIRA.
* Familiarity with LLMs, deployment of LLMs, RAG, LangChain, LangGraph, and Agentic AI concepts.
**The Skills and expertise you bring:**
* Applied Statistics, Computer Science, or Engineering or experience in related fields with a focus on machine learning, AI, and LLMs.
* Junior category industry experience with responsibility for developing and delivering advanced quantitative, AI/ML, analytical and statistical solutions.
* Ability to lead a small team with minimal guidance and effectively leverage diverse ideas, experiences, thoughts and perspectives to the benefit of the organization to deliver AI products.
* Ability to influence business stakeholders and to drive adoption of AI/ML solutions.
* Experience with agile development methodologies, Test\-Driven Development (TDD), and product management.
* Knowledge of business concepts, tools and processes that are needed for making sound decisions in the context of the company's business
* Demonstrate ability to mentor and operate management of data science team based on project requirements, resourcing requirements, and planning dependencies as appropriate, anticipating risks and bottlenecks and proactively taking actions
* Excellent problem solving, communication and collaboration skills, and stakeholder management
Experience and/or deep expertise with several of the following:
* Machine Learning and AI: Understanding machine learning theory, including the mathematics underlying machine learning algorithms. Expertise in the application of machine learning theory to building, training, testing, interpreting and monitoring machine learning models. Expertise in traditional machine learning models (unsupervised, XGBoost, etc.) and Large Language Models (OpenAI, Claude).
* Model Deployment: Understanding of model development life cycle, CI/CD/CT pipelines (using tools like Jenkins, CloudBees, Harness, etc.), A/B testing, and pipeline frameworks such as AWS SageMaker, and newer AWS/Azure Agentic AI infrastructure products.
* Data Acquisition and Transformation: Acquiring data from disparate data sources using APIs and SQL. Transform data using SQL and Python. Visualizing data using a diverse tool set including but not limited to Python.
* Database Management Systems: Knowledge of how databases are structured and function in order use them efficiently. May include multiple data environments, cloud/AWS, primary and foreign key relationships, table design, database schemas, etc.
* Data Analysis and Insights: Analyzing structured and unstructured data using data visualization, manipulation, and statistical methods to identify patterns, anomalies, relationships, and trends.
* Programming Languages: Python and SQL.</t>
        </is>
      </c>
    </row>
    <row r="15">
      <c r="A15" t="inlineStr">
        <is>
          <t>in-aa399638459762c0</t>
        </is>
      </c>
      <c r="B15" t="inlineStr">
        <is>
          <t>Data Scientist 2</t>
        </is>
      </c>
      <c r="C15" t="inlineStr">
        <is>
          <t>Auto Club of Southern Calif</t>
        </is>
      </c>
      <c r="D15" t="inlineStr">
        <is>
          <t>indeed</t>
        </is>
      </c>
      <c r="E15" t="inlineStr"/>
      <c r="F15" t="inlineStr"/>
      <c r="G15" t="inlineStr">
        <is>
          <t>Costa Mesa, CA, US</t>
        </is>
      </c>
      <c r="H15" s="2" t="n">
        <v>46057</v>
      </c>
      <c r="I15" t="inlineStr">
        <is>
          <t>As our Data Scientist II, you will act as an internal business consultant to help optimize every facet of this organization. You will solve problems and answer questions – using data – for other departments to help us reduce costs, reduce errors, and be a better organization for our 18 million members.
What You’ll Do
Every day, you will help solve business problems presented to us by stakeholders using data. You will get a scenario or problem, such as, “We need to reduce cycle times,” and then pull, analyze, and interpret data relevant to that scenario.
You will pull data from SQL databases. You will analyze and interpret data using Python, R, or other tools. You will determine patterns or trends and their statistical significance to the problem. To visualize the data, you will use Tableau.
Once you have done your analysis, paired with a data engineer, you will present your findings to the stakeholder and confirm, refute or simply acknowledge a hypothesis. Your work may be implemented or may develop into something else.
This role is remote, but you must be able to report to the Coppell, TX, office for 2 collaboration days every month.
What You’ll Need
To thrive in this role, you must have a solid foundation of statistics and data analysis. You must be able to describe a project where you pulled data, analyzed it, identified trends or patterns, determined significance, and delivered insights or recommendations to the business. What was your approach? What tools did you use and why? Did you get to the root cause of the issue? Did you confirm or refute a hypothesis? You must be able to speak to your involvement and decisions at each stage.
For pulling data, we use SQL so you must be proficient with this tool. To curate and analyze data, we use a variety of languages and programs: Python, R, and even Excel. You can choose whatever tool helps you best, but you must be proficient in either Python or R.
Excellent communication skills and an attitude of flexibility are a must. Very often, we get into the data, and some aspect takes longer than we thought, or we have to pivot and change how we approach a problem. A dashboard works better than a model, perhaps. Then you have to explain to the stakeholder or the team why you made that change or why the deliverable is taking longer than expected. It’s all about being creative in your approach and communicating that frequently and clearly to people who may be less tech or data\-savvy than you.
You have worked previously with an Agile team or understand these concepts. You expect to participate in daily standup meetings, you’ll complete your projects or stories during our bimonthly sprints, and you’re ready to meet frequent deployment deadlines.
**The starting pay range for this position is:**  
$99,500\.00 \- $132,900\.00
Additionally, for full time positions, you will be eligible to participate in our incentive program based upon the achievement of organization, team and personal performance.
.
**Remarkable benefits:**  
* Health coverage for medical, dental, vision
* 401(K) saving plans with company match AND Pension
* Tuition assistance
* Floating holidays and PTO for community volunteer programs
* Paid parental leave
* Wellness programs
* Employee discounts (membership, insurance,
travel, entertainment, services and more!)
Auto Club Enterprises is the largest federation of AAA clubs in the nation. We have 14,000 employees in 21 states helping 17 million members. The strength of our organization is our employees. Bringing together and supporting different cultures, backgrounds, personalities, and strengths creates a team capable of delivering legendary, lifetime service to our members. When we embrace our diversity – we win. All of Us! With our national brand recognition, long\-standing reputation since 1902, and constantly growing membership, we are seeking career\-minded, service\-driven professionals to join our team.
“Through dedicated employees we proudly deliver legendary service and beneficial products that provide members peace of mind and value.”
AAA is an Equal Opportunity Employer
The Automobile Club of Southern California will consider for employment all qualified applicants, including those with criminal histories, in a manner consistent with the requirements of applicable federal, state, and local laws, including the City of Los Angeles’ Fair Chance Initiative for Hiring Ordinance (FCIHO), the Unincorporated Los Angeles County (ULAC) regulation, and the California Fair Chance Act (CFCA).</t>
        </is>
      </c>
    </row>
    <row r="16">
      <c r="A16" t="inlineStr">
        <is>
          <t>in-f34c53771e323098</t>
        </is>
      </c>
      <c r="B16" t="inlineStr">
        <is>
          <t>Data Scientist</t>
        </is>
      </c>
      <c r="C16" t="inlineStr">
        <is>
          <t>Pantex Plant</t>
        </is>
      </c>
      <c r="D16" t="inlineStr">
        <is>
          <t>indeed</t>
        </is>
      </c>
      <c r="E16" t="inlineStr"/>
      <c r="F16" t="inlineStr"/>
      <c r="G16" t="inlineStr">
        <is>
          <t>Amarillo, TX, US</t>
        </is>
      </c>
      <c r="H16" s="2" t="n">
        <v>46057</v>
      </c>
      <c r="I16" t="inlineStr">
        <is>
          <t>**Location:** Amarillo, TX \- Pantex Plant  
**Job Title:** Data Scientist  
**Career Level From:** Senior Associate  
**Career Level To:** Senior Specialist  
**Organization:** NSE Integration Services (51130643\)  
**Job Specialty:** Service Transition  
**What You'll Do**
------------------
A career at Pantex can offer you the opportunity to make a personal impact on our nation. We recognize that excellent employees are absolutely critical for mission success. We are seeking an advanced Data Scientist to develop, validate, and deploy statistical models and machine learning algorithms that drive mission\-critical insights, operational efficiency, and advanced forecasting capabilities.
Primary duties include applying statistical methods and machine learning principles to analyze complex datasets, build predictive and prescriptive models for operational improvement, and translate high\-value business problems into tangible, data\-driven solutions.
Additional duties may include conducting advanced research into new Artificial Intelligence (AI)/Machine Learning (ML) techniques, collaborating with Data Engineers and Machine Learning Operatons (MLOps) teams to deploy models, and presenting complex analytical findings to technical and non\-technical stakeholders.
**Core Responsibilities and Duties**
* Design, implement, and validate Machine Learning and statistical models for high\-impact use cases, including predictive maintenance systems, resource optimization algorithms, and advanced forecasting.
* Design and manage the MLOps process for models, including containerization, automated testing, and deployment using MLOps platforms and Continuous Integration (CI)/Continuous Deployment (CD) pipelines to transition models from development to a secure, live environment.
* Maintain and monitor deployed models in production, rapidly diagnosing and resolving issues, managing data drift and model drift, and retraining models to ensure sustained performance and reliability.
* Utilize advanced statistical and algorithmic techniques to perform comprehensive data analysis, identify trends, anomalies, and critical patterns in large, complex operational, safety, and financial datasets.
* Partner with business units to define problem statements, gather data requirements, and ensure the successful integration and adoption of models into existing enterprise processes.
* Develop and maintain robust, production\-ready code for model training, feature engineering pipelines, and validation routines, ensuring model reproducibility and scalability.
* Ensure all models, data usage, and code comply with National Nuclear Security Administration (NNSA) security standards, data governance policies, and ethical AI principles.
**Other Responsibilities and Duties**
* Evaluate and recommend the strategic use of emerging AI technologies, such as Large Language Models (LLMs) and Generative AI, for both mission and internal support applications.
* Collaborate closely with Data Engineers and Data Architects to prepare data infrastructure and define necessary feature stores for efficient model development and training.
* Create comprehensive technical and non\-technical documentation detailing model architecture, methodology, performance results, and business impact.
**What You Can Expect**
-----------------------
* Meaningful work and unique opportunities to support missions vital to national and global security.
* Top\-notch, dedicated colleagues.
* Generous pay and benefits with a stable organization.
* Work\-life balance fostered through flexible work options and wellness initiatives.
**Minimum Job Requirements**
----------------------------
* Bachelor’s degree (BS) in engineering/science discipline: Minimum 2 years of relevant experience. Typical engineering/science experience ranging from 3 to 7 years.
* OR Applicants without a bachelor's degree may be considered based on a combination of at least 10 years of completed education and/or relevant experience
**Department of Energy (DOE) Order 426\.2A Requirements**
---------------------------------------------------------
* Not Applicable
**Preferred Job Requirements**
------------------------------
* At least 1 year focused on applying data science techniques, machine learning, and managing model deployment in a production setting.
* Proficiency in statistical programming languages such as Python or R, and experience in relevant machine learning libraries (e.g., scikit\-learn, PyTorch, TensorFlow).
* Demonstrated experience with MLOps principles, including model versioning, containerization (e.g., Docker), and deployment via cloud platforms.
* Demonstrated experience with Structured Query Language (SQL) and querying relational databases, as well as handling large, complex, and unstructured datasets.
* The ability to obtain and maintain a Department of Energy Q clearance is required.
* Master's degree (MS) or Ph.D. in a quantitative field with minimum 3 years of relevant experience.
* Expert proficiency in statistical programming languages such as Python or R, and deep expertise in relevant machine learning libraries (e.g., scikit\-learn, PyTorch, TensorFlow).
* Experience with cloud\-based MLOps platforms (e.g., Datarobot, Azure ML, AWS SageMaker) and CI/CD tools for automated model pipelines.
* Prior domain experience in industrial optimization, predictive maintenance, or complex resource forecasting.
* Knowledge of big data technologies such as Spark, and familiarity with collaborative coding environments and version control (Git).
**\#JointheMission: Your Impact Starts Here**
---------------------------------------------
At Pantex, you won't just find a job—you’ll discover a career of purpose safeguarding national security through work performed nowhere else on Earth. We empower dedicated, innovative individuals like you to achieve their greatest impact surrounded by exceptional talent and limitless opportunities for professional growth.
When you \#JointheMission, you choose a lifetime career where your commitment is genuinely valued and rewarded. At Pantex, we believe that extraordinary talent thrives when supported by a balanced life. Discover the flexibility that empowers you to excel, coupled with a benefits package designed for your total peace of mind from comprehensive health coverage and robust retirement planning, to opportunities for continuous learning through education reimbursement.
**Notes**
---------
The minimum education and experience for the lowest career level in the job posting range are listed under Minimum Job Requirements. Successful candidates hired into a higher career level than the minimum in the range must meet the requirements listed in the job leveling charts for the career level into which they are being hired.
If a range of Career Levels is posted, i.e., Senior Associate to Senior Specialist, internal applicants already in one of the Career Levels would come across at their current Career Level. Internal applicants currently in a lower level Career Level would move to the lowest posted Career Level.
Requires a Q clearance; however all qualified candidates will be considered regardless of their current clearance status. The ability to obtain and maintain a Department of Energy Q clearance is required.
Position may require entry into Materials Access Areas (MAA) and participation in the Human Reliability Program (HRP). If HRP is required, candidate must complete a counterintelligence\-scope polygraph, pursuant to 10 CFR 709\. Medical requirements may apply.
Pantex is a drug\-free workplace. Candidates accepting a job offer will be required to pass a pre\-placement physical, drug screening and background investigation. As an employee, you may be required to receive and maintain a security clearance from the United States Department of Energy in order to meet eligibility requirements for access to sensitive information or matter. U.S. citizenship is a requirement for security clearance applicants. All employees are subject to random selection for drug testing without advance notification.
Pantex is an equal opportunity employer. All qualified applicants will receive consideration for employment without regard to race, color, sex, age, religion, national origin, ancestry, genetic information, disability or veteran status.</t>
        </is>
      </c>
    </row>
    <row r="17">
      <c r="A17" t="inlineStr">
        <is>
          <t>in-d3da38671bb3e358</t>
        </is>
      </c>
      <c r="B17" t="inlineStr">
        <is>
          <t>Data Scientist &amp; Visualization Specialist</t>
        </is>
      </c>
      <c r="C17" t="inlineStr">
        <is>
          <t>IPT Associates</t>
        </is>
      </c>
      <c r="D17" t="inlineStr">
        <is>
          <t>indeed</t>
        </is>
      </c>
      <c r="E17" t="inlineStr"/>
      <c r="F17" t="inlineStr"/>
      <c r="G17" t="inlineStr">
        <is>
          <t>US</t>
        </is>
      </c>
      <c r="H17" s="2" t="n">
        <v>46057</v>
      </c>
      <c r="I17" t="inlineStr">
        <is>
          <t>**Data ScientistVisualization Specialist**
**Remote**
IPTA's Technology Solutions Team is passionate about providing our customers with technical solutions that satisfy their business needs. Through collaborative interactions with customers, team members, subject matter experts (SMEs), technical leaders, and partners we design practical solutions that solve real problems for major government and business organizations. As a member of our Technology Solutions group, you will work with a team of technologists focused on delivering innovative business solutions using emerging technologies through proven successful methods.
 **Our Team:**
We are looking for talented people who are enthusiastic about applying technology to deliver innovative outcomes with "fierce determination, fearless integrity, and passionate service." Our belief is that our people are the key to success. By encouraging and enabling continued learning, our team members grow to achieve their personal career goals. We are looking for:
* Smart people with a passion for technology
* Ability to solve challenging business problems
* Self\-directed professionals
* Hunger to continually learn and grow
 **Overview:**
We are seeking a Data Scientist/Visualization Specialist to design and deliver intuitive, interactive analytic applications and dashboards in Palantir Foundry. This role emphasizes application development, data visualization, and UI/UX ensuring developed products are easy to use and can support decision\-makers and operators across the enterprise. You will partner closely with data scientists and data engineers to bring analytics to life.  
**Responsibilities:**
* Design and develop user\-facing analytic applications and dashboards in Palantir Foundry
* Translate complex data models and analytics into clear, compelling visualizations
* Build interactive, data\-driven UIs that embed analytics and metrics into workflows
* Collaborate with data scientists and engineers to integrate analytics, AI outputs, and ontologies
* Apply UX/UI best practices to deliver accessible, intuitive, and scalable applications
* Collaborate in an Agile/Scrum environment to rapidly iterate on solutions
Communicate insights effectively to technical and non\-technical stakeholders  
* 
**Requirements:**
* Experience building data\-driven applications or dashboards
* Strong data visualization and storytelling skills
* Experience with BI and visualization tools (PowerBI, Tableau, Qlik, or similar)
* Proficiency in Python
* Experience with Python\-based visualization libraries (plotly, matplotlib, seaborn)
* Understanding of data analysis and EDA to work effectively with source data
* Experience wrangling and aggregating data from multiple data sources
* Grasp of UX/UI best practices for analytic applications
* Comfort working in a dynamic Agile/Scrum environment with evolving or loosely defined requirements
* Excellent collaboration and communication skills.
* Experience with Palantir Foundry, Databricks, or similar data platforms
Active Security clearance  
* 
**Preferred Qualifications:**
* Knowledge of TypeScript for front\-end or application\-layer development
* Experience building rapid analytic demos or apps (e.g., Streamlit)
* Hands\-on experience with Palantir Foundry (pipelines, transforms, Workshop, Ontologies, AIP, etc.) \- particular focus on Workshop and Ontologies
* Experience with data platform operations, monitoring, or optimization
* Experience building and maintaining ETL pipelines supporting analytic applications
* Experience with AI/ML and statistical modeling tools and python libraries (e.g., scikit\-learn, statsmodels, Prophet; NLP tools such as spaCy or NLTK)
* Proficiency in Python for analytics and data pipelines (e.g., pandas, polars, PySpark)
IPTA is an Equal Opportunity/Affirmative Action employer. We are committed to providing equal employment opportunity to all qualified employees and applicants for employment. The Company does not discriminate in employment opportunities or practices on the basis of race, color, religion, sex, sexual orientation, national origin, age, physical disability, mental disability, medical condition, status as a veteran or disabled veteran or any other characteristic protected by law. We base all employment decisions, including recruitment, selection, training, compensation, benefits, discipline, promotions, transfers, lay\-offs, returns from lay\-off, terminations, and social and recreational programs on the principles of equal employment opportunity. Our employees have diverse backgrounds, skills, and ideas that collectively contribute to a rich working environment and greater opportunity for innovation.
\#clearance</t>
        </is>
      </c>
    </row>
    <row r="18">
      <c r="A18" t="inlineStr">
        <is>
          <t>in-11ea2b7d04e3fb43</t>
        </is>
      </c>
      <c r="B18" t="inlineStr">
        <is>
          <t>Senior Data Scientist</t>
        </is>
      </c>
      <c r="C18" t="inlineStr">
        <is>
          <t>PNC Financial Services Group</t>
        </is>
      </c>
      <c r="D18" t="inlineStr">
        <is>
          <t>indeed</t>
        </is>
      </c>
      <c r="E18" t="inlineStr"/>
      <c r="F18" t="inlineStr"/>
      <c r="G18" t="inlineStr">
        <is>
          <t>Lakewood, CO, US</t>
        </is>
      </c>
      <c r="H18" s="2" t="n">
        <v>46057</v>
      </c>
      <c r="I18"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Senior Data Scientist within PNC's Technology organization, you will be based in Denver, CO.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Leads the implementation of analytical projects that leverage vast amounts of structured and unstructured data to extract actionable business insights.
Directs the data gathering, data processing and data mining of large and complex datasets.
Leads the development of algorithms using advanced mathematical and statistical techniques like machine learning to predict business outcomes and recommend optimal actions to management.
Leads analytical experiments in a methodical manner to find opportunities for product and process optimization. Presents business insights to management using visualization technologies and data storytelling.
Partners with Data Architects, Data Analysts, Data Engineers and Visualization Experts to develop data\-driven solutions for the business.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Analytical Thinking, Competitive Advantages, Data Analytics, Data Mining, Data Science, Machine Learning (ML)
Competencies Data Architecture, Data Mining, Disruptive Innovation, Information Capture, Machine Learning, Modeling: Data, Process, Events, Objects, Prototyping, Query and Database Access Tools
Work Experience Roles at this level typically require a university / college degree, with 5\+ years of industry\-relevant experience. Specific certifications are often required. In lieu of a degree, a comparable combination of education, job specific certification(s), and experience (including military service) may be considered.
Education Masters
Certifications No Required Certification(s)
Licenses No Required License(s)
Pay Transparency
**Base Salary:** $122,245\.00 – $165,370\.00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02/04/2026,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19">
      <c r="A19" t="inlineStr">
        <is>
          <t>in-cc0bfa774398a4cd</t>
        </is>
      </c>
      <c r="B19" t="inlineStr">
        <is>
          <t>Data scientist-2</t>
        </is>
      </c>
      <c r="C19" t="inlineStr">
        <is>
          <t>Realign</t>
        </is>
      </c>
      <c r="D19" t="inlineStr">
        <is>
          <t>indeed</t>
        </is>
      </c>
      <c r="E19" t="inlineStr"/>
      <c r="F19" t="inlineStr"/>
      <c r="G19" t="inlineStr">
        <is>
          <t>Newark, DE, US</t>
        </is>
      </c>
      <c r="H19" s="2" t="n">
        <v>46056</v>
      </c>
      <c r="I19" t="inlineStr">
        <is>
          <t>Newark, Delaware 19711 Posted February 4th, 2026
 Looking for more job opportunities? Click here!
Job Type: Full Time
Job Category: IT
Job Description
**Title : Data scientist****Location : Newark, Delaware** **Must Have Technical/Functional Skills :****Primary: Artificial intelligence, ML, LLM****Secondary: Data science, Python, NLP, Agile tools****Experience: 10\+** **Roles \&amp; Responsibilities**
Experience with NLP, deep learning, or time series analysis.
Experience deploying models to production environments.
Knowledge of regulatory requirements and compliance in banking and finance.
Familiarity with MLOps practices and tools.
Experience with Agile methodology and tools (JIRA or Rally)
Proven experience as a Data Scientist in Banking or a similar domain
Proficiency in Python or R, and experience with data science libraries (e.g., pandas, scikit\-learn, TensorFlow, PyTorch).
Hands\-on experience with large language models (e.g., OpenAI GPT, Llama, or similar), including fine\-tuning and prompt engineering.
Strong knowledge of statistics, machine learning, and data mining techniques.
Experience with data visualization tools (e.g., Tableau, Power BI).
Experience with Big Data Platforms (Hadoop).
Familiarity with SQL and working with relational databases.
Excellent problem\-solving, communication, and collaboration skills.
Experience with cloud platforms (AWS, Azure, or GCP) is a plus.
Analyze large financial datasets to extract insights and support business decisions.
Develop, implement, and evaluate machine learning models and algorithms tailored to banking and finance use cases (e.g., risk modeling, fraud detection, customer segmentation).
Apply and fine\-tune large language models (LLMs) for tasks such as document analysis, customer communication, and regulatory compliance.
Collaborate with cross\-functional teams to understand business requirements and deliver data\-driven solutions.
Communicate findings and recommendations through reports, dashboards, and presentations.
Work with data engineers to ensure data quality and pipeline reliability.
Required Skills
DATA ANALYST</t>
        </is>
      </c>
    </row>
    <row r="20">
      <c r="A20" t="inlineStr">
        <is>
          <t>in-f90aefc196075192</t>
        </is>
      </c>
      <c r="B20" t="inlineStr">
        <is>
          <t>AI/ML Engineer &amp; Data Scientist</t>
        </is>
      </c>
      <c r="C20" t="inlineStr">
        <is>
          <t>Azulo</t>
        </is>
      </c>
      <c r="D20" t="inlineStr">
        <is>
          <t>indeed</t>
        </is>
      </c>
      <c r="E20" t="inlineStr"/>
      <c r="F20" t="inlineStr"/>
      <c r="G20" t="inlineStr">
        <is>
          <t>Washington, DC, US</t>
        </is>
      </c>
      <c r="H20" s="2" t="n">
        <v>46058</v>
      </c>
      <c r="I20" t="inlineStr">
        <is>
          <t>We’re seeking an **AI/ML Engineer \&amp; Data Scientist** to build ML solutions, develop scalable data pipelines, and improve information discovery and decision‑making. You’ll work with structured and unstructured data, support digitization/cataloging workflows, and contribute to intelligent search and automation capabilities.
This position is contingent upon contract award and requires U.S. citizenship to be eligible for a Public Trust. Direct hire only.
**What You’ll Do**
* Develop data models and analytics that generate actionable insights.
* Build and refine ML/NLP models (document understanding, classification, ranking, embeddings, search relevance).
* Create data ingestion/transformation pipelines for structured and unstructured content.
* Use cloud services for storage, indexing, model deployment, and scalable processing.
* Apply workflow‑simulation and modeling techniques to optimize operations.
* Develop AI‑enabled tools (chatbots, wizards) including prompt orchestration and human‑in‑the‑loop support.
**What You Need**
* Bachelor’s degree in Data Science, Computer Science, or related field (Master’s preferred).
* 3\+ years with Python, ML frameworks (TensorFlow, PyTorch, scikit‑learn), and cloud platforms (Azure or AWS).
* Experience with Azure AI Services and LLMs.
* Background in NLP and search/retrieval strategies.
* Familiarity with MLOps (deployment, monitoring, CI/CD).
* Knowledge of ML/data security and federal data privacy requirements.
* **U.S. citizenship required.**
**About Azulo**
Azulo accelerates mission success for government agencies through innovative, data\-driven technology solutions. As a trusted partner to federal, state, and local governments, we deliver customized strategies that transform operations and maximize results. Our core expertise includes advanced data analytics, AI/ML, enterprise IT modernization, and strategic management consulting.
Pay: $90,000\.00 \- $120,000\.00 per year
Benefits:
* 401(k)
* Dental insurance
* Health insurance
* Paid time off
* Vision insurance
Application Question(s):
* This job requires US citizenship. Do you meet this requirement?
* How many years of experience do you have in developing cognitive search solutions?
Education:
* Bachelor's (Required)
Experience:
* AI/ML development: 3 years (Required)
* natural language processing (NLP): 2 years (Required)
Work Location: In person</t>
        </is>
      </c>
    </row>
    <row r="21">
      <c r="A21" t="inlineStr">
        <is>
          <t>in-1a72fd6ee4444524</t>
        </is>
      </c>
      <c r="B21" t="inlineStr">
        <is>
          <t>Lead Data Scientist</t>
        </is>
      </c>
      <c r="C21" t="inlineStr">
        <is>
          <t>Johnson &amp; Johnson</t>
        </is>
      </c>
      <c r="D21" t="inlineStr">
        <is>
          <t>indeed</t>
        </is>
      </c>
      <c r="E21" t="inlineStr"/>
      <c r="F21" t="inlineStr"/>
      <c r="G21" t="inlineStr">
        <is>
          <t>Titusville, FL, US</t>
        </is>
      </c>
      <c r="H21" s="2" t="n">
        <v>46057</v>
      </c>
      <c r="I21"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Data Analytics \&amp; Computational Sciences**Job Sub Function:**
Data Science**Job Category:**
Scientific/Technology**All Job Posting Locations:**
Beerse, Antwerp, Belgium, Cork, Cork, Ireland, Leiden, Netherlands, Spring House, Pennsylvania, United States of America, Titusville, New Jersey, United States of America, Zug, Switzerland**Job Description:**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https://www.jnj.com/innovative\-medicine.
Johnson \&amp; Johnson Innovative Medicine Supply Chain (IMSC) Data Science and AI group is seeking a skilled and motivated Lead Data Scientist to play a key role in our transformation journey. In this position, you will apply innovative analytics to drive business improvement and create a competitive advantage, enhancing data\-driven decision\-making across the supply chain and beyond. The ideal candidate will work closely with business stakeholders to understand requirements, explore and experiment with cutting\-edge AI/ML solutions, and clearly communicate methodologies and results to both technical and non\-technical audiences.
This hybrid position may be based at any Johnson \&amp; Johnson office in New Jersey (Titusville, Horsham, or Raritan) in USA, Switzerland (Zug, or Schaffhausen), Ireland (Cork), Netherlands (Leiden) and Belgium (Beerse). If you are passionate about leveraging data science to address real\-world challenges and foster innovation in a global environment, we encourage you to apply.
**Key Responsibilities:**
* Collaborate with cross\-functional teams to understand business challenges and requirements, identify AI\-driven opportunities, and ensure effective deployment of AI solutions.
* Experiment and implement cutting\-edge AI/ML solutions (such as natural language processing, deep learning, and predictive analytics, graph) to transform structured and unstructured data into business\-critical insights.
* Continuously review and analyze academic research and industry publications, evaluate state\-of\-the\-art AI/ML methodologies, and prototype innovative solutions to address real\-world business problems.
* Evaluate and refine AI models to enhance accuracy, efficiency, trustfulness and business impact in decision\-making processes.
* Clearly articulate methodologies, results, and insights to non\-technical users and stakeholders, and present AI\-driven recommendations to senior leadership to ensure strategic alignment and impact.
**Education and Experience:**
* Bachelor’s degree in statistics, applied mathematics, computer science, engineering, or a related quantitative discipline is required.
* Master’s or PhD in a quantitative field such as statistics, applied mathematics, computer science, engineering, or a related discipline from an accredited college or university is preferred.
* 4–6 years of industry experience solving business problems through the application of statistical modeling, machine learning, deep learning, generative AI, and Retrieval\-Augmented Generation (RAG) techniques.
**Qualifications:**
* Advanced knowledge of traditional machine learning and deep learning foundations and algorithms, including classification, regression, clustering, transformer, reinforcement learning, and anomaly detection.
* Solid understanding of Natural Language Processing (NLP) techniques and Generative AI (GenAI) applications.
* Strong hands\-on experience with Python and relevant packages (e.g., Transformers, LangChain, LangGraph, AG2, vLLM, pydantic, etc.).
* Excellent communication and presentation skills, with the ability to convey complex technical concepts to both technical and non\-technical audiences.
* Excellent problem\-solving skills and ability to work collaboratively in a team setting.
**Preferred Qualifications:**
* Deep understanding of agentic AI approaches, including the development of AI agents
* Exposure to containerization technologies (e.g., Docker) and cloud platforms (e.g., Azure) is a plus.
* Working knowledge of vector databases (e.g., Elasticsearch, Pinecone, FAISS, Weaviate) for information and knowledge retrieval.
* Strong familiarity with Git and version control best practices, with the ability to write clean, maintainable, and well\-documented code.
* Solid understanding of RESTful API design principles and web service architecture.
**Other**
* May require up to 10% of domestic and international travel
**Required Skills:**
**Preferred Skills:**
Advanced Analytics, Business Intelligence (BI), Coaching, Collaborating, Critical Thinking, Data Analysis, Database Management, Data Privacy Standards, Data Reporting, Data Savvy, Data Science, Data Visualization, Econometric Models, Process Improvements, Technical Credibility, Technologically Savvy, Workflow Analysis**The anticipated base pay range for this position is :**
$109,000\.00 \- $174,800\.00
Additional Description for Pay Transparency:
Subject to the terms of their respective plans, employees are eligible to participate in the Company’s consolidated retirement plan (pension) and savings plan (401(k)).  
Subject to the terms of their respective policies and date of hire, employees are eligible for the following time off benefits:  
Vacation –120 hours per calendar year  
Sick time \- 40 hours per calendar year; for employees who reside in the State of Colorado –48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Bereavement Leave – 240 hours for an immediate family member: 40 hours for an extended family member per calendar year  
Caregiver Leave – 80 hours in a 52\-week rolling period10 days  
Volunteer Leave – 32 hours per calendar year  
Military Spouse Time\-Off – 80 hours per calendar year</t>
        </is>
      </c>
    </row>
    <row r="22">
      <c r="A22" t="inlineStr">
        <is>
          <t>in-e03cd5fc82618e25</t>
        </is>
      </c>
      <c r="B22" t="inlineStr">
        <is>
          <t>Data Scientist - Machine Learning</t>
        </is>
      </c>
      <c r="C22" t="inlineStr">
        <is>
          <t>United Airlines</t>
        </is>
      </c>
      <c r="D22" t="inlineStr">
        <is>
          <t>indeed</t>
        </is>
      </c>
      <c r="E22" t="inlineStr"/>
      <c r="F22" t="inlineStr"/>
      <c r="G22" t="inlineStr">
        <is>
          <t>Chicago, IL, US</t>
        </is>
      </c>
      <c r="H22" s="2" t="n">
        <v>46057</v>
      </c>
      <c r="I22" t="inlineStr">
        <is>
          <t>Achieving our goals starts with supporting yours. Grow your career, access top\-tier health and wellness benefits, build lasting connections with your team and our customers, and travel the world using our extensive route network.  
Come join us to create what’s next. Let’s define tomorrow, together.  
**Description**
---------------
United's Digital Technology team is comprised of many talented individuals all working together with cutting\-edge technology to build the best airline in the history of aviation. Our team designs, develops and maintains massively scaling technology solutions brought to life with innovative architectures, data analytics, and digital solutions. Job overview and responsibilities Provides mathematical modeling and analysis services to support critical financial, operational, and/or strategic planning decisions and engages in supporting project teams in value added activities that generate practical solutions to complex business problems, explores new business alternatives, and drives improvement in business decisions
* Develops the approach and methods to define and solve management problems through quantitative analysis and analytical models using machine learning, statistical, and structured programming languages
* Identifies, researches, or solves large complex problems using big data and machine learning principles
* Leverages understanding of the business process to identify and implement predictive and prescriptive solutions that will result in significant bottom\-line contributions
* Builds and develops machine learning model applications, and provides client support leveraging machine learning knowledge
* Participates in model design, prototype, and model development for several efforts that occur simultaneously, and interfaces with product delivery groups
* Raises concerns when scope of analysis may not align with time available and can choose an appropriate scope of analysis to conduct balancing ROI to time available
* Designs analytic plan/develop hypotheses to test; understands limitations of analysis (what it can and cannot be used for)
* Anticipates working team questions to data and approach
* Identifies solution quality risks and on\-time risks
* Understands the business value, process, and expectations before focusing on choice of a technical solution
* Understands the intuition behind the numbers (i.e. does it make sense?)
* Provides on\-going analytical services to client organizations
* Communicates results to management and clients
* Contributes deck content and builds the story for the deck with guidance to summarize findings
* Develops and delivers presentations aligned with Analytics \&amp; Innovation team standards
* Speaks in a manner appropriate for working team and their level \+1
* Keeps informed about the latest analytical methods and research in machine learning, data science, and other analytics fields
* Research and socialize tools and techniques in data science, ensuring best practices are applied at United
**Qualifications**
------------------
#### **What’s needed to succeed (Minimum Qualifications):**
* Master’s degree in quantitative field (machine learning, data science, statistics, engineering, etc.)
* Coursework or work experience with mathematical programming techniques
* Coursework or work experience implementing supervised machine learning to real\-world tabular data use cases
* Hands\-on experience with ML and statistical modeling in applied projects
* Strong Python software engineering skills with a focus on object\-oriented programming and GitHub usage
* Proficiency in SQL for analytical tasks and data manipulation
* Ability to identify high\-value opportunities and efficiently apply data science techniques to drive business impact
* Strong ownership mindset, with the ability to work independently and collaborate across teams, including with SMEs and stakeholders, without direct supervision
* Demonstrated intellectual curiosity, with a proactive approach to solving complex problems and a willingness to navigate ambiguity
* Excellent oral and written communication skills, with the ability to clearly explain algorithms, modeling techniques, and data\-driven insights to diverse audiences
* Good business, technical, verbal/written communication, presentation and sales skills. Adaptability to changing business environment
* Good interpersonal skills and ability to interact with clients
* Proficient with MS Office
* Must be legally authorized to work in the United States for any employer without sponsorship
* Successful completion of interview required to meet job qualifications
* Reliable, punctual attendance is an essential function of the position
#### **What will help you propel from the pack (Preferred Qualifications):**
* Supervised computer vision (object detection) \&amp; NLP
* Signal processing \&amp; machine learning applied to sensor data
* Causal ML (DML, DR, etc.)
* Probabilistic programming (Pyro, PyMC, Stan, etc.) and Bayesian modeling
* AWS cloud stack experience
* PySpark
* Docker
* Generative AI
* Demonstrated ability to create business value
The base pay range for this role is $94,145\.00 to $122,550\.00\.  
The base salary range/hourly rate listed is dependent on job\-related, factors such as experience, education, and skills. This position is also eligible for bonus and/or long\-term incentive compensation awards.  
You may be eligible for the following competitive benefits: medical, dental, vision, life, accident \&amp; disability, parental leave, employee assistance program, commuter, paid holidays, paid time off, 401(k) and flight privileges.  
United Airlines is an equal opportunity employer. United Airlines recruits, employs, trains, compensates and promotes regardless of race, religion, color, national origin, gender identity, sexual orientation, physical ability, age, veteran status and other protected status as required by applicable law. Equal Opportunity Employer \- Minorities/Women/Veterans/Disabled/LGBT.  
We will ensure that individuals with disabilities are provided reasonable accommodation to participate in the job application or interview process, to perform crucial job functions. Please contact JobAccommodations@united.com to request accommodation.</t>
        </is>
      </c>
    </row>
    <row r="23">
      <c r="A23" t="inlineStr">
        <is>
          <t>in-ac8d02cb51ac9e1f</t>
        </is>
      </c>
      <c r="B23" t="inlineStr">
        <is>
          <t>Data Scientist Manager</t>
        </is>
      </c>
      <c r="C23" t="inlineStr">
        <is>
          <t>Ameriprise Financial</t>
        </is>
      </c>
      <c r="D23" t="inlineStr">
        <is>
          <t>indeed</t>
        </is>
      </c>
      <c r="E23" t="inlineStr"/>
      <c r="F23" t="inlineStr"/>
      <c r="G23" t="inlineStr">
        <is>
          <t>Boston, MA, US</t>
        </is>
      </c>
      <c r="H23" s="2" t="n">
        <v>46057</v>
      </c>
      <c r="I23" t="inlineStr">
        <is>
          <t>Ameriprise Financial is looking to add a Data Scientist Manager to the team! The individual in this role will play an integral role in supporting modeling and data analysis, campaign execution, and database needs for assigned line of business. Manage the creation and/or usage of large data sets, providing information\-based decision logic and predictive modeling solutions, and translates modeling/analytic output into understandable/actionable business knowledge, insight and applications. Demonstrate strong technical/problem solving skills. Support multiple projects collaboratively.**Key Responsibilities**
* Identify, develop and implement complex analytical solutions leveraging tools such as predictive modeling, advanced machine learning techniques, simulation, optimization solutions, etc., with respect to credit card, lending and cash products for marketing and risk management purposes.
* Manage dataset creation including data extraction, derived and dependent variable creation, and data quality control processes for analytics, model development, and validation. May monitor execution of analytical solutions, including criteria specification, data sourcing, segmentation, analytics, selection, delivery, and back\-end data capture results.
* Consult and coordinate campaign execution for direct to client campaigns. Identify and execute targeting and optimization opportunities.
* Under direction of the Sr. Leader, collaborate with business leaders and/or analysts to provide analytical thought leadership and support for business problems. Identify and interpret business needs, define high\-level business requirements, strategy, technical risks, and scope. Develop, document, and communicate business\-driven analytic solutions and capabilities, translating modeling and analytic output into understandable and actionable business knowledge.
* Embed analytic programs and tools. Ensure continued accuracy, relevancy, and effectiveness and track process improvements once deployed.
* Ensure adherence to data and model governance standards that are set and enforced by industry standards and/or enterprise and business unit data governance polices and leaders.
* Contribute to ongoing expansion of data science expertise and credentials by keeping up with industry best practices, developing new skills, and knowledge sharing. Work cross functionally to develop standardized/automated solutions and adopt best practices.
 **Required Qualifications**
* Master's degree or equivalent Quantitative Discipline (i.e. Finance, Statistics, Computer Science, Actuarial Science, Economics, Engineering, etc.)
* 3 \- 5 years relevant experience required
* Knowledge of advanced statistical concepts and techniques; skilled in linear algebra.
* Experience conducting hands\-on analytics projects using advanced statistical methods such as generalized regression models, Bayesian methods, random forest, gradient boosting, neural networks, machine learning, clustering, or similar methodologies.
* Experience with statistical programming (SAS, R, Python, SQL etc.) \&amp; data visualization software in a data\-rich environment.
* Proven ability to present/communicate complex, technical materials in a way that facilitates decision making and drives outcomes; ability to communicate to less technical partners.
* Proven ability to apply both strategic and analytic techniques to provide business solutions and recommendations.
* Ability to work effectively in a collaborative team environment.
 **Preferred Qualifications**
* Ph.D
* 3\+ years of experience in statistical modeling and the collating processes necessary to create modeling data.
* Experience with big data technologies which may include Hadoop, Cloud Computing Environments (including container creation, management \&amp; deployment), Spark, Dataiku, Amazon SageMaker etc..
* Self\-starter with the ability to work effectively in a matrix environment while (at times) working autonomously.
* Proven flexibility and adaptability in effectively driving results in an environment of changing priorities.
* Knowledge of credit risk analytics.
* Background in banking \- lending, credit card and mortgage.
* Background in financial services.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$96,300 \- $169,200/year.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Data**Line of Business**
CSIRM Information Management</t>
        </is>
      </c>
    </row>
    <row r="24">
      <c r="A24" t="inlineStr">
        <is>
          <t>in-d9f4df1eb08643fb</t>
        </is>
      </c>
      <c r="B24" t="inlineStr">
        <is>
          <t>Data Scientist Manager</t>
        </is>
      </c>
      <c r="C24" t="inlineStr">
        <is>
          <t>Ameriprise Financial</t>
        </is>
      </c>
      <c r="D24" t="inlineStr">
        <is>
          <t>indeed</t>
        </is>
      </c>
      <c r="E24" t="inlineStr"/>
      <c r="F24" t="inlineStr"/>
      <c r="G24" t="inlineStr">
        <is>
          <t>Charlotte, NC, US</t>
        </is>
      </c>
      <c r="H24" s="2" t="n">
        <v>46057</v>
      </c>
      <c r="I24" t="inlineStr">
        <is>
          <t>Ameriprise Financial is looking to add a Data Scientist Manager to the team! The individual in this role will play an integral role in supporting modeling and data analysis, campaign execution, and database needs for assigned line of business. Manage the creation and/or usage of large data sets, providing information\-based decision logic and predictive modeling solutions, and translates modeling/analytic output into understandable/actionable business knowledge, insight and applications. Demonstrate strong technical/problem solving skills. Support multiple projects collaboratively.**Key Responsibilities**
* Identify, develop and implement complex analytical solutions leveraging tools such as predictive modeling, advanced machine learning techniques, simulation, optimization solutions, etc., with respect to credit card, lending and cash products for marketing and risk management purposes.
* Manage dataset creation including data extraction, derived and dependent variable creation, and data quality control processes for analytics, model development, and validation. May monitor execution of analytical solutions, including criteria specification, data sourcing, segmentation, analytics, selection, delivery, and back\-end data capture results.
* Consult and coordinate campaign execution for direct to client campaigns. Identify and execute targeting and optimization opportunities.
* Under direction of the Sr. Leader, collaborate with business leaders and/or analysts to provide analytical thought leadership and support for business problems. Identify and interpret business needs, define high\-level business requirements, strategy, technical risks, and scope. Develop, document, and communicate business\-driven analytic solutions and capabilities, translating modeling and analytic output into understandable and actionable business knowledge.
* Embed analytic programs and tools. Ensure continued accuracy, relevancy, and effectiveness and track process improvements once deployed.
* Ensure adherence to data and model governance standards that are set and enforced by industry standards and/or enterprise and business unit data governance polices and leaders.
* Contribute to ongoing expansion of data science expertise and credentials by keeping up with industry best practices, developing new skills, and knowledge sharing. Work cross functionally to develop standardized/automated solutions and adopt best practices.
 **Required Qualifications**
* Master's degree or equivalent Quantitative Discipline (i.e. Finance, Statistics, Computer Science, Actuarial Science, Economics, Engineering, etc.)
* 3 \- 5 years relevant experience required
* Knowledge of advanced statistical concepts and techniques; skilled in linear algebra.
* Experience conducting hands\-on analytics projects using advanced statistical methods such as generalized regression models, Bayesian methods, random forest, gradient boosting, neural networks, machine learning, clustering, or similar methodologies.
* Experience with statistical programming (SAS, R, Python, SQL etc.) \&amp; data visualization software in a data\-rich environment.
* Proven ability to present/communicate complex, technical materials in a way that facilitates decision making and drives outcomes; ability to communicate to less technical partners.
* Proven ability to apply both strategic and analytic techniques to provide business solutions and recommendations.
* Ability to work effectively in a collaborative team environment.
 **Preferred Qualifications**
* Ph.D
* 3\+ years of experience in statistical modeling and the collating processes necessary to create modeling data.
* Experience with big data technologies which may include Hadoop, Cloud Computing Environments (including container creation, management \&amp; deployment), Spark, Dataiku, Amazon SageMaker etc..
* Self\-starter with the ability to work effectively in a matrix environment while (at times) working autonomously.
* Proven flexibility and adaptability in effectively driving results in an environment of changing priorities.
* Knowledge of credit risk analytics.
* Background in banking \- lending, credit card and mortgage.
* Background in financial services.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$96,300 \- $169,200/year.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Data**Line of Business**
CSIRM Information Management</t>
        </is>
      </c>
    </row>
    <row r="25">
      <c r="A25" t="inlineStr">
        <is>
          <t>in-a0fc276070f4cb91</t>
        </is>
      </c>
      <c r="B25" t="inlineStr">
        <is>
          <t>Data Scientist Manager</t>
        </is>
      </c>
      <c r="C25" t="inlineStr">
        <is>
          <t>Ameriprise Financial</t>
        </is>
      </c>
      <c r="D25" t="inlineStr">
        <is>
          <t>indeed</t>
        </is>
      </c>
      <c r="E25" t="inlineStr"/>
      <c r="F25" t="inlineStr"/>
      <c r="G25" t="inlineStr">
        <is>
          <t>Minneapolis, MN, US</t>
        </is>
      </c>
      <c r="H25" s="2" t="n">
        <v>46057</v>
      </c>
      <c r="I25" t="inlineStr">
        <is>
          <t>Ameriprise Financial is looking to add a Data Scientist Manager to the team! The individual in this role will play an integral role in supporting modeling and data analysis, campaign execution, and database needs for assigned line of business. Manage the creation and/or usage of large data sets, providing information\-based decision logic and predictive modeling solutions, and translates modeling/analytic output into understandable/actionable business knowledge, insight and applications. Demonstrate strong technical/problem solving skills. Support multiple projects collaboratively.**Key Responsibilities**
* Identify, develop and implement complex analytical solutions leveraging tools such as predictive modeling, advanced machine learning techniques, simulation, optimization solutions, etc., with respect to credit card, lending and cash products for marketing and risk management purposes.
* Manage dataset creation including data extraction, derived and dependent variable creation, and data quality control processes for analytics, model development, and validation. May monitor execution of analytical solutions, including criteria specification, data sourcing, segmentation, analytics, selection, delivery, and back\-end data capture results.
* Consult and coordinate campaign execution for direct to client campaigns. Identify and execute targeting and optimization opportunities.
* Under direction of the Sr. Leader, collaborate with business leaders and/or analysts to provide analytical thought leadership and support for business problems. Identify and interpret business needs, define high\-level business requirements, strategy, technical risks, and scope. Develop, document, and communicate business\-driven analytic solutions and capabilities, translating modeling and analytic output into understandable and actionable business knowledge.
* Embed analytic programs and tools. Ensure continued accuracy, relevancy, and effectiveness and track process improvements once deployed.
* Ensure adherence to data and model governance standards that are set and enforced by industry standards and/or enterprise and business unit data governance polices and leaders.
* Contribute to ongoing expansion of data science expertise and credentials by keeping up with industry best practices, developing new skills, and knowledge sharing. Work cross functionally to develop standardized/automated solutions and adopt best practices.
 **Required Qualifications**
* Master's degree or equivalent Quantitative Discipline (i.e. Finance, Statistics, Computer Science, Actuarial Science, Economics, Engineering, etc.)
* 3 \- 5 years relevant experience required
* Knowledge of advanced statistical concepts and techniques; skilled in linear algebra.
* Experience conducting hands\-on analytics projects using advanced statistical methods such as generalized regression models, Bayesian methods, random forest, gradient boosting, neural networks, machine learning, clustering, or similar methodologies.
* Experience with statistical programming (SAS, R, Python, SQL etc.) \&amp; data visualization software in a data\-rich environment.
* Proven ability to present/communicate complex, technical materials in a way that facilitates decision making and drives outcomes; ability to communicate to less technical partners.
* Proven ability to apply both strategic and analytic techniques to provide business solutions and recommendations.
* Ability to work effectively in a collaborative team environment.
 **Preferred Qualifications**
* Ph.D
* 3\+ years of experience in statistical modeling and the collating processes necessary to create modeling data.
* Experience with big data technologies which may include Hadoop, Cloud Computing Environments (including container creation, management \&amp; deployment), Spark, Dataiku, Amazon SageMaker etc..
* Self\-starter with the ability to work effectively in a matrix environment while (at times) working autonomously.
* Proven flexibility and adaptability in effectively driving results in an environment of changing priorities.
* Knowledge of credit risk analytics.
* Background in banking \- lending, credit card and mortgage.
* Background in financial services.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$96,300 \- $169,200/year.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Data**Line of Business**
CSIRM Information Management</t>
        </is>
      </c>
    </row>
    <row r="26">
      <c r="A26" t="inlineStr">
        <is>
          <t>in-7f60b54ac88791cd</t>
        </is>
      </c>
      <c r="B26" t="inlineStr">
        <is>
          <t>Principal Data Scientist (Model Risk Management)</t>
        </is>
      </c>
      <c r="C26" t="inlineStr">
        <is>
          <t>Navy Federal Credit Union</t>
        </is>
      </c>
      <c r="D26" t="inlineStr">
        <is>
          <t>indeed</t>
        </is>
      </c>
      <c r="E26" t="inlineStr"/>
      <c r="F26" t="inlineStr"/>
      <c r="G26" t="inlineStr">
        <is>
          <t>Vienna, VA, US</t>
        </is>
      </c>
      <c r="H26" s="2" t="n">
        <v>46057</v>
      </c>
      <c r="I26" t="inlineStr">
        <is>
          <t>**Overview**
**Navy Federal Credit Union currently does not provide sponsorship for this role. Applicants must be authorized to work in the United States without the need for current or future sponsorship.**
Provide independent data science, machine learning, and analytical insights using member, financial, and organizational data to support mission critical decision making for various areas of the organization. Understand business needs and identify opportunities for new products, services, and process optimization to meet business objectives through the use of cutting\-edge data science. Create descriptive, predictive, and prescriptive models and insights to drive impact across the organization. Regarded as an advanced professional in the data science field. Conduct complex work under minimal supervision and with wide latitude for independent judgment. Mentor lower level staff.
**Responsibilities**
* Conduct model validations including evaluating model conceptual soundness, assessing data appropriateness, reviewing statistical and analytical testing, outcome evaluation and performance monitoring
* Provide subject matter expertise to identify models’ key assumptions, limitations and weaknesses, and recommend practical solutions to mitigate model risk
* Develop benchmark/challenger models to assess strength of model under review
* Prepare and present clear, thorough reports to model developers and model owners explaining the analysis performed, results of the analysis and recommendations for improvement
* Design, develop, and evaluate large and complex predictive models and advanced algorithms if needed
* Test hypotheses/models, analyze, and interpret results
* Develop actionable insights and recommendations
* Develop and code complex software programs, algorithms, and automated processes
* Use evaluation, judgment, and interpretation to select right course of action
* Work on problems of diverse scope where analysis of information requires evaluation of identifiable factors
* Produce innovative solutions driven by exploratory data analysis from complex and high\-dimensional datasets
* Transform data into charts, tables, or format that aids effective decision making
* Utilize effective written and verbal communication to document analyses and present findings analyses to a diverse audience of stakeholders
* Develop and maintain strong working relationships with team members, subject matter experts, and leaders
* Lead moderate to large projects and initiatives
* Model best practices and ethical AI
* Works with senior management on complex issues
* Assist with the development and enhancement practices, procedures, and instructions
* Serve as technical resource for other team members
* Mentor lower levels
**Qualifications**
* At least 10 years of experience in credit risk model development or validation with a Master’s degree in Data Science, Statistics, Mathematics, Economics, Computer Science, Engineering, or another quantitative field; or at least 6 years of relevant experience with a Ph.D. in a quantitative discipline.
* Expertise in industry best practices for CECL, account acquisition scorecards, account management modeling, pricing, or collections
* In\-depth knowledge of model governance throughout the entire model lifecycle
* Complete knowledge and full understanding of specialization
* Statistics, machine learning , data mining, data auditing, aggregation, reconciliation, and visualization
* Programming, data modeling, simulation, and advanced mathematics
* SQL, R, Python, Hadoop, SAS, SPSS, Scala, AWS
* Model lifecycle execution
* Technical writing
* Data storytelling and technical presentation skills
* Research Skills
* Interpersonal Skills
* Advanced knowledge of procedures, instructions and validation techniques
* Model Development
* Communication
* Critical Thinking
* Collaborate and Build Relationships
* Initiative with sound judgement
* Technical (Big Data Analysis, Coding, Project Management, Technical Writing, etc.)
* Independent Judgment
* Problem Solving (Identifies the constraints and risks)
**Hours:** Available Monday \- Friday, 8:00AM \- 4:30PM
**Location:** 820 Follin Lane, Vienna, VA 22180
**About Us**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*Fortune* 100 Best Companies to Work For 2025
* Yello and WayUp Top 100 Internship Programs
* Computerworld® Best Places to Work in IT
* Newsweek Most Loved Workplaces
* 2025 PEOPLE® Companies That Care
* Newsweek Most Trustworthy Companies in America
* Military Times 2025 Best for Vets Employers
* Best Companies for Latinos to Work for 2025
* Forbes® 2025 America's Best Large Employers
* Forbes® 2025 America's Best Employers for New Grads
* Forbes® 2025 America's Best Employers for Tech Workers
* 2025 RippleMatch Campus Forward Award Winner for Overall Excellence
* Military.com Top Military Spouse Employers 2025
* 2025 Handshake Early Talent Award
From *Fortune*.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**Accommodations:** If you need accommodation or assistance for a qualifying condition to complete the online application (or during any stage of the hiring process), you can contact Navy Federal's Medical Accommodations team at medicalaccommodations@navyfederal.org or by calling 1\-888\-503\-6013\. This team cannot provide any information on job postings or application status.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t>
        </is>
      </c>
    </row>
    <row r="27">
      <c r="A27" t="inlineStr">
        <is>
          <t>in-ff94e0b9ebbb4659</t>
        </is>
      </c>
      <c r="B27" t="inlineStr">
        <is>
          <t>Data Scientist</t>
        </is>
      </c>
      <c r="C27" t="inlineStr">
        <is>
          <t>Old Dominion Freight Line</t>
        </is>
      </c>
      <c r="D27" t="inlineStr">
        <is>
          <t>indeed</t>
        </is>
      </c>
      <c r="E27" t="inlineStr"/>
      <c r="F27" t="inlineStr"/>
      <c r="G27" t="inlineStr">
        <is>
          <t>Thomasville, NC, US</t>
        </is>
      </c>
      <c r="H27" s="2" t="n">
        <v>46057</v>
      </c>
      <c r="I27" t="inlineStr">
        <is>
          <t>Are you someone who never rests on their laurels, always strives to go above and beyond, and is committed to keeping your PROMISES? Do you appreciate a company culture that is open, fosters work\-life balance, and a dynamic team environment? Then Old Dominion is the home for you. We take pride in being the best in the industry, and from our humble beginnings we know that our People and our Family Spirit are the main ingredient in our secret sauce to success. At Old Dominion we are looking for individuals to join the OD Family that will provide innovative solutions and exceed expectations to keep OD the premier transportation solutions provider.
The position requires the use of Juypter Notebook to automate many manual tasks that the department currently completes. As part of this role we will look at current suites of analytics and work towards improving quality while removing false positives inside of actionable data. This position is project based and typically works on 1\-3 assigned projects per week. Those projects with longer horizons and integrations will require excellent time management and project prioritization skills.
Primary Responsibilities* Document and understand business use cases, determine, and analyze relevant data to draw fact\-based conclusions and recommend actions
* Collaborate with data modelers, analysts, and developers to ensure quality analytic products
* Write and present findings to Operations Systems, technology, and business leadership
* Learn, analyze, and reconcile information builder’s products
* Work with UI/UX mock\-ups of reports or dashboards
* High quality professional day\-to\-day execution of engagements and special projects
Job Qualifications
Education:* Bachelor’s degree in Data Science, Accounting, Finance, Business Analytics, or Information Systems
* Strong proficiency in Microsoft Word, Excel, PowerPoint, and SQL with a general understanding of data analysis techniques
* Master's degree or above in Data Science, Accounting, Finance, Business Analytics, and/or Information Systems from an accredited college/university preferred
Experience:* Working knowledge of R, R Stat, Python (Juypter Notebook), or similar statistical analytic tool(s)
* Relevant experience preferred
* Ability to participate within a multi\-disciplinary team as well as acting autonomously as appropriate
* Demonstrated proficiency with project completion
* Strong interpersonal and time management skills
* Excellent verbal and written communication skills
* Strong analytical and quantitative abilities with excellent written and verbal communications
Working Days:
Shift and hours to be determined.
Working Shift:
Shift and hours to be determined.
Work Days and Shift are estimates and are subject to change, at any given time, based on job scheduling and/or business levels. Any information listed regarding Days and Shifts shall be considered a guideline of expectations for the specific position at the time of posting.
Join the OD Family Today!  
As a Full Time member of our Family, you and your family are eligible to receive:* Great Health Benefits including a Zero premium medical plan for employee only coverage
* Vision \&amp; Dental
* Short Term \&amp; Long Term Disability
* Flex Spending Accounts
* 401k Retirement plan with company match and additional company annual discretionary match opportunity
* Life Insurance
* Wellness Program
* Tuition Reimbursement for Drivers and Technicians
* Training and growth opportunities to build a career
* We prioritize our OD family of employees
* Ability to advance through our promote from within philosophy
* National Career Opportunities Available at our 260\+ service centers
Old Dominion Freight Line, Inc. is an equal opportunity employer. All qualified applicants will receive consideration for employment without regard to race, color, religion, sex, national origin, gender identity, and/or gender expression, sexual orientation, age, disability, pregnancy, genetic information, military status, Vietnam Era and/or veteran status, or any other characteristic protected by applicable law(s).
If you have questions regarding this posting or require assistance with the application process, please click here for contact information.</t>
        </is>
      </c>
    </row>
    <row r="28">
      <c r="A28" t="inlineStr">
        <is>
          <t>in-17a54395cdd7d6e0</t>
        </is>
      </c>
      <c r="B28" t="inlineStr">
        <is>
          <t>Data Scientist</t>
        </is>
      </c>
      <c r="C28" t="inlineStr">
        <is>
          <t>Brad's Deals</t>
        </is>
      </c>
      <c r="D28" t="inlineStr">
        <is>
          <t>indeed</t>
        </is>
      </c>
      <c r="E28" t="inlineStr"/>
      <c r="F28" t="inlineStr"/>
      <c r="G28" t="inlineStr">
        <is>
          <t>Remote, US</t>
        </is>
      </c>
      <c r="H28" s="2" t="n">
        <v>46057</v>
      </c>
      <c r="I28" t="inlineStr">
        <is>
          <t>Love what you do. It’s a core value that drives us. At Brad’s Deals, we believe people do their best work where they feel most comfortable, which is why we're proudly remote\-first and committed to work\-life integration.
**About Brad’s Deals**
**Our Story \-** Founded by Brad in 2001, our mission is to help people develop smarter shopping habits. Each year, we feature deals from 800\+ retailers and have helped online shoppers save over $225 million.
**Our Why \-** We believe there is a better way to shop. It goes beyond price. It's the value in connecting with consumers on what's important so we can deliver the best savings and choices every day.
**Our Team \-** We're real people, really helping. We have the passion, creativity, and expertise to create the consumer advantage. Our culture embraces diversity with different talents, experiences, and backgrounds that help us be exceptional together.
**Our Promise \-** Consumers first, always.
**Your Role**
We are seeking a highly skilled **Data Scientist** to lead the development and optimization of our personalization and recommendation systems, which power deal delivery to over one million users daily. This role combines hands\-on technical implementation with strategic oversight of machine learning initiatives that drive engagement, retention, and revenue growth.
The ideal candidate will have experience **designing, deploying, and scaling** personalization and predictive models in production environments. You will manage end\-to\-end data science workflows—from experimentation and feature engineering to deployment, monitoring, and continuous improvement of algorithms. You will also collaborate closely with engineering, marketing, and product teams to ensure that our personalization strategy aligns with both user experience and business objectives.
This is a **high\-impact role** where you will directly shape how Brad’s Deals surfaces the most relevant and high\-value content to every user, every day.
**What You'll Do**
**Personalization Algorithm Development**
* Design, train, and optimize recommendation and personalization models to deliver relevant daily deals.
* Monitor and manage model performance in production to ensure scalability, accuracy, and real\-time responsiveness.
* Continuously refine algorithms using user feedback, behavioral data, and A/B testing insights.
**Data Science \&amp; Machine Learning**
* Build robust pipelines for data collection, cleaning, and feature engineering across user, deal, and engagement datasets.
* Experiment with supervised and unsupervised learning methods to uncover new personalization and ranking opportunities.
* Develop reproducible modeling frameworks with version control and CI/CD practices in **Python** and **GitHub**.
* Create predictive models for user segmentation, lifetime value (LTV), churn, and engagement likelihood.
* Integrate lifecycle models with personalization and marketing systems to enhance retention and reactivation strategies.
**Cross\-Functional Collaboration**
* Partner with product, engineering, finance, and marketing teams to embed data science outputs into customer experiences.
* Translate complex analyses into actionable insights for leadership and stakeholders.
* Lead experimentation design and metric selection for personalization\-focused A/B tests.
* Collaborate with Paid Acquisition and CRM teams to apply predictive models for audience targeting, budget optimization, and LTV\-based bidding.
**Infrastructure \&amp; Data Operations**
* Use **Snowflake SQL** for large\-scale data analysis and model input preparation.
* Work efficiently in a **command\-line** environment and contribute to shared data science infrastructure.
**What You'll Bring**
* Bachelor’s or Master’s degree in Data Science, Computer Science, Statistics, or a related field.
* 5\+ years of experience building and deploying machine learning models in a production environment.
* Strong proficiency in Python, GitHub, Snowflake SQL, and command line tools.
* Proven track record with personalization, recommendation systems, or ranking models at scale.
* Deep understanding of ML lifecycle management, from model training to evaluation and monitoring.
* Experience with data visualization, experimentation, and performance reporting.
* Preferred Qualifications:
	+ Experience in e\-commerce, consumer marketplaces, or content recommendation environments.
	+ Familiarity with tools such as Airflow, MLflow, or other workflow orchestration frameworks.
	+ Exposure to cloud environments (AWS, GCP, or Azure).
	+ Knowledge of reinforcement learning or contextual bandits for personalization.
	+ Experience mentoring other data scientists or analysts.
If you want to challenge the ordinary and love what you do please consider applying for this great opportunity to join the Brad's Deals team! We offer health benefits (including a no cost medical plan option for individual coverage), regular 401(k) profit sharing contributions, generous paid time off programs, and fun virtual events and activities too.
The salary for this position is expected in the $130,000 to $150,000 range (based on candidate's experience and geographic location) with bonus potential.
*Equal Opportunity Employer / We participate in E\-Verify*</t>
        </is>
      </c>
    </row>
    <row r="29">
      <c r="A29" t="inlineStr">
        <is>
          <t>in-6a60f532ae11f8a1</t>
        </is>
      </c>
      <c r="B29" t="inlineStr">
        <is>
          <t>(Data Scientist I</t>
        </is>
      </c>
      <c r="C29" t="inlineStr">
        <is>
          <t>American National Insurance</t>
        </is>
      </c>
      <c r="D29" t="inlineStr">
        <is>
          <t>indeed</t>
        </is>
      </c>
      <c r="E29" t="inlineStr"/>
      <c r="F29" t="inlineStr"/>
      <c r="G29" t="inlineStr">
        <is>
          <t>League City, TX, US</t>
        </is>
      </c>
      <c r="H29" s="2" t="n">
        <v>46057</v>
      </c>
      <c r="I29" t="inlineStr">
        <is>
          <t>We are seeking an entry to mid\-level Data Scientist to join our growing and dynamic team! In this position, you will consult multiple groups within the organization to research problems and offer solutions. You will utilize your analytical, statistical and programming skills to collect, analyze and interpret large datasets. You will develop data\-driven solutions to difficult business challenges. You will research and implement technologies to assist with a diverse array of problems. If you enjoy telling stories, working as a team, and have a passion for intellectual challenges, you are encouraged to apply.
This position is available in Springfield, MO; Houston, TX; or League City, TX.
**What You'll Do:**  
* Collaborate across the business to understand business needs.
* Display drive and curiosity to understand business processes and their challenges.
* Understand data sources and process pipelines.
* Network with domain experts to better understand the business mechanics that generated the data.
* Acquire access to various databases, and other source systems such as SQL or graph databases.
* Generate hypotheses about the underlying mechanics of the business process and test hypotheses using various quantitative methods.
* Apply statistical analysis and visualization techniques to various data, such as hierarchical clustering, T\-distributed Stochastic Neighbor Embedding (t\-SNE), principal components analysis (PCA).
* Research and experiment with machine learning and AI technologies.
* Apply various machine learning and advanced analytics techniques to perform classification or prediction tasks.
**Minimum Qualifications:**  
* Bachelor’s degree in computer science, statistics, applied math or related field.
* Zero to two years of experience as a Data Scientist in a reputed organization
Our job titles may span more than one career level. The actual base pay is dependent upon many factors, including training, transferable skills, work experience, business needs, and market demands. The base pay is subject to change and may be modified in the future.
American National offers eligible employees and their families medical, dental, vision, and basic life insurance. Employees are able to enroll in our company’s 401k plan. Employees also receive annually a bank of paid time off and paid holidays. We aspire to see people for what they bring to our corporate culture by supporting an inclusive work environment, including an emphasis on a healthy work\-life balance, development opportunities, and a casual dress code.
American National is an established, stable, and successful multi\-line insurance corporation that has provided financial strength and a sense of security to employees, customers and business partners since 1905\. With focus on our organization’s values and cultural richness: Financial Strength, Integrity, Respect, Service and Teamwork (FIRST) and Agility, Collaboration, and Engagement (ACE) we continue to pursue our vision to be a leading provider of financial products and services for current and future generations.
Hiring Practices
The preceding job posting was designed to indicate the general nature and level of work performed by employees assigned to this position. It is not intended to be interpreted as a comprehensive list of all duties, responsibilities, and qualifications. We are dedicated to building a diverse, inclusive, and authentic workplace, so if you’re excited about this role, but your past experience doesn’t align perfectly with the job qualifications, we still encourage you to apply. You may be just the right candidate for this position or other opportunities at American National.
American National’s recruitment policies help us place individuals in a timely and efficient manner. Only the most qualified candidates will be contacted by our recruiting team. Candidates may check the status of their application(s) by logging into their account. Learn more about our company, by following us on social media: LinkedIn, Facebook, Instagram
American National is an equal opportunity employer. All qualified applicants will receive consideration for employment without regard to race, color, religion, sex, disability, age, sexual orientation, gender identity, national origin, veteran status, genetic information or any other legally protected categories. American National is committed to providing access, equal opportunity and reasonable accommodation for individuals with disabilities in employment, its services, programs, and activities.</t>
        </is>
      </c>
    </row>
    <row r="30">
      <c r="A30" t="inlineStr">
        <is>
          <t>in-c298feaab9279e23</t>
        </is>
      </c>
      <c r="B30" t="inlineStr">
        <is>
          <t>(Data Scientist I</t>
        </is>
      </c>
      <c r="C30" t="inlineStr">
        <is>
          <t>American National Insurance</t>
        </is>
      </c>
      <c r="D30" t="inlineStr">
        <is>
          <t>indeed</t>
        </is>
      </c>
      <c r="E30" t="inlineStr"/>
      <c r="F30" t="inlineStr"/>
      <c r="G30" t="inlineStr">
        <is>
          <t>Houston, TX, US</t>
        </is>
      </c>
      <c r="H30" s="2" t="n">
        <v>46057</v>
      </c>
      <c r="I30" t="inlineStr">
        <is>
          <t>We are seeking an entry to mid\-level Data Scientist to join our growing and dynamic team! In this position, you will consult multiple groups within the organization to research problems and offer solutions. You will utilize your analytical, statistical and programming skills to collect, analyze and interpret large datasets. You will develop data\-driven solutions to difficult business challenges. You will research and implement technologies to assist with a diverse array of problems. If you enjoy telling stories, working as a team, and have a passion for intellectual challenges, you are encouraged to apply.
This position is available in Springfield, MO; Houston, TX; or League City, TX.
**What You'll Do:**  
* Collaborate across the business to understand business needs.
* Display drive and curiosity to understand business processes and their challenges.
* Understand data sources and process pipelines.
* Network with domain experts to better understand the business mechanics that generated the data.
* Acquire access to various databases, and other source systems such as SQL or graph databases.
* Generate hypotheses about the underlying mechanics of the business process and test hypotheses using various quantitative methods.
* Apply statistical analysis and visualization techniques to various data, such as hierarchical clustering, T\-distributed Stochastic Neighbor Embedding (t\-SNE), principal components analysis (PCA).
* Research and experiment with machine learning and AI technologies.
* Apply various machine learning and advanced analytics techniques to perform classification or prediction tasks.
**Minimum Qualifications:**  
* Bachelor’s degree in computer science, statistics, applied math or related field.
* Zero to two years of experience as a Data Scientist in a reputed organization
Our job titles may span more than one career level. The actual base pay is dependent upon many factors, including training, transferable skills, work experience, business needs, and market demands. The base pay is subject to change and may be modified in the future.
American National offers eligible employees and their families medical, dental, vision, and basic life insurance. Employees are able to enroll in our company’s 401k plan. Employees also receive annually a bank of paid time off and paid holidays. We aspire to see people for what they bring to our corporate culture by supporting an inclusive work environment, including an emphasis on a healthy work\-life balance, development opportunities, and a casual dress code.
American National is an established, stable, and successful multi\-line insurance corporation that has provided financial strength and a sense of security to employees, customers and business partners since 1905\. With focus on our organization’s values and cultural richness: Financial Strength, Integrity, Respect, Service and Teamwork (FIRST) and Agility, Collaboration, and Engagement (ACE) we continue to pursue our vision to be a leading provider of financial products and services for current and future generations.
Hiring Practices
The preceding job posting was designed to indicate the general nature and level of work performed by employees assigned to this position. It is not intended to be interpreted as a comprehensive list of all duties, responsibilities, and qualifications. We are dedicated to building a diverse, inclusive, and authentic workplace, so if you’re excited about this role, but your past experience doesn’t align perfectly with the job qualifications, we still encourage you to apply. You may be just the right candidate for this position or other opportunities at American National.
American National’s recruitment policies help us place individuals in a timely and efficient manner. Only the most qualified candidates will be contacted by our recruiting team. Candidates may check the status of their application(s) by logging into their account. Learn more about our company, by following us on social media: LinkedIn, Facebook, Instagram
American National is an equal opportunity employer. All qualified applicants will receive consideration for employment without regard to race, color, religion, sex, disability, age, sexual orientation, gender identity, national origin, veteran status, genetic information or any other legally protected categories. American National is committed to providing access, equal opportunity and reasonable accommodation for individuals with disabilities in employment, its services, programs, and activities.</t>
        </is>
      </c>
    </row>
    <row r="31">
      <c r="A31" t="inlineStr">
        <is>
          <t>in-6bfab731b312e80a</t>
        </is>
      </c>
      <c r="B31" t="inlineStr">
        <is>
          <t>(Data Scientist I</t>
        </is>
      </c>
      <c r="C31" t="inlineStr">
        <is>
          <t>American National Insurance</t>
        </is>
      </c>
      <c r="D31" t="inlineStr">
        <is>
          <t>indeed</t>
        </is>
      </c>
      <c r="E31" t="inlineStr"/>
      <c r="F31" t="inlineStr"/>
      <c r="G31" t="inlineStr">
        <is>
          <t>Springfield, MO, US</t>
        </is>
      </c>
      <c r="H31" s="2" t="n">
        <v>46057</v>
      </c>
      <c r="I31" t="inlineStr">
        <is>
          <t>We are seeking an entry to mid\-level Data Scientist to join our growing and dynamic team! In this position, you will consult multiple groups within the organization to research problems and offer solutions. You will utilize your analytical, statistical and programming skills to collect, analyze and interpret large datasets. You will develop data\-driven solutions to difficult business challenges. You will research and implement technologies to assist with a diverse array of problems. If you enjoy telling stories, working as a team, and have a passion for intellectual challenges, you are encouraged to apply.
This position is available in Springfield, MO; Houston, TX; or League City, TX.
**What You'll Do:**  
* Collaborate across the business to understand business needs.
* Display drive and curiosity to understand business processes and their challenges.
* Understand data sources and process pipelines.
* Network with domain experts to better understand the business mechanics that generated the data.
* Acquire access to various databases, and other source systems such as SQL or graph databases.
* Generate hypotheses about the underlying mechanics of the business process and test hypotheses using various quantitative methods.
* Apply statistical analysis and visualization techniques to various data, such as hierarchical clustering, T\-distributed Stochastic Neighbor Embedding (t\-SNE), principal components analysis (PCA).
* Research and experiment with machine learning and AI technologies.
* Apply various machine learning and advanced analytics techniques to perform classification or prediction tasks.
**Minimum Qualifications:**  
* Bachelor’s degree in computer science, statistics, applied math or related field.
* Zero to two years of experience as a Data Scientist in a reputed organization
Our job titles may span more than one career level. The actual base pay is dependent upon many factors, including training, transferable skills, work experience, business needs, and market demands. The base pay is subject to change and may be modified in the future.
American National offers eligible employees and their families medical, dental, vision, and basic life insurance. Employees are able to enroll in our company’s 401k plan. Employees also receive annually a bank of paid time off and paid holidays. We aspire to see people for what they bring to our corporate culture by supporting an inclusive work environment, including an emphasis on a healthy work\-life balance, development opportunities, and a casual dress code.
American National is an established, stable, and successful multi\-line insurance corporation that has provided financial strength and a sense of security to employees, customers and business partners since 1905\. With focus on our organization’s values and cultural richness: Financial Strength, Integrity, Respect, Service and Teamwork (FIRST) and Agility, Collaboration, and Engagement (ACE) we continue to pursue our vision to be a leading provider of financial products and services for current and future generations.
Hiring Practices
The preceding job posting was designed to indicate the general nature and level of work performed by employees assigned to this position. It is not intended to be interpreted as a comprehensive list of all duties, responsibilities, and qualifications. We are dedicated to building a diverse, inclusive, and authentic workplace, so if you’re excited about this role, but your past experience doesn’t align perfectly with the job qualifications, we still encourage you to apply. You may be just the right candidate for this position or other opportunities at American National.
American National’s recruitment policies help us place individuals in a timely and efficient manner. Only the most qualified candidates will be contacted by our recruiting team. Candidates may check the status of their application(s) by logging into their account. Learn more about our company, by following us on social media: LinkedIn, Facebook, Instagram
American National is an equal opportunity employer. All qualified applicants will receive consideration for employment without regard to race, color, religion, sex, disability, age, sexual orientation, gender identity, national origin, veteran status, genetic information or any other legally protected categories. American National is committed to providing access, equal opportunity and reasonable accommodation for individuals with disabilities in employment, its services, programs, and activities.</t>
        </is>
      </c>
    </row>
    <row r="32">
      <c r="A32" t="inlineStr">
        <is>
          <t>in-10fd65478ba2d38d</t>
        </is>
      </c>
      <c r="B32" t="inlineStr">
        <is>
          <t>AppleCare Data Scientist</t>
        </is>
      </c>
      <c r="C32" t="inlineStr">
        <is>
          <t>Apple</t>
        </is>
      </c>
      <c r="D32" t="inlineStr">
        <is>
          <t>indeed</t>
        </is>
      </c>
      <c r="E32" t="inlineStr"/>
      <c r="F32" t="inlineStr"/>
      <c r="G32" t="inlineStr">
        <is>
          <t>Austin, TX, US</t>
        </is>
      </c>
      <c r="H32" s="2" t="n">
        <v>46057</v>
      </c>
      <c r="I32" t="inlineStr">
        <is>
          <t>The people here at Apple don’t just craft products \- they build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The AppleCare Business Insights, Operations, and Systems (ACBIOS) team builds advanced analytics solutions that drive key decisions across Apple’s service and support ecosystem. As a Data Scientist, you will transform complex data into actionable insights that empower AppleCare leadership and product teams to enhance customer experience and operational excellence.  
**Description**  
You will work across the data lifecycle\-from modeling and extraction to visualization and storytelling\-partnering closely with cross\-functional teams to deliver scalable, high\-impact insights that uphold Apple’s standards of accuracy, usability, and security.  
Design and implement advanced analytical models and pipelines using SQL and R/Python. Develop and optimize data extraction and transformation processes to improve accessibility and performance.  
Ensure adherence to data quality, governance, and security protocols.  
Build intuitive visualizations and dashboards to communicate insights effectively to technical and business audiences.  
Document methodologies and share analytical best practices to strengthen data culture across teams. Collaborate with data scientists, product managers, and leadership to shape the future of analytics platforms within AppleCare.  
Lead end\-to\-end analytics initiatives, from scoping and exploration to analysis, interpretation, and executive presentations.  
**Preferred Qualifications**  
Hands\-on experience with Snowpark, PySpark, and streaming/interactive visualization tools such as Streamlit or Plotly.  
Background in SMB, product, or service analytics, including service performance, warranty trends, and support operations.  
Applied experience with software engineering workflows, including Git, CI/CD, and producing maintainable, well\-documented code.  
Experience developing custom Tableau extensions or deploying LLM\-powered analytics systems.  
Strong experience in storytelling with data, translating complex analyses into actionable recommendations for leadership.  
Familiarity with large\-scale data platforms and scalable analytical pipelines.  
Master's degree in a quantitative or technical discipline.  
**Minimum Qualifications**  
7\+ years of applied experience in data science, business analytics, or business intelligence roles.  
Strong proficiency in SQL and R/Python (pandas, NumPy, scikit\-learn).  
Experience with data modeling, transformation, and analytics frameworks such as Snowflake.  
Skilled in building data visualizations using Tableau, and presenting insights to diverse audiences.  
Strong foundation in statistical analysis, including hypothesis testing and confidence intervals.  
Experience delivering end\-to\-end analytical projects, from scoping to presentation.  
Excellent communication and collaboration skills, including translating data insights for business stakeholders.  
Bachelor’s degree in a quantitative or technical discipline.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33">
      <c r="A33" t="inlineStr">
        <is>
          <t>in-d9bce17492aa52f2</t>
        </is>
      </c>
      <c r="B33" t="inlineStr">
        <is>
          <t>AppleCare Data Scientist</t>
        </is>
      </c>
      <c r="C33" t="inlineStr">
        <is>
          <t>Apple</t>
        </is>
      </c>
      <c r="D33" t="inlineStr">
        <is>
          <t>indeed</t>
        </is>
      </c>
      <c r="E33" t="inlineStr"/>
      <c r="F33" t="inlineStr"/>
      <c r="G33" t="inlineStr">
        <is>
          <t>Austin, TX, US</t>
        </is>
      </c>
      <c r="H33" s="2" t="n">
        <v>46057</v>
      </c>
      <c r="I33" t="inlineStr">
        <is>
          <t>The people here at Apple don’t just craft products \- they build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The AppleCare Business Insights, Operations, and Systems (ACBIOS) team builds advanced analytics solutions that drive key decisions across Apple’s service and support ecosystem. As a Data Scientist, you will transform complex data into actionable insights that empower AppleCare leadership and product teams to enhance customer experience and operational excellence.  
**Description**  
You will work across the data lifecycle\-from modeling and extraction to visualization and storytelling\-partnering closely with cross\-functional teams to deliver scalable, high\-impact insights that uphold Apple’s standards of accuracy, usability, and security.  
Design and implement advanced analytical models and pipelines using SQL and R/Python. Develop and optimize data extraction and transformation processes to improve accessibility and performance.  
Ensure adherence to data quality, governance, and security protocols.  
Build intuitive visualizations and dashboards to communicate insights effectively to technical and business audiences.  
Document methodologies and share analytical best practices to strengthen data culture across teams. Collaborate with data scientists, product managers, and leadership to shape the future of analytics platforms within AppleCare.  
Lead end\-to\-end analytics initiatives, from scoping and exploration to analysis, interpretation, and executive presentations.  
**Preferred Qualifications**  
Hands\-on experience with Snowpark, PySpark, and streaming/interactive visualization tools such as Streamlit or Plotly.  
Background in SMB, product, or service analytics, including service performance, warranty trends, and support operations.  
Applied experience with software engineering workflows, including Git, CI/CD, and producing maintainable, well\-documented code.  
Experience developing custom Tableau extensions or deploying LLM\-powered analytics systems.  
Strong experience in storytelling with data, translating complex analyses into actionable recommendations for leadership.  
Familiarity with large\-scale data platforms and scalable analytical pipelines.  
Master's degree in a quantitative or technical discipline.  
**Minimum Qualifications**  
7\+ years of applied experience in data science, business analytics, or business intelligence roles.  
Strong proficiency in SQL and R/Python (pandas, NumPy, scikit\-learn).  
Experience with data modeling, transformation, and analytics frameworks such as Snowflake.  
Skilled in building data visualizations using Tableau, and presenting insights to diverse audiences.  
Strong foundation in statistical analysis, including hypothesis testing and confidence intervals.  
Experience delivering end\-to\-end analytical projects, from scoping to presentation.  
Excellent communication and collaboration skills, including translating data insights for business stakeholders.  
Bachelor’s degree in a quantitative or technical discipline.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34">
      <c r="A34" t="inlineStr">
        <is>
          <t>in-bb509919c69fdcff</t>
        </is>
      </c>
      <c r="B34" t="inlineStr">
        <is>
          <t>Senior Data Scientist</t>
        </is>
      </c>
      <c r="C34" t="inlineStr">
        <is>
          <t>IPT Associates</t>
        </is>
      </c>
      <c r="D34" t="inlineStr">
        <is>
          <t>indeed</t>
        </is>
      </c>
      <c r="E34" t="inlineStr"/>
      <c r="F34" t="inlineStr"/>
      <c r="G34" t="inlineStr">
        <is>
          <t>US</t>
        </is>
      </c>
      <c r="H34" s="2" t="n">
        <v>46057</v>
      </c>
      <c r="I34" t="inlineStr">
        <is>
          <t>**Senior Data Scientist**
**Remote**
IPTA's Technology Solutions Team is passionate about providing our customers with technical solutions that satisfy their business needs. Through collaborative interactions with customers, team members, subject matter experts (SMEs), technical leaders, and partners we design practical solutions that solve real problems for major government and business organizations. As a member of our Technology Solutions group, you will work with a team of technologists focused on delivering innovative business solutions using emerging technologies through proven successful methods.
 **Our Team:**
We are looking for talented people who are enthusiastic about applying technology to deliver innovative outcomes with "fierce determination, fearless integrity, and passionate service." Our belief is that our people are the key to success. By encouraging and enabling continued learning, our team members grow to achieve their personal career goals. We are looking for:
* Smart people with a passion for technology
* Ability to solve challenging business problems
* Self\-directed professionals
* Hunger to continually learn and grow
 **Overview:**
We are seeking a Senior Data Scientist/Application Developer to design and build AI\-enabled applications and perform analyses in Palantir Foundry that drive operational decision\-making. This role emphasizes data science, advanced analytics, visualization, and user\-facing application development. You will work in a fast\-paced Agile environment alongside engineers and domain experts to translate ambiguous or evolving requirements into intuitive, scalable products. Successful candidates are comfortable moving from exploratory analysis to production\-grade applications that deliver measurable mission impact.  
**Responsibilities:**
* Conduct data discovery and exploratory data analysis (EDA) across structured and unstructured data
* Perform data cleansing, normalization, aggregation, and modeling
* Design and build analytic applications in Palantir Foundry, including dashboards and interactive workflows
* Apply advanced analytics and statistical methods (e.g., regression, clustering, hypothesis testing, A/B testing)
* Develop and embed AI/ML capabilities (e.g., LLMs, NLP, RAG/GraphRAG) into analytic workflows
* Create clear visualizations and metrics to support executive and operational decision\-making
* Collaborate in an Agile/Scrum environment to rapidly iterate on solutions
Communicate insights effectively to technical and non\-technical stakeholders  
* 
**Requirements:**
* Strong experience in data science and analytics, including EDA, data wrangling, modeling, and statistical analysis
* Proficiency in Python for analytics and data pipelines (e.g., pandas, polars, PySpark)
* Experience with AI/ML and statistical modeling tools and python libraries (e.g., scikit\-learn, statsmodels, Prophet; NLP tools such as spaCy or NLTK)
* Experience building production\-grade analytics (apps, dashboards, notebooks)
* Experience with data visualization i.e using Python libraries (matplotlib, seaborn, plotly) and/or BI tools (PowerBI, Tableau, Qlik)
* Comfort working in a dynamic Agile/Scrum environment with evolving or loosely defined requirements
* Strong communication skills with the ability to explain insights to non\-technical audiences
* Background in statistics, mathematics, operations research, or applied sciences
* Experience with Palantir Foundry, Databricks, or similar data platforms
Active Security Clearance  
* 
**Preferred Qualifications:**
* Hands\-on experience with Palantir Foundry (pipelines, transforms, Workshop, Ontologies, AIP)
* Experience building AI\-enabled applications using LLMs, NLP, RAG, or GraphRAG
* Experience developing rapid analytic demos using Streamlit
* Familiarity with model deployment and ML/AI serving architectures
* Exposure to TypeScript
* Experience with data platform operations, monitoring, or optimization
* Experience building and maintaining ETL pipelines supporting analytic applications
IPTA is an Equal Opportunity/Affirmative Action employer. We are committed to providing equal employment opportunity to all qualified employees and applicants for employment. The Company does not discriminate in employment opportunities or practices on the basis of race, color, religion, sex, sexual orientation, national origin, age, physical disability, mental disability, medical condition, status as a veteran or disabled veteran or any other characteristic protected by law. We base all employment decisions, including recruitment, selection, training, compensation, benefits, discipline, promotions, transfers, lay\-offs, returns from lay\-off, terminations, and social and recreational programs on the principles of equal employment opportunity. Our employees have diverse backgrounds, skills, and ideas that collectively contribute to a rich working environment and greater opportunity for innovation.
\#clearance</t>
        </is>
      </c>
    </row>
    <row r="35">
      <c r="A35" t="inlineStr">
        <is>
          <t>in-73b5dbc36037cfe4</t>
        </is>
      </c>
      <c r="B35" t="inlineStr">
        <is>
          <t>Data Scientist</t>
        </is>
      </c>
      <c r="C35" t="inlineStr">
        <is>
          <t>KBR</t>
        </is>
      </c>
      <c r="D35" t="inlineStr">
        <is>
          <t>indeed</t>
        </is>
      </c>
      <c r="E35" t="inlineStr"/>
      <c r="F35" t="inlineStr"/>
      <c r="G35" t="inlineStr">
        <is>
          <t>Beavercreek, OH, US</t>
        </is>
      </c>
      <c r="H35" s="2" t="n">
        <v>46057</v>
      </c>
      <c r="I35" t="inlineStr">
        <is>
          <t>**Title:**
Data Scientist***Belong.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**Position Summary:**
KBR is seeking a Data Scientist to join our team in Dayton, OH. This position can be onsite or remote. KBR solves the toughest problems for our clients by extracting insight from data, delivering greater decision confidence, and improving processes. Our analysts are involved in a wide range of activities that range from understanding and transforming data, applying state of the art analytic techniques, and driving business impact through insight visualization. Our analysts are leveraged across of range of projects, such as artificial intelligence, advanced analytics, business process improvement, and application development. KBR analysts collaborate with Operations Research Analysts, Software Development Professionals, Data Architects, and Subject Matter Experts.
**Key Responsibilities:**
* Execute analytical experiments methodically to help solve various problems and make a true impact across various domains and industries
* Research and apply state\-of\-the\-art artificial intelligence methods and innovative statistical models
* Identify relevant data sources and sets to mine for client business needs, and collect large structured and unstructured datasets and variables
* Process, cleanse, and verify the integrity of data used for analysis
* Develop code for predictive/prescriptive models with applied machine learning and other modeling techniques
* Clearly document and present methodology, assumptions, and findings to stakeholders
* Working with a wide range of stakeholders and functional teams to improve business outcomes
* Deliver in a fast\-paced, team\-oriented work environment
* Adapt quickly to changing needs across several core areas, including data wrangling, data exploration, data analysis, and data visualization
* Articulate trade\-offs between analytic techniques, recommend a course of action to clients, and provide effective updates on project outcome uncertainty to leadership.
* Hands on experience performing analysis to solve problems
* Discovering insights hidden in large data sets
* Using a variety of advanced analysis methods, data tools, and models
* Using/creating algorithms and/or creating/running simulations
* Testing the effectiveness of different courses of action
**Work Environment:**
* **Location:** Onsite or Remote
* **Travel Requirements:** Minimal
* **Working Hours:** Standard
**Qualifications:**
**Required:**
* Bachelor's degree in Data Science or related field
* 5\+ yrs experience in Data Science or Data analysis
* Proficiency in programming languages like Python or R
* Experience with AI frameworks like TensorFlow or PyTorch
* Familiarity with Retrieval Augmented Generation (RAG) architectures and Large Language Models (LLM)
* Developing data pipelines to support Analytics
* Applying advanced analytics and machine learning techniques
* Documenting and communicating results of analysis
* Familiarity with SQL and BI Tools (Tableau, Qlik etc.)
* Strong analytical and problem\-solving skills
* Hands on experience with driving analytic insights and workflow automation.
* Must have the ability and motivation to self\-teach in order to stay current with leading best practices in analytics.
* Candidates must be able to tackle difficult problems, specifically working with artificial intelligence.
* Expected to have data wrangling skills.
* **Ability to obtain a DoD Secret clearance**
**Desired:**
* Master's degree in Data Science or related field
* Solid understanding of applied machine learning methods and algorithms
* Exploratory Data Analysis and Workflow Improvement
* Applied statistics skills, such as distributions, statistical testing, regression, etc.
* Data\-oriented personality with proficiency in using data query languages such as SQL and ability to understand various data structures and common methods in data transformation
* Ability to use data visualization to communicate value of insights
* Designing and developing AI agents, implementing agentic workflows
* Agentic AI frameworks such as LangGraph and standards such as Model Context Protocol (MCP)
* Text mining and Natural Language Processing techniques such as Named Entity Recognition and Text Classification
* Graph Analysis tools such as Neo4J and Cypher
* Databricks, Azure AI Foundry, Amazon Bedrock, Amazon SageMaker
* Process Automation, Image Analysis, Predictive and Prescriptive analysis
**Basic Compensation:**
$120,000\-$155,000
**This range is for the** **Dayton, OH** **area only.**
* The offered rate will be based on the selected candidate’s working location, knowledge, skills, abilities and/or experience, clearance level, contract affordability and in consideration of internal parity.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36">
      <c r="A36" t="inlineStr">
        <is>
          <t>in-5ae751336dbf5e59</t>
        </is>
      </c>
      <c r="B36" t="inlineStr">
        <is>
          <t>Data Scientist II / Data Analyst</t>
        </is>
      </c>
      <c r="C36" t="inlineStr">
        <is>
          <t>HDR</t>
        </is>
      </c>
      <c r="D36" t="inlineStr">
        <is>
          <t>indeed</t>
        </is>
      </c>
      <c r="E36" t="inlineStr"/>
      <c r="F36" t="inlineStr"/>
      <c r="G36" t="inlineStr">
        <is>
          <t>Washington, DC, US</t>
        </is>
      </c>
      <c r="H36" s="2" t="n">
        <v>46057</v>
      </c>
      <c r="I36" t="inlineStr">
        <is>
          <t>**Data Scientist II / Data Analyst**
 \- (190429\)
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We believe transportation is more than movement, it’s the foundation of connected, thriving communities. As part of HDR’s Transportation Business Group, you’ll help shape the systems that move people and goods safely, efficiently, and sustainably. From designing resilient highways and iconic bridges to advancing transit, passenger and freight rail, aviation, federal transportation ports and marine infrastructure, your work will directly support economic vitality, public safety, sustainable and resilient communities and quality of life. We bring together planners, engineers, architects, construction management staff, environmental, strategic communications, economists, management consultants and specialists across disciplines to solve complex mobility challenges with innovation, technical excellence, and a deep understanding of community needs. Whether you're modernizing aging infrastructure or pioneering next\-generation transportation solutions, your contributions will help define the future of mobility. This isn’t just a job, it’s a chance to lead progress, drive meaningful impact, and leave a legacy of smarter, more connected transportation networks. We are all employee\-owners at HDR, which is the foundation of our collaborative culture that connects employees around the world.
In the role of Data Scientist II / Data Analyst, we'll count on you to:
* Handle highly sensitive and confidential information with professionalism and discretion
* Collaborate with stakeholders to improve business decisions by identifying patterns and trends in data
* Develop data products including reports, visualizations, and dashboards
* Adhere to software and data science development standards
* Perform data acquisition, sourcing, cleaning, and exploratory data analysis (EDA)
* Transform raw data into usable attributes for machine learning modules through feature engineering
* Manage model lifecycle including development, deployment, data drift detection, model retraining, and model inference
* Create automated data pipelines and data engineering solutions
* Develop advanced and custom predictive models (classification, regression, time series, neural networks, natural language processing, and computer vision)
* Tune models with training, hyperparameters with comprehensive validation and testing processes
* Leverage predictive models to optimize business results
\*Position will be based in a client office located in Arlington, VA\*
 **Preferred Qualifications**
* Bachelor's degree
* A minimum of 5 years experience strongly preferred
* Transit experience preferred
* WMATA experience preferred
* Preference given to candidates currently located in the area
* LI\-MJ1
**Required Qualifications*** A degree in a closely related field or combination of education and relevant experience
* A minimum of 3 years experience with data engineering tools and languages such as SQL, Power Query, and Pandas
* A minimum of 3 years experience with business intelligence tools such as Power BI, Tableau, Plotly, Seaborn, and Matplotlib
* A minimum of 3 years experience with data science languages such as Python and R
* Self\-motivated, detail\-oriented professional, ability to multitask a must
* Proficiency with MS Office including Word and Outlook
* Ability to handle confidential information
* Excellent writing and people skills
* Strong math and organizational skills
* Flexibility and ability to prioritize and handle multiple tasks and various managers in a fast\-paced environment
* Excellent verbal and written communication skills including grammar, punctuation, proofreading, spelling and telephone skills
* An attitude and commitment to being an active participant of our employee\-owned culture is a must
* In\-depth knowledge of machine learning algorithms, statistical models, and data analytics
* Experience completing multiple data science projects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We provide a comprehensive benefits package that promotes employee ownership, employee health, performance, and success, which includes medical, dental, vision, short and long\-term disability, life insurance, an employee assistance program, paid time away, parental leave, paid holidays, a retirement savings plan with employer match, employee referral bonus and tuition reimbursement. The expected compensation range for this position depends upon skills, experience, education and geographical location. (Stated benefits are for full\-time regular positions. Temporary and part\-time roles eligible for limited benefits.) Washington, DC: $100,044 \- $142,920\. Fulton, MD: $91,707\-131,010
**Primary Location****:**
United States\-District of Columbia\-Washington DC
**Other Locations****:**
United States\-Virginia\-Vienna, United States\-Maryland\-Fulton
**Industry****:**
Transit
**Schedule****:**
Full\-time
**Employee Status****:**
Regular
**BusinessClass****:**
Data and Automation
**Job Posting****:**
Feb 5, 2026</t>
        </is>
      </c>
    </row>
    <row r="37">
      <c r="A37" t="inlineStr">
        <is>
          <t>in-8c7a17b474aea990</t>
        </is>
      </c>
      <c r="B37" t="inlineStr">
        <is>
          <t>Data Scientist</t>
        </is>
      </c>
      <c r="C37" t="inlineStr">
        <is>
          <t>ECS</t>
        </is>
      </c>
      <c r="D37" t="inlineStr">
        <is>
          <t>indeed</t>
        </is>
      </c>
      <c r="E37" t="inlineStr"/>
      <c r="F37" t="inlineStr"/>
      <c r="G37" t="inlineStr">
        <is>
          <t>Fairfax, VA, US</t>
        </is>
      </c>
      <c r="H37" s="2" t="n">
        <v>46057</v>
      </c>
      <c r="I37" t="inlineStr">
        <is>
          <t>ECS is seeking a ***Data Scientist*** to work in a hybrid remote/onsite capacity, with minimum of 3 business days onsite at our ***Fairfax, VA*** corporate office and/or our ***Springfield, VA*** customer site.
ECS seeks a Data Scientist to support a project team responsible for managing an Artificial Intelligence initiative. The work is performed in a multidisciplinary and collaborative team environment. This role will report to a project lead and will focus on developing and applying methods to analyze data for Artificial Intelligence development across multiple classification levels and environments.
Position Responsibilities:
* Participate in technical exchange meetings and discussions with our customers, vendors, and internal team to help coordinate, prioritize, and track datasets supporting AI efforts.
* Work in person at the required office and, as needed, classified locations with team members and customer stakeholders.
* Help cultivate an environment that promotes customer service, excellence, innovation, collaboration, and teamwork.
* Mentor and train junior data scientists to learn and correctly apply data science skills.
* Develop and apply methods to identify, collect, process, and analyze large volumes of data to build and enhance GEOINT processes, and systems.
* Perform mathematical and statistical analysis of data to identify trends and generate observations that will be placed in reports for leadership.
* Document and visualize data both temporally and spatially to assist in data integrity checks, analyze data, and display analytical assessments.
* Understand and interpret data from a variety of geospatial data sources and disparate datasets.
* Develop and document data workflows, assisting stakeholders with data management tasks, procedures, and best practices across multiple environments and classification levels.
* Independently identify, document, and address technical challenges.
* Automate analytic workflows using python or other coding languages
* Provide advanced data visualization to convey findings and communicate insights utilizing GIS or visualization software capabilities.
We are a rapidly growing company that considers our employees and teams to be our most important assets. Our team environment provides opportunities for growth to individuals who are motivated to excel. Our growing program works with the most forward\-leaning technologies and extraordinary customers who are thought and action leaders within the AI/ML domain. We offer a highly competitive compensation and benefits package to the right person for this key position.
Requirements:
* ***Must be a US Citizen***
* ***Active Secret Clearance and ability to obtain a TS/SCI Clearance***
* ***Minimum of a Bachelor's Degree and 3\-5\+ years of overall relevant experience.***
* Demonstrated advanced experience with Python (i.e. numpy, pandas, matplotlib libraries).
* Demonstrated advanced experience in SQL and NoSQL technologies.
* Demonstrated advanced proficiency of database principles and technology.
* Demonstrated advanced experience with mathematical, statistical, or scientific data science techniques
* Demonstrated advanced data transformation skills.
* Demonstrated advanced data processing and analytic skills.
* Demonstrated experience with cloud\-based database solutions.
* Demonstrated advanced experience text parsing.
* Demonstrated advanced experience in metadata tagging (data storage, processing and \&amp; analyzing).
* Demonstrated advanced experience in work with a variety of geospatial data formats.
Req Benefits:
https://ecstech.com/careers/benefits/"\&gt;https://ecstech.com/careers/benefits/</t>
        </is>
      </c>
    </row>
    <row r="38">
      <c r="A38" t="inlineStr">
        <is>
          <t>in-16ad26fc04bfbb00</t>
        </is>
      </c>
      <c r="B38" t="inlineStr">
        <is>
          <t>Data Scientist I - Anesthesiology</t>
        </is>
      </c>
      <c r="C38" t="inlineStr">
        <is>
          <t>UTHealth Houston</t>
        </is>
      </c>
      <c r="D38" t="inlineStr">
        <is>
          <t>indeed</t>
        </is>
      </c>
      <c r="E38" t="inlineStr"/>
      <c r="F38" t="inlineStr"/>
      <c r="G38" t="inlineStr">
        <is>
          <t>Houston, TX, US</t>
        </is>
      </c>
      <c r="H38" s="2" t="n">
        <v>46057</v>
      </c>
      <c r="I38" t="inlineStr">
        <is>
          <t>***We are hiring for a Data Scientist – Level I to join the Center for Outcome Research at UTHealth in Houston, TX. We are looking for a skillful team player with a clear track record of transforming data into actionable insights and knowledge. This individual is a deliberate and systematic scientist who can clearly articulate the hypotheses to be tested, practice with rigor and precision, and maintain a balanced/independent point of view to achieve valid and accepted findings.***
**What we do here changes the world.** UTHealth Houston is Texas’ resource for healthcare education, innovation, scientific discovery, and excellence in patient care. That’s where you come in.
**Once you join us you won't want to leave.** It’s because we reward our team for the excellent service they provide. Our total rewards package includes the benefits you’d expect from a top healthcare organization (benefits, insurance, etc.), plus:
* 100% paid medical premiums for our full\-time employees
* Generous time off (holidays, preventative leave day, both vacation and sick time – all of which equates to around 37\-38 days per year)
* The longer you stay, the more vacation you’ll accrue!
* Longevity Pay (Monthly payments after two years of service)
* Build your future with our awesome retirement/pension plan!
**We take care of our employees!** As a world\-renowned institution, our employees’ wellbeing is important to us. We offer work/life services such as...
* Free financial and legal counseling
* Free mental health counseling services
* Gym membership discounts and access to wellness programs
* Other employee discounts including entertainment, car rentals, cell phones, etc.
* Resources for child and elder care
* Plus many more!
**Position Summary:**
The Data Scientist I works collaboratively with a multidisciplinary team including faculty investigators, researchers, senior data scientists and staff to provide support in statistical aspects of the projects including study design and developing statistical analysis plan, sample size justification, and data analysis and preparing ready for publication reports for various clinical research projects including clinical trials, observational studies and studies that use large\-scale electronic health record (EHR) data to evaluate health outcomes.
It is essential for this person to be a very effective communicator who can guide business and clinical customers to understanding of applied methods, rationale, statistical validity and the appropriate application of insights.
 **Position Key Accountabilities:**
* Collaborates with investigators to determine study design, contribute to protocol development, and write statistical analysis plans.
* Provides statistical support for research using large administrative datasets among various other data sources.
* Supports data management and database maintenance for operational and research projects or efforts.
* Develops systems and standard operating procedures (SOPs) for monitoring the quality of different datasets.
* Develops programming code to analyze data using statistical analysis software including but not limited to R and SAS
* Performs advanced statistical models including but not limited to linear regression models, generalized linear regression models, mixed regression models, multi\-level data analysis, trend analyses and/or spatial/temporal analysis.
* Develop and present findings resulting from statistical models and analyses, including summary tables, graphs and charts, for routing report or scientific reporting in peer\-reviewed publications.
* Perform literature review and support writing manuscripts for peer\-reviewed publications.
* Present results to appropriate institutional committees and groups.
* Assist in supervising graduate student assistants when needed.
* Performs other duties as assigned.
 **Certification/Skills:**
* Proficiency with statistical packages, data bases and programming languages for data preparation, storage, transformation, analysis or visualization. Examples include R, SAS, STATA, SPSS, Matlab, SQL, Python, Hadoop, Pig, Hive, MapReduce, Java Tableau, Excel or other big data frameworks.
* Ability to work with a wide variety of data formats/sources such as relational databases, XML, JSON, CSV, text, sensors/activity trackers, clickstreams, social media, and geolocation
* Effective communication skills including written, oral, listening and interpersonal.
**Minimum Education:**
Master’s degree in health care, management, mathematics, engineering, informatics, or a related field
**Minimum Experience:**
1 year of enterprise experience as a data scientist, informaticist, statistician, senior analyst or related role
**Physical Requirements:**
Exerts up to 20 pounds of force occasionally and/or up to 10 pounds frequently and/or a negligible amount constantly to move objects.
**Security Sensitive:**
This position is a security\-sensitive position pursuant to Texas Education Code §51\.215 and Texas Government Code §411\.094\. To the extent that a position requires the holder to research, work on, or have access to critical infrastructure as defined in Texas Business and Commerce Code §117\.001(2\), the ability to maintain the security or integrity of the infrastructure is a minimum qualification to be hired for and to continue to be employed in that position. Personnel in such positions, and similarly situated state contractors, will be routinely reviewed to determine whether things such as criminal history or continuous connections to the government or political apparatus of a foreign adversary might prevent the applicant, employee, or contractor from being able to maintain the security or integrity of the infrastructure. A foreign adversary is a nation listed in 15 C.F.R. §791\.4\.
**Residency Requirement:**
Employees must permanently reside and work in the State of Texas.</t>
        </is>
      </c>
    </row>
    <row r="39">
      <c r="A39" t="inlineStr">
        <is>
          <t>in-4ebad698a67cf232</t>
        </is>
      </c>
      <c r="B39" t="inlineStr">
        <is>
          <t>Data Scientist - Pet Insurance</t>
        </is>
      </c>
      <c r="C39" t="inlineStr">
        <is>
          <t>MetLife</t>
        </is>
      </c>
      <c r="D39" t="inlineStr">
        <is>
          <t>indeed</t>
        </is>
      </c>
      <c r="E39">
        <f>HYPERLINK("https://www.indeed.com/viewjob?jk=4ebad698a67cf232", "https://www.indeed.com/viewjob?jk=4ebad698a67cf232")</f>
        <v/>
      </c>
      <c r="F39">
        <f>HYPERLINK("https://www.metlifecareers.com/en_US/ml/JobDetail/Pet-Insurance-Data-Scientist/15247", "https://www.metlifecareers.com/en_US/ml/JobDetail/Pet-Insurance-Data-Scientist/15247")</f>
        <v/>
      </c>
      <c r="G39" t="inlineStr">
        <is>
          <t>New York, NY, US</t>
        </is>
      </c>
      <c r="H39" s="3" t="n">
        <v>46057</v>
      </c>
      <c r="I39" t="inlineStr">
        <is>
          <t>Location(s)
* Posting Location: New York, New York
City/Cities
New York
Country
United States
Working Schedule
Full\-Time
Work Arrangement
Hybrid
Travel Required
10%
Relocation Assistance Available
No
Posted Date
05\-Feb\-2026
Job ID
15247
### **Description and Requirements**
**The Team You Will Join**
The Pet Insurance Data \&amp; Analytics team sits within MetLife’s Pet Insurance organization and partners closely with Claims, Operations, Product, and Technology to drive measurable business outcomes through data, analytics, and AI. We are responsible for building trusted reporting and “ground truth” measurement, developing production\-grade models and automation, and continuously improving decision quality and operational efficiency. A major focus of the team is modernizing the claims adjudication lifecycle—using structured and unstructured data, advanced ML, and Generative AI to reduce cycle time, increase accuracy, and improve customer and clinician experience. Our work is highly applied, end\-to\-end, and directly connected to how MetLife serves customers every day.
**The Opportunity**
The **Data Scientist (Pet Insurance AI Automation)** is responsible for designing, building, validating, and deploying production\-grade rule\-based and machine learning solutions that automate and augment claims adjudication. This role is needed to accelerate MetLife Pet Insurance’s automation roadmap by improving decisioning quality, throughput, and consistency across the claims lifecycle. This is an exciting opportunity to build real\-world AI systems that combine ML, LLMs, and data engineering best practices, and to ship solutions that deliver immediate operational impact.
Success in this role requires strong execution, analytical problem\-solving, and an engineering\-minded approach to delivering production\-ready AI. The **Data Scientist (Pet Insurance AI Automation)** is responsible for owning key automation capabilities end\-to\-end and partnering closely with Claims, Operations, and Technology stakeholders to translate complex problems into scalable solutions. You’ll collaborate closely with product owners, claims leaders, engineers, data governance partners, and analytics peers in an environment where every contribution is respected, and every perspective is heard.
 **How You’ll Help Us Build a Confident Future (Key Responsibilities)**
* **Lead** the end\-to\-end development of AI\-driven claims automation capabilities, from problem framing and experimentation through production deployment and monitoring.
* **Create** scalable pipelines and evaluation frameworks for “ground truth” generation, reporting, and continuous model measurement (accuracy, stability, and business impact).
* **Oversee** model validation, performance monitoring, and iterative improvements, ensuring solutions remain accurate, reliable, and aligned with operational needs.
* **Manage** the full ML lifecycle for structured and unstructured data use cases, including feature engineering, training, testing, deployment, and ongoing optimization.
* **Develop** LLM\-enabled capabilities (prompt engineering, fine\-tuning where appropriate, and robust evaluation) to support document understanding, decision support, and workflow automation.
* **Coordinate** cross\-functional delivery with Claims, Operations, Technology, and D\&amp;A partners (Data Governance, Data Quality, Data Architecture, DevOps, BI/Insights) to ensure compliance, secure, and production\-ready outcomes.
 **Required Skills:**
* **5 – 8\+ years** of relevant experience.
* **Bachelor’s degree** in computer science, Information Technology, Engineering, or equivalent practical experience, with a track record of delivering production\-grade analytics/ML solutions.
* **Python proficiency.**
* **Advanced SQL expertise** to generate trusted reporting/ground truth datasets, perform deep analysis, and validate model outcomes.
* **Experience with Generative AI / LLMs**, including prompt engineering and familiarity with fine\-tuning and evaluation approaches.
* **Cloud and MLOps experience on Azure/AWS/GCP** especially CI/CD pipelines and operational observability (e.g., Log Analytics), with strong production mindset.
* **Strong analytical and structured problem\-solving skills**, with the ability to independently solution, troubleshoot, and drive to outcomes.
* **Clear communication and stakeholder partnership skills**, able to translate between technical details and business impact with confidence.
 **Preferred Skills:**
* **Machine learning development experience** across the lifecycle (EDA, feature engineering, modeling, evaluation, monitoring), using common frameworks (e.g., scikit\-learn; TensorFlow or PyTorch as applicable).
* **ML Ops experience** (model registry, deployment patterns, monitoring/alerting, retraining strategies, governance workflows) in Azure or comparable cloud services.
* Ability to work effectively in large codebases to build, test, and deploy ML/AI solutions.
* **Experience with OCR and document understanding tools**, and/or NLP libraries (e.g., spaCy, Transformers) applied to real\-world text extraction and classification.
* **Power BI and/or data engineering knowledge** to support scalable reporting, metric design, and operational dashboards.
* **Mentorship and technical leadership** experience (particularly relevant for Grade 11\), including leading solution design, estimations, and guiding other data scientists.
* **Insurance, financial services, or regulated\-domain experience**, including comfort operating within quality, security, compliance, explainability, and responsible AI guidelines.
Location Expectation: This is a hybrid role **requiring a minimum of 3 days per week** in office.
The expected salary range for this position is $103,300 \- $154,975\.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$103,300 \- $154,975</t>
        </is>
      </c>
    </row>
    <row r="40">
      <c r="A40" t="inlineStr">
        <is>
          <t>in-431dcd7c125b13b5</t>
        </is>
      </c>
      <c r="B40" t="inlineStr">
        <is>
          <t>Senior Data Scientist - Applied AI</t>
        </is>
      </c>
      <c r="C40" t="inlineStr">
        <is>
          <t>Blackbaud</t>
        </is>
      </c>
      <c r="D40" t="inlineStr">
        <is>
          <t>indeed</t>
        </is>
      </c>
      <c r="E40">
        <f>HYPERLINK("https://www.indeed.com/viewjob?jk=431dcd7c125b13b5", "https://www.indeed.com/viewjob?jk=431dcd7c125b13b5")</f>
        <v/>
      </c>
      <c r="F40">
        <f>HYPERLINK("https://careers.blackbaud.com/us/en/job/R0013767/Senior-Data-Scientist-Applied-AI", "https://careers.blackbaud.com/us/en/job/R0013767/Senior-Data-Scientist-Applied-AI")</f>
        <v/>
      </c>
      <c r="G40" t="inlineStr">
        <is>
          <t>Remote, US</t>
        </is>
      </c>
      <c r="H40" s="3" t="n">
        <v>46057</v>
      </c>
      <c r="I40" t="inlineStr">
        <is>
          <t>**Senior Data Scientist – Applied AI**
Blackbaud is seeking a high\-performing Senior Data Scientist to champion and accelerate AI innovation in product development. The senior data scientist will collaborate closely with the data science team, engineering teams, and product managers to design and evaluate next generation AI solutions that deliver measurable impact to customers while meeting high standards for trust, transparency, and responsibility.
This role will solve complex problems, applying the right approach to each problem – ranging from machine learning to Retrieval\-Augmented\-Generation (RAG), selective fine\-tuning, or task\-specific small language models (SLMs), based on impact, risk, cost, and operational context.
**What You’ll Do**
* Frame business and customer problems into responsible data science and ML solutions.
* Design, train, and evaluate models across a range of techniques, selecting the appropriate fit (rules, classical ML, RAG, fine\-tuning, SLMs) based on problem fit.
* Design and curate high\-quality datasets for modeling and evaluation.
* Define success metrics and evaluation approaches, including human\-in\-the\-loop where appropriate.
* Clearly articulate tradeoffs between approaches (accuracy, explainability, cost, latency, risk).
• Perform error analysis to understand model behavior, bias, and failure modes. • Partner with product management, AI platform engineering, engineering, and governance teams to operationalize solutions responsibly.
* Contribute to model documentation, transparency, artifacts, and ongoing risk management.
* Improve AI processes through iterative testing, monitoring, measurement, and automation.
* Present key findings and insights clearly to technical and non\-technical audiences at various levels of the organization.
* Mentor other team members in data science methodologies and participate in cross\-team trainings.
* Stay abreast of the latest advancements in data and AI technologies, suggesting new capabilities to incorporate into the AI platform.
* Actively contribute to thought leadership through research, articles, presentations, and collaboration with Blackbaud Institute partners.
**What you'll bring:**
* 5\+ years of experience in data science or applied machine learning, with experience in large\-language based systems (Microsoft and Databricks preferred).
* Strong grounding in statistics and ML foundations.
* Experience applying multiple modeling approaches to production problems.
* Ability to explain tradeoffs between accuracy, explainability, cost, risk.
* Clear communicator with technical and non\-technical partners.
* Experience with data analysis in Python, R or similar language.
• Proven experience influencing business decisions and driving business value. • Ability to work independently and take initiative with little oversight.
* Demonstrated commitment to responsible AI.
* Strong bias to action demonstrated by proactively moving work forward, making timely decisions with incomplete information.
* Ability to deliver work that meets all minimum standards of quality, security, and operability.
Stay up to date on everything Blackbaud,
Blackbaud is a remote\-first company which embraces a flexible remote work culture. Blackbaud supports hiring and career development for all roles from the location you are in today!
Blackbaud is proud to be an equal opportunity employer and is committed to maintaining a diverse and inclusive work environment.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***To all recruitment agencies:*** *We do not accept unsolicited agency resumes and are not responsible for any fees related to unsolicited resumes.*
***A notice to candidates: Recruitment Fraudulent Alert:****Your personal information and online safety as a candidate mean a lot to us! At Blackbaud and our portfolio of companies, recruiters only direct candidates to apply through our official careers page at**https://careers.blackbaud.com/us/en**or our official LinkedIn page. Recruiters will never request payments, ask for financial account information or sensitive information like social security numbers, or conduct interviews via Skype. Anyone suggesting otherwise is not a representative of Blackbaud. If you are unsure if a message is from Blackbaud, please email**blackbaudrecruiting@blackbaud.com**.*
The starting base pay is $101,900\.00 to $132,800\.00\. Blackbaud may pay more or less based on employee qualifications, market value, Company finances, and other operational considerations.
Benefits Include:
* Medical, dental, and vision insurance
* Remote\-first workforce
* 401(k) program with employer match
* Flexible paid time off
* Generous Parental Leave
* Volunteer for vacation
* Opportunities to connect to build community and belonging
* Pet insurance, legal and identity protection
* Tuition reimbursement program</t>
        </is>
      </c>
    </row>
    <row r="41">
      <c r="A41" t="inlineStr">
        <is>
          <t>in-932b4f15256e6bdb</t>
        </is>
      </c>
      <c r="B41" t="inlineStr">
        <is>
          <t>Staff Data Scientist</t>
        </is>
      </c>
      <c r="C41" t="inlineStr">
        <is>
          <t>Intuit</t>
        </is>
      </c>
      <c r="D41" t="inlineStr">
        <is>
          <t>indeed</t>
        </is>
      </c>
      <c r="E41">
        <f>HYPERLINK("https://www.indeed.com/viewjob?jk=932b4f15256e6bdb", "https://www.indeed.com/viewjob?jk=932b4f15256e6bdb")</f>
        <v/>
      </c>
      <c r="F41">
        <f>HYPERLINK("https://dsp.prng.co/rYbC0db", "https://dsp.prng.co/rYbC0db")</f>
        <v/>
      </c>
      <c r="G41" t="inlineStr">
        <is>
          <t>Mountain View, CA, US</t>
        </is>
      </c>
      <c r="H41" s="3" t="n">
        <v>46057</v>
      </c>
      <c r="I41" t="inlineStr">
        <is>
          <t>**Overview**
------------
Come join the Intuit \- QuickBooks Web Marketing Data Analytics team as a Staff Data Scientist! You'll be joining a highly motivated and fun team that is responsible for bringing new customers to the QuickBooks ecosystem of products and driving key decisions through user behaviour analysis, experimentation and machine learning. You'll apply statistical rigor to drive business outcomes and will be instrumental in providing actionable data backed insights and recommendations that inform our strategic decisions! **Responsibilities**
* Drive measurement strategy and lead E2E process of A/B testing (frequentist/ bayesian/mab) for areas of web optimization such as landing pages, user funnel, navigation, checkout, product lineup, pricing, search and monetization opportunities
* Analyze web user behavior at both visitor and session level using clickstream data by anchoring to key web metrics and identify user behavior through engagement and pathing analysis
* Help build a culture of rigorous experimentation across marketing/product managers Leverage AI/GenAI tools for automating tasks and building custom implementations
* Use data, strategic thinking and advanced scientific methods including predictive modeling to enable data\-backed decision making for Intuit at scale
* Measure performance and impact of various product releases Demonstrate strategic thinking and systems thinking to solve business problems and influence strategic decisions using data storytelling
* Partner with GTM, Product, Engineering, Design, Engineering teams to drive analytics projects end to end
 **Qualifications**
* 7\+ years of experience working in web, product, marketing, or other related analytics fields to solve for marketing/product business problems
* 5\+ years of experience in designing and executing experiments (A/B and multivariate) with a deep understanding of the stats behind hypothesis testing
* Proficient in alternative A/B testing methods like DiD, Synthetic control and other causal inference techniques
* 5\+ years of technical proficiency in SQL, Python or R and data visualization tools like tableau
* 5\+ years of experience in manipulating and analyzing large complex datasets (e.g. clickstream data), constructing data pipelines (ETL) and working on big data technologies (e.g., Redshift, Spark, Hive, BigQuery) and solutions from cloud platforms
* 3\+ years of experience in web analytics, analyzing website traffic patterns and conversion funnels
* 2\+ years of experience in building ML models (eg: regression, clustering, trees) for personalization applications
* Demonstrate ability to drive strategy, execution and insights for AI native experiences across the development lifecycle (ideation, discovery, experimentation, scaling)
* Outstanding communication skills with both technical and non\-technical audiences
* Ability to tell stories with data, influence business decisions at a leadership level, and provide solutions to business problems
* Ability to manage multiple projects simultaneously to meet objectives and key deadlines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$ 186,500\- 252,000</t>
        </is>
      </c>
    </row>
    <row r="42">
      <c r="A42" t="inlineStr">
        <is>
          <t>in-27235b2fdde61445</t>
        </is>
      </c>
      <c r="B42" t="inlineStr">
        <is>
          <t>Data Scientist Lead</t>
        </is>
      </c>
      <c r="C42" t="inlineStr">
        <is>
          <t>Auto Club of Southern Calif</t>
        </is>
      </c>
      <c r="D42" t="inlineStr">
        <is>
          <t>indeed</t>
        </is>
      </c>
      <c r="E42">
        <f>HYPERLINK("https://www.indeed.com/viewjob?jk=27235b2fdde61445", "https://www.indeed.com/viewjob?jk=27235b2fdde61445")</f>
        <v/>
      </c>
      <c r="F42">
        <f>HYPERLINK("https://careers.ace.aaa.com/us/en/job/ACOSUSJR202633999EXTERNALENUS/Data-Scientist-Lead?utm_source=indeed&amp;utm_medium=phenom-feeds", "https://careers.ace.aaa.com/us/en/job/ACOSUSJR202633999EXTERNALENUS/Data-Scientist-Lead?utm_source=indeed&amp;utm_medium=phenom-feeds")</f>
        <v/>
      </c>
      <c r="G42" t="inlineStr">
        <is>
          <t>Costa Mesa, CA, US</t>
        </is>
      </c>
      <c r="H42" s="3" t="n">
        <v>46057</v>
      </c>
      <c r="I42" t="inlineStr">
        <is>
          <t>As our Lead Data Scientist, you will act as an internal business consultant to help optimize every facet of this organization. You will solve problems and answer questions – using data – for other departments to help us reduce costs, reduce errors, and be a better organization for our 17 million members.
**Note:** This is a remote role; however, the candidate must reside within a 100\-mile radius of our Costa Mesa, CA office and be available to work on\-site once a week on a regular basis, as well as 2–3 times per month for team meetings and collaboration days.
What You’ll Do
Every day, you will help solve business problems presented to us by stakeholders using data. You will get a scenario or problem, such as, “We need to reduce cycle times,” and then pull, analyze, and interpret data relevant to that scenario.
You will pull data from SQL databases. You will analyze and interpret data using Python, R, or other tools. You will determine patterns or trends and their statistical significance to the problem. To visualize the data, you will use Tableau.
Once you have done your analysis, paired with a data engineer, you will present your findings to the stakeholder and confirm, refute or simply acknowledge a hypothesis. Your work may be implemented or may develop into something else. This role is remote, but you must be able to report to the Independence, OH office for regular collaboration days.
What You’ll Need
To thrive in this role, you must have a solid foundation of statistics and data analysis. You must be able to describe a project where you pulled data, analyzed it, identified trends or patterns, determined significance, and delivered insights or recommendations to the business. What was your approach? What tools did you use and why? Did you get to the root cause of the issue? Did you confirm or refute a hypothesis? You must be able to speak to your involvement and decisions at each stage.
For pulling data, we use SQL so you must be proficient with this tool. To curate and analyze data, we use a variety of languages and programs: Python, R, and even Excel. You can choose whatever tool helps you best, but you must be proficient in either Python or R.
Excellent communication skills and an attitude of flexibility are a must. Very often, we get into the data and some aspect takes longer than we thought, or we have to pivot and change how we approach a problem. A dashboard works better than a model, perhaps. Then you have to explain to the stakeholder or the team why you made that change or why the deliverable is taking longer than expected. It’s all about being creative in your approach and communicating that frequently and clearly to people who may be less tech or data\-savvy than you.
You have worked previously with an Agile team or understand these concepts. You expect to participate in daily standup meetings, you’ll complete your projects or stories during our bimonthly sprints, and you’re ready to meet frequent deployment deadlines.
\#LI\-SJ1
**The starting pay range for this position is:**  
$145,900\.00 \- $194,600\.00
Additionally, for full time positions, you will be eligible to participate in our incentive program based upon the achievement of organization, team and personal performance.
.
**Remarkable benefits:**  
* Health coverage for medical, dental, vision
* 401(K) saving plans with company match AND Pension
* Tuition assistance
* Floating holidays and PTO for community volunteer programs
* Paid parental leave
* Wellness programs
* Employee discounts (membership, insurance,
travel, entertainment, services and more!)
Auto Club Enterprises is the largest federation of AAA clubs in the nation. We have 14,000 employees in 21 states helping 17 million members. The strength of our organization is our employees. Bringing together and supporting different cultures, backgrounds, personalities, and strengths creates a team capable of delivering legendary, lifetime service to our members. When we embrace our diversity – we win. All of Us! With our national brand recognition, long\-standing reputation since 1902, and constantly growing membership, we are seeking career\-minded, service\-driven professionals to join our team.
“Through dedicated employees we proudly deliver legendary service and beneficial products that provide members peace of mind and value.”
AAA is an Equal Opportunity Employer
The Automobile Club of Southern California will consider for employment all qualified applicants, including those with criminal histories, in a manner consistent with the requirements of applicable federal, state, and local laws, including the City of Los Angeles’ Fair Chance Initiative for Hiring Ordinance (FCIHO), the Unincorporated Los Angeles County (ULAC) regulation, and the California Fair Chance Act (CFCA).</t>
        </is>
      </c>
    </row>
    <row r="43">
      <c r="A43" t="inlineStr">
        <is>
          <t>in-d25ee09956507915</t>
        </is>
      </c>
      <c r="B43" t="inlineStr">
        <is>
          <t>Operations Data Scientist Ops</t>
        </is>
      </c>
      <c r="C43" t="inlineStr">
        <is>
          <t>Paylocity</t>
        </is>
      </c>
      <c r="D43" t="inlineStr">
        <is>
          <t>indeed</t>
        </is>
      </c>
      <c r="E43">
        <f>HYPERLINK("https://www.indeed.com/viewjob?jk=d25ee09956507915", "https://www.indeed.com/viewjob?jk=d25ee09956507915")</f>
        <v/>
      </c>
      <c r="F43">
        <f>HYPERLINK("https://2000recruiting.paylocity.com/recruiting/jobs/Details/42408/PAYLOCITY-CORPORATION/Operations-Data-Scientist-Ops?source=Indeed_Feed", "https://2000recruiting.paylocity.com/recruiting/jobs/Details/42408/PAYLOCITY-CORPORATION/Operations-Data-Scientist-Ops?source=Indeed_Feed")</f>
        <v/>
      </c>
      <c r="G43" t="inlineStr">
        <is>
          <t>US</t>
        </is>
      </c>
      <c r="H43" s="3" t="n">
        <v>46057</v>
      </c>
      <c r="I43" t="inlineStr">
        <is>
          <t>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Help our award\-winning technology company run effectively as you take on big challenges and find solutions with a position in Operations.
Use your problem\-solving skills to shape the way others see Paylocity. Launch your career with us!
**Fully Remote (U.S. Only):**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or schedule expectations, as necessary.
**Position Overview**
The Operations Data Scientist Ops will support the development, optimization, and deployment of machine learning models that drive operational decision\-making. Working closely with senior team members, engineering partners, and cross\-functional operations stakeholders, this role will help translate business challenges into scalable data science solutions using modern ML and cloud technologies.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Under guidance from senior team members and leadership, select features, build, and optimize models using ML techniques (time series, regression, random forests, gradient boosting, neural networks, gen AI)
* Leverage big data cloud technologies
• Collaborate across Operations to translate business challenges into data science projects • Create automated data and modeling pipelines and develop performance tracking
* Work closely with data engineers to deliver ML software features
* Conduct ad\-hoc analyses and/or present modeling results clearly to operations stakeholders
* Perform exploratory data analysis (EDA) to understand data quality, patterns, and relationships.
* Engineer new features to improve model performance.
* Document modeling steps, assumptions, pipelines, and decision logic.
* Create reproducible notebooks or technical documentation.
* Ensure models comply with data governance, privacy, and ethical AI standards.
* Participate in model risk reviews when applicable.
* Explore new algorithms, tools, and techniques.
* Build prototypes or proof\-of\-concept models for early validation
**Education and Experience**
* Bachelor’s degree with 3\+ years of data science experience, or an advanced Master’s or PhD) in a quantitative field.
* Experience writing production\-grade ML models in Python.
* Experience working with cloud data infrastructures (e.g., Azure, AWS, GCP).
* Demonstrated ability to translate business problems into structured data science solutions.
* Ability to work collaboratively within teams as well as independently on assignments.
**Preferred Skills**
* Experience with cloud development and MLOps practices.
* Commitment to staying current with emerging data science technologies and techniques.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LeaveBenefits@paylocity.com. This email address is exclusively designated for such requests, aligning with federal and state disability laws. Please do not send resumes to this email address, as they will be removed.
The base pay range for this position is $92,400 \- $132,000; however, base pay offered may vary depending on job\-related knowledge, skills, and experience. This position offers a full range of benefits . This information is provided per the relevant state and local pay transparency laws for the location in which this position will be performed. Base pay information is based on market location. Applicants should apply via www.paylocity.com/careers.</t>
        </is>
      </c>
    </row>
    <row r="44">
      <c r="A44" t="inlineStr">
        <is>
          <t>in-a31f20c173bc67f5</t>
        </is>
      </c>
      <c r="B44" t="inlineStr">
        <is>
          <t>Data Scientist / Data Analytics</t>
        </is>
      </c>
      <c r="C44" t="inlineStr">
        <is>
          <t>Wipro</t>
        </is>
      </c>
      <c r="D44" t="inlineStr">
        <is>
          <t>indeed</t>
        </is>
      </c>
      <c r="E44">
        <f>HYPERLINK("https://www.indeed.com/viewjob?jk=a31f20c173bc67f5", "https://www.indeed.com/viewjob?jk=a31f20c173bc67f5")</f>
        <v/>
      </c>
      <c r="F44">
        <f>HYPERLINK("https://careers.wipro.com/job/Data-Scientist-Data-Analytics/133102-en_US", "https://careers.wipro.com/job/Data-Scientist-Data-Analytics/133102-en_US")</f>
        <v/>
      </c>
      <c r="G44" t="inlineStr">
        <is>
          <t>Orange, CT, US</t>
        </is>
      </c>
      <c r="H44" s="3" t="n">
        <v>46057</v>
      </c>
      <c r="I44" t="inlineStr">
        <is>
          <t>Job Description* 
Job Title: Data Scientist / Data Analytics
City: Orange
State/Province: Connecticut
Posting Start Date: 2/5/26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Data Scientist / Data Analytics
Location: Orance, CT (Hybrid \- 3 Days onsite/week)  
Job Description:
Looking for a Data Scientist / Data Analytics professional, with strong emphasis on storytelling, business insights, stakeholder engagement, reporting and Azure platform skillset  
Key Responsibilities
Business Insight \&amp; Storytelling
* Translate complex datasets into actionable business insights aligned to organizational goals
* Develop data narratives, dashboards, and presentations that clearly communicate trends, risks, and opportunities to senior leadership
* Apply storytelling techniques to explain why insights matter, not just what the data shows
* Support strategic decision making through scenario analysis, trend forecasting, and root cause analysis
Stakeholder Engagement \&amp; Consulting
* Partner with business stakeholders, product owners, and leadership to understand requirements and define analytics use cases
* Facilitate discussions to recommend data driven solutions, KPIs, and measurement frameworks
* Act as a trusted advisor to stakeholders by translating business problems into analytical approaches
* Collaborate with cross functional teams (Data Engineering, BI, Cloud, IT) to ensure end to end delivery
Data Analysis \&amp; Reporting
* Perform advanced data analysis using SQL and analytical techniques on large, complex datasets
* Design and maintain enterprise grade reports and dashboards for operational and executive audiences
* Ensure data accuracy, consistency, and interpretability across reports
Azure Analytics \&amp; Data Platforms
* Leverage Azure Synapse Analytics for data exploration, analytics, and reporting workloads
* Work with data stored in Azure Data Lake / SQL Pools / Dedicated \&amp; Serverless SQL
* Optimize SQL queries and data models for performance and scalability
* Collaborate with data engineers on ingestion, transformation, and analytics ready data models
Required Skills \&amp; Experience
Core Experience
* 10\+ years of experience in Data Science / Data Analytics / Business Analytics
* Strong experience deriving business insights from structured and semi structured data
* Proven ability to influence decisions through data storytelling and stakeholder communication
Technical Skills
* Advanced SQL (query optimization, complex joins, window functions, performance tuning)
* Strong hands on experience with Azure Synapse Analytics
* Experience with Azure Data Lake, SQL databases, and cloud based analytics architectures
* Proficiency in reporting and visualization tools (e.g., Power BI or similar)
* Working knowledge of Python or similar languages for analysis and automation (preferred)
Analytical \&amp; Business Skills
* Strong understanding of KPIs, metrics design, and analytical frameworks
* Ability to connect analytical findings to business outcomes and strategy
* Experience working in large, enterprise data environments
* Excellent problem solving and structured thinking skills
Communication \&amp; Leadership
* Exceptional verbal, written, and presentation skills
* Ability to communicate technical concepts to non technical audiences
* Experience leading discussions, workshops, and reviews with senior stakeholders
* Mentoring and guiding junior team members
Mandatory Skills: Data Analysis .  
Experience: 8\-10 Years .  
The expected compensation for this role ranges from $80,000 to $158,000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45">
      <c r="A45" t="inlineStr">
        <is>
          <t>in-167520b93910db26</t>
        </is>
      </c>
      <c r="B45" t="inlineStr">
        <is>
          <t>Senior Data Scientist</t>
        </is>
      </c>
      <c r="C45" t="inlineStr">
        <is>
          <t>bet365</t>
        </is>
      </c>
      <c r="D45" t="inlineStr">
        <is>
          <t>indeed</t>
        </is>
      </c>
      <c r="E45">
        <f>HYPERLINK("https://www.indeed.com/viewjob?jk=167520b93910db26", "https://www.indeed.com/viewjob?jk=167520b93910db26")</f>
        <v/>
      </c>
      <c r="F45">
        <f>HYPERLINK("https://jobs.smartrecruiters.com/Bet3651/744000107655594-senior-data-scientist", "https://jobs.smartrecruiters.com/Bet3651/744000107655594-senior-data-scientist")</f>
        <v/>
      </c>
      <c r="G45" t="inlineStr">
        <is>
          <t>Denver, CO, US</t>
        </is>
      </c>
      <c r="H45" s="3" t="n">
        <v>46058</v>
      </c>
      <c r="I45" t="inlineStr">
        <is>
          <t>**Company Description**  
At bet365, we're one of the world's leading online gambling companies, revolutionising the industry since 2000\. Founded by Denise Coates CBE, we now employ over 9,000 people and serve over 100 million customers in 27 languages. Our focus on In\-Play betting has solidified our market\-leading position, offering an unmatched experience across 96 sports and 700,000 streaming events. With over 750 concurrent sporting fixtures at peak and more live sports streamed than anyone else in Europe, we handle over 6 billion HTTP requests daily and process more than 2 million bets per hour at peak.
We empower our employees to push boundaries and explore new ideas, cultivating a culture that celebrates and rewards creativity. This offers employees a wealth of opportunities for growth, giving them the opportunity to make a real impact in the world of online gambling. As a forward\-thinking company, we’re breaking new ground in software innovation too, redefining what’s possible for our customers worldwide.
 **Job Description**  
As a Senior Data Scientist, you will accelerate our end\-to\-end machine learning lifecycle, building on our strong data science foundation to scale impact and automate business decisions.
The data science team is at the forefront of driving business decisions, we are now scaling our impact with a focus on automation and advanced MLOps practices on Google Cloud.
This is a key technical leadership role where you will champion rapid iteration and innovation, this will be instrumental in elevating our ability to deliver measurable value. You will be responsible for the end\-to\-end lifecycle of machine learning solutions that optimize our Sports and Gaming products, from development to automated deployment and monitoring.
This is an exciting opportunity to apply cutting\-edge data science and MLOps principles in a fast\-paced, high\-impact environment, tackling complex challenges in areas like Trading, Fraud, Responsible Gaming, and Personalization.
The listed salary for this position is $135,000 – $150,000 annually.
 **Qualifications**  
* PhD or MSc in a quantitative field such as Computer Science, Statistics, or Engineering, or equivalent industry experience delivering complex data science projects.
* Demonstrable experience deploying and maintaining machine learning systems in a production environment with measurable business impact.
* Strong programming skills in Python and deep expertise in data science libraries such as, Scikit\-learn, Pandas, NumPy, XGBoost.
* Advanced proficiency in SQL, with hands\-on experience querying and manipulating large, complex datasets, preferably with Google BigQuery.
* Extensive hands\-on experience with Google Cloud Platform (GCP), including building and automating ML workflows with Vertex AI pipelines, managing datasets, training models, and deploying to Vertex AI.
* Experience using collaborative development environments such as Vertex AI Workbench for rapid prototyping, exploration, and analysis.
* Experience leveraging other core GCP services such as BigQuery, Cloud Storage, and Cloud Functions to build end\-to\-end data solutions.
* Solid understanding of CI/CD principles and tools such as Cloud Build or GitLab CIfor automating ML workflows.
* Experience with containerization such as Docker, Kubernetes/GKE.
**Additional Information**  
* Owning the full data science lifecycle, from initial ideation and rapid prototyping in tools such as Vertex AI Workbench, to deploying production\-grade models and pipelines that are robust, scalable, and automated.
* Leading the implementation of advanced MLOps principles within our Google Cloud environment, designing, building, and maintaining CI/CD/CT pipelines for automated model deployment using Vertex AI Pipelines and other GCP services.
* Partnering proactively with stakeholders in Product, Responsible Gaming, Trading, and other teams to identify high impact opportunities and translate complex business needs into tangible data science use cases.
* Building and implementing frameworks for automated model testing, validation, and monitoring using tools such as Vertex AI Model Monitoring to detect drift and ensure performance at scale.
* Designing, implementing, and rigorously analyzing A/B tests and other experiments to measure the impact of models and strategies, ensuring data\-driven solutions deliver clear, quantifiable value.
* Researching and championing the adoption of innovative data science and MLOps techniques, tools, and methodologies that solve problems efficiently, prioritizing impact over complexity .
* Acting as a technical leader and mentor for other data scientists, fostering a culture of continuous learning and high\-velocity execution.
bet365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46">
      <c r="A46" t="inlineStr">
        <is>
          <t>in-5d4d3b379e28ea08</t>
        </is>
      </c>
      <c r="B46" t="inlineStr">
        <is>
          <t>Marketing Applied Scientist II</t>
        </is>
      </c>
      <c r="C46" t="inlineStr">
        <is>
          <t>Uber</t>
        </is>
      </c>
      <c r="D46" t="inlineStr">
        <is>
          <t>indeed</t>
        </is>
      </c>
      <c r="E46">
        <f>HYPERLINK("https://www.indeed.com/viewjob?jk=5d4d3b379e28ea08", "https://www.indeed.com/viewjob?jk=5d4d3b379e28ea08")</f>
        <v/>
      </c>
      <c r="F46">
        <f>HYPERLINK("https://tnl2.jometer.com/v2/job?jz=5wqzs2dbd1653a0212f6aeaac28768b13de7cKIAAKAAAAABQ&amp;iis=Job%20Board%20-%20Recruitment%20Marketing&amp;iisn=Indeed%20Organic", "https://tnl2.jometer.com/v2/job?jz=5wqzs2dbd1653a0212f6aeaac28768b13de7cKIAAKAAAAABQ&amp;iis=Job%20Board%20-%20Recruitment%20Marketing&amp;iisn=Indeed%20Organic")</f>
        <v/>
      </c>
      <c r="G46" t="inlineStr">
        <is>
          <t>Seattle, WA, US</t>
        </is>
      </c>
      <c r="H46" s="3" t="n">
        <v>46058</v>
      </c>
      <c r="I46" t="inlineStr">
        <is>
          <t>**About the role**  
We are looking for an economic\-minded applied scientist for the Marketing Science team to develop strategic insights and drive product strategy including running experimentation and conducting product deep dives. The scope of this role is global and spans Uber's Rides and Eats business!
**Responsibilities*** Develop and lead careful statistical and econometric analyses (including designing, running, and evaluating large\-scale marketing experiments) in support of our business priorities.
* Collaborate with cross\-functional teams to develop strategic insights and research that speaks to their contexts.
* Present economic reasoning and analytical results to cross\-functional audiences within Uber including to Uber's senior leadership team.
**Basic Qualifications*** Ph.D., M.S., or Bachelor's degree in Statistics, Economics, Machine Learning, Operations Research, or other quantitative fields. (If M.S. degree, a minimum of 1\+ years of industry experience required and if Bachelor's degree, a minimum of 3\+ years of industry experience as a Data Scientist or equivalent).
* Strong SQL, Python and/or R foundation and expertise.
* Knowledge of experimental design and analysis (e.g., advanced analytics, econometrics, causal inference).
**Preferred Qualifications*** Ability to collaborate cross\-functionally and clearly and concisely communicate complex topics to audiences with different backgrounds.
* A track record of working independently and conducting rigorous quantitative research in an outcome\-oriented way with minimal oversight.
* Industry experience in marketing science or product research, particularly background in developing and bringing quantitative evidence to bear on marketing or product strategies.
* Excellent project management skills and the ability to develop and maintain collaborative and productive relationships with other teams around the company.
Passion for Uber!  
* 
For New York, NY\-based roles: The base salary range for this role is USD$161,000 per year \- USD$179,000 per year. For San Francisco, CA\-based roles: The base salary range for this role is USD$161,000 per year \- USD$179,000 per year. For Seattle, WA\-based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47">
      <c r="A47" t="inlineStr">
        <is>
          <t>in-7843d6f32ba2472b</t>
        </is>
      </c>
      <c r="B47" t="inlineStr">
        <is>
          <t>Sr. Marketing Applied Scientist</t>
        </is>
      </c>
      <c r="C47" t="inlineStr">
        <is>
          <t>Uber</t>
        </is>
      </c>
      <c r="D47" t="inlineStr">
        <is>
          <t>indeed</t>
        </is>
      </c>
      <c r="E47">
        <f>HYPERLINK("https://www.indeed.com/viewjob?jk=7843d6f32ba2472b", "https://www.indeed.com/viewjob?jk=7843d6f32ba2472b")</f>
        <v/>
      </c>
      <c r="F47">
        <f>HYPERLINK("https://tnl2.jometer.com/v2/job?jz=5wqzsa50b213df46f07a65f1a8090685bc82cKIAAKAAAAABQ&amp;iis=Job%20Board%20-%20Recruitment%20Marketing&amp;iisn=Indeed%20Organic", "https://tnl2.jometer.com/v2/job?jz=5wqzsa50b213df46f07a65f1a8090685bc82cKIAAKAAAAABQ&amp;iis=Job%20Board%20-%20Recruitment%20Marketing&amp;iisn=Indeed%20Organic")</f>
        <v/>
      </c>
      <c r="G47" t="inlineStr">
        <is>
          <t>Seattle, WA, US</t>
        </is>
      </c>
      <c r="H47" s="3" t="n">
        <v>46058</v>
      </c>
      <c r="I47" t="inlineStr">
        <is>
          <t>**About The Role**
We are looking for an economic\-minded senior applied scientist to develop strategic insights and drive product strategy including running experimentation and conducting product deep dives. In this role, you would be part of the Marketing Science team which is led by the Chief Economist. The scope of this role is global and spans Uber's Rides and Eats business.
**What You'll Do**
* Develop and lead careful statistical and econometric analyses (including designing, running, and evaluating large\-scale marketing experiments) in support of our business priorities.
* Collaborate with cross\-functional teams to develop strategic insights and research that speaks to their contexts.
* Present economic reasoning and analytical results to cross\-functional audiences within Uber including to Uber's senior leadership team.
**Basic Qualifications**
* Ph.D., M.S., or Bachelor's degree in Statistics, Economics, Machine Learning, Operations Research, or other quantitative fields. (If Ph.D a minimum of 1\+ years of industry experience required, M.S. degree, a minimum of 2\+ years of industry experience required and if Bachelor's degree, a minimum of 4\+ years of industry experience as a Data Scientist or equivalent).
* Strong SQL, Python and/or R foundation and expertise.
* Knowledge of experimental design and analysis (e.g., advanced analytics, econometrics, causal inference).
**Preferred Qualifications**
* Ability to collaborate cross\-functionally and clearly and concisely communicate complex topics to audiences with different backgrounds.
* A track record of working independently and conducting rigorous quantitative research in an outcome\-oriented way with minimal oversight.
* Industry experience in marketing science or product research, particularly background in developing and bringing quantitative evidence to bear on marketing or product strategies.
* Excellent project management skills and the ability to develop and maintain collaborative and productive relationships with other teams around the company.
Passion for Uber!  
*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48">
      <c r="A48" t="inlineStr">
        <is>
          <t>in-9e0f8e8d9c08ad7e</t>
        </is>
      </c>
      <c r="B48" t="inlineStr">
        <is>
          <t>Senior Data Scientist</t>
        </is>
      </c>
      <c r="C48" t="inlineStr">
        <is>
          <t>Quiet Professionals LLC</t>
        </is>
      </c>
      <c r="D48" t="inlineStr">
        <is>
          <t>indeed</t>
        </is>
      </c>
      <c r="E48">
        <f>HYPERLINK("https://www.indeed.com/viewjob?jk=9e0f8e8d9c08ad7e", "https://www.indeed.com/viewjob?jk=9e0f8e8d9c08ad7e")</f>
        <v/>
      </c>
      <c r="F48">
        <f>HYPERLINK("https://quietprofessionals.extensishrtalent.com/CareerPortal/JobDetail.aspx?RequisitionId=3006&amp;SourceId=6800", "https://quietprofessionals.extensishrtalent.com/CareerPortal/JobDetail.aspx?RequisitionId=3006&amp;SourceId=6800")</f>
        <v/>
      </c>
      <c r="G48" t="inlineStr">
        <is>
          <t>Tampa, FL, US</t>
        </is>
      </c>
      <c r="H48" s="3" t="n">
        <v>46057</v>
      </c>
      <c r="I48" t="inlineStr">
        <is>
          <t>Position Description: **Position Summary**The Senior Data Scientist supports mission\-critical objectives under the referenced work order by developing advanced machine learning models and optimizing analytic workflows to deliver predictive and prescriptive intelligence. This role requires deep expertise in AI/ML techniques, data engineering, and analytics to translate complex operational challenges into scalable, mission\-focused analytic solutions.  
This future opportunity is contingent upon award.  
**Job Description*** The Senior Data Scientist is responsible for designing, developing, and deploying advanced AI/ML models to support real\-time and near\-real\-time analytics. This includes applying deep learning, supervised and unsupervised learning techniques, data wrangling, and feature engineering to structured, unstructured, and geospatial datasets.
* The role involves optimizing analytic workflows for performance and scalability using distributed data processing frameworks such as Databricks and Apache Spark. Personnel will ensure model transparency and trustworthiness by implementing data provenance tracking, model explainability, and bias mitigation techniques in accordance with responsible AI principles.
* Additional responsibilities include integrating AI/ML models into production and mission\-critical environments, collaborating with engineers and stakeholders to operationalize analytics, and continuously improving model performance and reliability. Strong analytical reasoning and communication skills are essential to translate operational needs into effective analytic solutions.
**Required Qualifications and Experience**The contractor shall provide personnel who meet one of the following requirements:
* Masters degree in Data Science, Machine Learning, Statistics, or a related discipline; or
* A minimum of nine (9\) years of equivalent professional experience in AI/ML model development and deployment.
**Candidates must have demonstrated experience in the following areas:*** Developing, validating, and deploying AI/ML models using Python and ML frameworks.
* Applying deep learning, supervised, and unsupervised learning techniques.
* Integrating models into production and real\-time analytics environments.
* Working with distributed data processing platforms such as Databricks or Apache Spark.
* Integrating structured, unstructured, and geospatial data into analytic solutions.
**Required Skills and Competencies*** Proficiency in Python, TensorFlow, PyTorch, and Scikit\-learn.
* Strong understanding of data wrangling, feature engineering, and analytic workflows.
* Experience with data provenance tracking, model explainability, and bias mitigation.
* Ability to translate operational challenges into analytic and AI\-driven solutions.
* Strong collaboration, documentation, and communication skills.
**Education*** Masters degree in a related field, or an equivalent combination of education and relevant experience.
* Google Professional Machine Learning Engineer (Preferred, Not Required).
* Microsoft Certified: Azure Data Scientist Associate (Preferred, Not Required).
* TensorFlow Developer Certification (Preferred, Not Required).
**Clearance Requirement*** An active TS/SCI security clearance is required.
Quiet Professionals is located in the Greater Tampa Bay Area. We provide innovative and sustainable solutions that enhance the operational effectiveness of our clients and partners.  
QP is proud to be an equal opportunity, disability, and veteran employer. Our team of Quiet Professionals is highly driven, innovative, and results oriented. We empower our teams creativity, knowledge, and expertise to support client needs by fostering a diverse, inclusive, and supportive workplace. We understand that diversity fuels innovation and drives our success. We offer comprehensive benefits designed to serve the needs of our workforce.</t>
        </is>
      </c>
    </row>
    <row r="49">
      <c r="A49" t="inlineStr">
        <is>
          <t>in-571a99a07b21d3fc</t>
        </is>
      </c>
      <c r="B49" t="inlineStr">
        <is>
          <t>Data Scientist</t>
        </is>
      </c>
      <c r="C49" t="inlineStr">
        <is>
          <t>The Menninger Clinic</t>
        </is>
      </c>
      <c r="D49" t="inlineStr">
        <is>
          <t>indeed</t>
        </is>
      </c>
      <c r="E49">
        <f>HYPERLINK("https://www.indeed.com/viewjob?jk=571a99a07b21d3fc", "https://www.indeed.com/viewjob?jk=571a99a07b21d3fc")</f>
        <v/>
      </c>
      <c r="F49">
        <f>HYPERLINK("https://workforcenow.adp.com/mascsr/default/mdf/recruitment/recruitment.html?cid=4847f7f7-e646-494e-a39a-b5f63c12d8f9&amp;ccId=19000101_000001&amp;jobId=605371&amp;source=IN&amp;lang=en_US", "https://workforcenow.adp.com/mascsr/default/mdf/recruitment/recruitment.html?cid=4847f7f7-e646-494e-a39a-b5f63c12d8f9&amp;ccId=19000101_000001&amp;jobId=605371&amp;source=IN&amp;lang=en_US")</f>
        <v/>
      </c>
      <c r="G49" t="inlineStr">
        <is>
          <t>Houston, TX, US</t>
        </is>
      </c>
      <c r="H49" s="3" t="n">
        <v>46057</v>
      </c>
      <c r="I49" t="inlineStr">
        <is>
          <t>**Data Scientist**
Hours: M\-F 8\-5 (flexible)
Department: Research
Reports to: Director of Research
**Position Summary**
The Entry\-Level Data Scientist will support clinical and research operations by building, maintaining, and analyzing data systems that enable real\-time insight, high\-quality research, and scalable business intelligence. This role blends software development, data engineering, analytics, and clinical research support, and is ideal for someone interested in applied data science within healthcare and mental health research.
The position involves close collaboration with investigators, clinicians, research staff, and operational leadership to design data pipelines, develop dashboards, support clinical trials, and contribute to scientific dissemination (posters, manuscripts, and grants). This is a growth\-oriented role with strong mentorship and exposure to innovative clinical research and digital health infrastructure.
**Key Functions**
Data Engineering \&amp; Systems Infrastructure
* Maintain and support research and clinical data servers and local infrastructure.
* Design, build, and maintain data acquisition, warehousing, and telemetry interaction layers for clinical and research operations.
* Configure and maintain local instances of research tools (e.g., NIH Toolbox).
* Create and manage cross\-system queries, data integration, and aggregation across clinical, research, and operational platforms.
Research Data Platforms \&amp; Instrumentation
* Design, create, and maintain research instruments and workflows (e.g., REDCap surveys and databases).
* Support data pipelines for clinical trials, outcomes research, and longitudinal studies.
* Ensure data integrity, version control, and documentation across systems.
Analytics, Dashboards \&amp; Telemetry
* Build live telemetry, analytics, and reporting dashboards to support real\-time intelligence for clinicians, researchers, and leadership.
* Develop visualizations and business intelligence tools for use in operational, research, and clinical care contexts.
* Work with IT staff to support IT or device integrations, when applicable, to capture real\-time or near–real\-time data from end users or systems.
Data Analysis \&amp; Research Support
* Conduct data cleaning, preprocessing, and statistical analysis using Python (e.g., pandas, numpy, scipy, matplotlib/seaborn).
* Support exploratory and hypothesis\-driven analyses for clinical and research studies.
* Collaborate with investigators on data interpretation and presentation of findings.
Research Dissemination \&amp; Grant Support
* Prepare figures, tables, and analyses for posters, presentations, and manuscripts.
* Contribute to study design, data strategy, and analytic plans.
* Assist with grant writing, including methods, data management plans, and preliminary analyses.
 **Required**
Education
* Bachelor’s degree (or equivalent experience) in data science, computer science, engineering, statistics, psychology, neuroscience, public health, or a related field.
Experience
* Strong experience with Python for data analysis and data science.
* Familiarity with HTML and CSS (front\-end basics for dashboards or interfaces).
* Experience working with structured datasets and databases.
* Strong attention to detail, organization, and documentation.
* Ability to work collaboratively with both technical and non\-technical stakeholders.
Preferred
* Experience with healthcare, clinical research, or biomedical data.
* Familiarity with REDCap, clinical trial data, or research compliance workflows.
* Experience building dashboards (e.g., Plotly, Dash, Streamlit, Power BI, Tableau, or similar).
* Exposure to cloud platforms, APIs, telemetry systems, or IoT integrations.
* Interest in mental health research, clinical outcomes, or translational science.</t>
        </is>
      </c>
    </row>
    <row r="50">
      <c r="A50" t="inlineStr">
        <is>
          <t>in-0619a2a2adca181d</t>
        </is>
      </c>
      <c r="B50" t="inlineStr">
        <is>
          <t>Data Scientist</t>
        </is>
      </c>
      <c r="C50" t="inlineStr">
        <is>
          <t>Waystar</t>
        </is>
      </c>
      <c r="D50" t="inlineStr">
        <is>
          <t>indeed</t>
        </is>
      </c>
      <c r="E50">
        <f>HYPERLINK("https://www.indeed.com/viewjob?jk=0619a2a2adca181d", "https://www.indeed.com/viewjob?jk=0619a2a2adca181d")</f>
        <v/>
      </c>
      <c r="F50">
        <f>HYPERLINK("https://waystar.wd1.myworkdayjobs.com/en-US/Waystar/job/Lehi-UT/Data-Scientist_R2991", "https://waystar.wd1.myworkdayjobs.com/en-US/Waystar/job/Lehi-UT/Data-Scientist_R2991")</f>
        <v/>
      </c>
      <c r="G50" t="inlineStr">
        <is>
          <t>Lehi, UT, US</t>
        </is>
      </c>
      <c r="H50" s="3" t="n">
        <v>46057</v>
      </c>
      <c r="I50" t="inlineStr">
        <is>
          <t>ABOUT THIS POSITION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Incumbents whose primary role is technical and focused on data storage, warehousing and systems architecture should be matched to Database Engineering or Storage Engineering. Incumbents whose focus is the quantitative analysis of complex business problems and issues using data from internal and external sources to provide insight to decision\-makers should be matched to Business Intelligence. Incumbents whose primary role is technical and focused on designing and building system\-generated reports, reporting tools and dashboards for data generation should be matched to Data Informatics. Incumbents whose focus is primarily on experimental design and advanced or complex statistical analysis and modeling of datasets should be matched to Statistician/Mathematician. This is a product engineering role in which employees work with multiple types of business data. Incumbents whose focus is primarily on analysis and modeling of financial, marketing or pricing data should be matched to Finance, Market Research or Pricing as appropriate. May be internal operations\-focused or external client\-focused, working in conjunction with Professional Services and outsourcing functions.
WHAT YOU'LL DO
Job Description
We are looking for an experienced Data Scientist, who has previously supported Healthcare software applications. The data scientist role involves solving technical, data\-driven Healthcare problems using computer science, mathematical, predictive modeling and statistical methods, \&amp; knowledge. This person will interact with teams from Account Management to Application Engineering and R\&amp;D, to conduct detailed analysis and experimentation to maximize the utility of predictive modeling, analytic and machine learning across Waystar's product line. The role will focus on extending machine learning, predictive modeling, and analytic components to provide up\-to\-date intelligence to Healthcare providers maximizing outcomes. An ideal candidate for this position can approach problem\-solving challenges independently, has a strong attention to detail, and enjoys working in a fast\-paced, collaborative, and team\-based environment.* Additional Job Description
	+ Complete familiarity with various statistical and machine learning techniques including: classification, regression, dimension reduction, clustering, and various multivariate methods
	+ Complete familiarity with empirical approaches to estimate performance of machine learning models including: hold\-out sets, cross\-validation, leave\-one\-out testing
	+ Understanding of orders of algorithms and how they scale
	+ Demonstrated competency in R/Python predictive modeling
	+ Demonstrated competency in RDBMS (e.g. SQL Server)
	+ Ability to code in 1\+ general purpose programming language (C\#, Java, etc.)
	+ Must be a quick\-learner with the ability to multi\-task in a fast\-paced environment
	+ Outstanding presentation abilities and the ability to communicate with all levels of the Business
	+ Comfortable working in newly\-forming, ambiguous areas where learning and adaptability are key skills
	+ Outstanding communication and interpersonal skills
	+ Must possess strong analytical, problem\-solving, and writing skills
	+ Proficient in Microsoft Office applications
	+ Detail\-oriented
	+ Master of Science degree or higher in the fields of Computer Science, Statistics, or Mathematics is preferred
	+ An aptitude for medical informatics is preferred
WHAT YOU'LL NEED
Additional Job Description* Works closely with Application Engineering, Product Management, and Operational teams in designing, experimenting\-with, and implementing machine learning and analytical systems applied to design information and user behavior
* Works closely with Application Engineering teams to gather and process data, as well as in surfacing various analytically\-based features in core products
* Works on groundbreaking new applications of machine learning and analytic technology to Healthcare, producing quantitative, justifiable results to guide feature planning
* Translates real\-world Healthcare problems to mathematical frameworks
* Works with Product Management, Marketing, and Sales as needed to promote sales and to incorporate market and customer feedback
* Data exploration, hypothesis creation (from business and product goals), testing algorithms, scaling to large data\-sets and validating results will be common tasks for this role
* Understands, organizes, and communicates root causes of problems and successes succinctly
ABOUT WAYSTAR
Through a smart platform and better experience, Waystar helps providers simplify healthcare payments and yield powerful results throughout the complete revenue cycle.
Waystar’s healthcare payments platform combines innovative, cloud\-based technology, robust data, and unparalleled client support to streamline workflows and improve financials so providers can focus on what matters most: their patients and communities. Waystar is trusted by 1M\+ providers, 1K\+ hospitals and health systems, and is connected to over 5K commercial and Medicaid/Medicare payers. We are deeply committed to living out our organizational values: honesty; kindness; passion; curiosity; fanatical focus; best work, always; making it happen; and joyful, optimistic \&amp; fun.
Waystar products have won multiple Best in KLAS® or Category Leader awards since 2010 and earned multiple \#1 rankings from Black Book™ surveys since 2012\. The Waystar platform supports more than 500,000 providers, 1,000 health systems and hospitals, and 5,000 payers and health plans. For more information, visit waystar.com or follow @Waystar on Twitter.
WAYSTAR PERKS* Competitive total rewards (base salary \+ bonus, if applicable)
* Customizable benefits package (3 medical plans with Health Saving Account company match)
* We offer generous paid time off for our non\-exempt team members, starting with 3 weeks \+ 13 paid holidays, including 2 personal floating holidays. We also offer flexible time off for our exempt team members \+ 13 paid holidays
* Paid parental leave (including maternity \+ paternity leave)
* Education assistance opportunities and free LinkedIn Learning access
* Free mental health and family planning programs, including adoption assistance and fertility support
* 401(K) program with company match
* Pet insurance
* Employee resource groups
Waystar is proud to be an equal opportunity workplace. We celebrate, value, and support diversity and inclusion. Qualified applicants will receive consideration for employment without regard to race, color, religion, age, sex, national origin, disability status, genetics, marital status,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t>
        </is>
      </c>
    </row>
    <row r="51">
      <c r="A51" t="inlineStr">
        <is>
          <t>in-71718e38148ebde9</t>
        </is>
      </c>
      <c r="B51" t="inlineStr">
        <is>
          <t>Data Scientist</t>
        </is>
      </c>
      <c r="C51" t="inlineStr">
        <is>
          <t>Frontier Technology Inc.</t>
        </is>
      </c>
      <c r="D51" t="inlineStr">
        <is>
          <t>indeed</t>
        </is>
      </c>
      <c r="E51">
        <f>HYPERLINK("https://www.indeed.com/viewjob?jk=71718e38148ebde9", "https://www.indeed.com/viewjob?jk=71718e38148ebde9")</f>
        <v/>
      </c>
      <c r="F51">
        <f>HYPERLINK("https://careers-ftidefense.icims.com/jobs/6955/job?utm_source=indeed_integration&amp;iis=Job%20Board&amp;iisn=Indeed&amp;indeed-apply-token=73a2d2b2a8d6d5c0a62696875eaebd669103652d3f0c2cd5445d3e66b1592b0f", "https://careers-ftidefense.icims.com/jobs/6955/job?utm_source=indeed_integration&amp;iis=Job%20Board&amp;iisn=Indeed&amp;indeed-apply-token=73a2d2b2a8d6d5c0a62696875eaebd669103652d3f0c2cd5445d3e66b1592b0f")</f>
        <v/>
      </c>
      <c r="G51" t="inlineStr">
        <is>
          <t>Norfolk, VA, US</t>
        </is>
      </c>
      <c r="H51" s="3" t="n">
        <v>46057</v>
      </c>
      <c r="I51" t="inlineStr">
        <is>
          <t>Overview:
FTI is hiring a Data Scientist to support the Naval Safety Command in Norfolk, VA. As a member of the data science team, you will be working in a hybrid work environment to support the development, testing, and deployment of a series of advanced predictive analytics models using big data sets that will help diagnose and predict precursors to Naval mishaps and safety hazards. In this role, you will collaborate within a diverse program team comprised of FTI team members as well as Active\-Duty Military and Government civilian employees. This position is on\-site at the Naval Safety Command Center in Norfolk, VA. The candidate may also have space in the FTI Chesapeake office.
Responsibilities:
* Support in the development of a portfolio of predictive risk models to estimate mishap risk for individual Navy communities. Leverage these models to identify areas of operational optimization and monitoring to reduce the risk of mishaps.
* Work in a collaborative environment to provide training to qualified Government personnel in the building, maintaining, and refining the portfolio of predictive analytics models.
* Assist with the collection and organization of multiple data types, including but not limited to manning, maintenance, readiness, operational tempo, command climate, and incident reports.
* Apply data science and inductive reasoning approaches to analyze this data and to find patterns to safety mishaps to allow senior leadership to implement risk mitigation measures.
* Participate in technical interchange meetings, analytical update meetings, program management reviews, and other meetings as required.
Education/Qualifications:
* Must have an active U.S. Department of Defense Secret Clearance.
* 4\+ years of data science experience with a Bachelor’s Degree in Business Analytics, Mathematics, Computer Science, or related field.
* 2\+ years of data science experience with a Master's Degree in Business Analytics, Mathematics, Computer Science, or related fields.
* 2\+ years of coding experience in Python, R, or a similar language.
* Excellent verbal and written communication skills.
\#LI\-GH1
\#LI\-Onsite</t>
        </is>
      </c>
    </row>
    <row r="52">
      <c r="A52" t="inlineStr">
        <is>
          <t>in-00c541b32ba91f17</t>
        </is>
      </c>
      <c r="B52" t="inlineStr">
        <is>
          <t>Oracle Enterprise Data Scientist</t>
        </is>
      </c>
      <c r="C52" t="inlineStr">
        <is>
          <t>CHS Corporate</t>
        </is>
      </c>
      <c r="D52" t="inlineStr">
        <is>
          <t>indeed</t>
        </is>
      </c>
      <c r="E52">
        <f>HYPERLINK("https://www.indeed.com/viewjob?jk=00c541b32ba91f17", "https://www.indeed.com/viewjob?jk=00c541b32ba91f17")</f>
        <v/>
      </c>
      <c r="F52">
        <f>HYPERLINK("https://fa-evxo-saasfaprod1.fa.ocs.oraclecloud.com:443/hcmUI/CandidateExperience/en/job/142896", "https://fa-evxo-saasfaprod1.fa.ocs.oraclecloud.com:443/hcmUI/CandidateExperience/en/job/142896")</f>
        <v/>
      </c>
      <c r="G52" t="inlineStr">
        <is>
          <t>US</t>
        </is>
      </c>
      <c r="H52" s="3" t="n">
        <v>46057</v>
      </c>
      <c r="I52" t="inlineStr">
        <is>
          <t>**Job Summary**  
We are seeking a highly specialized and experienced Enterprise Data Scientist to drive data quality, standardization, and insight generation across our core Oracle operational suite. This role serves as the authoritative expert on translating complex, high\-volume data from Oracle Supply Chain Management (SCM), Oracle Procurement, Oracle Revenue Cycle Management (RCM), and Oracle Inventory into actionable business intelligence.
The successful candidate will be focused on ensuring absolute data integrity—a critical function in a regulated healthcare environment—and transforming raw transactional data into high\-value operational reports, interactive dashboards, and predictive models that optimize cost\-per\-case, enhance inventory accuracy, and accelerate the revenue cycle.  
**Essential Functions**
1\. Data Validation, Integrity, and Compliance (Critical Focus)
* Healthcare Data Quality Assurance: Design and implement automated data validation frameworks specific to healthcare operations, ensuring transactional data (e.g., supply usage, procedure charging, contract pricing) is accurate.
* Compliance Verification: Develop reports and monitoring tools to detect anomalies and discrepancies that could impact regulatory reporting, financial audits (e.g., SOX implications), or compliance with GPO contracts and payer rules.
* Revenue Leakage Identification: Specifically focus on validating the link between inventory consumption (SCM) and patient billing (RCM) data to prevent charge capture errors, ensuring accurate patient bills and maximizing appropriate reimbursement.
* Root Cause Analysis: Investigate and diagnose data errors originating in Oracle system configurations (EBS or Fusion), ensuring the integrity of critical data points like item master definitions, vendor codes, and pricing tiers.
2\. Standardized Operational Analytics and Reporting
* KPI Development (Healthcare Specific): Define, standardize, and institutionalize critical operational metrics across the organization, such as:
* Inventory Accuracy Rate for Critical Supplies
* Procurement Compliance Rate (Off\-Contract Spend)
* Days of Supply (DOS) for high\-value pharmaceuticals and implants
* Cost\-Per\-Case Variance analysis (linking supply cost to procedure type)
* Claims Denial Rate Analysis linked to operational inputs
* High\-Value Reporting: Develop and maintain standardized operational reports and interactive dashboards (e.g., Tableau, Power BI) focused on optimizing the efficiency and spend within the OR, Clinics, and centralized purchasing departments.
* Executive Insights: Create visually compelling and accurate reports for executive leadership on the overall health and financial performance driven by Oracle system outputs.
3\. Advanced Modeling and Process Optimization
* Predictive Inventory Modeling: Develop sophisticated models to forecast demand volatility (e.g., flu season spikes, pandemic\-related surges) for critical supplies and pharmaceuticals, minimizing shortages and excess waste.
* Revenue Cycle Modeling: Build predictive models to forecast cash flow, anticipate denials based on procurement/charging patterns, and prioritize RCM work queues based on expected return.
* Efficiency Optimization: Utilize machine learning techniques to optimize logistics (e.g., warehouse routing, supply replenishment schedules) and procurement processes (e.g., automated purchase order generation based on consumption velocity).
4\. Collaboration and System Expertise
* Serve as the technical data expert for functional Oracle teams (Finance, Clinical Operations, Materials Management), bridging the gap between business needs and data structure.
* Document data lineage, metric definitions, and model methodologies to ensure transparency and trust in derived insights across the enterprise.
 **Required Qualifications:**
* Education: Master’s degree in Data Science, Health Informatics, Statistics, Industrial Engineering, or a related quantitative field.
* Experience: 2\+ years of experience in a specialized data science, BI, or analytics role, working within a large healthcare system, hospital, or payer environment.
* Deep Oracle Domain Expertise (Mandatory): Proven practical experience analyzing, querying, and understanding the complex data models within at least two of the following Oracle applications (EBS or Fusion):
* Oracle Supply Chain Management (SCM) \&amp; Inventory: Specific understanding of item masters, warehouse transactions, and consumption data.
* Oracle Procurement: Expertise in purchase order data, contract management, and vendor performance metrics.
* Oracle Revenue Cycle Management (RCM): Understanding of charge capture, billing, and the data linkage to operational inputs.
 **Technical Proficiency:**
* Expert\-level SQL skills for complex database querying, including experience navigating Oracle tables/views.
* Proficiency in Python or R, with experience in statistical modeling, time series analysis, and machine learning libraries.
* Experience developing advanced visualizations using industry\-leading tools (Tableau, Power BI).
* Demonstrable experience working with large\-scale Enterprise Data Warehouses (EDW) in a regulated environment.
* Preferred Skills and Attributes
* Familiarity with clinical coding standards (CPT, ICD\-10\) as they relate to procedure costing and RCM data.
* Understanding of HIPAA, HITECH, and general healthcare data governance standards.
* Experience with advanced analytics applied to surgical services or procedural areas.
* Excellent collaboration and communication skills, with the ability to present complex analytical findings to clinical and executive audiences.
* Certification in Oracle applications or cloud platforms is a plus.</t>
        </is>
      </c>
    </row>
    <row r="53">
      <c r="A53" t="inlineStr">
        <is>
          <t>in-e5fc77b6e97156bf</t>
        </is>
      </c>
      <c r="B53" t="inlineStr">
        <is>
          <t>Data Scientist</t>
        </is>
      </c>
      <c r="C53" t="inlineStr">
        <is>
          <t>Network Runners, Inc.</t>
        </is>
      </c>
      <c r="D53" t="inlineStr">
        <is>
          <t>indeed</t>
        </is>
      </c>
      <c r="E53">
        <f>HYPERLINK("https://www.indeed.com/viewjob?jk=e5fc77b6e97156bf", "https://www.indeed.com/viewjob?jk=e5fc77b6e97156bf")</f>
        <v/>
      </c>
      <c r="F53">
        <f>HYPERLINK("http://careers.networkrunners.com/careers/14000-General/jobs/16771879-Data-Scientist/?ref=Indeed", "http://careers.networkrunners.com/careers/14000-General/jobs/16771879-Data-Scientist/?ref=Indeed")</f>
        <v/>
      </c>
      <c r="G53" t="inlineStr">
        <is>
          <t>Springfield, VA, US</t>
        </is>
      </c>
      <c r="H53" s="3" t="n">
        <v>46057</v>
      </c>
      <c r="I53" t="inlineStr">
        <is>
          <t>**Data Scientist (SME)**  
**Clearance: \*\*Must have an Active TS/SCI Clearance\*\***  
**Position Description:**  
Network Runners is seeking a **Data Scientist (SME)** to support The National Geospatial\-Intelligence Agency (NGA). The National Geospatial\-Intelligence Agency (NGA) is a Department of War (DoW) combat support agency and a member of the National Intelligence Community (IC). NGA’s mission is to “provide timely, relevant, and accurate geospatial\-intelligence in support of national security.” This position as part of VERTEX 4 captures the National Geospatial\-Intelligence Agency (NGA)’s Program Execution Office Services, Enterprise Contracts (PSE) collective staffing requirements from the NGA Human Development Directorate (HD).  
**Duties and Responsibilities:**
* Incorporate additions, deletions, or changes into the GEOINT essential body of knowledge, certification framework, certification blueprints, or certification scheme, maintain GOLD program data, and prepare staffing packages for GEOINT Certification Program Governance Council approval.
* Produce the GEOINT Certification Program Design Document (PDD) that codifies the GEOINT certification program’s policies, processes, and procedures and provides stakeholders visibility into the strategic, operational, and technical elements of a certification program according to the prescribed format in DoDM 3305\.10
* Prepare applications packages and associated documentation for external accreditation of NGA certification programs in accordance with the requirements of the National Commission for Certifying Agencies (NCCA).
* Will manage, track, audit, and report on certification maintenance activities in accordance with established and documented procedures. Will make process improvements recommendations to increase efficiency and effectiveness.
* Maintain and update the GEOINT Certification Program information to ensure that it verifies, validates, and is updated to reflect mission, policy, doctrine, tactics, techniques, and procedure changes, as appropriate.
* Support the Certification Conferral including the maintenance of records, development of lists, and the preparation of staffing certificates.
* Support the Annual Reports on GEOINT Accreditation and Certification
**Required Skills:**
* At least 7 years demonstrated experience preparing applications packages and maintaining accreditation for certification programs in accordance with the requirements of the National Commission for Certifying Agencies (NCCA)
* At least 5 years demonstrated experience supporting credentialing best practices and applying them in development and maintenance of professional certification or certificate programs.
* At least 5 years demonstrated experience as a quality control expert within the Department of Defense or Intelligence Community, with proven experience writing, interpreting, applying DoD/IC policy and guidance.
**Type of Job:** Full Time  
**Salary:** Competitive Salary  
**Attractive Benefits Package:** Medical, Dental, Vision, 401K, HSA/FSA, LTD/STD, PTO, Federal Holidays  
**Work location:** ON SITE \- NGA Washington in Springfield VA
**Company Description:**  
Network Runners, Inc. is an Information Technology Solutions Company \- providing innovative IT solutions and organizational support within the DOD and the Civil sector. Our largest presence is in the U.S. Army, U.S. Air Force, U.S. Navy, DHS/USCG, DHS/S\&amp;T, USSTRATCOM etc., providing Information Technology and Organizational Support solutions. Today, NRI’s experienced, and highly qualified team members are in nearly a dozen cities nationwide. We are recognized for our value, ingenuity, and mission focus. Headquartered in Sterling, Virginia, NRI is an established CMMI Maturity Level 3 and ISO 9001: 2015, ISO/IEC 20000\-1:2011, ISO/IEC 27001:2013, ISO 14001 Certified Small Disadvantaged Woman Owned Small Business.  
Network Runners, Inc. (NRI) is an equal opportunity employer. NRI prohibits discrimination and harassment of any type and affords equal employment opportunities to employees and applicants without regard to race, color, religion, sex, sexual orientation, gender identity or expression, pregnancy, age, ethnic or national origin, disability status, genetic information, protected veteran status, or any other characteristic protected by law. NRI conforms to the spirit as well as to the letter of all applicable laws and regulations.</t>
        </is>
      </c>
    </row>
    <row r="54">
      <c r="A54" t="inlineStr">
        <is>
          <t>in-d6bd8810b34a3936</t>
        </is>
      </c>
      <c r="B54" t="inlineStr">
        <is>
          <t>Referral Only- Data Scientist</t>
        </is>
      </c>
      <c r="C54" t="inlineStr">
        <is>
          <t>Capgemini</t>
        </is>
      </c>
      <c r="D54" t="inlineStr">
        <is>
          <t>indeed</t>
        </is>
      </c>
      <c r="E54">
        <f>HYPERLINK("https://www.indeed.com/viewjob?jk=d6bd8810b34a3936", "https://www.indeed.com/viewjob?jk=d6bd8810b34a3936")</f>
        <v/>
      </c>
      <c r="F54">
        <f>HYPERLINK("https://www.capgemini.com/jobs/410850-en_GB+sap_btp/", "https://www.capgemini.com/jobs/410850-en_GB+sap_btp/")</f>
        <v/>
      </c>
      <c r="G54" t="inlineStr">
        <is>
          <t>Irving, TX, US</t>
        </is>
      </c>
      <c r="H54" s="3" t="n">
        <v>46057</v>
      </c>
      <c r="I54" t="inlineStr">
        <is>
          <t>Irving, TX
Referral Only\- Data Scientist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As an Associate Data Scientist , you will lead the development and implementation of advanced data engineering solutions to support the deployment and optimization of Generative AI models. Your role will involve leveraging your extensive experience to design robust, scalable, and innovative data architectures that align with the unique requirements of General Artificial Intelligence (GenAI) applications.
**Key Responsibilities*** The Machine Learning Engineer will be responsible for architectural design and planning, advanced data pipelines, model integration and optimization, scalability, performance and research and innovation supporting production generative AI systems.
* Production level ML workloads for customers using Databricks platform, including end\-to\-end ML pipelines, training/inference optimization, integration with cloud\-native services and MLOps
* Build and maintain data engineering solutions on cloud platforms using hyperscaler services.
* Develop production\-grade cloud (AWS/Azure/GCP) infrastructure that supports the deployment of ML applications, including drift monitoring
* Design, develop, and maintain data pipelines to efficiently collect, process, and load data from various sources into data storage systems (e.g., data warehouses, data lakes).
* Understanding of indexing and vectorization to use with Generative AI prompt engineering.
* Strong understanding of fundamental data science concepts in NLP, including selection and understanding of embedding models.
* Use hyperscaler technologies to support data needs for expansion of Machine Learning/Data Science capabilities including generative AI.
* Design, develop, and implement scalable data pipelines and ETL/ELT processes using Python, PySpark and API integrations.
Required Skill and Experience
* Bachelor's degree in computer science, data engineering, or a related field with 5\+ years experience (Master's preferred).
* Proven experience in data engineering, MLOps, ETL, and database management, QL and data manipulation languages.
* Azure, Python, Java, or Scala.
* data warehousing platforms (e.g., Databricks, Amazon Redshift, Snowflake) and big data technologies (e.g., Hadoop, Spark).
* highly scalable Data stores, Data Lake, Data Warehouse, Lakehouse, and unstructured datasets .
The base compensation range for this role in the posted location is:$100,000\- $125,000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410850\-en\_GB
Posted on
05 Feb 2026
Experience level
Experienced Professionals
Contract type
Permanent
Location
Irving, TX
Business unit
I and D Global Business Line
Brand
Capgemini
Professional communities
Data \&amp; AI</t>
        </is>
      </c>
    </row>
    <row r="55">
      <c r="A55" t="inlineStr">
        <is>
          <t>in-46095efa3ea0a66c</t>
        </is>
      </c>
      <c r="B55" t="inlineStr">
        <is>
          <t>Senior Associate - Data Scientist - Technology Infrastructure &amp; Engineering</t>
        </is>
      </c>
      <c r="C55" t="inlineStr">
        <is>
          <t>New York Life</t>
        </is>
      </c>
      <c r="D55" t="inlineStr">
        <is>
          <t>indeed</t>
        </is>
      </c>
      <c r="E55">
        <f>HYPERLINK("https://www.indeed.com/viewjob?jk=46095efa3ea0a66c", "https://www.indeed.com/viewjob?jk=46095efa3ea0a66c")</f>
        <v/>
      </c>
      <c r="F55">
        <f>HYPERLINK("https://careers.newyorklife.com/careers/job/39785093", "https://careers.newyorklife.com/careers/job/39785093")</f>
        <v/>
      </c>
      <c r="G55" t="inlineStr">
        <is>
          <t>New York, NY, US</t>
        </is>
      </c>
      <c r="H55" s="3" t="n">
        <v>46050</v>
      </c>
      <c r="I55" t="inlineStr">
        <is>
          <t>Job Description
#### **Requisition ID**
93311#### **Department**
Tech Data AI Ventures#### **Job Function**
Tech Data AI Ventures#### **Location**
Remote,New York,United States#### **Role Location Designation**
Hybrid \- 3 days per quarter **Location Designation:** Hybrid \- 3 days per quarter
The Data Scientist will partner with business and technical operational leaders to provide an impact by leveraging data and analytical tools, strategic thinking, and hypothesis\-based analysis on machine learning (ML)\-based projects. The data scientist is responsible for modeling and developing predictive models to address complex business problems through statistical, algorithmic, mining, and visualization techniques. Furthermore, this role is integral in supporting senior leadership in identifying and creating business insights, reports, and analyses to aid in the decision\-making process. **What You'll Do:*** Translates business needs into analytics/reporting requirements to promote high quality code, high availability and stable systems, and autonomous operations.
* Performs large\-scale experimentation and builds data\-driven models t extractinginsights from system logs, cloud platforms, CI/CD pipelines, databases, etc.
* Researches and implements cutting\-edge techniques and tools in machine learning/deep learning/artificial intelligence to make data analysis more efficient
* Collects and preprocesses large amount of structured and unstructured data
* Conducts Exploratory Data Analysis to uncover patterns, spot anomalies, and test hypotheses
* Applies statistical analysis and visualization techniques to various data, such as hierarchical clustering, principal components analysis (PCA) machine learning
* Designs and conducts data analyses with the highest standard of rigor and scientific accuracy; this includes study design, methodology, algorithms, and statistical modeling
 **What You'll Bring:*** At least six years of relevant project experience in successfully launching, planning, and executing data science projects, including statistical analysis, data engineering, and data visualization
* Proven experience in conducting statistical analysis and building models with advanced scripting languages
* Experience leading projects that apply ML and data science to business functions
* Specialization in text analytics, image recognition, graph analysis, or other specialized ML techniques, such as deep learning, is preferred
 **Skills*** Fluency in multiple programming languages and statistical analysis tools such as Python, C\+\+, JavaScript, R, SAS, Excel, SQL, MATLAB, SPSS
* Experience with Tableau and other visualization tools
* Knowledge of distributed data/computing tools such as MapReduce, Hadoop, Hive, or Kafka
* Solid understanding and experience with model evaluation and tuning techniques
* Strong understanding of AI, its potential roles in solving business problems, and the future trajectory of generative AI models
* Experience with cloud platforms (e,g, AWS, Azure, Salesforce)
* Willingness and ability to learn new technologies on the job
* Ability to communicate complex projects, models, and results to a diverse audience including non\-technical stakeholders
* Ability to work in diverse, cross\-functional teams in a dynamic business environment
* Superior presentation skills, including storytelling and other techniques to guide and inspire
 **Education*** A bachelor’s or master’s degree in computer science, data science, statistics, or a related field
* Candidates will ideally have a specialization in ML or AI
**Pay Transparency**
Salary Range: $124,000\-$177,000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work.Click hereto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93311</t>
        </is>
      </c>
    </row>
    <row r="56">
      <c r="A56" t="inlineStr">
        <is>
          <t>in-d863fa518d5cffa8</t>
        </is>
      </c>
      <c r="B56" t="inlineStr">
        <is>
          <t>Senior Associate - Senior Data Scientist</t>
        </is>
      </c>
      <c r="C56" t="inlineStr">
        <is>
          <t>New York Life</t>
        </is>
      </c>
      <c r="D56" t="inlineStr">
        <is>
          <t>indeed</t>
        </is>
      </c>
      <c r="E56">
        <f>HYPERLINK("https://www.indeed.com/viewjob?jk=d863fa518d5cffa8", "https://www.indeed.com/viewjob?jk=d863fa518d5cffa8")</f>
        <v/>
      </c>
      <c r="F56">
        <f>HYPERLINK("https://careers.newyorklife.com/careers/job/39783520", "https://careers.newyorklife.com/careers/job/39783520")</f>
        <v/>
      </c>
      <c r="G56" t="inlineStr">
        <is>
          <t>New York, NY, US</t>
        </is>
      </c>
      <c r="H56" s="3" t="n">
        <v>46050</v>
      </c>
      <c r="I56" t="inlineStr">
        <is>
          <t>Job Description
#### **Requisition ID**
93306#### **Department**
Tech Data AI Ventures#### **Job Function**
Tech Data AI Ventures#### **Location**
New York,New York,United States#### **Role Location Designation**
Hybrid \- 3 days per week **Location Designation:** Hybrid \- 3 days per week
As part of the Artificial Intelligence \&amp; Data (AI\&amp;D) organization, you will contribute to New York Life’s digital transformation by developing and deploying AI and machine learning solutions that enhance efficiency and improve client, agent, and employee experiences.
This role focuses on Service operations (contact centers, claims, field service), where you’ll apply both Generative AI and traditional ML techniques to automate tasks, generate insights, and support decision\-making. You’ll work closely with senior data scientists, engineers, product and technology partners to deliver impactful production\-ready solutions that are safe, reliable, and aligned with business priorities.
 **What You’ll Do:**
* Execute AI/ML initiatives for Service operations in partnership with data, technology, product and business teams.
* Contribute to the end\-to\-end model lifecycle: data exploration, feature development, model training/validation, deployment, monitoring, and iteration.
* Develop and help operationalize models using AWS (e.g., SageMaker, Bedrock) and modern data platforms (Snowflake, Databricks), ensuring quality, security, and scalability; partner with ML engineers for large\-scale production deployment and scaling.
* Assist in designing and evaluating agentic/AI\-powered solutions that automate routine service tasks with human\-in\-the\-loop checkpoints, escalation thresholds, and safety guardrails.
* Implement and refine LLM/RAG approaches (vector stores, embeddings, retrieval optimization, prompt orchestration) with evaluators for reliability.
* Ensure AI capabilities are accessible through APIs, dashboards, and integrated workflow applications used by service teams.
* Build lightweight UI prototypes (e.g., Streamlit) to validate usability and support adoption.
* Adhere to model governance, documentation, testing, and CI/CD best practices in partnership with MLOps.
 **What You’ll Bring:**
* Advanced degree in Computer Science, Data Science, Engineering, Mathematics, Statistics, or a related quantitative field.
* 8\+ years of experience applying data science and AI/ML to real\-world business problems.
* Ability to communicate complex ideas simply, presenting impact, trade\-offs, and recommendations to non\-technical partners.
* Proficiency in Python and SQL; working knowledge of core software engineering concepts (version control with Git/GitHub, testing, logging).
* Experience with AWS services (e.g., SageMaker, Bedrock) and modern data ecosystems (Snowflake/Databricks).
* Working knowledge of LLMs, RAG architecture, and agent frameworks, including safe automation design and evaluation practices.
* Solid grounding in ML methods (supervised and unsupervised learning, gradient boosting exposure to deep learning), feature engineering, regularization, cross\-validation.
* Ability to translate analytical findings into clear business insights and collaborate effectively with cross\-functional partners.
* Experience in customer service or consumer finance domains is a plus.
This role involves limited travel (\&lt;10%) to events and vendor meetings.
**Pay Transparency**
Salary Range: $124,000\-$177,000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work.Click hereto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93306</t>
        </is>
      </c>
    </row>
    <row r="57">
      <c r="A57" t="inlineStr">
        <is>
          <t>in-4c3d5359788d281b</t>
        </is>
      </c>
      <c r="B57" t="inlineStr">
        <is>
          <t>Principal Applied Scientist, Advertiser Growth, Amazon Sponsored Products &amp; Brands</t>
        </is>
      </c>
      <c r="C57" t="inlineStr">
        <is>
          <t>Amazon.com</t>
        </is>
      </c>
      <c r="D57" t="inlineStr">
        <is>
          <t>indeed</t>
        </is>
      </c>
      <c r="E57">
        <f>HYPERLINK("https://www.indeed.com/viewjob?jk=4c3d5359788d281b", "https://www.indeed.com/viewjob?jk=4c3d5359788d281b")</f>
        <v/>
      </c>
      <c r="F57">
        <f>HYPERLINK("https://www.amazon.jobs/jobs/3115279/principal-applied-scientist-advertiser-growth-amazon-sponsored-products--brands?cmpid=DA_INAD200785B", "https://www.amazon.jobs/jobs/3115279/principal-applied-scientist-advertiser-growth-amazon-sponsored-products--brands?cmpid=DA_INAD200785B")</f>
        <v/>
      </c>
      <c r="G57" t="inlineStr">
        <is>
          <t>Palo Alto, CA, US</t>
        </is>
      </c>
      <c r="H57" s="3" t="n">
        <v>45942</v>
      </c>
      <c r="I5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in-c5d8ea9db466ddf4</t>
        </is>
      </c>
      <c r="B58" t="inlineStr">
        <is>
          <t>Principal Applied Scientist, Advertiser Growth, Amazon Sponsored Products &amp; Brands</t>
        </is>
      </c>
      <c r="C58" t="inlineStr">
        <is>
          <t>Amazon.com</t>
        </is>
      </c>
      <c r="D58" t="inlineStr">
        <is>
          <t>indeed</t>
        </is>
      </c>
      <c r="E58">
        <f>HYPERLINK("https://www.indeed.com/viewjob?jk=c5d8ea9db466ddf4", "https://www.indeed.com/viewjob?jk=c5d8ea9db466ddf4")</f>
        <v/>
      </c>
      <c r="F58">
        <f>HYPERLINK("https://www.amazon.jobs/jobs/3115279/principal-applied-scientist-advertiser-growth-amazon-sponsored-products--brands?cmpid=DA_INAD200785B", "https://www.amazon.jobs/jobs/3115279/principal-applied-scientist-advertiser-growth-amazon-sponsored-products--brands?cmpid=DA_INAD200785B")</f>
        <v/>
      </c>
      <c r="G58" t="inlineStr">
        <is>
          <t>Seattle, WA, US</t>
        </is>
      </c>
      <c r="H58" s="3" t="n">
        <v>45942</v>
      </c>
      <c r="I5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in-5fa07f2513156ad5</t>
        </is>
      </c>
      <c r="B59" t="inlineStr">
        <is>
          <t>Applied Scientist II, Prime Video - Personalization and Discovery Science, Personalization and Discovery Science</t>
        </is>
      </c>
      <c r="C59" t="inlineStr">
        <is>
          <t>Amazon.com</t>
        </is>
      </c>
      <c r="D59" t="inlineStr">
        <is>
          <t>indeed</t>
        </is>
      </c>
      <c r="E59">
        <f>HYPERLINK("https://www.indeed.com/viewjob?jk=5fa07f2513156ad5", "https://www.indeed.com/viewjob?jk=5fa07f2513156ad5")</f>
        <v/>
      </c>
      <c r="F59">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59" t="inlineStr">
        <is>
          <t>New York, NY, US</t>
        </is>
      </c>
      <c r="H59" s="3" t="n">
        <v>45930</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in-eaa1e848ab0e8c66</t>
        </is>
      </c>
      <c r="B60" t="inlineStr">
        <is>
          <t>Applied Scientist II, Prime Video - Personalization and Discovery Science, Personalization and Discovery Science</t>
        </is>
      </c>
      <c r="C60" t="inlineStr">
        <is>
          <t>Amazon.com</t>
        </is>
      </c>
      <c r="D60" t="inlineStr">
        <is>
          <t>indeed</t>
        </is>
      </c>
      <c r="E60">
        <f>HYPERLINK("https://www.indeed.com/viewjob?jk=eaa1e848ab0e8c66", "https://www.indeed.com/viewjob?jk=eaa1e848ab0e8c66")</f>
        <v/>
      </c>
      <c r="F60">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60" t="inlineStr">
        <is>
          <t>Seattle, WA, US</t>
        </is>
      </c>
      <c r="H60" s="3" t="n">
        <v>45930</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in-34e337bbb37850c9</t>
        </is>
      </c>
      <c r="B61" t="inlineStr">
        <is>
          <t>Applied Scientist II, Prime Video - Personalization and Discovery Science, Personalization and Discovery Science</t>
        </is>
      </c>
      <c r="C61" t="inlineStr">
        <is>
          <t>Amazon.com</t>
        </is>
      </c>
      <c r="D61" t="inlineStr">
        <is>
          <t>indeed</t>
        </is>
      </c>
      <c r="E61">
        <f>HYPERLINK("https://www.indeed.com/viewjob?jk=34e337bbb37850c9", "https://www.indeed.com/viewjob?jk=34e337bbb37850c9")</f>
        <v/>
      </c>
      <c r="F61">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61" t="inlineStr">
        <is>
          <t>Sunnyvale, CA, US</t>
        </is>
      </c>
      <c r="H61" s="3" t="n">
        <v>45930</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in-66ef153515f91eb9</t>
        </is>
      </c>
      <c r="B62" t="inlineStr">
        <is>
          <t>Applied Scientist II, Prime Video - Personalization and Discovery Science</t>
        </is>
      </c>
      <c r="C62" t="inlineStr">
        <is>
          <t>Amazon.com</t>
        </is>
      </c>
      <c r="D62" t="inlineStr">
        <is>
          <t>indeed</t>
        </is>
      </c>
      <c r="E62">
        <f>HYPERLINK("https://www.indeed.com/viewjob?jk=66ef153515f91eb9", "https://www.indeed.com/viewjob?jk=66ef153515f91eb9")</f>
        <v/>
      </c>
      <c r="F62">
        <f>HYPERLINK("https://www.amazon.jobs/jobs/3059253/applied-scientist-ii-prime-video--personalization-and-discovery-science?cmpid=DA_INAD200785B", "https://www.amazon.jobs/jobs/3059253/applied-scientist-ii-prime-video--personalization-and-discovery-science?cmpid=DA_INAD200785B")</f>
        <v/>
      </c>
      <c r="G62" t="inlineStr">
        <is>
          <t>Seattle, WA, US</t>
        </is>
      </c>
      <c r="H62" s="3" t="n">
        <v>45881</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in-72ad87167c3bf49d</t>
        </is>
      </c>
      <c r="B63" t="inlineStr">
        <is>
          <t>Applied Scientist II, Prime Video - Personalization and Discovery Science</t>
        </is>
      </c>
      <c r="C63" t="inlineStr">
        <is>
          <t>Amazon.com</t>
        </is>
      </c>
      <c r="D63" t="inlineStr">
        <is>
          <t>indeed</t>
        </is>
      </c>
      <c r="E63">
        <f>HYPERLINK("https://www.indeed.com/viewjob?jk=72ad87167c3bf49d", "https://www.indeed.com/viewjob?jk=72ad87167c3bf49d")</f>
        <v/>
      </c>
      <c r="F63">
        <f>HYPERLINK("https://www.amazon.jobs/jobs/3059253/applied-scientist-ii-prime-video--personalization-and-discovery-science?cmpid=DA_INAD200785B", "https://www.amazon.jobs/jobs/3059253/applied-scientist-ii-prime-video--personalization-and-discovery-science?cmpid=DA_INAD200785B")</f>
        <v/>
      </c>
      <c r="G63" t="inlineStr">
        <is>
          <t>New York, NY, US</t>
        </is>
      </c>
      <c r="H63" s="3" t="n">
        <v>45881</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in-48c865c38e6b289d</t>
        </is>
      </c>
      <c r="B64" t="inlineStr">
        <is>
          <t>Applied Scientist II, Prime Video - Personalization and Discovery Science</t>
        </is>
      </c>
      <c r="C64" t="inlineStr">
        <is>
          <t>Amazon.com</t>
        </is>
      </c>
      <c r="D64" t="inlineStr">
        <is>
          <t>indeed</t>
        </is>
      </c>
      <c r="E64">
        <f>HYPERLINK("https://www.indeed.com/viewjob?jk=48c865c38e6b289d", "https://www.indeed.com/viewjob?jk=48c865c38e6b289d")</f>
        <v/>
      </c>
      <c r="F64">
        <f>HYPERLINK("https://www.amazon.jobs/jobs/3059253/applied-scientist-ii-prime-video--personalization-and-discovery-science?cmpid=DA_INAD200785B", "https://www.amazon.jobs/jobs/3059253/applied-scientist-ii-prime-video--personalization-and-discovery-science?cmpid=DA_INAD200785B")</f>
        <v/>
      </c>
      <c r="G64" t="inlineStr">
        <is>
          <t>Sunnyvale, CA, US</t>
        </is>
      </c>
      <c r="H64" s="3" t="n">
        <v>45881</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in-508de283ba944ca3</t>
        </is>
      </c>
      <c r="B65" t="inlineStr">
        <is>
          <t>Sr. Applied Scientist, Prime Video - Personalization and Discovery Science</t>
        </is>
      </c>
      <c r="C65" t="inlineStr">
        <is>
          <t>Amazon.com</t>
        </is>
      </c>
      <c r="D65" t="inlineStr">
        <is>
          <t>indeed</t>
        </is>
      </c>
      <c r="E65">
        <f>HYPERLINK("https://www.indeed.com/viewjob?jk=508de283ba944ca3", "https://www.indeed.com/viewjob?jk=508de283ba944ca3")</f>
        <v/>
      </c>
      <c r="F65">
        <f>HYPERLINK("https://www.amazon.jobs/jobs/3059256/sr-applied-scientist-prime-video--personalization-and-discovery-science?cmpid=DA_INAD200785B", "https://www.amazon.jobs/jobs/3059256/sr-applied-scientist-prime-video--personalization-and-discovery-science?cmpid=DA_INAD200785B")</f>
        <v/>
      </c>
      <c r="G65" t="inlineStr">
        <is>
          <t>Seattle, WA, US</t>
        </is>
      </c>
      <c r="H65" s="3" t="n">
        <v>45881</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in-6f4286c0a7379e25</t>
        </is>
      </c>
      <c r="B66" t="inlineStr">
        <is>
          <t>Sr. Applied Scientist, Prime Video - Personalization and Discovery Science</t>
        </is>
      </c>
      <c r="C66" t="inlineStr">
        <is>
          <t>Amazon.com</t>
        </is>
      </c>
      <c r="D66" t="inlineStr">
        <is>
          <t>indeed</t>
        </is>
      </c>
      <c r="E66">
        <f>HYPERLINK("https://www.indeed.com/viewjob?jk=6f4286c0a7379e25", "https://www.indeed.com/viewjob?jk=6f4286c0a7379e25")</f>
        <v/>
      </c>
      <c r="F66">
        <f>HYPERLINK("https://www.amazon.jobs/jobs/3059256/sr-applied-scientist-prime-video--personalization-and-discovery-science?cmpid=DA_INAD200785B", "https://www.amazon.jobs/jobs/3059256/sr-applied-scientist-prime-video--personalization-and-discovery-science?cmpid=DA_INAD200785B")</f>
        <v/>
      </c>
      <c r="G66" t="inlineStr">
        <is>
          <t>Sunnyvale, CA, US</t>
        </is>
      </c>
      <c r="H66" s="3" t="n">
        <v>45881</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in-bd1097b3ed66981a</t>
        </is>
      </c>
      <c r="B67" t="inlineStr">
        <is>
          <t>Sr. Applied Scientist, Prime Video - Personalization and Discovery Science</t>
        </is>
      </c>
      <c r="C67" t="inlineStr">
        <is>
          <t>Amazon.com</t>
        </is>
      </c>
      <c r="D67" t="inlineStr">
        <is>
          <t>indeed</t>
        </is>
      </c>
      <c r="E67">
        <f>HYPERLINK("https://www.indeed.com/viewjob?jk=bd1097b3ed66981a", "https://www.indeed.com/viewjob?jk=bd1097b3ed66981a")</f>
        <v/>
      </c>
      <c r="F67">
        <f>HYPERLINK("https://www.amazon.jobs/jobs/3059256/sr-applied-scientist-prime-video--personalization-and-discovery-science?cmpid=DA_INAD200785B", "https://www.amazon.jobs/jobs/3059256/sr-applied-scientist-prime-video--personalization-and-discovery-science?cmpid=DA_INAD200785B")</f>
        <v/>
      </c>
      <c r="G67" t="inlineStr">
        <is>
          <t>New York, NY, US</t>
        </is>
      </c>
      <c r="H67" s="3" t="n">
        <v>45881</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in-41f2fe6327893205</t>
        </is>
      </c>
      <c r="B68" t="inlineStr">
        <is>
          <t>Sr. Applied Scientist, Amazon Advertising</t>
        </is>
      </c>
      <c r="C68" t="inlineStr">
        <is>
          <t>Amazon.com</t>
        </is>
      </c>
      <c r="D68" t="inlineStr">
        <is>
          <t>indeed</t>
        </is>
      </c>
      <c r="E68">
        <f>HYPERLINK("https://www.indeed.com/viewjob?jk=41f2fe6327893205", "https://www.indeed.com/viewjob?jk=41f2fe6327893205")</f>
        <v/>
      </c>
      <c r="F68">
        <f>HYPERLINK("https://www.amazon.jobs/jobs/3035686/sr-applied-scientist-amazon-advertising?cmpid=DA_INAD200785B", "https://www.amazon.jobs/jobs/3035686/sr-applied-scientist-amazon-advertising?cmpid=DA_INAD200785B")</f>
        <v/>
      </c>
      <c r="G68" t="inlineStr">
        <is>
          <t>Los Angeles, CA, US</t>
        </is>
      </c>
      <c r="H68" s="3" t="n">
        <v>45851</v>
      </c>
      <c r="I6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in-91b49a700a144d93</t>
        </is>
      </c>
      <c r="B69" t="inlineStr">
        <is>
          <t>Sr. Applied Scientist, Amazon Advertising</t>
        </is>
      </c>
      <c r="C69" t="inlineStr">
        <is>
          <t>Amazon.com</t>
        </is>
      </c>
      <c r="D69" t="inlineStr">
        <is>
          <t>indeed</t>
        </is>
      </c>
      <c r="E69">
        <f>HYPERLINK("https://www.indeed.com/viewjob?jk=91b49a700a144d93", "https://www.indeed.com/viewjob?jk=91b49a700a144d93")</f>
        <v/>
      </c>
      <c r="F69">
        <f>HYPERLINK("https://www.amazon.jobs/jobs/3035686/sr-applied-scientist-amazon-advertising?cmpid=DA_INAD200785B", "https://www.amazon.jobs/jobs/3035686/sr-applied-scientist-amazon-advertising?cmpid=DA_INAD200785B")</f>
        <v/>
      </c>
      <c r="G69" t="inlineStr">
        <is>
          <t>West Hollywood, CA, US</t>
        </is>
      </c>
      <c r="H69" s="3" t="n">
        <v>45851</v>
      </c>
      <c r="I6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in-906156fa6768cb30</t>
        </is>
      </c>
      <c r="B70" t="inlineStr">
        <is>
          <t>Sr. Applied Scientist, Amazon Advertising</t>
        </is>
      </c>
      <c r="C70" t="inlineStr">
        <is>
          <t>Amazon.com</t>
        </is>
      </c>
      <c r="D70" t="inlineStr">
        <is>
          <t>indeed</t>
        </is>
      </c>
      <c r="E70">
        <f>HYPERLINK("https://www.indeed.com/viewjob?jk=906156fa6768cb30", "https://www.indeed.com/viewjob?jk=906156fa6768cb30")</f>
        <v/>
      </c>
      <c r="F70">
        <f>HYPERLINK("https://www.amazon.jobs/jobs/3035686/sr-applied-scientist-amazon-advertising?cmpid=DA_INAD200785B", "https://www.amazon.jobs/jobs/3035686/sr-applied-scientist-amazon-advertising?cmpid=DA_INAD200785B")</f>
        <v/>
      </c>
      <c r="G70" t="inlineStr">
        <is>
          <t>New York, NY, US</t>
        </is>
      </c>
      <c r="H70" s="3" t="n">
        <v>45851</v>
      </c>
      <c r="I7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in-5ced48cf6130c3b6</t>
        </is>
      </c>
      <c r="B71" t="inlineStr">
        <is>
          <t>Sr. Applied Scientist, Amazon Advertising</t>
        </is>
      </c>
      <c r="C71" t="inlineStr">
        <is>
          <t>Amazon.com</t>
        </is>
      </c>
      <c r="D71" t="inlineStr">
        <is>
          <t>indeed</t>
        </is>
      </c>
      <c r="E71">
        <f>HYPERLINK("https://www.indeed.com/viewjob?jk=5ced48cf6130c3b6", "https://www.indeed.com/viewjob?jk=5ced48cf6130c3b6")</f>
        <v/>
      </c>
      <c r="F71">
        <f>HYPERLINK("https://www.amazon.jobs/jobs/3035686/sr-applied-scientist-amazon-advertising?cmpid=DA_INAD200785B", "https://www.amazon.jobs/jobs/3035686/sr-applied-scientist-amazon-advertising?cmpid=DA_INAD200785B")</f>
        <v/>
      </c>
      <c r="G71" t="inlineStr">
        <is>
          <t>Palo Alto, CA, US</t>
        </is>
      </c>
      <c r="H71" s="3" t="n">
        <v>45851</v>
      </c>
      <c r="I7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in-f94cc51a627812b2</t>
        </is>
      </c>
      <c r="B72" t="inlineStr">
        <is>
          <t>Sr. Applied Scientist, Amazon Advertising</t>
        </is>
      </c>
      <c r="C72" t="inlineStr">
        <is>
          <t>Amazon.com</t>
        </is>
      </c>
      <c r="D72" t="inlineStr">
        <is>
          <t>indeed</t>
        </is>
      </c>
      <c r="E72">
        <f>HYPERLINK("https://www.indeed.com/viewjob?jk=f94cc51a627812b2", "https://www.indeed.com/viewjob?jk=f94cc51a627812b2")</f>
        <v/>
      </c>
      <c r="F72">
        <f>HYPERLINK("https://www.amazon.jobs/jobs/3035686/sr-applied-scientist-amazon-advertising?cmpid=DA_INAD200785B", "https://www.amazon.jobs/jobs/3035686/sr-applied-scientist-amazon-advertising?cmpid=DA_INAD200785B")</f>
        <v/>
      </c>
      <c r="G72" t="inlineStr">
        <is>
          <t>Seattle, WA, US</t>
        </is>
      </c>
      <c r="H72" s="3" t="n">
        <v>45851</v>
      </c>
      <c r="I7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in-7bbf5a12a2dee965</t>
        </is>
      </c>
      <c r="B73" t="inlineStr">
        <is>
          <t>Sr. Applied Scientist, Amazon Advertising</t>
        </is>
      </c>
      <c r="C73" t="inlineStr">
        <is>
          <t>Amazon.com</t>
        </is>
      </c>
      <c r="D73" t="inlineStr">
        <is>
          <t>indeed</t>
        </is>
      </c>
      <c r="E73">
        <f>HYPERLINK("https://www.indeed.com/viewjob?jk=7bbf5a12a2dee965", "https://www.indeed.com/viewjob?jk=7bbf5a12a2dee965")</f>
        <v/>
      </c>
      <c r="F73">
        <f>HYPERLINK("https://www.amazon.jobs/jobs/3035686/sr-applied-scientist-amazon-advertising?cmpid=DA_INAD200785B", "https://www.amazon.jobs/jobs/3035686/sr-applied-scientist-amazon-advertising?cmpid=DA_INAD200785B")</f>
        <v/>
      </c>
      <c r="G73" t="inlineStr">
        <is>
          <t>Arlington, VA, US</t>
        </is>
      </c>
      <c r="H73" s="3" t="n">
        <v>45851</v>
      </c>
      <c r="I7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in-0bc0933892a1bba4</t>
        </is>
      </c>
      <c r="B74" t="inlineStr">
        <is>
          <t>Sr. Applied Scientist, Amazon Advertising</t>
        </is>
      </c>
      <c r="C74" t="inlineStr">
        <is>
          <t>Amazon.com</t>
        </is>
      </c>
      <c r="D74" t="inlineStr">
        <is>
          <t>indeed</t>
        </is>
      </c>
      <c r="E74">
        <f>HYPERLINK("https://www.indeed.com/viewjob?jk=0bc0933892a1bba4", "https://www.indeed.com/viewjob?jk=0bc0933892a1bba4")</f>
        <v/>
      </c>
      <c r="F74">
        <f>HYPERLINK("https://www.amazon.jobs/jobs/3035686/sr-applied-scientist-amazon-advertising?cmpid=DA_INAD200785B", "https://www.amazon.jobs/jobs/3035686/sr-applied-scientist-amazon-advertising?cmpid=DA_INAD200785B")</f>
        <v/>
      </c>
      <c r="G74" t="inlineStr">
        <is>
          <t>Simi Valley, CA, US</t>
        </is>
      </c>
      <c r="H74" s="3" t="n">
        <v>45851</v>
      </c>
      <c r="I7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in-d5158ae4c77a3a91</t>
        </is>
      </c>
      <c r="B75" t="inlineStr">
        <is>
          <t>Sr. Applied Scientist, Amazon Advertising</t>
        </is>
      </c>
      <c r="C75" t="inlineStr">
        <is>
          <t>Amazon.com</t>
        </is>
      </c>
      <c r="D75" t="inlineStr">
        <is>
          <t>indeed</t>
        </is>
      </c>
      <c r="E75">
        <f>HYPERLINK("https://www.indeed.com/viewjob?jk=d5158ae4c77a3a91", "https://www.indeed.com/viewjob?jk=d5158ae4c77a3a91")</f>
        <v/>
      </c>
      <c r="F75">
        <f>HYPERLINK("https://www.amazon.jobs/jobs/3035686/sr-applied-scientist-amazon-advertising?cmpid=DA_INAD200785B", "https://www.amazon.jobs/jobs/3035686/sr-applied-scientist-amazon-advertising?cmpid=DA_INAD200785B")</f>
        <v/>
      </c>
      <c r="G75" t="inlineStr">
        <is>
          <t>Austin, TX, US</t>
        </is>
      </c>
      <c r="H75" s="3" t="n">
        <v>45851</v>
      </c>
      <c r="I7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in-38e0d789a855e193</t>
        </is>
      </c>
      <c r="B76" t="inlineStr">
        <is>
          <t>Applied Scientist, Prime Video - Personalization and Discovery Science</t>
        </is>
      </c>
      <c r="C76" t="inlineStr">
        <is>
          <t>Amazon.com</t>
        </is>
      </c>
      <c r="D76" t="inlineStr">
        <is>
          <t>indeed</t>
        </is>
      </c>
      <c r="E76">
        <f>HYPERLINK("https://www.indeed.com/viewjob?jk=38e0d789a855e193", "https://www.indeed.com/viewjob?jk=38e0d789a855e193")</f>
        <v/>
      </c>
      <c r="F76">
        <f>HYPERLINK("https://www.amazon.jobs/jobs/3033050/applied-scientist-prime-video--personalization-and-discovery-science?cmpid=DA_INAD200785B", "https://www.amazon.jobs/jobs/3033050/applied-scientist-prime-video--personalization-and-discovery-science?cmpid=DA_INAD200785B")</f>
        <v/>
      </c>
      <c r="G76" t="inlineStr">
        <is>
          <t>New York, NY, US</t>
        </is>
      </c>
      <c r="H76" s="3" t="n">
        <v>45845</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in-7b8d04be1d35ed16</t>
        </is>
      </c>
      <c r="B77" t="inlineStr">
        <is>
          <t>Applied Scientist, Prime Video - Personalization and Discovery Science</t>
        </is>
      </c>
      <c r="C77" t="inlineStr">
        <is>
          <t>Amazon.com</t>
        </is>
      </c>
      <c r="D77" t="inlineStr">
        <is>
          <t>indeed</t>
        </is>
      </c>
      <c r="E77">
        <f>HYPERLINK("https://www.indeed.com/viewjob?jk=7b8d04be1d35ed16", "https://www.indeed.com/viewjob?jk=7b8d04be1d35ed16")</f>
        <v/>
      </c>
      <c r="F77">
        <f>HYPERLINK("https://www.amazon.jobs/jobs/3033050/applied-scientist-prime-video--personalization-and-discovery-science?cmpid=DA_INAD200785B", "https://www.amazon.jobs/jobs/3033050/applied-scientist-prime-video--personalization-and-discovery-science?cmpid=DA_INAD200785B")</f>
        <v/>
      </c>
      <c r="G77" t="inlineStr">
        <is>
          <t>Sunnyvale, CA, US</t>
        </is>
      </c>
      <c r="H77" s="3" t="n">
        <v>45845</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in-c3bea9cc373ac375</t>
        </is>
      </c>
      <c r="B78" t="inlineStr">
        <is>
          <t>Applied Scientist, Prime Video - Personalization and Discovery Science</t>
        </is>
      </c>
      <c r="C78" t="inlineStr">
        <is>
          <t>Amazon.com</t>
        </is>
      </c>
      <c r="D78" t="inlineStr">
        <is>
          <t>indeed</t>
        </is>
      </c>
      <c r="E78">
        <f>HYPERLINK("https://www.indeed.com/viewjob?jk=c3bea9cc373ac375", "https://www.indeed.com/viewjob?jk=c3bea9cc373ac375")</f>
        <v/>
      </c>
      <c r="F78">
        <f>HYPERLINK("https://www.amazon.jobs/jobs/3033050/applied-scientist-prime-video--personalization-and-discovery-science?cmpid=DA_INAD200785B", "https://www.amazon.jobs/jobs/3033050/applied-scientist-prime-video--personalization-and-discovery-science?cmpid=DA_INAD200785B")</f>
        <v/>
      </c>
      <c r="G78" t="inlineStr">
        <is>
          <t>Seattle, WA, US</t>
        </is>
      </c>
      <c r="H78" s="3" t="n">
        <v>45845</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in-5e48857276005670</t>
        </is>
      </c>
      <c r="B79" t="inlineStr">
        <is>
          <t>Principal Applied Scientist, FAR (Frontier AI &amp; Robotics)</t>
        </is>
      </c>
      <c r="C79" t="inlineStr">
        <is>
          <t>Amazon.com</t>
        </is>
      </c>
      <c r="D79" t="inlineStr">
        <is>
          <t>indeed</t>
        </is>
      </c>
      <c r="E79">
        <f>HYPERLINK("https://www.indeed.com/viewjob?jk=5e48857276005670", "https://www.indeed.com/viewjob?jk=5e48857276005670")</f>
        <v/>
      </c>
      <c r="F79">
        <f>HYPERLINK("https://www.amazon.jobs/jobs/2938625/principal-applied-scientist-far-frontier-ai--robotics?cmpid=DA_INAD200785B", "https://www.amazon.jobs/jobs/2938625/principal-applied-scientist-far-frontier-ai--robotics?cmpid=DA_INAD200785B")</f>
        <v/>
      </c>
      <c r="G79" t="inlineStr">
        <is>
          <t>San Francisco, CA, US</t>
        </is>
      </c>
      <c r="H79" s="3" t="n">
        <v>45740</v>
      </c>
      <c r="I7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in-0f42cf79dd9b3db7</t>
        </is>
      </c>
      <c r="B80" t="inlineStr">
        <is>
          <t>Principal Applied Scientist, FAR (Frontier AI &amp; Robotics)</t>
        </is>
      </c>
      <c r="C80" t="inlineStr">
        <is>
          <t>Amazon.com</t>
        </is>
      </c>
      <c r="D80" t="inlineStr">
        <is>
          <t>indeed</t>
        </is>
      </c>
      <c r="E80">
        <f>HYPERLINK("https://www.indeed.com/viewjob?jk=0f42cf79dd9b3db7", "https://www.indeed.com/viewjob?jk=0f42cf79dd9b3db7")</f>
        <v/>
      </c>
      <c r="F80">
        <f>HYPERLINK("https://www.amazon.jobs/jobs/2938625/principal-applied-scientist-far-frontier-ai--robotics?cmpid=DA_INAD200785B", "https://www.amazon.jobs/jobs/2938625/principal-applied-scientist-far-frontier-ai--robotics?cmpid=DA_INAD200785B")</f>
        <v/>
      </c>
      <c r="G80" t="inlineStr">
        <is>
          <t>Seattle, WA, US</t>
        </is>
      </c>
      <c r="H80" s="3" t="n">
        <v>45740</v>
      </c>
      <c r="I8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in-ad2025a6e364adb0</t>
        </is>
      </c>
      <c r="B81" t="inlineStr">
        <is>
          <t>GenAI Data Scientist</t>
        </is>
      </c>
      <c r="C81" t="inlineStr">
        <is>
          <t>Relevance Lab</t>
        </is>
      </c>
      <c r="D81" t="inlineStr">
        <is>
          <t>indeed</t>
        </is>
      </c>
      <c r="E81">
        <f>HYPERLINK("https://www.indeed.com/viewjob?jk=ad2025a6e364adb0", "https://www.indeed.com/viewjob?jk=ad2025a6e364adb0")</f>
        <v/>
      </c>
      <c r="F81">
        <f>HYPERLINK("https://relevancelabus.hiresome.ai/apply_form/genai-data-scientist-6983802d48fb290e6c4de0ba", "https://relevancelabus.hiresome.ai/apply_form/genai-data-scientist-6983802d48fb290e6c4de0ba")</f>
        <v/>
      </c>
      <c r="G81" t="inlineStr">
        <is>
          <t>DE, US</t>
        </is>
      </c>
      <c r="H81" s="3" t="n">
        <v>46057</v>
      </c>
      <c r="I81" t="inlineStr">
        <is>
          <t>As a Senior Data Scientist, you will translate the needs of our cross\-functional stakeholders into user\-facing applications that leverage NLP techniques and large language models (LLMs). As a Sr. Data Scientist on our GenAI applications team, you will work on products like conversational search interfaces, chatbots, text summarizers, recommender engines, and more based on the needs of the constituents. You will partner with Product Managers, Machine Learning Engineers, Cloud Platform Engineers, and cross\-functional partners to develop production\-grade algorithms.
You will contribute to the creation, delivery, and production of specific data science, machine learning and AI products for internal stakeholders; directly mentor other data professionals, data analysts, and machine learning engineers. In conjunction with the key partners, you will make technical decisions on data, technology, and ways of working
Duties and Responsibilities:
* Architect the overall framework and infrastructure for GenAI products like search interfaces, bots, summarizers, etc. Develop and implement techniques to optimize model performance to meet specific product goals
* Collaborate closely with product management and engineering leads to align on technical roadmap. Guide engineering teams to effectively leverage LLM capabilities in product implementations
* Establish protocols and systems for building fair, accountable and transparent LLM\-based applications. Lead efforts to proactively assess and mitigate risks due to model biases or failures
* Implement robust feedback pipelines, monitoring and corrections to ensure model safety
* Design and oversee curation of high\-quality datasets tailored for LLM training for each product. Build data science pipelines from feature generation, data visualization and models evaluation; design the solution, build initial code and provide documentation with ways of working to maximize time to value and re\-usability.
* Communicate clearly and effectively to technical and non\-technical audiences, verbally and visually, to create understanding, engagement, and buy\-in. Contribute novel research and analyses to leading academic conferences and journals.
* Identify trends and opportunities to drive innovation, both in what we do and how we do it; evaluate new data science, machine learning, and AI technologies and tools that can boost team performance, innovation and business value. Proactively analyze latest developments in large language models to deeply understand model capabilities, limitations, and best practices. Develop techniques to continually improve language understanding and model training
* Mentor and develop junior data scientists in state\-of\-the\-art GenAI methods
* Set technical vision and lead initiatives to accelerate product impact through cutting\-edge LLM innovations
* Complete other responsibilities as assigned.
Required Skills and Qualifications:
* Total Exp: 8 to 10yrs\+
* Advanced degree in mathematics, physics, computer science, engineering, statistics, or an equivalent technical discipline.
* Minimum of three years’ experience in developing machine learning models with a track record of creating meaningful business impact and working with multiple stakeholders.
* Minimum of five years’ experience with Python.
* Minimum of three year’s experience building production NLP and deep learning models using PyTorch/Tensorflow, along with using large language model architectures (BERT, GPT\-3 etc.)
* Experience building advanced workflows such as retrieval augmented generation, model chaining, dynamic prompting, PEFT/SFT, etc. using Langchain and similar tools
* Experience establishing model guardrails and developing bias detection and mitigation techniques for AI applications
* Proficiency with various prompting techniques, with a clear understanding of tradeoffs between prompting and finetuning
* Experience with finetuning embedding models and tuning vector databases to improve performance of semantic search and retrieval systems
* Deep understanding of underlying fundamentals such as Transformers, Self\-Attention mechanisms that form the theoretical foundation of LLMs
* Experience with cloud computing platforms and tools (AWS).
* Experience operationalizing end\-to\-end machine learning applications.</t>
        </is>
      </c>
    </row>
    <row r="82">
      <c r="A82" t="inlineStr">
        <is>
          <t>in-69ddb45bddea4c59</t>
        </is>
      </c>
      <c r="B82" t="inlineStr">
        <is>
          <t>Data Scientist - Computer Vision, Data &amp; Machine Learning (DML)</t>
        </is>
      </c>
      <c r="C82" t="inlineStr">
        <is>
          <t>Amazon Web Services</t>
        </is>
      </c>
      <c r="D82" t="inlineStr">
        <is>
          <t>indeed</t>
        </is>
      </c>
      <c r="E82">
        <f>HYPERLINK("https://www.indeed.com/viewjob?jk=69ddb45bddea4c59", "https://www.indeed.com/viewjob?jk=69ddb45bddea4c59")</f>
        <v/>
      </c>
      <c r="F82">
        <f>HYPERLINK("https://www.amazon.jobs/jobs/3171977/data-scientist--computer-vision-data--machine-learning-dml?cmpid=DA_INAD200785B", "https://www.amazon.jobs/jobs/3171977/data-scientist--computer-vision-data--machine-learning-dml?cmpid=DA_INAD200785B")</f>
        <v/>
      </c>
      <c r="G82" t="inlineStr">
        <is>
          <t>Arlington, VA, US</t>
        </is>
      </c>
      <c r="H82" s="3" t="n">
        <v>46051</v>
      </c>
      <c r="I82"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83">
      <c r="A83" t="inlineStr">
        <is>
          <t>in-ac401da9c0054fdb</t>
        </is>
      </c>
      <c r="B83" t="inlineStr">
        <is>
          <t>Data Scientist - Computer Vision, Data &amp; Machine Learning (DML)</t>
        </is>
      </c>
      <c r="C83" t="inlineStr">
        <is>
          <t>Amazon Web Services</t>
        </is>
      </c>
      <c r="D83" t="inlineStr">
        <is>
          <t>indeed</t>
        </is>
      </c>
      <c r="E83">
        <f>HYPERLINK("https://www.indeed.com/viewjob?jk=ac401da9c0054fdb", "https://www.indeed.com/viewjob?jk=ac401da9c0054fdb")</f>
        <v/>
      </c>
      <c r="F83">
        <f>HYPERLINK("https://www.amazon.jobs/jobs/3171977/data-scientist--computer-vision-data--machine-learning-dml?cmpid=DA_INAD200785B", "https://www.amazon.jobs/jobs/3171977/data-scientist--computer-vision-data--machine-learning-dml?cmpid=DA_INAD200785B")</f>
        <v/>
      </c>
      <c r="G83" t="inlineStr">
        <is>
          <t>Herndon, VA, US</t>
        </is>
      </c>
      <c r="H83" s="3" t="n">
        <v>46051</v>
      </c>
      <c r="I83"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84">
      <c r="A84" t="inlineStr">
        <is>
          <t>in-3f8ddfc36986498f</t>
        </is>
      </c>
      <c r="B84" t="inlineStr">
        <is>
          <t>Data Scientist- Vision Language Model Researcher, Data &amp; Machine Learning (DML)</t>
        </is>
      </c>
      <c r="C84" t="inlineStr">
        <is>
          <t>Amazon Web Services</t>
        </is>
      </c>
      <c r="D84" t="inlineStr">
        <is>
          <t>indeed</t>
        </is>
      </c>
      <c r="E84">
        <f>HYPERLINK("https://www.indeed.com/viewjob?jk=3f8ddfc36986498f", "https://www.indeed.com/viewjob?jk=3f8ddfc36986498f")</f>
        <v/>
      </c>
      <c r="F84">
        <f>HYPERLINK("https://www.amazon.jobs/jobs/3172308/data-scientist-vision-language-model-researcher-data--machine-learning-dml?cmpid=DA_INAD200785B", "https://www.amazon.jobs/jobs/3172308/data-scientist-vision-language-model-researcher-data--machine-learning-dml?cmpid=DA_INAD200785B")</f>
        <v/>
      </c>
      <c r="G84" t="inlineStr">
        <is>
          <t>Herndon, VA, US</t>
        </is>
      </c>
      <c r="H84" s="3" t="n">
        <v>46051</v>
      </c>
      <c r="I84"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85">
      <c r="A85" t="inlineStr">
        <is>
          <t>in-a4ddc36068c205e8</t>
        </is>
      </c>
      <c r="B85" t="inlineStr">
        <is>
          <t>Data Scientist- Vision Language Model Researcher, Data &amp; Machine Learning (DML)</t>
        </is>
      </c>
      <c r="C85" t="inlineStr">
        <is>
          <t>Amazon Web Services</t>
        </is>
      </c>
      <c r="D85" t="inlineStr">
        <is>
          <t>indeed</t>
        </is>
      </c>
      <c r="E85">
        <f>HYPERLINK("https://www.indeed.com/viewjob?jk=a4ddc36068c205e8", "https://www.indeed.com/viewjob?jk=a4ddc36068c205e8")</f>
        <v/>
      </c>
      <c r="F85">
        <f>HYPERLINK("https://www.amazon.jobs/jobs/3172308/data-scientist-vision-language-model-researcher-data--machine-learning-dml?cmpid=DA_INAD200785B", "https://www.amazon.jobs/jobs/3172308/data-scientist-vision-language-model-researcher-data--machine-learning-dml?cmpid=DA_INAD200785B")</f>
        <v/>
      </c>
      <c r="G85" t="inlineStr">
        <is>
          <t>Arlington, VA, US</t>
        </is>
      </c>
      <c r="H85" s="3" t="n">
        <v>46051</v>
      </c>
      <c r="I85"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86">
      <c r="A86" t="inlineStr">
        <is>
          <t>in-0d7b10baf74b38ae</t>
        </is>
      </c>
      <c r="B86" t="inlineStr">
        <is>
          <t>Applied Scientist, Alexa Smart Home</t>
        </is>
      </c>
      <c r="C86" t="inlineStr">
        <is>
          <t>Amazon.com</t>
        </is>
      </c>
      <c r="D86" t="inlineStr">
        <is>
          <t>indeed</t>
        </is>
      </c>
      <c r="E86">
        <f>HYPERLINK("https://www.indeed.com/viewjob?jk=0d7b10baf74b38ae", "https://www.indeed.com/viewjob?jk=0d7b10baf74b38ae")</f>
        <v/>
      </c>
      <c r="F86">
        <f>HYPERLINK("https://www.amazon.jobs/jobs/3169205/applied-scientist-alexa-smart-home?cmpid=DA_INAD200785B", "https://www.amazon.jobs/jobs/3169205/applied-scientist-alexa-smart-home?cmpid=DA_INAD200785B")</f>
        <v/>
      </c>
      <c r="G86" t="inlineStr">
        <is>
          <t>Seattle, WA, US</t>
        </is>
      </c>
      <c r="H86" s="3" t="n">
        <v>46033</v>
      </c>
      <c r="I86"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87">
      <c r="A87" t="inlineStr">
        <is>
          <t>in-872859bc7adb58ef</t>
        </is>
      </c>
      <c r="B87" t="inlineStr">
        <is>
          <t>Applied Scientist, Alexa Smart Home</t>
        </is>
      </c>
      <c r="C87" t="inlineStr">
        <is>
          <t>Amazon.com</t>
        </is>
      </c>
      <c r="D87" t="inlineStr">
        <is>
          <t>indeed</t>
        </is>
      </c>
      <c r="E87">
        <f>HYPERLINK("https://www.indeed.com/viewjob?jk=872859bc7adb58ef", "https://www.indeed.com/viewjob?jk=872859bc7adb58ef")</f>
        <v/>
      </c>
      <c r="F87">
        <f>HYPERLINK("https://www.amazon.jobs/jobs/3169205/applied-scientist-alexa-smart-home?cmpid=DA_INAD200785B", "https://www.amazon.jobs/jobs/3169205/applied-scientist-alexa-smart-home?cmpid=DA_INAD200785B")</f>
        <v/>
      </c>
      <c r="G87" t="inlineStr">
        <is>
          <t>Sunnyvale, CA, US</t>
        </is>
      </c>
      <c r="H87" s="3" t="n">
        <v>46033</v>
      </c>
      <c r="I87"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li-4357492872</t>
        </is>
      </c>
      <c r="B2" t="inlineStr">
        <is>
          <t>Data Engineer / Data Scientist / Data Architect - Full time</t>
        </is>
      </c>
      <c r="C2" t="inlineStr">
        <is>
          <t>Ztek Consulting</t>
        </is>
      </c>
      <c r="D2" t="inlineStr">
        <is>
          <t>linkedin</t>
        </is>
      </c>
      <c r="E2" t="inlineStr"/>
      <c r="F2" t="inlineStr"/>
      <c r="G2" t="inlineStr">
        <is>
          <t>Vienna, VA</t>
        </is>
      </c>
      <c r="H2" t="inlineStr"/>
      <c r="I2" t="inlineStr">
        <is>
          <t>Below are the 3 roles open:
 1\) Data Engineer
 2\) Data Scientist
 3\) Data Architect
**Job Descriptions:** 
**Data Engineer Job Description :** 
* Design, build, and optimize batch and real\-time data pipelines using Python, SQL, Airflow, Kafka, and AWS Glue
* Lead scalable ETL and data lake architectures across distributed cloud environments
* Ensure data quality, governance, security, and compliance while supporting analytics and data science needs
* Mentor junior engineers and collaborate with stakeholders to deliver reliable, well\-documented data solutions
**Data Scientist Job Description :** 
* 3\+ years of experience in statistical modeling and applied data analysis, including regression, classification, clustering, and time\-series analysis
* Proficient in Python or R, with hands\-on experience in data wrangling, visualization, and model development
* Strong experience with SQL/Spark SQL, basic data modeling, and cloud platforms (AWS, Azure, or GCP)
* Excellent ability to communicate complex insights and manage multiple priorities effectively
**Data Architect Job Description :** 
* Lead and mentor data engineering teams while architecting and building enterprise\-scale data platforms from design through production
* Develop and optimize production\-grade ETL/ELT pipelines, data models, and data warehouses using Python, SQL, PySpark, and cloud platforms (AWS/GCP)
* Implement CI/CD, data governance, quality frameworks, and secure, compliant data solutions aligned with federal/VA standards
* Collaborate with cross\-functional stakeholders to translate business requirements into scalable, high\-quality data solutions</t>
        </is>
      </c>
    </row>
    <row r="3">
      <c r="A3" t="inlineStr">
        <is>
          <t>li-4359584630</t>
        </is>
      </c>
      <c r="B3" t="inlineStr">
        <is>
          <t>Data Scientist 5 - Member Experience for Games</t>
        </is>
      </c>
      <c r="C3" t="inlineStr">
        <is>
          <t>Netflix</t>
        </is>
      </c>
      <c r="D3" t="inlineStr">
        <is>
          <t>linkedin</t>
        </is>
      </c>
      <c r="E3" t="inlineStr"/>
      <c r="F3" t="inlineStr"/>
      <c r="G3" t="inlineStr"/>
      <c r="H3" t="inlineStr"/>
      <c r="I3"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New Content Experiences DSE team focuses on introducing new content types and innovative experiences to our product. We partner closely with Product, Design, Algorithms, and Engineering to surface opportunities, inform product strategy, and evaluate the success of initiatives. The content we focus on includes Games, Live, Podcasts, and more exciting things to come.
**The Role**
 In this role, you will:
* Drive product innovation focused on our Games vertical and help shape the member experience through robust measurement strategies covering experimentation, modeling, and analytics.
* Establish strong partnerships with stakeholders to realize our vision for Games
* Develop experimentation and measurement frameworks to increase the velocity of investments and aid complex decision\-making.
* Facilitate ownership and accountability by ensuring the team produces trustworthy, high\-quality outputs that inform decisions and shape the direction of member experience.
* Be flexible to changing circumstances. Netflix Games is evolving rapidly, and this role will help shape its future.
**To Be Successful In This Role, You Have**
* Experience with supporting experimentation at scale and observational causal inference to drive product development
* Strong statistical intuition and applied experience solving problems in consumer\-facing products. Experience analyzing recommender systems is a plus.
* Expertise in SQL and statistical programming (Python and/or R)
* Exceptional communication with technical and non\-technical audiences. Excellent at managing multiple stakeholders and competing priorities.
* Comfort with ambiguity; ability to thrive with minimal oversight and process.
* A passion for product development and design.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$372,000\.00 \- $600,000\.00\.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4">
      <c r="A4" t="inlineStr">
        <is>
          <t>li-4369451935</t>
        </is>
      </c>
      <c r="B4" t="inlineStr">
        <is>
          <t>Data Scientist, Road Safety - Autonomous Vehicles</t>
        </is>
      </c>
      <c r="C4" t="inlineStr">
        <is>
          <t>Uber</t>
        </is>
      </c>
      <c r="D4" t="inlineStr">
        <is>
          <t>linkedin</t>
        </is>
      </c>
      <c r="E4" t="inlineStr"/>
      <c r="F4" t="inlineStr"/>
      <c r="G4" t="inlineStr">
        <is>
          <t>San Francisco, CA</t>
        </is>
      </c>
      <c r="H4" t="inlineStr"/>
      <c r="I4" t="inlineStr">
        <is>
          <t>**About The Role**
 The road safety science team is committed to making rare safety events even rarer. In this role you will partner closely with our safety and Autonomous Vehicles (AV) teams to develop insights analysis and metrics to understand an improve the safety of autonomous vehicles on Uber's platform.
**What The Candidate Will Do**
* Partner with cross\-functional teams across product, ops and engineering as weel as external partners to measure and understand AV safety.
* Identify interventions and product improvements that make Uber safer for everyone.
* Present findings to technical and non\-technical teams.
**Basic Qualifications**
* Ph.D., M.S. or Bachelor's degree in Statistics, Mathematics, Computer Science, Machine Learning, Operations Research, or other quantitative fields.
* 2\+ Years experience industry experience in Data Science
* Strong SQL and Python programming
* Strong applied knowledge of experiment design and analysis
* Excellent communication skills
**Preferred Qualifications**
* Experience in safety, risk or insurance.
* Ability to drive clarity through analytics and metrics
* Strong cross\-functional collaboration
* Experience in multi\-sided marketplace applications
 For San Francisco, CA\-based roles: The base salary range for this role is USD$142,000 per year \- USD$158,000 per year. For Sunnyvale, CA\-based roles: The base salary range for this role is USD$142,000 per year \- USD$158,000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USD$142,000 per year \- USD$158,000 per year. For Sunnyvale, CA\-based roles: The base salary range for this role is USD$142,000 per year \- USD$158,000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5">
      <c r="A5" t="inlineStr">
        <is>
          <t>li-4317555573</t>
        </is>
      </c>
      <c r="B5" t="inlineStr">
        <is>
          <t>Data Scientist - Payments</t>
        </is>
      </c>
      <c r="C5" t="inlineStr">
        <is>
          <t>Plaid</t>
        </is>
      </c>
      <c r="D5" t="inlineStr">
        <is>
          <t>linkedin</t>
        </is>
      </c>
      <c r="E5" t="inlineStr"/>
      <c r="F5" t="inlineStr"/>
      <c r="G5" t="inlineStr">
        <is>
          <t>New York, NY</t>
        </is>
      </c>
      <c r="H5" t="inlineStr"/>
      <c r="I5"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Data team is building data insights and models that improve how millions of users understand and grow their financial lives. We're looking for data scientists with experience applying state\-of\-the\-art data analytics techniques to different product areas. We value not only technical know\-how, but also creativity, user empathy, and teamwork.
 You’ll be a data scientist as a part of the Data organization, contributing to diverse, high\-impact data insights and machine learning challenges. Specifically, you will focus on driving business impact, and production directions through data analysis and potentially help evaluate and improve ML solutions and systems. If you're interested in building state\-of\-the\-art Data/ML solutions to unblock financial freedom for everyone, let's chat!
**Responsibilities**
* Applying your expertise in quantitative analysis, data mining, and data visualization to find insights for improving our API products
* Conducting large\-scale A/B experiments
* Identifying useful signals that can be fed into machine learning models.
* Informing and influencing product and engineering teams through your data analysis and presentations
* Making long\-term data science roadmap decisions like how machine learning and data science iteration should be done at Plaid
* Championing a data\-first approach toward decision\-making across the entire organization.
**Qualifications**
* 3\+ years of industry experience in a product\-focused Data Science role
* Deep familiarity with SQL and data visualization tools
* Experiencing conducting large\-scale A/B experiments, analyzing results, and translating them into concrete recommendations
* Familiarity with the AWS stack
* Understanding of modern machine learning (ML) techniques, such as classification, clustering, optimization, deep neural network, and natural language processing
* Proven ability to tailor your solutions to business problems in a cross\-functional team
* Ability to code and iterate independently in Python to conduct exploratory data analysis
* Experience building data pipelines in DBT or Airflow is a plus
* Bachelor's degree or equivalent work experience in Computer Science, Statistics, Engineering, Economics, or a closely related field
 $162,000 \- $222,000 a year
 The target base salary for this position ranges from $162,000/year to $221,000/year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6">
      <c r="A6" t="inlineStr">
        <is>
          <t>li-4368194084</t>
        </is>
      </c>
      <c r="B6" t="inlineStr">
        <is>
          <t>Junior Data Scientist &amp; AI</t>
        </is>
      </c>
      <c r="C6" t="inlineStr">
        <is>
          <t>Joinrs</t>
        </is>
      </c>
      <c r="D6" t="inlineStr">
        <is>
          <t>linkedin</t>
        </is>
      </c>
      <c r="E6" t="inlineStr"/>
      <c r="F6" t="inlineStr"/>
      <c r="G6" t="inlineStr"/>
      <c r="H6" t="inlineStr"/>
      <c r="I6" t="inlineStr">
        <is>
          <t>**Our goal is to help every recent graduate worldwide find a job that aligns with their ambitions: join us to make the aspirations of a community of over 1,500,000 users come true!** 
 We are constantly looking for
 **students, recent graduates, and junior professionals** 
 who aspire to join our team. Apply for this position, and our HR team will contact you as soon as a role in this area becomes available and your CV matches the profile we are seeking.
 For all
 **Junior** 
 positions as
 ***Data Scientist \&amp; AI***
 we offer a
 **6 months internship contract ($90,000 per year)** 
 , you will have the opportunity to grow exponentially thanks to on\-the\-job training, you will be able to work fully remote for as long as you want and we will equip you with a latest generation MacBook.
**We are coming to the US!** 
*If you would like to help Joinrs grow in your country, send your CV for this announcement: if your profile fits one of our future positions, we will contact you ;)* 
**Responsibilities:** 
 Within the team, you may be responsible for one or more of the following tasks:
* **Implementation of Machine Learning Algorithms:** 
 You will have the opportunity to implement and test machine learning algorithms, contributing to the development of intelligent solutions for business challenges. Specifically, working alongside our tech team, you will be involved in Joinrs AI: our Artificial Intelligence model that assists our community in finding employment.
* **Data Analysis and Modeling:** 
 You will participate in data analysis, developing predictive models and contributing to provide meaningful insights to enhance business decisions.
* **Data Visualization:** 
 You will learn to create clear and informative data visualizations to effectively communicate complex results to various stakeholders. In particular, you will create interactive dashboards to showcase data and Key Performance Indicators (Data Visualization) to the team, clients, investors, and all key stakeholders.
* **Optimization of Business Processes:** 
 You will collaborate in identifying and optimizing business processes through the application of data\-driven solutions.
* **Participation in Technological Brainstorming Sessions:** 
 You will be involved in brainstorming sessions to generate innovative ideas and contribute to identifying new opportunities in the field of Artificial Intelligence.
* **Continuous Training and Updates on the Latest Trends:** 
 You will have access to continuous training programs to stay updated on the latest trends and advancements in the fields of Data Science and Artificial Intelligence.
**What We Offer:** 
*Working in the Joinrs team means being able to choose the best psychophysical conditions for tranquility and productivity. This translates into:* 
* **Remote working and flexibility.** 
 You'll have the opportunity to work remotely full\-time, but you can also use one of our offices.
*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 **Team building \&amp; fun.** 
 We frequently organize aperitifs, games, and leisure moments, which are integral parts of life at Joinrs, both inside and outside the office.
* **Company welfare.** 
 We guarantee you a company welfare package that meets your expectations.
* **Tech pack.** 
 You'll use advanced software and modern technologies, and you'll be provided with the latest\-generation MacBook.
*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 **Social Impact.** 
 Your contribution will support thousands of recent graduates in finding the job they aspire to.
**Who We Are:** 
**Our mission is to support every recent graduate and junior professional in achieving their goals** 
 , helping them start their careers with optimism and a clear vision for their future.
**We are a united team that strongly believes in collaboration** 
 : together we work, discuss, and achieve results that inspire us to aim for ever more ambitious goals.
 Our community includes over
 **1,500,000 members across the US, UK, Europe, and Brazil** 
 , as well as
 **700\+ companies** 
 like
 *PwC, Accenture, Adecco, BNP Paribas, and Barilla* 
 . And we’re growing fast—join us!
**Contract \&amp; Compensation:** 
**For all Junior positions we offer a 6\-month internship contract with a salary of $90,000 yearly** 
 , aiming for a permanent contract.
**The annual base salary is $90,000 (USD)** 
 which will be prorated based on internship start and end date. Actual compensation offered to the successful candidate may vary from posted hiring based upon geographic location, work experience, education, and/or skill level, among other things.
**Salary reviews are scheduled every six months,** 
 with your compensation increasing rapidly as you gain experience and translate it into a more significant impact.
**Selection Process:** 
**CV Screening:** 
 The first step is a curriculum vitae (CV) screening (usually within 20 days of application).
**Phone Interview:** 
 The second step involves a 15\-minute phone interview with our HR Manager.
**Video Interview:** 
 The final step is a video interview with both the HR Manager and your future supervisor, lasting at least 45 minutes.
**Why Join Our Team?** 
* **Social Impact:** 
 You'll have the opportunity to support our community in realizing their ambitions, as well as your own.
* **Successful Startup:** 
 Joinrs was selected among the top 10 startups globally at the Web Summit in Lisbon.
* **Exponential Personal Growth:** 
 You'll have the opportunity for exponential growth, both in hard and soft skills, thanks to a training program based on on\-the\-job training and online support.</t>
        </is>
      </c>
    </row>
    <row r="7">
      <c r="A7" t="inlineStr">
        <is>
          <t>li-4317564442</t>
        </is>
      </c>
      <c r="B7" t="inlineStr">
        <is>
          <t>Data Scientist - Payments</t>
        </is>
      </c>
      <c r="C7" t="inlineStr">
        <is>
          <t>Plaid</t>
        </is>
      </c>
      <c r="D7" t="inlineStr">
        <is>
          <t>linkedin</t>
        </is>
      </c>
      <c r="E7" t="inlineStr"/>
      <c r="F7" t="inlineStr"/>
      <c r="G7" t="inlineStr">
        <is>
          <t>San Francisco, CA</t>
        </is>
      </c>
      <c r="H7" t="inlineStr"/>
      <c r="I7"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Data team is building data insights and models that improve how millions of users understand and grow their financial lives. We're looking for data scientists with experience applying state\-of\-the\-art data analytics techniques to different product areas. We value not only technical know\-how, but also creativity, user empathy, and teamwork.
 You’ll be a data scientist as a part of the Data organization, contributing to diverse, high\-impact data insights and machine learning challenges. Specifically, you will focus on driving business impact, and production directions through data analysis and potentially help evaluate and improve ML solutions and systems. If you're interested in building state\-of\-the\-art Data/ML solutions to unblock financial freedom for everyone, let's chat!
**Responsibilities**
* Applying your expertise in quantitative analysis, data mining, and data visualization to find insights for improving our API products
* Conducting large\-scale A/B experiments
* Identifying useful signals that can be fed into machine learning models.
* Informing and influencing product and engineering teams through your data analysis and presentations
* Making long\-term data science roadmap decisions like how machine learning and data science iteration should be done at Plaid
* Championing a data\-first approach toward decision\-making across the entire organization.
**Qualifications**
* 3\+ years of industry experience in a product\-focused Data Science role
* Deep familiarity with SQL and data visualization tools
* Experiencing conducting large\-scale A/B experiments, analyzing results, and translating them into concrete recommendations
* Familiarity with the AWS stack
* Understanding of modern machine learning (ML) techniques, such as classification, clustering, optimization, deep neural network, and natural language processing
* Proven ability to tailor your solutions to business problems in a cross\-functional team
* Ability to code and iterate independently in Python to conduct exploratory data analysis
* Experience building data pipelines in DBT or Airflow is a plus
* Bachelor's degree or equivalent work experience in Computer Science, Statistics, Engineering, Economics, or a closely related field
 $162,000 \- $222,000 a year
 The target base salary for this position ranges from $162,000/year to $221,000/year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8">
      <c r="A8" t="inlineStr">
        <is>
          <t>li-4369478052</t>
        </is>
      </c>
      <c r="B8" t="inlineStr">
        <is>
          <t>Data Scientist</t>
        </is>
      </c>
      <c r="C8" t="inlineStr">
        <is>
          <t>Humana</t>
        </is>
      </c>
      <c r="D8" t="inlineStr">
        <is>
          <t>linkedin</t>
        </is>
      </c>
      <c r="E8" t="inlineStr"/>
      <c r="F8" t="inlineStr"/>
      <c r="G8" t="inlineStr"/>
      <c r="H8" t="inlineStr"/>
      <c r="I8" t="inlineStr">
        <is>
          <t>**About The Company** 
 Humana Inc. is a leading health and well\-being company dedicated to putting health first for its members, employees, and communities. As a pioneer in healthcare innovation, Humana offers a wide range of insurance and healthcare services through its subsidiaries, including Humana Insurance and CenterWell Healthcare. The company strives to improve the quality of life for diverse populations such as Medicare beneficiaries, Medicaid recipients, military personnel, and individuals seeking personalized health solutions. Humana’s commitment to excellence, inclusivity, and technological advancement positions it as a trusted partner in healthcare transformation.
**About The Role** 
 We are seeking a highly skilled and innovative AI professional to join our Enterprise AI organization at Humana. This role focuses on developing advanced autonomous agents capable of managing complex, dynamic goals in real\-world environments. The ideal candidate will have expertise in agent design, planning, and control, contributing to the scientific and engineering foundations that ensure AI agents are reliable, interpretable, and robust across long\-term tasks. You will work collaboratively with cross\-functional teams to architect goal\-setting mechanisms, design dynamic planning systems, and develop evaluation frameworks that align with human intent and operational safety. Your work will directly impact the future of healthcare AI, enabling autonomous systems to improve care quality, operational efficiency, and patient outcomes.
**Qualifications** 
* Master’s Degree in Computer Science, Data Science, Machine Learning, or a related field
* 4\+ years of experience in research, ML engineering, or applied research roles, with a focus on AI solutions
* 2\+ years of experience leading the development of AI/ML systems
* Proficiency in SQL, Python, and data analysis/data mining tools
* Experience with machine learning frameworks such as Pytorch, Jax, LangChain, LangGraph, or AutoGen
* Experience working with high\-performance, large\-scale ML systems
* Knowledge of language modeling with transformers
* Experience with symbolic planning, causal reasoning, and model\-based reinforcement learning
* Experience with large\-scale ETL processes
* Preferred: Ph.D. in Computer Science, Data Science, or related fields
* Demonstrated success in deploying autonomous or semi\-autonomous agents in production or simulation environments
* Experience with LLM\-based agents with scratchpad/self\-reflection or hierarchical task decomposition
* Understanding of autonomy risk mitigation strategies, including off\-switch protocols and bounded rationality
**Responsibilities** 
* Architect goal setting and goal decomposition mechanisms for autonomous agents operating in uncertain or open\-ended environments
* Design and implement dynamic planning systems, including hierarchical planning, curriculum learning, and self\-refinement loops
* Collaborate on memory, tool\-use, and feedback\-loop designs to enable multi\-step, self\-directed agent behavior
* Develop evaluation frameworks to ensure alignment with human intent, consistency, and progress toward long\-horizon objectives
* Prototype agents capable of interfacing with APIs, servers, search engines, databases, or real\-world actuators to pursue goals safely and efficiently
* Explore mechanisms to detect and mitigate goal misalignment, looping behaviors, or undesirable emergent strategies
* Work across teams to integrate goal alignment with safety, operational reliability, and risk mitigation mechanisms
**Benefits** 
* Work\-from\-home flexibility with a remote US\-based work environment
* Generous paid time off and holiday benefits
* Health benefits effective from day one of employment
* Annual incentive plan based on individual and company performance
* 401(k) retirement plan with an excellent company match
* Well\-being programs supporting physical and mental health
* Paid volunteer time off to engage with community initiatives
* Opportunities for professional development and career growth within a forward\-thinking organization
 Equal Opportunity
 Humana is an equal opportunity employer and values diversity in the workplace. We do not discriminate against any employee or applicant based on race, color, religion, sex, sexual orientation, gender identity, national origin, age, marital status, genetic information, disability, or protected veteran status. We are committed to affirmative action and compliance with all applicable federal, state, and local laws.</t>
        </is>
      </c>
    </row>
    <row r="9">
      <c r="A9" t="inlineStr">
        <is>
          <t>li-4369473927</t>
        </is>
      </c>
      <c r="B9" t="inlineStr">
        <is>
          <t>Sr Data Scientist</t>
        </is>
      </c>
      <c r="C9" t="inlineStr">
        <is>
          <t>Industrial Light &amp; Magic</t>
        </is>
      </c>
      <c r="D9" t="inlineStr">
        <is>
          <t>linkedin</t>
        </is>
      </c>
      <c r="E9" t="inlineStr"/>
      <c r="F9" t="inlineStr"/>
      <c r="G9" t="inlineStr">
        <is>
          <t>San Francisco, CA</t>
        </is>
      </c>
      <c r="H9" t="inlineStr"/>
      <c r="I9" t="inlineStr">
        <is>
          <t>Our R\&amp;D teams at Lucasfilm and ILM are seeking a Sr Data Scientist to join a strategic R\&amp;D initiative focused on Generative AI. The goal of this project is to develop a robust data curation pipeline that can help identify and leverage our most useful assets and media for technical model training.
 You will play a critical role in bridging the gap between raw visual data and advanced machine learning applications. You will be responsible for the statistical analysis, sampling strategies, and evaluation metrics required to ensure our training data is diverse, relevant, and optimized for next\-generation image and video synthesis.
*This role is considered Hybrid, which means the employee will work 2\-3 days onsite at our San Francisco location and occasionally from home. This is a project position for 6 months.*
**What You’ll Do**
**Data Strategy \&amp; Diversity Analysis**
* Independently design and implement statistical methods to ensure curated datasets retain representative coverage across various visual attributes, stylistic choices, and subject matter.
* Develop logic to identify and down\-weight low\-variance or repetitive data points to maximize training efficiency.
* Collaborate with key stakeholders on algorithms for de\-duplication to automatically eliminate redundant or near\-identical assets from the training corpus.
**Evaluation Metrics \&amp; Quality Assurance**
* Design and lead implementation of automated metrics to assess the quality of generative images and videos.
* Validate automated quantitative metrics by correlating them against qualitative feedback provided by senior creative stakeholders.
* Establish success criteria for model fidelity, accuracy, and stylistic consistency.
**Pipeline Integration**
* Work closely with the engineering team to integrate data cleaning, normalization, and sampling modules into a scalable automated pipeline.
* Assist in defining taxonomy and metadata standards to systematically organize unstructured visual assets.
**Project Focus \&amp; Timeline**
 This is a fast\-paced, 6\-month initiative. You will move through rapidly iterating phases:
* Phase 1: defining data taxonomy and establishing baseline automated metrics.
* Phase 2: refining metrics for temporal consistency and validating against initial model fine\-tuning runs.
* Phase 3: final validation of metrics and delivery of fully curated, optimized datasets for cold storage.
**What We’re Looking For**
* 5\+ years experience in related field
* Education \- Bachelor’s degree in Data Science, Computer Science, or a related field of study, and/or equivalent work experience. Master’s Degree preferred
* Experience: Proven background in Data Science with a strong emphasis on Computer Vision, Generative AI, or Deep Learning.
* Technical Skills: Proficiency in statistical analysis and dataset curation (distribution analysis, sampling techniques). Experience working with large\-scale unstructured media data is a plus.
* Evaluation Expertise: Familiarity with standard and novel metrics for evaluating Generative Models (e.g., FID, FVD, or similar).
* Communication: Ability to translate complex statistical insights for engineering partners and non\-technical creative leads.
 The hiring range for this position in San Francisco is $155,400\-$208,400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0">
      <c r="A10" t="inlineStr">
        <is>
          <t>li-4361678555</t>
        </is>
      </c>
      <c r="B10" t="inlineStr">
        <is>
          <t>Data Scientist I</t>
        </is>
      </c>
      <c r="C10" t="inlineStr">
        <is>
          <t>Unum</t>
        </is>
      </c>
      <c r="D10" t="inlineStr">
        <is>
          <t>linkedin</t>
        </is>
      </c>
      <c r="E10" t="inlineStr"/>
      <c r="F10" t="inlineStr"/>
      <c r="G10" t="inlineStr">
        <is>
          <t>Portland, ME</t>
        </is>
      </c>
      <c r="H10" t="inlineStr"/>
      <c r="I10" t="inlineStr">
        <is>
          <t>When you join the team at Unum, you become part of an organization committed to helping you thrive.
**Benefits**
 Here, we work to provide the employee benefits and service solutions that enable employees at our client companies to thrive throughout life’s moments. And this starts with ensuring that every one of our team members enjoys opportunities to succeed both professionally and personally. To enable this, we provide:
* Award\-winning culture
* Inclusion and diversity as a priority
* Performance Based Incentive Plans
* Competitive benefits package that includes: Health, Vision, Dental, Short \&amp; Long\-Term Disability
* Generous PTO (including paid time to volunteer!)
* Up to 9\.5% 401(k) employer contribution
* Mental health support
* Career advancement opportunities
* Student loan repayment options
* Tuition reimbursement
* Flexible work environments
* All the benefits listed above are subject to the terms of their individual Plans.
 And that’s just the beginning…
 With 10,000 employees helping more than 39 million people worldwide, every role at Unum is meaningful and impacts the lives of our customers. Whether you’re directly supporting a growing family, or developing online tools to help navigate a difficult loss, customers are counting on the combined talents of our entire team. Help us help others, and join Team Unum today!
**General Summary**
 This position for a developing data scientist who is excited to transform data into actionable insights and impact the business through his/her work. The role requires increasing technical expertise in the fields of computer programming, applied statistics and data manipulation; and relies on developing business knowledge. The individual will participate in project work primarily within the functional area, with direction and review by manager. The individual is expected to continuously increase business knowledge and take initiative in identifying and executing analytical approaches to support assigned projects.
**Job Specifications**
* Bachelor’s degree in quantitative field is preferred
* 2 years preferred of professional experience or equivalent relevant work experience
* Core Data Science Capabilities: Deep expertise in at least one of the following skillsets preferred, with basic capability in the others:
* Programming \&amp; Process automation: Experience using APIs, file I/O, database, and analysis libraries. Understanding of programming in jupyter notebooks and/ or statistical packages. Understanding of process mapping and demonstrated application of scripting languages to automate processes. Exposure to data mining and web scraping.
* Data Visualization: Working knowledge of two or more data visualization tools and proficiency in static data visualization. Basic understanding of dynamic data visualization
* Statistics \&amp; Statistical modeling: Solid understanding of statistical inference and regression. Basic understanding of machine learning techniques including random forests and neural nets. Basic understanding of feature selection and extraction which may include analysis of categorical data, multiple comparisons, Central Limit Theorem, bootstrapping, and permutation tests
* Data Extraction, Transformation, and Loading (ETL) skillsets preferred: Expertise in writing complex SQL queries that join multiple tables/databases. Given a business problem, independently explore databases/tables to identify best data sources. Demonstrates ability to troubleshoot complex SQL queries written by others with little guidance.
* Core business capabilities: basic communication skills, exposure to financial services industry, and attention to detail and ability to prioritize while working on multiple projects keeping track of due dates
* Leadership Capabilities: Ability to coach or mentor team members, respond quickly and positively to change, adheres to technical best practices by collaborating with team members to deliver high quality output
* Preferred characteristics: Entrepreneurial self\-starter. A thorough, results\-oriented problem\-solver, and a lifelong learner with voracious curiosity. Basic understanding of their organization.
**Principal Duties And Responsibilities**
* Design and execute analytical solutions using statistical, optimization, simulation and data mining methods with a focus on delivering actionable insights and partnership to deliver business value.
* Integrate large volume of data from different sources (including DB2, SQL Server, Web API and Teradata) to create data assets and perform analyses
* Apply validation, aggregation and reconciliation techniques to create rich modeling\-ready data framework.
* Construct predictive models using machine learning to explain and understand observed events, forecast expected behavior, or identify risk through scoring or clustering.
* Familiarity with AI agents like github co\-pilot, MS co\-pilot to speed through code development and self \- learning.
* Knowledge of working with LLMs and agent libraries like Langgraph. Langchain \&amp; OpenAI SDK.
* Efficiently interpret results and communicate findings and potential value to manager.
* Support integration of solutions within existing business processes using automation techniques.
* Understand theory and application of current and emerging statistical methods and tools.
* Knowledge of tools – Python, VS code, Databricks, Azure, AWS, Streamlit, tableau, SQL
* Perform other related duties as assigned
 IN4
 Unum and Colonial Life are part of Unum Group, a Fortune 500 company and leading provider of employee benefits to companies worldwide. Headquartered in Chattanooga, TN, with international offices in Ireland, Poland and the UK, Unum also has significant operations in Portland, ME, and Baton Rouge, LA \- plus over 35 US field offices. Colonial Life is headquartered in Columbia, SC, with over 40 field offices nationwide.
 Unum is an equal opportunity employer, considering all qualified applicants and employees for hiring, placement, and advancement, without regard to a person's race, color, religion, national origin, age, genetic information, military status, gender, sexual orientation, gender identity or expression, disability, or protected veteran status.
 The base salary range for applicants for this position is listed below. Unless actual salary is indicated above in the job description, actual pay will be based on skill, geographical location and experience.
 $60,500\.00\-$123,400\.00
 Additionally, Unum offers a portfolio of benefits and rewards that are competitive and comprehensive including healthcare benefits (health, vision, dental), insurance benefits (short \&amp; long\-term disability), performance\-based incentive plans, paid time off, and a 401(k) retirement plan with an employer match up to 5% and an additional 4\.5% contribution whether you contribute to the plan or not. All benefits are subject to the terms and conditions of individual Plans.
**Company**
 Unum</t>
        </is>
      </c>
    </row>
    <row r="11">
      <c r="A11" t="inlineStr">
        <is>
          <t>li-4358858223</t>
        </is>
      </c>
      <c r="B11" t="inlineStr">
        <is>
          <t>Data Scientist</t>
        </is>
      </c>
      <c r="C11" t="inlineStr">
        <is>
          <t>Galent</t>
        </is>
      </c>
      <c r="D11" t="inlineStr">
        <is>
          <t>linkedin</t>
        </is>
      </c>
      <c r="E11" t="inlineStr"/>
      <c r="F11" t="inlineStr"/>
      <c r="G11" t="inlineStr">
        <is>
          <t>New York, NY</t>
        </is>
      </c>
      <c r="H11" t="inlineStr"/>
      <c r="I11" t="inlineStr">
        <is>
          <t>**Data Scientist** 
**NYC, NY / SFO, CA (Onsite)** 
**Primary focus : Model reproduction, feature engineering logic, performance validation, and** 
 ensuring alignment with client’s established modeling frameworks.
 • Rebuild and port existing client Python based models into customer’s Databricks platform.
 • Develop, train, and validate predictive models using Python, PySpark, and ML frameworks
 such as scikitlearn, XGBoost, and Spark MLlib.
 • Develop, validate and reproduce feature engineering logic and ensure parity with client
 models.
 • Train, retain, validate, and benchmark model performance using customer provided
 datasets while maintain performance parity with baseline models.
 • Work with data engineers to define feature requirements and ensure datasets support
 model needs.
 • Perform model diagnostics, bias checks, stability checks, and accuracy assessments.
 • Prepare model documentation, validation summaries, and stakeholder ready insights.
 • Support scoring pipeline design and ensure reproducibility across Dev/QA/Prod.
 • Collaborate with compliance and platform teams to ensure adherence to governance.
 • Perform model diagnostics, hyperparameter tuning, and stability analysis.
 • Evaluate model performance across population segments and time periods.
 • Work with platform and engineering teams to support scoring pipeline deployment across
 Dev/QA/Prod.
**Qualifications:** 
* 4–6 years of experience in applied machine learning or data science.
* Strong hands\-on experience with Python, scikit\-learn, XGBoost, LightGBM,
 CatBoost, or similar libraries.
* Experience developing ML models in Databricks with Python or PySpark.
* Strong knowledge of feature engineering, model training workflows, and evaluation
 techniques.
* Experience working with large structured datasets (financial or transactional data
 preferred).
* Ability to write clear documentation and communicate technical results to non\-technical stakeholders.
* 4\+ years of hands\-on experience developing, deploying, and maintaining machine\-learning models.
* Advanced proficiency in Python (NumPy, pandas, scikit\-learn, PyTorch or TensorFlow).
* Strong statistical and mathematical foundation, including regression, classification probability, optimization, etc.
* Experience building end\-to\-end ML pipelines: data ingestion, cleaning, feature engineering, modeling, evaluation, deployment.
* Experience working within client environments, including adapting to unfamiliar Infrastructure, constraints, and security requirements.
* Experience with cloud platforms (AWS, Azure, or GCP) and on\-prem environments.
* Advanced SQL ability and experience with big\-data tools (Spark, Databricks, Hadoop).</t>
        </is>
      </c>
    </row>
    <row r="12">
      <c r="A12" t="inlineStr">
        <is>
          <t>li-4369484620</t>
        </is>
      </c>
      <c r="B12" t="inlineStr">
        <is>
          <t>Data Scientist</t>
        </is>
      </c>
      <c r="C12" t="inlineStr">
        <is>
          <t>Hirenza</t>
        </is>
      </c>
      <c r="D12" t="inlineStr">
        <is>
          <t>linkedin</t>
        </is>
      </c>
      <c r="E12" t="inlineStr"/>
      <c r="F12" t="inlineStr"/>
      <c r="G12" t="inlineStr"/>
      <c r="H12" t="inlineStr"/>
      <c r="I12" t="inlineStr">
        <is>
          <t>**About The Company**
 Capital One is a leading financial services company renowned for its innovative approach to banking and credit solutions. Established with a passion for harnessing data to deliver personalized customer experiences, Capital One has transformed the financial landscape since its inception. The company's pioneering use of statistical modeling and relational databases in 1988 set the stage for its continued leadership in data\-driven decision\-making. Today, Capital One is a Fortune 200 organization, recognized globally for leveraging cutting\-edge technology and analytics to enhance financial products and services. Its commitment to innovation, customer\-centricity, and operational excellence positions it as a trailblazer in the industry, continuously seeking new ways to disrupt and redefine banking and payments ecosystems.
**About The Role**
 We are seeking a highly skilled Principal Associate, Data Scientist to join our Bank Operations Data Science team within the Payments Organization. This pivotal role involves developing and deploying advanced machine learning models that underpin core operational capabilities, including check and document reading, anomaly detection, natural language processing of customer calls, and operational forecasting. As part of this team, you will be instrumental in building industry\-leading models utilizing emerging technologies such as neural networks, large language models, transformer architectures, and agentic systems. Your work will directly impact the efficiency and effectiveness of our payment channels, streamlining processes from data ingestion to anomaly detection and operational automation.
 This position offers an exciting opportunity to operate at the intersection of data science, technology, and business, working closely with cross\-functional teams including software engineers, business analysts, and product managers. Your insights will help shape innovative solutions that enhance customer experience and operational resilience, supporting the company's mission to deliver smarter, faster, and more secure financial services.
**Qualifications**
 The ideal candidate will possess a strong foundation in quantitative analysis, machine learning, and software development, with a proven track record of applying these skills in complex, real\-world environments. Candidates should hold a minimum of a Bachelor's degree in a relevant field such as Statistics, Economics, Operations Research, Mathematics, Computer Science, or related disciplines, with significant professional experience. Advanced degrees—Master's or PhD—in STEM fields or a quantitative concentration are highly preferred, especially with experience in data analytics, cloud computing, and machine learning frameworks. Familiarity with AWS, Python, SQL, and open\-source data science tools is essential. Candidates with hands\-on experience in developing agentic systems, machine vision models, or deploying models in cloud environments will be highly regarded.
 We value innovative thinkers who are passionate about staying current with emerging technologies and applying them creatively to solve undefined or complex problems. Strong interpersonal skills, the ability to communicate technical concepts to non\-technical stakeholders, and a collaborative mindset are crucial for success in this role.
**Responsibilities**
* Collaborate with cross\-functional teams including data scientists, software engineers, business analysts, and product managers to deliver impactful data\-driven solutions.
* Design, develop, evaluate, and implement machine learning models that address core operational challenges within the payments ecosystem.
* Utilize a broad technology stack—Python, Snowflake, cloud platforms, and more—to analyze large volumes of numeric and textual data and extract actionable insights.
* Translate complex technical findings into clear, business\-oriented narratives to inform decision\-making and strategic planning.
* Lead efforts to innovate with emerging technologies such as neural networks, large language models, transformer architectures, and agentic systems.
* Work directly with the Enterprise Payments team to streamline payment and monetary transfer channels, from data ingestion to anomaly detection and operational automation.
* Validate and backtest models rigorously, ensuring robustness and compliance with best practices and regulatory standards.
* Mentor junior team members and foster a culture of continuous learning and innovation within the data science community.
**Benefits**
 Capital One offers a comprehensive and competitive benefits package designed to support your physical, financial, and emotional well\-being. Employees enjoy health insurance options, wellness programs, retirement plans, paid time off, and opportunities for professional development. The company also provides flexible work arrangements, tuition reimbursement, and a collaborative work environment that encourages innovation and growth. Additionally, employees are eligible for performance\-based incentives, including cash bonuses and long\-term incentives, recognizing their contributions to the company's success.
 Capital One is committed to fostering an inclusive culture that values diversity and promotes equity. The organization invests in employee resource groups, mentorship programs, and initiatives that support a diverse and dynamic workforce.
 Equal Opportunity
 Capital One is an equal opportunity employer committed to creating an inclusive environment for all employees. We do not discriminate based on race, color, religion, sex, national origin, age, disability, veteran status, or any other protected characteristic. We promote a drug\-free workplace and comply with all applicable laws regarding non\-discrimination and equal employment opportunity. We consider qualified applicants with criminal histories in a manner consistent with legal obligations and applicable laws. Capital One values diversity and strives to provide equal employment opportunities to all individuals, fostering a workplace where everyone can thrive and succeed.</t>
        </is>
      </c>
    </row>
    <row r="13">
      <c r="A13" t="inlineStr">
        <is>
          <t>li-4328867363</t>
        </is>
      </c>
      <c r="B13" t="inlineStr">
        <is>
          <t>Data Scientist Lead</t>
        </is>
      </c>
      <c r="C13" t="inlineStr">
        <is>
          <t>hackajob</t>
        </is>
      </c>
      <c r="D13" t="inlineStr">
        <is>
          <t>linkedin</t>
        </is>
      </c>
      <c r="E13" t="inlineStr"/>
      <c r="F13" t="inlineStr"/>
      <c r="G13" t="inlineStr">
        <is>
          <t>Jersey City, NJ</t>
        </is>
      </c>
      <c r="H13" t="inlineStr"/>
      <c r="I13" t="inlineStr">
        <is>
          <t>***hackajob** 
 is collaborating with
 **J.P. Morgan** 
 to connect them with exceptional tech professionals for this role.*
* Base Pay/SalaryJersey City,NJ $142,500\.00\-$210,000\.00
**Job Description**
 As a Data Science Lead in Digital \&amp; Platform Services (D\&amp;PS), you will lead the charge in developing innovative AI solutions that propel our business forward. Your work will directly impact our ability to provide exceptional service to clients by delivering cutting\-edge technology solutions. You will work closely with software engineers, business stakeholders, and AI practitioners to deliver transformative solutions that enable our business to scale and thrive. We are seeking a technical leader who is passionate about leveraging data and artificial intelligence to drive meaningful, real\-world change. You will be integral to the newly established Client Relationship Management (CRM) Transformation Program, known as Client360\.
**Job Responsibilities:\-**
* Lead the formulation and development of AI solutions to tackle complex challenges in Client360, ensuring alignment with business objectives.
* Oversee the design, development, and deployment of robust, scalable, and reusable machine learning models and systems that deliver measurable business impact.
* Actively contribute to coding efforts, ensuring high technical standards and best practices are maintained across all projects.
* Collaborate with engineering and business teams to seamlessly integrate AI services into strategic systems and processes, enhancing operational efficiency.
* Work with business partners to redefine processes and controls for an AI\-first business, driving innovation and efficiency.
* Establish comprehensive evaluation frameworks to assess model performance and drive continuous improvement in alignment with business goals.
* Deepen your understanding of the Client Relationship Management to identify opportunities for AI\-driven innovation and deliver practical, impactful solutions.
* Inspire other AI practitioners, fostering a culture of excellence, innovation, and continuous learning.
**Required Qualifications, Experience, and Skills:\-**
* Advanced degree qualification in Computer Science, Artificial Intelligence, Machine Learning, Data Science, or a related highly quantitative field.
* Extensive experience in high\-performing AI or data science teams.
* Deep understanding of fundamental machine learning approaches and practical experience with statistical data analysis and experimental design.
* Proven track record of developing and deploying data science and ML capabilities in production at scale.
* Strong experience with Python programming and common ML frameworks (e.g., PyTorch, Pandas, NumPy).
* Exceptional verbal and written communication skills, with the ability to convey complex technical concepts to diverse audiences.
* Demonstrated ability to work effectively on multi\-disciplinary teams with diverse backgrounds.
**Preferred qualifications, capabilities, and skills:\-**
* Demonstrated prior experience working in a highly matrixed, complex organization.
* Extensive experience in data platform management, CRM systems, or related fields within a financial institution.
* Master’s or PhD qualification in Computer Science, Artificial Intelligence, Machine Learning, Data Science, or a related highly quantitative field.
* Clear experience in working with technologists and product teams.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4">
      <c r="A14" t="inlineStr">
        <is>
          <t>li-4369485523</t>
        </is>
      </c>
      <c r="B14" t="inlineStr">
        <is>
          <t>AI Data Scientist</t>
        </is>
      </c>
      <c r="C14" t="inlineStr">
        <is>
          <t>Microsoft</t>
        </is>
      </c>
      <c r="D14" t="inlineStr">
        <is>
          <t>linkedin</t>
        </is>
      </c>
      <c r="E14" t="inlineStr"/>
      <c r="F14" t="inlineStr"/>
      <c r="G14" t="inlineStr">
        <is>
          <t>Redmond, WA</t>
        </is>
      </c>
      <c r="H14" t="inlineStr"/>
      <c r="I14" t="inlineStr">
        <is>
          <t>**Overview**
 We are seeking a pioneering and technically fluent
 **AI Data Scientist** 
 to join our AI \&amp; Data Science Tools team. This role will be instrumental in shaping the future of AI\-powered product development within Microsoft Marketing’s Research \+ Insights organization. You will be integral to the design, build, testing, and scaling management of our newest inferencing AI tools powered by customer voice.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Insight Extraction from Inferencing Applications: Using python and gremlin to extract insightful information from the knowledge graph.
* AI Graph Building: Contribute to the design, development, and ongoing management of our knowledge graph architecture to support scalable AI solutions.
* Ownership of AI Tool Roadmap Portions: Own and evolve the product roadmap and ROB processes, ensuring alignment with strategic goals and technical feasibility.
* Cross\-Functional Collaboration: Interface with developer teams, Research \+ Insights research managers, Marketing leadership, and partner data science teams to translate business needs into technical requirements.
* Technical Communication: Articulate complex technical concepts clearly to both engineering teams and executive stakeholders.
* Innovation \&amp; Execution: Build customer voice AI tools in a fast\-paced, ambiguous environment with a focus on delivering high\-impact AI tools.
* Embody our culture and values.
**Qualifications**
**Required/minimum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**Additional Or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Extensive experience with knowledge graph architecture and insight extraction.
* Proficiency in Python for building production services, including modular design, code readability, unit testing, and debugging.
* Demonstrated prowess in systems thinking to drive scale, sequencing work, surfacing risk, and driving hard prioritization decisions under uncertainty, including clear trade‑offs across scope, timing, and resourcing.
* Ability to synthesize complex, technical, and qualitative inputs into clear, repeatable, decision ready artifacts for senior leadership, translating insight into action.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
      <c r="A15" t="inlineStr">
        <is>
          <t>li-4368290383</t>
        </is>
      </c>
      <c r="B15" t="inlineStr">
        <is>
          <t>Data Scientist</t>
        </is>
      </c>
      <c r="C15" t="inlineStr">
        <is>
          <t>EssilorLuxottica</t>
        </is>
      </c>
      <c r="D15" t="inlineStr">
        <is>
          <t>linkedin</t>
        </is>
      </c>
      <c r="E15" t="inlineStr"/>
      <c r="F15" t="inlineStr"/>
      <c r="G15" t="inlineStr">
        <is>
          <t>Dallas, TX</t>
        </is>
      </c>
      <c r="H15" t="inlineStr"/>
      <c r="I15" t="inlineStr">
        <is>
          <t>**Requisition I** 
**D:** 
 914851
 **Store \#:** 
 A00057 Tech Srvcs Wholesale PW
**Position** 
 : Full\-Time
**Total Rewards: Benefits/Incentive Information**
 If you’ve worn a pair of glasses, we’ve already met.
 We are a global leader in the design, manufacture, and distribution of ophthalmic lenses, frames, and sunglasses. We offer our industry stakeholders in over 150 countries access to a global platform of high\-quality vision care products such as the Essilor brand, with Varilux, Crizal, Eyezen, Stellest and Transitions, iconic brands that consumers love such as Ray\-Ban, Oakley, Persol and Oliver Peoples, as well as a network that offers consumers high\-quality vision care and best\-in\-class shopping experiences such as Sunglass Hut, LensCrafters, and Target Optical, and leading e\-commerce platforms.
 Our portfolio of more than 150 renowned brands span various categories, from frames, lenses and instruments to brick and mortar and digital distribution as well as mid\-range to premium segments. Our Shared Services Team, accompany and enable others within the EssilorLuxottica collective to achieve their targets. They keep people and projects running smoothly, ensuring every part of our business is provided for and well taken care of.
 Join our global community of over 200,000 dedicated employees around the world in driving the transformation of the eyewear and eyecare industry. Discover more by following us on LinkedIn!
**GENERAL FUNCTION**
 The Applied Data Scientist is a business\-facing analytics professional responsible for AI research and solution delivery. The role owns the full problem\-to\-solution journey: engaging stakeholders, translating business challenges into ML solutions, researching emerging AI techniques, and delivering production\-ready models that drive measurable business value. It balances innovation with execution, ensuring outcomes are practical, scalable, and aligned to business needs.
**Major Duties And Responsibilities**
 Managing
* Engage with stakeholders to understand objectives, constraints, and success metrics
* Deliver end\-to\-end ML solutions from problem framing to production deployment
* Conduct applied research to evaluate and prototype new AI/ML techniques
* Prioritize between research and delivery based on business impact
* Manage model lifecycle: validation, monitoring, retraining, and optimization
 Organizing
* Translate ambiguous business problems into structured data science statements
* Organize exploratory analysis, experimentation, and research frameworks
* Structure scalable ML pipelines for training, inference, and deployment
* Develop proof\-of\-concepts to validate new AI techniques
* Convert insights and research outcomes into actionable recommendations
 Leading
* Drive solutions from research to production
* Act as a trusted analytics advisor through consultative problem\-solving
* Promote adoption of ML solutions by communicating value and limitations
* Evaluate and adopt emerging AI/ML techniques
* Mentor junior team members on research and delivery best practices
**Basic Qualifications**
* Bachelor’s degree in Computer Science, Data Science, Statistics, or related field
* 5\+ years of relevant work experience
* Proven experience delivering ML solutions in production
* Ability to work independently with stakeholders and own delivery
* Strong programming skills in Python or R; experience with ML libraries (scikit\-learn, TensorFlow, PyTorch)
* Solid understanding of statistical modeling, ML techniques, and data mining
**Preferred Qualifications**
* Master’s or PhD in Data Science, Statistics, or related discipline
* Experience in applied research and rapid prototyping of AI/ML solutions
* Exposure to advanced AI techniques (deep learning, generative AI, optimization)
* Experience deploying ML models using Docker, Kubernetes, or cloud\-native services
* Familiarity with Azure, Databricks, Spark, Synapse, and Lakehouse architecture
* Strong storytelling and communication skills for technical and non\-technical audiences
* Experience in agile, fast\-paced, cross\-functional environments
* Balance research depth with delivery focus
* Ability to evaluate and apply new AI techniques pragmatically
* Excellent listening and problem\-solving skills
* Strong ownership mindset with minimal supervision
* Ability to translate complex research into business value
 This posting is for an existing vacancy within our business.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EssilorLuxottica complies with all applicable laws related to the application and hiring process. If you would like to provide feedback regarding an active job posting, or if you are an individual with a disability who would like to request a reasonable accommodation, please call the EssilorLuxottica SpeakUp Hotline at 844\-303\-0229 (be sure to provide your name, job id number, and contact information so that we may follow up in a timely manner) or email HRCompliance@luxotticaretail.com .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t>
        </is>
      </c>
    </row>
    <row r="16">
      <c r="A16" t="inlineStr">
        <is>
          <t>li-4369471585</t>
        </is>
      </c>
      <c r="B16" t="inlineStr">
        <is>
          <t>Data Scientist, Sr.</t>
        </is>
      </c>
      <c r="C16" t="inlineStr">
        <is>
          <t>BNSF Railway</t>
        </is>
      </c>
      <c r="D16" t="inlineStr">
        <is>
          <t>linkedin</t>
        </is>
      </c>
      <c r="E16" t="inlineStr"/>
      <c r="F16" t="inlineStr"/>
      <c r="G16" t="inlineStr"/>
      <c r="H16" t="inlineStr"/>
      <c r="I16" t="inlineStr">
        <is>
          <t>**About The Company**
 Join BNSF Railway, one of the largest and most influential freight railroads in the United States, renowned for its commitment to safety, inclusion, and operational excellence. Operating across 28 western states and three Canadian provinces, BNSF plays a vital role in transporting essential goods that sustain communities and economies nationwide. Our dedicated team supports the movement of products that feed, clothe, supply, and power communities, making a tangible difference in people's lives. BNSF is at the forefront of innovation in freight transportation, continuously striving to improve efficiency, safety, and sustainability.
 The BNSF \| Tech division is the company's technology arm, focused on transforming freight rail through cutting\-edge technological solutions. As part of this division, you will contribute to making BNSF a leader in freight and mobility services across North America. Our culture emphasizes diversity, inclusion, and equal opportunity, fostering an environment where all employees can thrive and make meaningful contributions.
**About The Role**
 We are seeking a highly skilled Data \&amp; AI Lead to spearhead our data science and artificial intelligence initiatives. In this remote role based in the US, you will be instrumental in leveraging data assets to drive real\-time enterprise solutions. Your responsibilities will include leading cross\-functional teams to develop and implement advanced machine learning models, analyzing complex datasets to extract actionable insights, and deploying solutions that optimize workflows and forecast outcomes. You will collaborate closely with stakeholders to understand their needs, design compelling visualizations, and communicate analytical findings effectively.
 This position offers an exciting opportunity to shape the future of freight rail through innovative data\-driven strategies. You will oversee the maintenance of data pipelines, stay abreast of emerging technologies in AI and machine learning, and ensure the successful integration of analytic solutions into production environments. Your expertise will directly influence strategic decision\-making, operational efficiency, and technological advancement within BNSF.
**Qualifications**
* Minimum 6 years of experience in building optimization algorithms or relevant data science roles
* Advanced proficiency in programming languages including Python, R, SQL, and Java
* Proven expertise in data visualization tools for clear communication of insights
* Extensive experience with data science cloud platforms and their integration into business solutions
* Strong understanding of statistical analysis and advanced machine learning techniques
* Proficiency in core architecture of Large Language Models (LLMs), including transformers and attention mechanisms
* Experience with prompt engineering, retrieval\-augmented generation (RAG), fine\-tuning language models, and evaluation methodologies
* Knowledge of vector databases, embeddings, GPU optimization, and model fine\-tuning
* Bachelor’s degree or higher in Operations Research, Computer Science, Industrial Engineering, or related fields; Ph.D. preferred
* Excellent communication skills and ability to articulate complex technical concepts
* Experience with agile methodologies such as Scrum, Kanban, or SAFe is a plus
**Responsibilities**
* Lead cross\-functional teams to identify, define, and execute analytic initiatives aligned with business goals
* Develop, deploy, and maintain advanced machine learning models to forecast outcomes and optimize workflows
* Analyze large and complex datasets to uncover meaningful patterns and insights
* Collaborate with stakeholders to gather requirements and deliver actionable insights for strategic decision\-making
* Design and present visualizations and reports that effectively communicate analytical findings
* Oversee the development and enhancement of data pipelines to ensure data quality and accuracy
* Stay current with emerging trends and breakthroughs in data science and AI fields
* Extract, transform, and analyze data from SQL and NoSQL databases using Python, R, or other tools
* Lead the integration of analytic solutions into reporting platforms and production systems
* Manage the testing, validation, and monitoring of models and solutions to ensure performance
**Benefits**
* Industry\-leading 401(k) plan and Railroad Retirement program
* Comprehensive health care options including medical, dental, vision, and mental health services
* Health savings accounts (HSA) with employer contributions, life and disability insurance
* Family benefits such as parental leave, pediatric and family support, adoption, and surrogacy reimbursement
* Dependent care spending accounts with employer matching
* Discount programs on travel, gym memberships, counseling, and wellness services
* Annual incentive bonus and performance\-based incentives
 Equal Opportunity
 BNSF Railway is an Equal Opportunity Employer. We are committed to fostering an inclusive environment where all qualified applicants receive consideration for employment without regard to race, color, religion, sex, sexual orientation, gender identity, national origin, disability, veteran status, or any other protected characteristic. We encourage individuals from diverse backgrounds to apply and contribute to our ongoing success.</t>
        </is>
      </c>
    </row>
    <row r="17">
      <c r="A17" t="inlineStr">
        <is>
          <t>li-4369471587</t>
        </is>
      </c>
      <c r="B17" t="inlineStr">
        <is>
          <t>Data Scientist, ML</t>
        </is>
      </c>
      <c r="C17" t="inlineStr">
        <is>
          <t>Gemini</t>
        </is>
      </c>
      <c r="D17" t="inlineStr">
        <is>
          <t>linkedin</t>
        </is>
      </c>
      <c r="E17" t="inlineStr"/>
      <c r="F17" t="inlineStr"/>
      <c r="G17" t="inlineStr"/>
      <c r="H17" t="inlineStr"/>
      <c r="I17" t="inlineStr">
        <is>
          <t>**About The Company**
 Gemini is a leading global crypto and Web3 platform founded by Cameron and Tyler Winklevoss in 2014\. The company offers a comprehensive suite of simple, reliable, and secure crypto products and services to individuals and institutions across more than 70 countries. Gemini’s mission is to unlock the next era of financial, creative, and personal freedom by providing trusted access to the decentralized future. The company envisions a world where cryptocurrency reshapes the global financial system, internet, and money, fostering greater choice, independence, and opportunity for all. By bridging traditional finance with the emerging cryptoeconomy in a manner that is open, fair, and secure, Gemini aims to revolutionize how people interact with digital assets. As a publicly traded company, Gemini is positioned to accelerate this vision with increased scale, reach, and impact.
**About The Role**
 The Data Department at Gemini is the backbone of insight, innovation, and trust within the organization. The team comprises world\-class data engineers, platform engineers, machine learning engineers, analytics engineers, and data scientists, all working collaboratively to turn raw data into secure, reliable, and actionable intelligence. This role of Staff Data Scientist, Machine Learning (Risk), is pivotal in safeguarding the platform and its users. You will be responsible for designing, developing, and deploying machine learning models that detect, prevent, and mitigate various types of fraud, including payment fraud, account takeovers, and identity abuse. Your work will span the entire machine learning lifecycle—from identifying signals and engineering features to training, evaluating, and deploying models in real\-time production environments. Collaborating closely with stakeholders across Trust \&amp; Safety, Exchange Growth, and Credit Card teams, you will enhance Gemini’s risk scoring capabilities and identify emerging fraud patterns. This is a high\-impact, hands\-on individual contributor role that offers opportunities for technical leadership and mentorship. The position requires in\-person presence at least twice a week at either our San Francisco, CA or New York City, NY office.
**Qualifications**
* Bachelor’s degree in Computer Science, Data Science, Statistics, or a related field
* 8\+ years of experience applying data science and machine learning to financial, payments, or fraud\-related problems (5\+ years with a PhD)
* 3\+ years of experience developing, deploying, and maintaining production\-grade machine learning models, ideally for real\-time or large\-scale applications
* Proficiency in Python and relevant libraries such as scikit\-learn, xgboost, TensorFlow, or PyTorch
* Strong SQL skills and experience with data processing tools
* Experience with data pipeline and model lifecycle tools like Databricks, SageMaker, Snowflake, MLflow, or similar
* Familiarity with orchestration frameworks such as Airflow or Spark
* Ability to work effectively across cross\-functional teams including product managers, engineers, and operations
* Excellent communication skills with the ability to translate complex technical concepts into actionable insights
**Responsibilities**
* Analyze large, complex datasets to identify key indicators of fraud and engineer predictive features using internal and external data sources
* Design, train, and deploy machine learning models aimed at detecting and preventing fraud, including payment fraud, account takeovers, and identity abuse
* Build and maintain end\-to\-end data and model pipelines for risk scoring, anomaly detection, and behavioral profiling
* Continuously evaluate model performance through experiments, backtesting, and monitoring to enhance capture rates and minimize false positives
* Collaborate with product managers, engineers, and fraud operations teams to translate model insights into effective prevention strategies and user\-facing features
* Communicate findings and strategic recommendations to both technical and non\-technical stakeholders to influence decision\-making
* Stay updated on emerging fraud tactics and machine learning techniques to continually improve Gemini’s defenses
**Benefits**
* Competitive starting salary
* Discretionary annual bonus
* Long\-term incentive through equity grants
* Comprehensive health insurance plans
* 401(k) plan with company matching
* Paid parental leave
* Flexible time off policies
* Hybrid work model combining in\-office and remote work options
 Equal Opportunity
 Gemini is committed to fostering an inclusive and diverse workplace. We are an equal opportunity employer and do not discriminate based on race, color, religion, sex, sexual orientation, gender identity, national origin, age, disability, or veteran status. We believe that diverse teams drive innovation and excellence, and we welcome applicants from all backgrounds. If you require accommodations during the application process, please contact our People Team. We are dedicated to creating a welcoming environment where everyone can thrive.</t>
        </is>
      </c>
    </row>
    <row r="18">
      <c r="A18" t="inlineStr">
        <is>
          <t>li-4369488458</t>
        </is>
      </c>
      <c r="B18" t="inlineStr">
        <is>
          <t>Data Scientist</t>
        </is>
      </c>
      <c r="C18" t="inlineStr">
        <is>
          <t>Hirecrap</t>
        </is>
      </c>
      <c r="D18" t="inlineStr">
        <is>
          <t>linkedin</t>
        </is>
      </c>
      <c r="E18" t="inlineStr"/>
      <c r="F18" t="inlineStr"/>
      <c r="G18" t="inlineStr"/>
      <c r="H18" t="inlineStr"/>
      <c r="I18" t="inlineStr">
        <is>
          <t>**About The Company**
 Bowhead / UIC Technical Services is a leading provider of specialized engineering, technical, and scientific solutions dedicated to supporting national defense initiatives. With a strong commitment to innovation and excellence, the company partners with government agencies and military divisions to deliver mission\-critical services and cutting\-edge technology solutions. Bowhead’s expertise spans various domains including data analysis, systems engineering, and cybersecurity, ensuring the highest standards of quality, security, and operational effectiveness. The company fosters a collaborative environment that encourages professional growth, continuous learning, and a dedication to advancing national security objectives.
**About The Role**
 We are seeking a highly skilled Data Scientist to join our team supporting the Naval Surface Warfare Center Dahlgren Division (NSWCDD), E Department. This role is pivotal in analyzing complex data sets to uncover meaningful insights that inform decision\-making and operational strategies. The successful candidate will apply advanced mathematical, statistical, and machine learning techniques to a variety of data types, including numbers, symbols, text, sound, and images. The position involves designing, developing, and maintaining software tools for data testing, analysis, and visualization, ensuring that stakeholders receive actionable intelligence in real\-time or predictive formats. The role requires onsite presence at either the Bowhead office or Navy installation, emphasizing collaboration with cross\-disciplinary teams and direct engagement with government clients.
**Qualifications**
 The ideal candidate will possess a Bachelor's Degree in physics, data science, or a related field, complemented by 5\-8 years of relevant experience. Demonstrated expertise in database management and development, with a solid understanding of relational database management systems and data warehousing, is essential. Experience in creating reports and dashboards, as well as proficiency in SQL query writing and analysis, is highly desirable. Candidates with virtual machine or artificial intelligence experience will be prioritized. Strong coding and software development skills, along with mathematical reasoning capabilities, are critical for success. Excellent communication skills—both oral and written—are necessary to effectively collaborate with technical teams and senior government stakeholders. Knowledge of analytical tools, evaluation techniques, and intermediate to advanced proficiency in Microsoft Office applications is expected. Candidates must be US citizens capable of maintaining a security clearance at the Secret level, with the ability to read, write, and speak English fluently.
**Responsibilities**
 The Data Scientist will be responsible for applying advanced analytical methods to discover patterns and insights within large, complex datasets. This includes designing and implementing predictive models, machine learning algorithms, and statistical analyses to generate forward\-looking insights that support real\-time decision\-making. The role involves developing and refining software components, tools, and scripts for data testing, validation, and visualization, ensuring they meet stakeholder requirements. The candidate will analyze diverse data types—such as textual, numerical, auditory, and visual data—and manage data repositories to facilitate efficient data retrieval and analysis. Additionally, the Data Scientist will present findings through clear, compelling visualizations and reports tailored to both technical and non\-technical audiences. Managing internal and external data sources, validating data quality, and exploring new data sets for potential insights are ongoing tasks. The role also includes supporting other duties related to data management, analysis, and technical documentation, contributing to continuous improvement of data processes and analytical capabilities.
**Benefits**
 Bowhead / UIC Technical Services offers a comprehensive benefits package designed to support the well\-being and professional development of its employees. Benefits include competitive salary packages, health, dental, and vision insurance, and retirement plans. The company promotes work\-life balance through flexible work arrangements and paid time off policies. Employees have access to ongoing training and development opportunities to enhance their skills and advance their careers. Additionally, Bowhead values a diverse and inclusive workplace, fostering a collaborative environment where innovation and teamwork are encouraged. Employees also benefit from a supportive corporate culture that recognizes individual contributions and promotes a sense of purpose in supporting national defense missions.
 Equal Opportunity
 Bowhead / UIC Technical Services is an equal opportunity employer. We are committed to fostering an inclusive environment where all employees and applicants are treated with respect and dignity, regardless of race, color, religion, gender, sexual orientation, gender identity or expression, age, national origin, disability, or veteran status. We ensure that all employment decisions are made based on merit, qualifications, and business needs. We encourage individuals from diverse backgrounds to apply and join our team dedicated to supporting national security and technological innovation.</t>
        </is>
      </c>
    </row>
    <row r="19">
      <c r="A19" t="inlineStr">
        <is>
          <t>li-4313812386</t>
        </is>
      </c>
      <c r="B19" t="inlineStr">
        <is>
          <t>Data Scientist, Support</t>
        </is>
      </c>
      <c r="C19" t="inlineStr">
        <is>
          <t>OpenAI</t>
        </is>
      </c>
      <c r="D19" t="inlineStr">
        <is>
          <t>linkedin</t>
        </is>
      </c>
      <c r="E19" t="inlineStr"/>
      <c r="F19" t="inlineStr"/>
      <c r="G19" t="inlineStr">
        <is>
          <t>San Francisco, CA</t>
        </is>
      </c>
      <c r="H19" t="inlineStr"/>
      <c r="I19" t="inlineStr">
        <is>
          <t>**About The Team**
 The User Operations team is central to ensuring that our customers' experience with our products is nothing short of exceptional. We resolve complex issues, provide technical guidance, and support customers in maximizing value and adoption from deploying our products. We work closely with Sales, Technical Success, Product, Engineering and others to deliver the best possible experience to our customers at scale. OpenAI's customers represent a range of diverse backgrounds and maturity, from early\-stage startups to established global enterprises. Given OpenAI’s breakneck shipping cadence and growth—and the expectation that it will only accelerate—transforming our rich support data into real‑time insights and scalable, self‑serve analytics is critical to sustaining exceptional customer experiences on the path to AGI.
**About The Role**
 We’re seeking a Support Data Scientist who will dig deep into user‑support data—surfacing trends, volumes, and friction signals—and turn these findings into actionable insights and always‑on reporting. You’ll design, build, and maintain self‑serve dashboards that keep every stakeholder informed in real time, partnering closely with Data Science and Engineering to ensure clean pipelines, robust models, and scalable tooling. Think proactive friction detection and real‑time service‑health views that help us stay ahead of demand—delivering decision‑grade insights, not just prettier slide decks.
 This role is based in San Francisco, California. We use a hybrid work model of 3 days in the office per week and offer relocation assistance to new employees.
**In This Role, You Will**
* Explore large support and product datasets to uncover trends, volume drivers, and user‑experience pain points, distilling findings into clear, actionable narratives.
* Build, enhance, and maintain self‑serve dashboards and reporting tools, enabling non‑technical teams to answer their own data questions.
* Establish a unified metrics taxonomy for service‑health and performance—and build automated data‑sharing pipelines and scorecards with our BPO partners to ensure everyone operates from the same real‑time view of success
* Leverage LLMs to build bespoke classifiers that automatically label and segment inbound volumes—powering smarter routing, richer self‑serve insights, and swifter root‑cause analysis.
* Partner with Data Engineering to ensure reliable pipelines, implement data‑quality checks, and document sources of truth.
* Jump into high‑priority special projects to conduct bespoke deep‑dive analyses and deliver clear, strategic recommendations to leadership.
* Prototype quickly—leveraging ChatGPT, Jupyter notebooks, Retool, and other tools—to prove value before hardening with Engineering.
* Collaborate with Data Science on predictive models and experimentation, translating results into operational recommendations.
**You Might Thrive In This Role If You**
* 8 \+ years in analytics, business intelligence, or data science (experience with customer support or operations teams is a plus).
* Expert‑level SQL skills and proficiency in Python or R for advanced analysis and automation
* Hands‑on experience designing and maintaining BI dashboards (e.g. Looker, Mode, Tableau, Sundial) with a focus on clarity and self‑serve usability.
* Hands‑on experience fine‑tuning or prompt‑engineering LLMs to build text classifiers, sentiment analysis, or tagging systems.
* Demonstrated ability to translate complex datasets into clear business stories and recommendations for both technical and non‑technical audiences.
* Familiarity with support metrics (SLAs, FCR, deflection) and ability to define service health KPIs.
* Strong cross‑functional communication skills—comfortable collaborating daily with engineers, data scientists, and operations leaders.
* An eye for detail, a zero‑defect mindset, and a bias toward action over theoretical perfection
* Possess a strong bias for automation and can defend governance decisions that keep data and processes healthy as they grow.
* Thrive in a fast‑moving, ambiguous environment where priorities can shift quickly.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$255K</t>
        </is>
      </c>
    </row>
    <row r="20">
      <c r="A20" t="inlineStr">
        <is>
          <t>li-4360944379</t>
        </is>
      </c>
      <c r="B20" t="inlineStr">
        <is>
          <t>Data Scientist</t>
        </is>
      </c>
      <c r="C20" t="inlineStr">
        <is>
          <t>EssilorLuxottica</t>
        </is>
      </c>
      <c r="D20" t="inlineStr">
        <is>
          <t>linkedin</t>
        </is>
      </c>
      <c r="E20" t="inlineStr"/>
      <c r="F20" t="inlineStr"/>
      <c r="G20" t="inlineStr">
        <is>
          <t>Dallas, TX</t>
        </is>
      </c>
      <c r="H20" t="inlineStr"/>
      <c r="I20" t="inlineStr">
        <is>
          <t>**Requisition I** 
**D:** 
 915162
 **Store \#:** 
 A00152 Tech Srvcs Wholesale DAL\-T
**Position** 
 : Full\-Time
**Total Rewards: Benefits/Incentive Information**
 If you’ve worn a pair of glasses, we’ve already met.
 We are a global leader in the design, manufacture, and distribution of ophthalmic lenses, frames, and sunglasses. We offer our industry stakeholders in over 150 countries access to a global platform of high\-quality vision care products such as the Essilor brand, with Varilux, Crizal, Eyezen, Stellest and Transitions, iconic brands that consumers love such as Ray\-Ban, Oakley, Persol and Oliver Peoples, as well as a network that offers consumers high\-quality vision care and best\-in\-class shopping experiences such as Sunglass Hut, LensCrafters, and Target Optical, and leading e\-commerce platforms.
 Our portfolio of more than 150 renowned brands span various categories, from frames, lenses and instruments to brick and mortar and digital distribution as well as mid\-range to premium segments. Our Shared Services Team, accompany and enable others within the EssilorLuxottica collective to achieve their targets. They keep people and projects running smoothly, ensuring every part of our business is provided for and well taken care of.
 Join our global community of over 200,000 dedicated employees around the world in driving the transformation of the eyewear and eyecare industry. Discover more by following us on LinkedIn!
**GENERAL FUNCTION**
 The Applied Data Scientist is a business\-facing analytics professional responsible for AI research and solution delivery. The role owns the full problem\-to\-solution journey: engaging stakeholders, translating business challenges into ML solutions, researching emerging AI techniques, and delivering production\-ready models that drive measurable business value. It balances innovation with execution, ensuring outcomes are practical, scalable, and aligned to business needs.
**Major Duties And Responsibilities**
 Managing
* Engage with stakeholders to understand objectives, constraints, and success metrics
* Deliver end\-to\-end ML solutions from problem framing to production deployment
* Conduct applied research to evaluate and prototype new AI/ML techniques
* Prioritize between research and delivery based on business impact
* Manage model lifecycle: validation, monitoring, retraining, and optimization
 Organizing
* Translate ambiguous business problems into structured data science statements
* Organize exploratory analysis, experimentation, and research frameworks
* Structure scalable ML pipelines for training, inference, and deployment
* Develop proof\-of\-concepts to validate new AI techniques
* Convert insights and research outcomes into actionable recommendations
 Leading
* Drive solutions from research to production
* Act as a trusted analytics advisor through consultative problem\-solving
* Promote adoption of ML solutions by communicating value and limitations
* Evaluate and adopt emerging AI/ML techniques
* Mentor junior team members on research and delivery best practices
**Basic Qualifications**
* Bachelor’s degree in Computer Science, Data Science, Statistics, or related field
* 5\+ years of relevant work experience
* Proven experience delivering ML solutions in production
* Ability to work independently with stakeholders and own delivery
* Strong programming skills in Python or R; experience with ML libraries (scikit\-learn, TensorFlow, PyTorch)
* Solid understanding of statistical modeling, ML techniques, and data mining
**Preferred Qualifications**
* Master’s or PhD in Data Science, Statistics, or related discipline
* Experience in applied research and rapid prototyping of AI/ML solutions
* Exposure to advanced AI techniques (deep learning, generative AI, optimization)
* Experience deploying ML models using Docker, Kubernetes, or cloud\-native services
* Familiarity with Azure, Databricks, Spark, Synapse, and Lakehouse architecture
* Strong storytelling and communication skills for technical and non\-technical audiences
* Experience in agile, fast\-paced, cross\-functional environments
* Balance research depth with delivery focus
* Ability to evaluate and apply new AI techniques pragmatically
* Excellent listening and problem\-solving skills
* Strong ownership mindset with minimal supervision
* Ability to translate complex research into business value
 This posting is for an existing vacancy within our business.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EssilorLuxottica complies with all applicable laws related to the application and hiring process. If you would like to provide feedback regarding an active job posting, or if you are an individual with a disability who would like to request a reasonable accommodation, please call the EssilorLuxottica SpeakUp Hotline at 844\-303\-0229 (be sure to provide your name, job id number, and contact information so that we may follow up in a timely manner) or email HRCompliance@luxotticaretail.com .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t>
        </is>
      </c>
    </row>
    <row r="21">
      <c r="A21" t="inlineStr">
        <is>
          <t>li-4359061520</t>
        </is>
      </c>
      <c r="B21" t="inlineStr">
        <is>
          <t>Future Talent Pipeline - Commercial Data Scientist</t>
        </is>
      </c>
      <c r="C21" t="inlineStr">
        <is>
          <t>Phillips 66</t>
        </is>
      </c>
      <c r="D21" t="inlineStr">
        <is>
          <t>linkedin</t>
        </is>
      </c>
      <c r="E21" t="inlineStr"/>
      <c r="F21" t="inlineStr"/>
      <c r="G21" t="inlineStr">
        <is>
          <t>Houston, TX</t>
        </is>
      </c>
      <c r="H21" t="inlineStr"/>
      <c r="I21" t="inlineStr">
        <is>
          <t>Are you interested in joining Phillips 66 but don’t see a current opening that matches your skills? We’d love to connect! This posting is part of our
 **Talent Pipeline Program** 
 for future Commercial Data Scientist opportunities.
 We are actively building a network of talented professionals we’d like to consider for
 **upcoming positions** 
 . If a current Commercial Data Scientist opening doesn’t align with your career goals or preferred location, we encourage you to apply to this "Future Talent Pipeline" position instead and stay connected for upcoming roles.
 The
 **Commercial Data Scientist is** 
 embedded in a collaborative, entrepreneurial environment, working alongside experienced data scientists, software engineers, and commercial teams. Expect to tackle complex, high\-impact problems, contribute to the energy transition, and see your work influence business decisions at scale.
**What You'll Do (When Postion Opens)**
* Analyze large, complex datasets to uncover insights, patterns, and trends that drive business strategy and operational improvements
* Partner with trading desks, commercial teams, and IT ML Engineers to implement predictive analytics projects and deploy models using MLOps best practices (CI/CD, MLflow, monitoring) on Databricks\-on\-Azure tech stack
* Design, build, and integrate data science solutions into existing systems and platforms for seamless user experiences
* Perform complex statistical analysis, data mining, and visualization to enable data\-driven decision\-making
* Contribute to reporting strategies, translating analytical findings into actionable recommendations for stakeholders
* Share knowledge and build data science expertise within the business through mentoring and collaboration
* Actively participate in code reviews, experiment design, and tooling decisions to drive team quality and velocity
**What You'll Bring – (Required Qualifications)**
* Bachelors degree (or equivalent) in Computer Science, Data Science, Machine Learning, or a related field; Ph.D. is a plus
* 3\+ years of industry experience developing and deploying machine learning models and advanced analytics solutions
* Advanced proficiency in Python and ML frameworks (PyTorch, TensorFlow, scikit\-learn); experience with Databricks, Spark, and Azure cloud services; familiarity with containerization (Docker) is a plus
* Advanced coursework in math, statistics, and machine learning
* Legally authorized to work in the posting country
**What Makes You Stand Out – (Preferred Qualifications)**
* Thrives in ambiguous, high\-volume data environments, accurately defining key elements and encouraging innovative analysis.
* Creates new and better ways for the organization to succeed, offering original ideas and enhancing others’ creative solutions.
* See’s ahead to future possibilities, translating trends and insights into breakthrough strategies for the business.
* Experience in the energy or commodities trading industry, with knowledge of financial markets and trading concepts
* Proven ability to integrate machine learning systems into interactive dashboards (e.g., Dash, Streamlit) and present use cases to non\-technical colleagues
* Resourceful, adaptable, and motivated to make an impact in a dynamic, fast\-growing team
* Demonstrable attention to detail and commitment to quality
* Expertise in exploring and extracting insights from large multi\-source data sets
* Strong problem\-solving skills and ability to work independently and collaboratively
* Strong foundations in statistics, time series modeling, and econometrics
* Excellent communication skills, able to explain complex technical concepts to non\-technical stakeholders
**Total Rewards**
**Benefits**
 At Phillips 66, providing access to high quality programs and care for you and your family is important to us. Maintaining a culture of well\-being — physical, emotional, social, and financial — is essential for a high\-performing organization. When we are at our best, we are poised to deliver exceptional results — personally and professionally. Benefits for certain eligible, full\-time employees include:
* Annual Variable Cash Incentive Program (VCIP) bonus
* 8% 401k company match
* Cash Balance Account pension
* Medical, Dental, and Vision benefits with an annual company contribution to a Health Savings Account for employees on HDHP
* Total well\-being programs and incentives, including Employee Assistance Plan, well\-being reimbursement, and backup family care services
 Learn more about
 **Phillips 66 Total Rewards** 
 .
 Phillips 66 has more than 140 years of experience in providing the energy that enables people to dream bigger and go farther, faster. We are committed to improving lives, and that is our promise to our employees and our communities. We are sustained by the backgrounds and experiences of our diverse teams, which reflect who we are, the environment we create and how we work together. We have been recognized by the Human Rights Campaign, U.S. Department of Labor and the
 *Military Times* 
 for our continued commitment to inclusive practices and policies in the hiring and retention of those in the LGBTQ\+ community and military veterans. Our company is built on values of safety, honor and commitment. We call our cultural mindset Our Energy in Action, which we define through four simple, intuitive behaviors: We work for the greater good, create an environment of trust, seek different perspectives and achieve excellence
 Learn more about Phillips 66 and how we are working to meet the world's energy needs today and tomorrow, by visiting phillips66\.com.
**Important Note**
* This is a pipelining requisition only. It is not tied to a current job opening.
* Applicants will be reviewed and contacted as positions matching their skills become available.
* We encourage you to apply so we can stay connected as opportunities arise
* Stay connected with us on LinkedIn
 Candidates for regular U.S. positions must be a U.S. citizen or national, or an alien admitted as permanent resident, refugee, asylee or temporary resident under 8 U.S.C. 1160(a) or 1255(a)(1\). Individuals with temporary visas such as E, F\-1, H\-1, H\-2, L, B, J, or TN or who need sponsorship for work authorization now or in the future, are not eligible for hire.
**Phillips 66 is an Equal Opportunity Employer**</t>
        </is>
      </c>
    </row>
    <row r="22">
      <c r="A22" t="inlineStr">
        <is>
          <t>li-4369485702</t>
        </is>
      </c>
      <c r="B22" t="inlineStr">
        <is>
          <t>Data Scientist</t>
        </is>
      </c>
      <c r="C22" t="inlineStr">
        <is>
          <t>Best Job Tool</t>
        </is>
      </c>
      <c r="D22" t="inlineStr">
        <is>
          <t>linkedin</t>
        </is>
      </c>
      <c r="E22" t="inlineStr"/>
      <c r="F22" t="inlineStr"/>
      <c r="G22" t="inlineStr"/>
      <c r="H22" t="inlineStr"/>
      <c r="I22" t="inlineStr">
        <is>
          <t>**About The Company**
 Capital One is a leading financial services company renowned for its innovative approach to banking and credit solutions. Founded in 1988, the company revolutionized the credit card industry by personalizing every offer through advanced statistical modeling and relational database technology. Over the years, Capital One has grown from a disruptive startup into a Fortune 200 organization, establishing itself as a leader in data\-driven decision\-making and technological innovation. Its commitment to leveraging data and technology to enhance customer experiences has positioned it at the forefront of the financial services sector.
**About The Role**
 The Principal Data Scientist, AI Foundations Data at Capital One plays a pivotal role in shaping the future of AI and machine learning within the organization. This position involves leading the development of scalable AI/ML solutions that power the company's award\-winning mobile applications and digital platforms. As part of the AI Foundations Specialist Models Data Science team, you will collaborate with cross\-functional teams including product managers, software engineers, and machine learning engineers to deliver innovative AI\-powered features that transform how customers interact with their finances. Your expertise will drive experimentation, innovation, and the creation of next\-generation experiences utilizing the latest generative AI technologies. You will work with extensive datasets, including billions of customer records, to unlock insights and develop models that deliver tangible business value while prioritizing customer\-centric solutions.
**Qualifications**
 The ideal candidate should possess a strong educational background in a quantitative field, such as Statistics, Mathematics, Computer Science, or related disciplines, with relevant professional experience. Candidates should have at least a Bachelor's degree with five years of data analytics experience, a Master's degree with three years, or a PhD in a related field. Proficiency in programming languages such as Python, Scala, or R, along with experience in machine learning and SQL, is essential. Experience working with cloud platforms like AWS, as well as familiarity with AI/ML frameworks such as PyTorch, Hugging Face, and Lightning, is highly preferred. A demonstrated ability to develop, fine\-tune, and operationalize large language models and other advanced AI solutions is critical. Strong communication skills and the ability to translate complex technical concepts into business insights are also vital for success in this role.
**Responsibilities**
* Partner with a diverse team of data scientists, engineers, and product managers to design and implement AI\-powered products that enhance customer engagement and financial decision\-making.
* Leverage advanced technologies including PyTorch, AWS Ultraclusters, Hugging Face, LangChain, VectorDBs, and others to analyze large volumes of numeric and textual data, uncover insights, and develop predictive models.
* Serve as an expert in Natural Language Processing (NLP) to harness the power of Large Language Models (LLMs), adapting and fine\-tuning them for customer\-facing applications and features.
* Lead the end\-to\-end development of machine learning and NLP models—from initial design and training to evaluation and validation—collaborating with engineering teams to deploy scalable, resilient production systems serving over 80 million customers.
* Translate complex technical findings into clear, actionable insights aligned with business objectives, effectively communicating with non\-technical stakeholders.
* Stay current with emerging AI/ML research, evaluate new tools and techniques, and incorporate innovative solutions into existing and new products.
* Mentor junior team members, fostering a culture of continuous learning and technical excellence within the team.
**Benefits**
 Capital One offers a comprehensive and competitive benefits package designed to support the overall well\-being of its employees. This includes health insurance, retirement plans, paid time off, and wellness programs. Employees are also eligible for performance\-based incentive compensation, which may include cash bonuses and long\-term incentives. The company promotes a flexible work environment, encourages professional development, and provides opportunities for career advancement. Additionally, Capital One fosters an inclusive culture that values diversity and promotes work\-life balance, ensuring employees feel supported and empowered to contribute their best.
 Equal Opportunity
 Capital One is an equal opportunity employer committed to fostering an inclusive environment for all employees and applicants. The company does not discriminate based on race, color, religion, sex, national origin, age, disability, veteran status, or any other protected characteristic. Capital One also supports workplace diversity and inclusion initiatives, ensuring that all individuals have equal access to employment opportunities and resources. The organization complies with all applicable federal, state, and local laws regarding non\-discrimination and equal employment opportunity. Reasonable accommodations are available for qualified applicants with disabilities throughout the recruitment process. Capital One promotes a drug\-free workplace and adheres to fair hiring practices to create a welcoming and equitable environment for everyone.</t>
        </is>
      </c>
    </row>
    <row r="23">
      <c r="A23" t="inlineStr">
        <is>
          <t>li-4357644016</t>
        </is>
      </c>
      <c r="B23" t="inlineStr">
        <is>
          <t>Data Scientist (ML Engineer) - San Ramon, CA</t>
        </is>
      </c>
      <c r="C23" t="inlineStr">
        <is>
          <t>Franklin Templeton</t>
        </is>
      </c>
      <c r="D23" t="inlineStr">
        <is>
          <t>linkedin</t>
        </is>
      </c>
      <c r="E23" t="inlineStr"/>
      <c r="F23" t="inlineStr"/>
      <c r="G23" t="inlineStr">
        <is>
          <t>San Ramon, CA</t>
        </is>
      </c>
      <c r="H23" t="inlineStr"/>
      <c r="I23" t="inlineStr">
        <is>
          <t>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**About The Department**
**Franklin Templeton Technology (FTT)** 
 drives the technology strategy and delivers innovative technology solutions for Franklin Templeton (FT), a global investment leader delivering innovative multi\-asset solutions across public and private markets. FT integrates asset allocation, manager research, and implementation to drive portfolio construction, execution, and strategic oversight. Joining FT means working in a collaborative, growth\-oriented environment that values innovation in investment technology.
**What is the Data Scientist (ML Engineer) in the FTT Digital Technology Group Responsible For?**
 As a
 **Data Scientist / ML Engineer** 
 , you will play a critical role in
 **designing, building, and productionizing machine learning systems** 
 that solve real\-world business problems. You will focus on
 **end\-to\-end ML lifecycle ownership** 
 , including data ingestion, feature engineering, model development, deployment, monitoring, and optimization in production environments.
 You will work closely with
 **data engineering, platform, and product teams** 
 to deliver scalable, reliable, and secure ML solutions. Under the guidance of senior technical leaders, you will contribute to
 **engineering\-grade ML architecture** 
 , gain hands\-on experience with
 **cloud\-native ML systems** 
 , and help advance the organization’s AI capabilities.
**Job Location** 
 : San Mateo or San Ramon, California office (Hybrid Schedule)
**Ongoing Responsibilities (Engineering\-Focused)**
***Data Engineering \&amp; Pipelines***
* Design, implement, and maintain robust, scalable data pipelines for ML workloads.
* Build automated data ingestion, validation, and preprocessing frameworks.
* Collaborate with data engineers to integrate ML workflows into enterprise data platforms.
* Optimize data storage and access patterns for high\-volume, high\-performance ML use cases.
* Ensure data quality, lineage, and reproducibility across ML pipelines.
***Machine Learning Engineering***
* Develop, optimize, and maintain production\-grade machine learning models.
* Implement feature engineering pipelines and reusable ML components.
* Design and build end\-to\-end ML architectures, from experimentation to deployment.
* Apply model evaluation, testing, and validation frameworks to ensure robustness.
* Lead efforts in Generative AI system design, mentoring team members on applied GenAI patterns and best practices.
* Translate ambiguous business problems into clear technical designs and ML system architectures.
***MLOps \&amp; Production Systems***
* Deploy ML models using CI/CD pipelines, containerization, and cloud\-native services.
* Implement model monitoring, performance tracking, drift detection, and retraining strategies.
* Partner with platform teams to ensure models meet security, scalability, and reliability standards.
* Troubleshoot and optimize ML systems in production environments.
* Contribute to ML platform standards, tooling, and reusable frameworks.
***Cross\-Functional Engineering Collaboration***
* Work closely with product managers, engineers, and business stakeholders to define technical requirements.
* Translate analytical insights into engineering deliverables for downstream systems.
* Communicate technical designs, trade\-offs, and system behavior to both technical and non\-technical audiences.
* Collaborate with domain experts to integrate business logic into ML system design.
***Continuous Learning \&amp; Technical Innovation***
* Stay current with advancements in ML engineering, cloud platforms, MLOps, and Generative AI.
* Prototype and evaluate new tools, architectures, and frameworks.
* Contribute to technical documentation, design reviews, and best practices.
* Continuously improve system reliability, performance, and maintainability.
**Ideal Qualifications, Skills \&amp; Experience (Engineering\-Heavy)**
***Education \&amp; Experience***
* Bachelor’s or Master’s degree in Computer Science, Engineering, Data Science, or related discipline.
* 5\+ years of hands\-on experience building and deploying ML systems in production.
***Core Technical Skills***
* Strong proficiency in Python with experience building production ML code.
* Advanced SQL skills and experience working with large\-scale datasets.
* Experience with machine learning frameworks.
* Hands\-on experience with data pipelines, feature stores, and ML workflows.
* Familiarity with Generative AI models and applied GenAI system patterns.
***ML Engineering \&amp; MLOps***
* Experience deploying models using containers (Docker) and CI/CD pipelines.
* Exposure to cloud platforms (AWS, Azure, or GCP) and managed ML services.
* Understanding of model monitoring, drift detection, and lifecycle management.
* Ability to design scalable, fault\-tolerant ML architectures.
***Engineering Mindset***
* Strong ability to translate business problems into engineering solutions.
* Comfortable working with ambiguous requirements and defining technical direction.
* Experience designing modular, reusable, and maintainable systems.
* Strong debugging, performance optimization, and problem\-solving skills.
***Collaboration \&amp; Communication***
* Ability to explain complex ML systems and trade\-offs to diverse stakeholders.
* Strong written and verbal communication skills.
* Team\-oriented with the ability to work independently and take ownership.
* Effective planning, prioritization, and execution in fast\-paced environments.
**Compensation Range** 
 : Along with base compensation, other compensation is offered such as a discretionary bonus, 401k plan, health insurance, and other perks. There are several factors taken into consideration in making compensation decisions including but not limited to location, job\-related knowledge, skills, and experience. At Franklin Templeton, we apply a total reward philosophy where all aspects of compensation and benefits are taken into consideration in determining compensation. The salary, benefits and variable rewards will reflect the seniority of the position and a competitive market rate. We expect the annual salary for this position to range between $125,000 to $160,000\.
 When applying, please be sure to
 **attach your resume / CV** 
 . Applications without a resume file attachment will not be reviewed.
 \#ASSOCIATE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 Learn more about the wide range of benefits we offer at Franklin Templeton.
**Highlights Of Our Benefits Include**
* Three weeks paid time off the first year
* Medical, dental and vision insurance
* 401(k) Retirement Plan with 85% company match on your pre\-tax and/or Roth contributions, up to the IRS limits
* Employee Stock Investment Program
* Tuition Assistance Program
* Purchase of company funds with no sales charge
* Onsite fitness center and recreation center\*
* Onsite cafeteria\*
* Only applicable at certain locations
****Learn more about the wide range of benefits we offer at Franklin Templeton****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t>
        </is>
      </c>
    </row>
    <row r="24">
      <c r="A24" t="inlineStr">
        <is>
          <t>li-4369102480</t>
        </is>
      </c>
      <c r="B24" t="inlineStr">
        <is>
          <t>Data Scientist II / Data Analyst</t>
        </is>
      </c>
      <c r="C24" t="inlineStr">
        <is>
          <t>HDR</t>
        </is>
      </c>
      <c r="D24" t="inlineStr">
        <is>
          <t>linkedin</t>
        </is>
      </c>
      <c r="E24" t="inlineStr"/>
      <c r="F24" t="inlineStr"/>
      <c r="G24" t="inlineStr">
        <is>
          <t>Washington, DC</t>
        </is>
      </c>
      <c r="H24" t="inlineStr"/>
      <c r="I24" t="inlineStr">
        <is>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We believe transportation is more than movement, it’s the foundation of connected, thriving communities. As part of HDR’s Transportation Business Group, you’ll help shape the systems that move people and goods safely, efficiently, and sustainably. From designing resilient highways and iconic bridges to advancing transit, passenger and freight rail, aviation, federal transportation ports and marine infrastructure, your work will directly support economic vitality, public safety, sustainable and resilient communities and quality of life. We bring together planners, engineers, architects, construction management staff, environmental, strategic communications, economists, management consultants and specialists across disciplines to solve complex mobility challenges with innovation, technical excellence, and a deep understanding of community needs. Whether you're modernizing aging infrastructure or pioneering next\-generation transportation solutions, your contributions will help define the future of mobility. This isn’t just a job, it’s a chance to lead progress, drive meaningful impact, and leave a legacy of smarter, more connected transportation networks. We are all employee\-owners at HDR, which is the foundation of our collaborative culture that connects employees around the world.
 In the role of Data Scientist II / Data Analyst, we'll count on you to:
 \- Handle highly sensitive and confidential information with professionalism and discretion
 \- Collaborate with stakeholders to improve business decisions by identifying patterns and trends in data
 \- Develop data products including reports, visualizations, and dashboards
 \- Adhere to software and data science development standards
 \- Perform data acquisition, sourcing, cleaning, and exploratory data analysis (EDA)
 \- Transform raw data into usable attributes for machine learning modules through feature engineering
 \- Manage model lifecycle including development, deployment, data drift detection, model retraining, and model inference
 \- Create automated data pipelines and data engineering solutions
 \- Develop advanced and custom predictive models (classification, regression, time series, neural networks, natural language processing, and computer vision)
 \- Tune models with training, hyperparameters with comprehensive validation and testing processes
 \- Leverage predictive models to optimize business results
 \*Position will be based in a client office located in Arlington, VA\*
 Preferred Qualifications
 \- Bachelor's degree
 \- A minimum of 5 years experience strongly preferred
 \- Transit experience preferred
 \- WMATA experience preferred
 \- Preference given to candidates currently located in the area</t>
        </is>
      </c>
    </row>
    <row r="25">
      <c r="A25" t="inlineStr">
        <is>
          <t>li-4369106945</t>
        </is>
      </c>
      <c r="B25" t="inlineStr">
        <is>
          <t>Alibaba.com-Accio-Senior Applied Scientist-Sunnyvale</t>
        </is>
      </c>
      <c r="C25" t="inlineStr">
        <is>
          <t>Alibaba Group</t>
        </is>
      </c>
      <c r="D25" t="inlineStr">
        <is>
          <t>linkedin</t>
        </is>
      </c>
      <c r="E25" t="inlineStr"/>
      <c r="F25" t="inlineStr"/>
      <c r="G25" t="inlineStr">
        <is>
          <t>Sunnyvale, CA</t>
        </is>
      </c>
      <c r="H25" t="inlineStr"/>
      <c r="I25" t="inlineStr">
        <is>
          <t>**About Our Team**
 Our team is dedicated to revolutionizing B2B e\-commerce through the development of a groundbreaking AI search product. Leveraging cutting\-edge LLM technology, we're creating a brand new AI search engine and streamline the entire purchasing process for B2B customers.
**Responsibilities**
* Deliver full projects by defining the data structure, framework, design, and evaluation metrics for AI solution development and implementation.
* Develop and deploy Large Language Models (LLMs) to empower search and agent systems for a variety of applications.
* Identify new and upcoming product innovation areas by interacting with potential external and internal collaborators.
* Identify undefined problems in existing technology and engage stakeholders and leaders to address them.
**Qualifications**
**Job Requirements**
* PhD, Master's, or Bachelor's degree in Computer Science, Engineering, Mathematics, or related fields.
* Ability to implement and verify state\-of\-the\-art NLP or Computer Vision algorithms.
* Experience in successfully applying machine learning approaches to real\-world personalization problems.
* Experience with building large language models.
* Knowledge of statistical methods, with strong mathematical skills.
* Excellent problem\-solving and programming skills in Python.
 The pay range for this position at commencement of employment is expected to be between $162,400/year and $266,000/year. However, base pay offered may vary depending on multiple individualized factors, including market location, job\-related knowledge, skills, and experience.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row>
    <row r="26">
      <c r="A26" t="inlineStr">
        <is>
          <t>li-4365502593</t>
        </is>
      </c>
      <c r="B26" t="inlineStr">
        <is>
          <t>Data Scientist</t>
        </is>
      </c>
      <c r="C26" t="inlineStr">
        <is>
          <t>Underdog.io -Apply to top tech jobs in 60 seconds. A place where companies apply to you</t>
        </is>
      </c>
      <c r="D26" t="inlineStr">
        <is>
          <t>linkedin</t>
        </is>
      </c>
      <c r="E26" t="inlineStr"/>
      <c r="F26" t="inlineStr"/>
      <c r="G26" t="inlineStr"/>
      <c r="H26" t="inlineStr"/>
      <c r="I26" t="inlineStr">
        <is>
          <t>Underdog.io is a modern recruiting platform. One of our hiring partners is looking to hire a Data Scientist to expand their retail analytics team.
**Job Title:** 
 Data Scientist
**Locations:** 
 San Francisco, CA, Irvine, CA, New York, NY, Seattle, WA, Austin, TX, and Remote
**About Our Company** 
 We’re the world’s largest live streaming platform, where millions of global communities connect daily around shared passions—from gaming, music, and sports to cooking and creative arts. Our mission is to empower creators and foster belonging through real\-time interaction. Backed by a collaborative, community\-driven culture, we’re solving complex challenges at the intersection of entertainment, technology, and human connection.
**The Opportunity** 
 Join our Monetization Data Science team to directly impact how creators earn revenue on our platform. As a Data Scientist focused on Payouts \&amp; Creator Economics, you’ll ensure fair, transparent, and innovative compensation systems for thousands of global creators. Partner with Product, Engineering, Finance, and Legal teams to refine payout policies, launch new monetization features, and combat fraud—all while growing into a senior technical leader.
 What You’ll Do
* **Analyze Policy Impact:** 
 Measure how payout program changes (e.g., eligibility rules, payment timelines) affect creator behavior and platform economics.
* **Own Creator Insights:** 
 Develop dashboards and reports tracking payout performance, earnings trends, and program health.
* **Drive Causal Inference:** 
 Apply methods like DiD, matching, and IPW to evaluate non\-experimental policy shifts.
* **Build Data Pipelines:** 
 Create and maintain SQL/Python workflows for recurring analytics (owning data ops when needed).
* **Cross\-Functional Leadership:** 
 Guide product decisions by translating data into actionable strategies for stakeholders.
* **Support Innovation:** 
 Shape new monetization initiatives to expand creator opportunities globally.
**Your Expertise** 
* 3\+ years in Data Science, Analytics, or related field.
**Technical Fluency:** 
* Advanced SQL (complex joins, window functions).
* Python (Pandas, SciPy) or R for data analysis.
* Causal inference mastery (experiment design, quasi\-experimental methods).
* **Communication:** 
 Distill technical insights for executives, legal teams, and engineers.
* **Ownership Mentality:** 
 Thrive in ambiguity; proactively solve problems with imperfect data.
* **Growth Mindset:** 
 Eager to evolve from tactical analytics to strategic leadership.
 Bonus Points For
* Airflow, SageMaker, or ML deployment experience (fraud/churn models).
* Econometrics background or A/B test design.
* Dashboarding (Tableau, Looker, Redshift).
 Perks \&amp; Benefits
* 💰
 **Competitive Salary** 
 \+ Annual Bonus
* 🩺
 **Full\-Coverage Health:** 
 Medical, dental, vision, disability (100% premiums)
* 👨 👩 👧
 **Family Support:** 
 16\-week parental leave \+ fertility benefits
* 🌴
 **Flexible PTO:** 
 Unlimited vacation \+ company\-wide breaks
* 💻
 **Workspace Stipend:** 
 $1,000/year home office upgrade
* 📈
 **401(k):** 
 100% match up to 6% of salary
* 🛒
 **Retail Discounts:** 
 10% off at leading e\-commerce brands
 Our Culture
* **Community First:** 
 We build belonging—for creators and each other.
* **Bold Ownership:** 
 Solve hard problems with autonomy and accountability.
* **Learn Together:** 
 Weekly tech talks, mentorship, and $5k/year learning stipend.
* **Global Impact:** 
 Your work directly empowers creators worldwide.
**Apply Now** 
 Ready to revolutionize how creators thrive? Join us to blend analytical rigor with creative problem\-solving—and grow your career in a team that values curiosity, collaboration, and human connection.</t>
        </is>
      </c>
    </row>
    <row r="27">
      <c r="A27" t="inlineStr">
        <is>
          <t>li-4346185004</t>
        </is>
      </c>
      <c r="B27" t="inlineStr">
        <is>
          <t>Senior Data Scientist</t>
        </is>
      </c>
      <c r="C27" t="inlineStr">
        <is>
          <t>Nexxen</t>
        </is>
      </c>
      <c r="D27" t="inlineStr">
        <is>
          <t>linkedin</t>
        </is>
      </c>
      <c r="E27" t="inlineStr"/>
      <c r="F27" t="inlineStr"/>
      <c r="G27" t="inlineStr">
        <is>
          <t>New York, NY</t>
        </is>
      </c>
      <c r="H27" t="inlineStr"/>
      <c r="I27"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You'll develop and deploy groundbreaking data solutions, collaborating with talented engineers and product experts to transform complex problems into elegant solutions. With proven experience in data science, machine learning, statistical modeling, and/or deep learning, you will bring a passion for problem\-solving, turning data into actionable insights, and collaboration with supporting teams. Strong programming skills in Python, SQL, Spark, and other data science tools are essential.
 This role will be based in our local office
 **Locations** 
**.** 
 Our team follows a hybrid schedule,
 **working in the office three days** 
 a week and remotely for the rest.
**Each day can be different here at Nexxen, but some of the things you can expect to be doing are:**
* Design and implement scalable data science\-based solutions, data processing, and machine learning pipelines
* Optimize models and develop new and scalable methodologies to improve data quality
* Collaborate with other Engineering and Product teams to understand product requirements and create optimal/scalable solutions
* Communicate technical concepts and findings to both technical/non\-technical team members
* Write scalable and clean code
**What You’ll Bring**
* Education in Computer Science / Engineering or a related technical field with 7\+ years of overall experience
* 5\+ years of work experience in building production\-level data science\-based solutions
* Extensive Mar\-tech/Ad\-tech knowledge (Ad\-tech SSP preferred)
* Experience in Neural Networks, Deep Learning, TensorFlow, and/or PyTorch
* Experience with Spark and SQL
* Significant experience with Python and machine learning packages (e.g., sklearn, keras)
* Experience in implementing machine learning pipelines
* Creative problem\-solving and analytical skills with experience in statistical analysis and hypothesis testing.
* Excellent verbal and written communication skills to present complex data findings to technical and non\-technical stakeholders
**What We Would Like To See**
* MS/PhD in Computer Science / Engineering or a related technical field
* Experience with latency\-sensitive scalable machine learning models
* Supply Side Platform (SSP) Ad Tech experience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\-210,000 the time of posting, with the potential of an incentive or bonusWhile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28">
      <c r="A28" t="inlineStr">
        <is>
          <t>li-4346185001</t>
        </is>
      </c>
      <c r="B28" t="inlineStr">
        <is>
          <t>Senior Data Scientist</t>
        </is>
      </c>
      <c r="C28" t="inlineStr">
        <is>
          <t>Nexxen</t>
        </is>
      </c>
      <c r="D28" t="inlineStr">
        <is>
          <t>linkedin</t>
        </is>
      </c>
      <c r="E28" t="inlineStr"/>
      <c r="F28" t="inlineStr"/>
      <c r="G28" t="inlineStr">
        <is>
          <t>Dallas, TX</t>
        </is>
      </c>
      <c r="H28" t="inlineStr"/>
      <c r="I28"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You'll develop and deploy groundbreaking data solutions, collaborating with talented engineers and product experts to transform complex problems into elegant solutions. With proven experience in data science, machine learning, statistical modeling, and/or deep learning, you will bring a passion for problem\-solving, turning data into actionable insights, and collaboration with supporting teams. Strong programming skills in Python, SQL, Spark, and other data science tools are essential.
 This role will be based in our local office
 **Locations** 
**.** 
 Our team follows a hybrid schedule,
 **working in the office three days** 
 a week and remotely for the rest.
**Each day can be different here at Nexxen, but some of the things you can expect to be doing are:**
* Design and implement scalable data science\-based solutions, data processing, and machine learning pipelines
* Optimize models and develop new and scalable methodologies to improve data quality
* Collaborate with other Engineering and Product teams to understand product requirements and create optimal/scalable solutions
* Communicate technical concepts and findings to both technical/non\-technical team members
* Write scalable and clean code
**What You’ll Bring**
* Education in Computer Science / Engineering or a related technical field with 7\+ years of overall experience
* 5\+ years of work experience in building production\-level data science\-based solutions
* Extensive Mar\-tech/Ad\-tech knowledge (Ad\-tech SSP preferred)
* Experience in Neural Networks, Deep Learning, TensorFlow, and/or PyTorch
* Experience with Spark and SQL
* Significant experience with Python and machine learning packages (e.g., sklearn, keras)
* Experience in implementing machine learning pipelines
* Creative problem\-solving and analytical skills with experience in statistical analysis and hypothesis testing.
* Excellent verbal and written communication skills to present complex data findings to technical and non\-technical stakeholders
**What We Would Like To See**
* MS/PhD in Computer Science / Engineering or a related technical field
* Experience with latency\-sensitive scalable machine learning models
* Supply Side Platform (SSP) Ad Tech experience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\-210,000 the time of posting, with the potential of an incentive or bonusWhile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29">
      <c r="A29" t="inlineStr">
        <is>
          <t>li-4346243637</t>
        </is>
      </c>
      <c r="B29" t="inlineStr">
        <is>
          <t>Senior Data Scientist</t>
        </is>
      </c>
      <c r="C29" t="inlineStr">
        <is>
          <t>Nexxen</t>
        </is>
      </c>
      <c r="D29" t="inlineStr">
        <is>
          <t>linkedin</t>
        </is>
      </c>
      <c r="E29" t="inlineStr"/>
      <c r="F29" t="inlineStr"/>
      <c r="G29" t="inlineStr">
        <is>
          <t>Redwood City, CA</t>
        </is>
      </c>
      <c r="H29" t="inlineStr"/>
      <c r="I29"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You'll develop and deploy groundbreaking data solutions, collaborating with talented engineers and product experts to transform complex problems into elegant solutions. With proven experience in data science, machine learning, statistical modeling, and/or deep learning, you will bring a passion for problem\-solving, turning data into actionable insights, and collaboration with supporting teams. Strong programming skills in Python, SQL, Spark, and other data science tools are essential.
 This role will be based in our local office
 **Locations** 
**.** 
 Our team follows a hybrid schedule,
 **working in the office three days** 
 a week and remotely for the rest.
**Each day can be different here at Nexxen, but some of the things you can expect to be doing are:**
* Design and implement scalable data science\-based solutions, data processing, and machine learning pipelines
* Optimize models and develop new and scalable methodologies to improve data quality
* Collaborate with other Engineering and Product teams to understand product requirements and create optimal/scalable solutions
* Communicate technical concepts and findings to both technical/non\-technical team members
* Write scalable and clean code
**What You’ll Bring**
* Education in Computer Science / Engineering or a related technical field with 7\+ years of overall experience
* 5\+ years of work experience in building production\-level data science\-based solutions
* Extensive Mar\-tech/Ad\-tech knowledge (Ad\-tech SSP preferred)
* Experience in Neural Networks, Deep Learning, TensorFlow, and/or PyTorch
* Experience with Spark and SQL
* Significant experience with Python and machine learning packages (e.g., sklearn, keras)
* Experience in implementing machine learning pipelines
* Creative problem\-solving and analytical skills with experience in statistical analysis and hypothesis testing.
* Excellent verbal and written communication skills to present complex data findings to technical and non\-technical stakeholders
**What We Would Like To See**
* MS/PhD in Computer Science / Engineering or a related technical field
* Experience with latency\-sensitive scalable machine learning models
* Supply Side Platform (SSP) Ad Tech experience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\-210,000 the time of posting, with the potential of an incentive or bonusWhile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30">
      <c r="A30" t="inlineStr">
        <is>
          <t>li-4368996171</t>
        </is>
      </c>
      <c r="B30" t="inlineStr">
        <is>
          <t>Senior Data Scientist</t>
        </is>
      </c>
      <c r="C30" t="inlineStr">
        <is>
          <t>RemoteHunter</t>
        </is>
      </c>
      <c r="D30" t="inlineStr">
        <is>
          <t>linkedin</t>
        </is>
      </c>
      <c r="E30" t="inlineStr"/>
      <c r="F30" t="inlineStr"/>
      <c r="G30" t="inlineStr"/>
      <c r="H30" t="inlineStr"/>
      <c r="I30" t="inlineStr">
        <is>
          <t>About the Opportunity:
 The organization provides a platform that simplifies building and scaling in\-app subscriptions. It serves as a default monetization platform for mobile, present in over 40% of newly shipped subscription apps, processing more than $10 billion in annual purchase volume, and supporting a diverse range of developers globally. The Senior Data Scientist role focuses on driving product impact through proactive data analysis and collaboration with Product, Engineering, and Analytics teams, powering customer\-facing features and shaping product direction using data.
 Responsibilities:
 • Proactively explore the organization’s data to identify customer problems, opportunities, and product bets.
 • Translate ambiguous product and business questions into clear analyses, models, and recommendations.
 • Partner with Product Managers to shape roadmaps.
 • Design, build, and ship production\-grade predictive and descriptive models powering customer features.
 • Define and evaluate statistical approaches for experimentation, benchmarking, and forecasting.
 • Communicate insights clearly to technical and non\-technical audiences, emphasizing customer impact.
 • Continuously iterate on models and features based on usage and feedback.
 Requirements:
 • 5\+ years of experience as a Data Scientist.
 • Strong SQL skills and experience with data modeling.
 • Experience building and deploying predictive and descriptive models in production.
 • Experience writing or collaborating on production\-ready Python code.
 • Solid understanding of statistics and experimentation, ideally including Bayesian methods.
 • Ability to explain complex ideas and results clearly to broad audiences.
 • Highly proactive, comfortable pushing ideas forward.
 • Experience working with messy, real\-world data and imperfect information.
 • Focus on creating customer value over academic elegance.
 • Comfortable operating in ambiguity and building structure where none exists.
 • Enjoy working closely with Product teams and influencing decisions.
 • Interest in the consumer subscription ecosystem and developer monetization.
 Benefits \&amp; Perks:
 • Competitive equity in a fast\-growing, Series C startup backed by top\-tier investors including Y Combinator.
 • 10\-year window to exercise vested equity options.
 • Fully remote and flexible work environment.
 • 4\-5 weeks of suggested annual time off for mental, physical, and emotional recharge.
 • $2,000 USD for workspace setup and $1,000 USD annual stipend for continuous learning.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1">
      <c r="A31" t="inlineStr">
        <is>
          <t>li-4346194862</t>
        </is>
      </c>
      <c r="B31" t="inlineStr">
        <is>
          <t>Senior Data Scientist</t>
        </is>
      </c>
      <c r="C31" t="inlineStr">
        <is>
          <t>Nexxen</t>
        </is>
      </c>
      <c r="D31" t="inlineStr">
        <is>
          <t>linkedin</t>
        </is>
      </c>
      <c r="E31" t="inlineStr"/>
      <c r="F31" t="inlineStr"/>
      <c r="G31" t="inlineStr">
        <is>
          <t>Los Angeles, CA</t>
        </is>
      </c>
      <c r="H31" t="inlineStr"/>
      <c r="I31"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You'll develop and deploy groundbreaking data solutions, collaborating with talented engineers and product experts to transform complex problems into elegant solutions. With proven experience in data science, machine learning, statistical modeling, and/or deep learning, you will bring a passion for problem\-solving, turning data into actionable insights, and collaboration with supporting teams. Strong programming skills in Python, SQL, Spark, and other data science tools are essential.
 This role will be based in our local office
 **Locations** 
**.** 
 Our team follows a hybrid schedule,
 **working in the office three days** 
 a week and remotely for the rest.
**Each day can be different here at Nexxen, but some of the things you can expect to be doing are:**
* Design and implement scalable data science\-based solutions, data processing, and machine learning pipelines
* Optimize models and develop new and scalable methodologies to improve data quality
* Collaborate with other Engineering and Product teams to understand product requirements and create optimal/scalable solutions
* Communicate technical concepts and findings to both technical/non\-technical team members
* Write scalable and clean code
**What You’ll Bring**
* Education in Computer Science / Engineering or a related technical field with 7\+ years of overall experience
* 5\+ years of work experience in building production\-level data science\-based solutions
* Extensive Mar\-tech/Ad\-tech knowledge (Ad\-tech SSP preferred)
* Experience in Neural Networks, Deep Learning, TensorFlow, and/or PyTorch
* Experience with Spark and SQL
* Significant experience with Python and machine learning packages (e.g., sklearn, keras)
* Experience in implementing machine learning pipelines
* Creative problem\-solving and analytical skills with experience in statistical analysis and hypothesis testing.
* Excellent verbal and written communication skills to present complex data findings to technical and non\-technical stakeholders
**What We Would Like To See**
* MS/PhD in Computer Science / Engineering or a related technical field
* Experience with latency\-sensitive scalable machine learning models
* Supply Side Platform (SSP) Ad Tech experience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\-210,000 the time of posting, with the potential of an incentive or bonusWhile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32">
      <c r="A32" t="inlineStr">
        <is>
          <t>li-4315926050</t>
        </is>
      </c>
      <c r="B32" t="inlineStr">
        <is>
          <t>Applied Scientist 4</t>
        </is>
      </c>
      <c r="C32" t="inlineStr">
        <is>
          <t>Oracle</t>
        </is>
      </c>
      <c r="D32" t="inlineStr">
        <is>
          <t>linkedin</t>
        </is>
      </c>
      <c r="E32" t="inlineStr"/>
      <c r="F32" t="inlineStr"/>
      <c r="G32" t="inlineStr"/>
      <c r="H32" t="inlineStr"/>
      <c r="I32" t="inlineStr">
        <is>
          <t>**Job Description**
 Invent, implement and deploy state\-of\-the\-art machine learning and/or specific domain industry algorithms and systems. Build prototypes and explore conceptually new solutions. Work collaboratively with science, engineering, and product teams to identify customer needs in order to create and implement solutions, promote innovation and drive model implementations. Applies data science capabilities and research findings to create and implement solutions to scale. Responsible for developing new intelligence around core products and services through applied research on behalf of our customers. Develops models, prototypes, and experiments that pave the way for innovative products and services. Build cloud services that work out of the box for enterprises, e.g. decision support, anomaly detection, forecasting and recommendations), natural language processing (NLP), Natural Language Understanding (NLU),Time Series, Automatic Speech Recognition (ASR), Machine Learning (ML), and Computer Vision (CV). Design and run experiments, research new algorithms, and find new ways of optimizing risk, profitability, and customer experience. Conversant on ethical problems in consideration of sciences.
**Responsibilities**
 Leading contributor providing guidance and mentorship to define, design and deliver product quality improvements from ideation stage to shipping to the customer. Write high quality code to power experiments and build models. Contributes to writing production model code. Work closely with product management and engineering to deliver products which solves the needs of our customers by building relevant, innovative results which strategically differentiates Oracle in the market. Set up environment needed to run experiments for all projects. Set up distributed environments. Engage with customers and help solve complex problems with the customer/partner. Directly impact our customers via innovation in products and services that make use of ML/AI technology. Clearly articulate technical work to audiences of all levels and across multiple functional areas. Keep track of the progress and ensure the team is following the best practices. Works on training data collection, feature engineering, model training, offline and online experimentation. Drives independent research and development. Advance the state\-of\-the\-art machine learning and algorithms for real\-world large\-scale applications. Ensure solutions are designed with fairness and explainability in mind. May perform other duties as assigned.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3">
      <c r="A33" t="inlineStr">
        <is>
          <t>li-4369481613</t>
        </is>
      </c>
      <c r="B33" t="inlineStr">
        <is>
          <t>Senior Data Scientist</t>
        </is>
      </c>
      <c r="C33" t="inlineStr">
        <is>
          <t>Microsoft</t>
        </is>
      </c>
      <c r="D33" t="inlineStr">
        <is>
          <t>linkedin</t>
        </is>
      </c>
      <c r="E33" t="inlineStr"/>
      <c r="F33" t="inlineStr"/>
      <c r="G33" t="inlineStr">
        <is>
          <t>Redmond, WA</t>
        </is>
      </c>
      <c r="H33" t="inlineStr"/>
      <c r="I33" t="inlineStr">
        <is>
          <t>**Overview**
 What a time to join Microsoft! The Office of the Chief Economist works across the company to pursue commercial value using economics and data science. Examples of our work include algorithms that grow Microsoft’s cloud revenue and resource efficiency; some of the first\-ever studies of how AI changes the way that people work; and market design for software resellers.
 We are looking for a
 **Senior Data Scientist** 
 with broad technical skills, business acumen, and a player\-coach attitude. You will work alongside world\-class colleagues on high\-visibility projects answering some of Microsoft’s most pressing challenges. You will work directly with business partners to identify opportunities. Your initial first project will involve building algorithmic support for our deal teams, using machine learning, experimentation, and good old\-fashioned analytics. This is an opportunity to rethink, build, and operate internal processes and software.
 Successful candidates can dive deep into sophisticated modeling approaches when needed; but more importantly, they know when a simple and pragmatic solution will do just as well, and they know how to inspire the same in others. They know how to tell good stories through data, how to visualize, and how to use many fast iterations in the face of ambiguous problems.
 Our team values entrepreneurship, craftsmanship, and continuous learning. You will be able to shape and grow a positive and productive data science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**Responsibilities**
* Understand business needs and develop appropriate data analysis to meet those needs including pipelining, exploratory data analysis, modeling, inference, and experimentation.
* Collaborate with senior economists to solve some of Microsoft’s most pressing issues, delivering tangible commercial value.
* Together with your team, interpret and present analysis results to senior stakeholders.
* Coach more junior team members, promoting a culture of learning and evangelizing modern data science methods.
* Build a robust product that makes data, econometrics, and ML useful for deal teams in the field.Embody our culture and values.
**Qualifications**
**Required/minimum qualifications**
*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OR equivalent experience.
**Additional Or Preferred Qualifications**
* Doctorate in Data Science, Mathematics, Statistics, Econometrics, Economics, Operations Research, Computer Science, or related field AND 3\+ years data\-science experience (e.g., managing structured and unstructured data, applying statistical techniques and reporting results) OR Master's Degree in Data Science, Mathematics, Statistics, Econometrics, Economics, Operations Research, Computer Science, or related field AND 5\+ years data\-science experience (e.g., managing structured and unstructured data, applying statistical techniques and reporting results) OR Bachelor's Degree in Data Science, Mathematics, Statistics, Econometrics, Economics, Operations Research, Computer Science, or related field AND 7\+ years data\-science experience (e.g., managing structured and unstructured data, applying statistical techniques and reporting results) OR equivalent experience.
* 1\+ year of experience in preparing and executing analysis plans, evaluating various statistical methods (ML, causal inference, classical methods) and choosing the most appropriate approaches given business requirements.
* 1\+ year of industry experience in python and R and data query systems such as SQL or Spark, and management platforms such as Fabric, Databricks, SQL Server or Cosmos.
* 1\+ year of industry experience working with cross\-functional teams, gathering requirements, and building requirements into analysis plans.
* 1\+ year of experience with MLops, running Production\-grade ML systems and experience with Sales processes.
* 1\+ year of engineering experience in a modern cloud stack, including serverless methods and demonstrated experience leveraging your skills using AI.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4">
      <c r="A34" t="inlineStr">
        <is>
          <t>li-4368991805</t>
        </is>
      </c>
      <c r="B34" t="inlineStr">
        <is>
          <t>Senior Data Scientist, People</t>
        </is>
      </c>
      <c r="C34" t="inlineStr">
        <is>
          <t>RemoteHunter</t>
        </is>
      </c>
      <c r="D34" t="inlineStr">
        <is>
          <t>linkedin</t>
        </is>
      </c>
      <c r="E34" t="inlineStr"/>
      <c r="F34" t="inlineStr"/>
      <c r="G34" t="inlineStr"/>
      <c r="H34" t="inlineStr"/>
      <c r="I34" t="inlineStr">
        <is>
          <t>About the Opportunity:
 This organization provides a platform helping millions to manage and improve their homes through personalized guidance, AI tools, and a hiring experience connecting homeowners with local service businesses. The Senior Data Scientist, People role supports talent decisions by leveraging data, analytics, and AI to deliver insights and build scalable data products.
 Responsibilities:
 • Communicate clear, business\-relevant talent insights using data.
 • Apply AI to improve insight generation, decision support, and experimentation.
 • Design and maintain People data foundations, including pipelines and BigQuery models, collaborating with Data Engineering and HR Operations.
 • Develop scalable analytics products and tools such as Tableau dashboards and AI\-enabled solutions.
 • Collaborate with People Team and business leaders to identify and analyze high\-impact talent questions and provide actionable recommendations.
 • Manage end\-to\-end initiatives across People functions including Recruiting, Talent Management, and DEIB.
 • Promote a culture of data\-informed decision\-making across the People Team and organization.
 Requirements:
 • BA/BS degree in a quantitative field such as Economics, Statistics, or Psychology.
 • At least 4 years of experience, including 1 year in People Data Science or People Analytics.
 • Experience with managing data pipelines and data warehousing.
 • Strong written and verbal communication skills for diverse audiences including senior leadership.
 • Proficient in SQL for querying large datasets, Tableau, and familiar with statistical/programming languages such as R or Python.
 • Ability to work independently and collaborate effectively across teams.
 • Strong prioritization and project management skills.
 Compensation:
 • For candidates in San Francisco / Bay Area, San Jose, New York City, or Seattle metros, the expected salary range is $197,200 to $255,200\.
 • For candidates in Austin, TX; Washington DC metros; or in California, Massachusetts, New Jersey, or Washington states, the expected salary range is $140,400 to $177,700\.
 • For candidates in all other US locations, the expected salary range is $167,500 to $216,700\.
 Actual salaries vary based on job level, qualifications, skills, and proficiency.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5">
      <c r="A35" t="inlineStr">
        <is>
          <t>li-4339947625</t>
        </is>
      </c>
      <c r="B35" t="inlineStr">
        <is>
          <t>Sr. Applied Scientist, Prime Video - Recommendation/Search</t>
        </is>
      </c>
      <c r="C35" t="inlineStr">
        <is>
          <t>Prime Video &amp; Amazon MGM Studios</t>
        </is>
      </c>
      <c r="D35" t="inlineStr">
        <is>
          <t>linkedin</t>
        </is>
      </c>
      <c r="E35" t="inlineStr"/>
      <c r="F35" t="inlineStr"/>
      <c r="G35" t="inlineStr">
        <is>
          <t>Sunnyvale, CA</t>
        </is>
      </c>
      <c r="H35" t="inlineStr"/>
      <c r="I35"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Sr. Applied Scientists with Recommender System or Search Ranking or Ads Ranking experience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A3124938</t>
        </is>
      </c>
    </row>
    <row r="36">
      <c r="A36" t="inlineStr">
        <is>
          <t>li-4314908936</t>
        </is>
      </c>
      <c r="B36" t="inlineStr">
        <is>
          <t>Principal Applied Scientist</t>
        </is>
      </c>
      <c r="C36" t="inlineStr">
        <is>
          <t>Oracle</t>
        </is>
      </c>
      <c r="D36" t="inlineStr">
        <is>
          <t>linkedin</t>
        </is>
      </c>
      <c r="E36" t="inlineStr"/>
      <c r="F36" t="inlineStr"/>
      <c r="G36" t="inlineStr"/>
      <c r="H36" t="inlineStr"/>
      <c r="I36" t="inlineStr">
        <is>
          <t>**Job Description**
 Responsible AI: Principal Applied Scientist. We are seeking an exceptional Principal Applied Scientist with deep expertise in Responsible AI to join our fast\-growing AI/ML research team. In this role, you will drive the development and evaluation of scalable safeguards for foundation models, with a focus on large language or multi\-modal models (LLMs/ LMMs). Your work will directly influence how we design, deploy, and monitor trustworthy AI systems across a broad range of products.
**Responsibilities**
**What You’ll Do**
* Conduct cutting\-edge research and development in Responsible AI, including fairness, robustness, explainability, and safety for generative models
* Design and implement safeguards, red teaming pipelines, and bias mitigation strategies for LLMs and other foundation models
* Contribute to the fine\-tuning and alignment of LLMs using techniques such as prompt engineering, instruction tuning, and RLHF/DPO
* Define and implement rigorous evaluation protocols (e.g., bias audits, toxicity analysis, robustness benchmarks)
* Collaborate cross\-functionally with product, policy, legal, and engineering teams to ensure Responsible AI principles are embedded throughout the model lifecycle
* Publish in top\-tier venues (e.g., NeurIPS, ICML, ICLR, ACL, CVPR) and represent the company in academic and industry forums
**Minimum Qualifications**
* Ph.D. in Computer Science, Machine Learning, NLP, or a related field, with publications in top\-tier AI/ML conferences or journals
* Hands\-on experience with LLMs including fine\-tuning, evaluation, and prompt engineering
* Demonstrated expertise in building or evaluating Responsible AI systems (e.g., fairness, safety, interpretability)
* Proficiency in Python and ML/DL frameworks such as PyTorch or TensorFlow
* Strong understanding of model evaluation techniques and metrics related to bias, robustness, and toxicity
* Creative problem\-solving skills with a rapid prototyping mindset and a collaborative attitude
**Preferred Qualifications (Nice To Have)**
* Experience with RLHF (Reinforcement Learning from Human Feedback) or other alignment methods
* Open\-source contributions in the AI/ML community
* Experience working with model guardrails, safety filters, or content moderation systems
**Why Join Us**
 You’ll be working at the intersection of AI innovation and Responsible AI, helping shape the next generation of safe and trustworthy machine learning systems. If you’re passionate about ensuring AI benefits everyone—and you have the technical depth to back it up—we want to hear from you.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7">
      <c r="A37" t="inlineStr">
        <is>
          <t>li-4314917647</t>
        </is>
      </c>
      <c r="B37" t="inlineStr">
        <is>
          <t>Principal Applied Scientist</t>
        </is>
      </c>
      <c r="C37" t="inlineStr">
        <is>
          <t>Oracle</t>
        </is>
      </c>
      <c r="D37" t="inlineStr">
        <is>
          <t>linkedin</t>
        </is>
      </c>
      <c r="E37" t="inlineStr"/>
      <c r="F37" t="inlineStr"/>
      <c r="G37" t="inlineStr"/>
      <c r="H37" t="inlineStr"/>
      <c r="I37" t="inlineStr">
        <is>
          <t>**Job Description**
 Responsible AI: Principal Applied Scientist. We are seeking an exceptional Principal Applied Scientist with deep expertise in Responsible AI to join our fast\-growing AI/ML research team. In this role, you will drive the development and evaluation of scalable safeguards for foundation models, with a focus on large language or multi\-modal models (LLMs/ LMMs). Your work will directly influence how we design, deploy, and monitor trustworthy AI systems across a broad range of products.
**Responsibilities**
**What You’ll Do**
* Conduct cutting\-edge research and development in Responsible AI, including fairness, robustness, explainability, and safety for generative models
* Design and implement safeguards, red teaming pipelines, and bias mitigation strategies for LLMs and other foundation models
* Contribute to the fine\-tuning and alignment of LLMs using techniques such as prompt engineering, instruction tuning, and RLHF/DPO
* Define and implement rigorous evaluation protocols (e.g., bias audits, toxicity analysis, robustness benchmarks)
* Collaborate cross\-functionally with product, policy, legal, and engineering teams to ensure Responsible AI principles are embedded throughout the model lifecycle
* Publish in top\-tier venues (e.g., NeurIPS, ICML, ICLR, ACL, CVPR) and represent the company in academic and industry forums
**Minimum Qualifications**
* Ph.D. in Computer Science, Machine Learning, NLP, or a related field, with publications in top\-tier AI/ML conferences or journals
* Hands\-on experience with LLMs including fine\-tuning, evaluation, and prompt engineering
* Demonstrated expertise in building or evaluating Responsible AI systems (e.g., fairness, safety, interpretability)
* Proficiency in Python and ML/DL frameworks such as PyTorch or TensorFlow
* Strong understanding of model evaluation techniques and metrics related to bias, robustness, and toxicity
* Creative problem\-solving skills with a rapid prototyping mindset and a collaborative attitude
**Preferred Qualifications (Nice To Have)**
* Experience with RLHF (Reinforcement Learning from Human Feedback) or other alignment methods
* Open\-source contributions in the AI/ML community
* Experience working with model guardrails, safety filters, or content moderation systems
**Why Join Us**
 You’ll be working at the intersection of AI innovation and Responsible AI, helping shape the next generation of safe and trustworthy machine learning systems. If you’re passionate about ensuring AI benefits everyone—and you have the technical depth to back it up—we want to hear from you.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8">
      <c r="A38" t="inlineStr">
        <is>
          <t>li-4315476944</t>
        </is>
      </c>
      <c r="B38" t="inlineStr">
        <is>
          <t>Principal Applied Scientist</t>
        </is>
      </c>
      <c r="C38" t="inlineStr">
        <is>
          <t>Oracle</t>
        </is>
      </c>
      <c r="D38" t="inlineStr">
        <is>
          <t>linkedin</t>
        </is>
      </c>
      <c r="E38" t="inlineStr"/>
      <c r="F38" t="inlineStr"/>
      <c r="G38" t="inlineStr"/>
      <c r="H38" t="inlineStr"/>
      <c r="I38" t="inlineStr">
        <is>
          <t>**Job Description**
 Invent, implement and deploy state\-of\-the\-art machine learning and/or specific domain industry algorithms and systems. Build prototypes and explore conceptually new solutions. Work collaboratively with science, engineering, and product teams to identify customer needs in order to create and implement solutions, promote innovation and drive model implementations. Applies data science capabilities and research findings to create and implement solutions to scale. Responsible for developing new intelligence around core products and services through applied research on behalf of our customers. Develops models, prototypes, and experiments that pave the way for innovative products and services
**About The Role**
 We are seeking an exceptional Principal Applied Scientist with deep expertise in Responsible AI to join our fast\-growing AI/ML research team. In this role, you will drive the development and evaluation of scalable safeguards for foundation models, with a focus on large language or multi\-modal models (LLMs/ LMMs). Your work will directly influence how we design, deploy, and monitor trustworthy AI systems across a broad range of products.
**What You’ll Do**
* Conduct cutting\-edge research and development in Responsible AI, including fairness, robustness, explainability, and safety for generative models
* Design and implement safeguards, red teaming pipelines, and bias mitigation strategies for LLMs and other foundation models
* Contribute to the fine\-tuning and alignment of LLMs using techniques such as prompt engineering, instruction tuning, and RLHF/DPO.
* Define and implement rigorous evaluation protocols (e.g., bias audits, toxicity analysis, robustness benchmarks)
* Collaborate cross\-functionally with product, policy, legal, and engineering teams to ensure Responsible AI principles are embedded throughout the model lifecycle
* Publish in top\-tier venues (e.g., NeurIPS, ICML, ICLR, ACL, CVPR) and represent the company in academic and industry forums
**Minimum Qualifications**
* Ph.D. in Computer Science, Machine Learning, NLP, or a related field, with publications in top\-tier AI/ML conferences or journals
* Hands\-on experience with LLMs including fine\-tuning, evaluation, and prompt engineering
* Demonstrated expertise in building or evaluating Responsible AI systems (e.g., fairness, safety, interpretability)
* Proficiency in Python and ML/DL frameworks such as PyTorch or TensorFlow
* Strong understanding of model evaluation techniques and metrics related to bias, robustness, and toxicity
* Creative problem\-solving skills with a rapid prototyping mindset and a collaborative attitude
**Preferred Qualifications (Nice To Have)**
* Experience with RLHF (Reinforcement Learning from Human Feedback) or other alignment methods
* Open\-source contributions in the AI/ML community
* Experience working with model guardrails, safety filters, or content moderation systems
**Why Join Us**
 You’ll be working at the intersection of AI innovation and Responsible AI, helping shape the next generation of safe and trustworthy machine learning systems. If you’re passionate about ensuring AI benefits everyone—and you have the technical depth to back it up—we want to hear from you.
**Business Justification:**
 This role is critical to advancing our AI strategy by accelerating the development and deployment of
 **scalable, production\-grade machine learning solutions** 
 that directly support customer use cases and drive differentiation in our core products. By combining
 **cutting\-edge research with applied innovation** 
 , this role will enable us to:
* Address high\-priority technical gaps in areas such as model safety, bias mitigation, explainability, and performance optimization
* Increase customer trust and adoption through more robust and responsible AI systems
* Strengthen our IP portfolio and thought leadership through novel model development and peer\-reviewed publications
 This position not only supports innovation but also
 **directly impacts revenue, customer satisfaction, and competitive advantage** 
 by ensuring our AI systems are performant, responsible, and aligned with user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9">
      <c r="A39" t="inlineStr">
        <is>
          <t>li-4369111573</t>
        </is>
      </c>
      <c r="B39" t="inlineStr">
        <is>
          <t>Staff Applied Scientist</t>
        </is>
      </c>
      <c r="C39" t="inlineStr">
        <is>
          <t>Visa</t>
        </is>
      </c>
      <c r="D39" t="inlineStr">
        <is>
          <t>linkedin</t>
        </is>
      </c>
      <c r="E39" t="inlineStr"/>
      <c r="F39" t="inlineStr"/>
      <c r="G39" t="inlineStr">
        <is>
          <t>Bellevue, WA</t>
        </is>
      </c>
      <c r="H39" t="inlineStr"/>
      <c r="I39"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We are seeking a highly technical and hands\-on
 **Staff Applied Scientist** 
 to contribute to the development of AI\-driven data products across the Visa Acceptance Platform. In this role, you will work closely with engineering, product, and architecture partners to design, build, and deploy machine learning solutions that operate at global scale.
 This is an execution\-focused role for an experienced data scientist who thrives in production environments and enjoys solving complex data and modeling problems that directly impact customers.
 What You Will Do (Essential Functions)
* Design, develop, and deploy machine learning models and data solutions that support analytics, predictive insights, and AI\-powered platform features.
* Perform data exploration, feature engineering, modeling, and validation using large, complex datasets.
* Build, maintain, and improve data pipelines and model workflows in partnership with engineering teams.
* Apply appropriate metrics and evaluation techniques to measure model performance, reliability, and business impact.
* Collaborate with Product, Engineering, and Security partners to translate business requirements into scalable and secure data science solutions.
* Contribute to platform modernization efforts by improving data quality, performance, reliability, and observability.
* Support operational readiness through monitoring, troubleshooting, and continuous improvement of deployed models.
 This is a hybrid position. Expectation of days in the office will be confirmed by your Hiring Manager.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2\+ years of experience building and deploying AI/ML models for analytics, predictions, or recommendations in production environments.
* 3\+ years of experience working with large\-scale data technologies such as Spark, Kafka, Hadoop, Hive, NoSQL, or relational databases.
* 2\+ years of experience designing and maintaining ETL or data pipelines.
* Experience working with big data, distributed systems, and batch or streaming data processing.
* Strong understanding of metrics design, experimentation, and model evaluation techniques.
* Proficiency in Python and SQL; experience with modern ML frameworks is a plus.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145,300\.00 to 232,700\.00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40">
      <c r="A40" t="inlineStr">
        <is>
          <t>li-4362427672</t>
        </is>
      </c>
      <c r="B40" t="inlineStr">
        <is>
          <t>Senior People Data Scientist - Teamwork Lab</t>
        </is>
      </c>
      <c r="C40" t="inlineStr">
        <is>
          <t>Atlassian</t>
        </is>
      </c>
      <c r="D40" t="inlineStr">
        <is>
          <t>linkedin</t>
        </is>
      </c>
      <c r="E40" t="inlineStr"/>
      <c r="F40" t="inlineStr"/>
      <c r="G40" t="inlineStr"/>
      <c r="H40" t="inlineStr"/>
      <c r="I40"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**Your Future Team**
 This role reports to the Head of Business Insights within the People Insights team and is primarily responsible for supporting the Teamwork Lab at Atlassian. The role also partners closely with People Research and with Product teams.
 The People Insights team is a cross\-disciplinary group of analysts, data scientists, behavioral scientists, researchers and business partners, who use data and research to inform strategic and operational issues facing our leaders, teams, and people.
 The Teamwork Lab is Atlassian’s research and experimentation hub for how modern teams work, with a focus on distributed and AI\-powered collaboration. They create evidence\-based practices and thought leadership that help teams work smarter together.
**Responsibilities**
**In this role, you will:**
* Define, understand, and test opportunities to influence roadmaps and drive decision making at Atlassian
* Partner with cross\-functional teams to inform, influence, and execute strategy decision, and become a trusted strategic partner through the structure and clarity of your work
* Apply technical expertise with hypothesis development, analytical methodologies, and the presentation of data to develop strategies for our business and help solve the business's biggest challenges
* Scale actionable insights from people data by helping to enhance the data infrastructure, and innovating automated processes, analyses, and products
**Qualifications**
**Minimum Qualifications:**
* 5\+ Years of Experience in Data Science or related fields
* Serving as a data engineer when needed — sourcing the right data across systems, cleaning and transforming it, and creating new, user\-ready data tables tailored to each project’s needs
* Experience conducting network analysis / organizational network analysis (ONA) to understand collaboration patterns and inform people and workplace strategies
* Proficiency in SQL and another data manipulation programming language (e.g. Python, R)
* Familiarity with at least one visualization tool (e.g., Tableau, Power BI, Looker, Streamlit, Databricks, Hex)
* Experience in applying statistical concepts to business problems
* Proven ability to translate data into compelling and easy\-to\-understand insights, stories, and narratives that resonate with technical and non\-technical audiences
* Experience driving projects or programs which have had proven impact on business strategy and performance through your analytics skills
* Thrives in ambiguity, quickly structuring unclear asks into logical, actionable steps that drive progress toward a shared goal
**Desirable Qualifications**
* 7\+ Years of Experience in Data Science or related fields OR 5\+ Years of experience in Data Science along with a post\-graduate degree or equivalent in a related field
* Experience with establishing metrics frameworks
* Experience with data quality assessment, and the development of data infrastructure and downstream data solutions
* Experience with work automation or AI implementation, report generation, and basic API interaction to solve business problems
* Ability to use Git to collaborate with others and contribute to dynamic codebases
* Experience working with people data (e.g., HR data, survey data, human behavior data) in an applied setting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175500 \- USD 229125
 Zone B: USD 158400 \- USD 206800
 Zone C: USD 145800 \- USD 190350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41">
      <c r="A41" t="inlineStr">
        <is>
          <t>li-4314381471</t>
        </is>
      </c>
      <c r="B41" t="inlineStr">
        <is>
          <t>Staff Data Scientist, Algorithm - Growth</t>
        </is>
      </c>
      <c r="C41" t="inlineStr">
        <is>
          <t>Airwallex</t>
        </is>
      </c>
      <c r="D41" t="inlineStr">
        <is>
          <t>linkedin</t>
        </is>
      </c>
      <c r="E41" t="inlineStr"/>
      <c r="F41" t="inlineStr"/>
      <c r="G41" t="inlineStr">
        <is>
          <t>San Francisco, CA</t>
        </is>
      </c>
      <c r="H41" t="inlineStr"/>
      <c r="I41"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**Growth Data Science Team**
 The Growth Data Science team sits at the center of Airwallex’s growth engine, turning data and AI into a durable competitive advantage. We build and scale advanced solutions—from predictive modeling and personalization to LLM\-powered systems, incentive optimization, and causal inference—to unlock step\-change growth across the customer lifecycle.
 Learn more about the data science team in this blog.
**The Role**
 We’re seeking a
 **Staff Data Scientist** 
 to partner closely with the Growth and Marketing teams to design, deploy, and iterate on high\-impact data science solutions that drive measurable business outcomes. In this role, you will apply machine learning models to influence how we acquire, engage, and retain customers globally.
 Your work will directly shape Airwallex’s growth strategy, influencing how we acquire, engage, and retain customers. You are naturally curious, business\-oriented, and have a proven track record of translating data insights into actionable recommendations that strengthen brand presence and accelerate growth.
**Why Join Now**
 You’ll join the Airwallex team during a critical period, where we are building a team that enables both global consistency in process, tooling and methodology and local flexibility and speed in execution. This is a great opportunity to shape the next phase of Airwallex’s growth.
**Responsibilities**
* Uplevel the data science team by providing technical mentorship, assuming hands\-on leadership to resolve complex problems, and setting the vision for longer term direction
* Serve as a strategic thought leader with Marketing, Growth Product, Engineering, and cross\-functional teams to inform, influence, support, and execute GTM strategy and investment decisions
* Design and deploy a range of data science solutions—including predictive models, personalization and recommendation systems, LLM\-powered applications, incentive optimization frameworks, and causal inference models—to drive measurable business outcomes
* Apply machine learning and/or statistical models to measure causal impact of Marketing initiatives
**Qualifications**
* 7\+ years industry experience and an advanced degree (PhD or MS) in a quantitative field (e.g. Statistics, Engineering, Sciences, Computer Science, Economics)
* Experience with communicating the results of analyses to leadership teams and cross\-functional teams to influence the strategy
* Technical mentorship experience with machine learning and experimentation in an industry setting
* Expert in machine learning and statistical modeling to drive data driven growth strategy
* Hands on experience building, deploying, and maintaining machine learning models in production\-grade systems (e.g., cloud\-based services, real\-time and batch pipelines).
* Expert in data querying languages (e.g. SQL), scripting languages (e.g. Python); experience in schema design and dimensional data modeling a plus
* Experience in technology, financial services and/or a high growth environment is advantageous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$250K \- $299K</t>
        </is>
      </c>
    </row>
    <row r="42">
      <c r="A42" t="inlineStr">
        <is>
          <t>li-4362367752</t>
        </is>
      </c>
      <c r="B42" t="inlineStr">
        <is>
          <t>Senior People Data Scientist - Teamwork Lab</t>
        </is>
      </c>
      <c r="C42" t="inlineStr">
        <is>
          <t>Atlassian</t>
        </is>
      </c>
      <c r="D42" t="inlineStr">
        <is>
          <t>linkedin</t>
        </is>
      </c>
      <c r="E42" t="inlineStr"/>
      <c r="F42" t="inlineStr"/>
      <c r="G42" t="inlineStr">
        <is>
          <t>New York, NY</t>
        </is>
      </c>
      <c r="H42" t="inlineStr"/>
      <c r="I42"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**Your Future Team**
 This role reports to the Head of Business Insights within the People Insights team and is primarily responsible for supporting the Teamwork Lab at Atlassian. The role also partners closely with People Research and with Product teams.
 The People Insights team is a cross\-disciplinary group of analysts, data scientists, behavioral scientists, researchers and business partners, who use data and research to inform strategic and operational issues facing our leaders, teams, and people.
 The Teamwork Lab is Atlassian’s research and experimentation hub for how modern teams work, with a focus on distributed and AI\-powered collaboration. They create evidence\-based practices and thought leadership that help teams work smarter together.
**Responsibilities**
**In this role, you will:**
* Define, understand, and test opportunities to influence roadmaps and drive decision making at Atlassian
* Partner with cross\-functional teams to inform, influence, and execute strategy decision, and become a trusted strategic partner through the structure and clarity of your work
* Apply technical expertise with hypothesis development, analytical methodologies, and the presentation of data to develop strategies for our business and help solve the business's biggest challenges
* Scale actionable insights from people data by helping to enhance the data infrastructure, and innovating automated processes, analyses, and products
**Qualifications**
**Minimum Qualifications:**
* 5\+ Years of Experience in Data Science or related fields
* Serving as a data engineer when needed — sourcing the right data across systems, cleaning and transforming it, and creating new, user\-ready data tables tailored to each project’s needs
* Experience conducting network analysis / organizational network analysis (ONA) to understand collaboration patterns and inform people and workplace strategies
* Proficiency in SQL and another data manipulation programming language (e.g. Python, R)
* Familiarity with at least one visualization tool (e.g., Tableau, Power BI, Looker, Streamlit, Databricks, Hex)
* Experience in applying statistical concepts to business problems
* Proven ability to translate data into compelling and easy\-to\-understand insights, stories, and narratives that resonate with technical and non\-technical audiences
* Experience driving projects or programs which have had proven impact on business strategy and performance through your analytics skills
* Thrives in ambiguity, quickly structuring unclear asks into logical, actionable steps that drive progress toward a shared goal
**Desirable Qualifications**
* 7\+ Years of Experience in Data Science or related fields OR 5\+ Years of experience in Data Science along with a post\-graduate degree or equivalent in a related field
* Experience with establishing metrics frameworks
* Experience with data quality assessment, and the development of data infrastructure and downstream data solutions
* Experience with work automation or AI implementation, report generation, and basic API interaction to solve business problems
* Ability to use Git to collaborate with others and contribute to dynamic codebases
* Experience working with people data (e.g., HR data, survey data, human behavior data) in an applied setting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175500 \- USD 229125
 Zone B: USD 158400 \- USD 206800
 Zone C: USD 145800 \- USD 190350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43">
      <c r="A43" t="inlineStr">
        <is>
          <t>li-4362407590</t>
        </is>
      </c>
      <c r="B43" t="inlineStr">
        <is>
          <t>Senior People Data Scientist - Teamwork Lab</t>
        </is>
      </c>
      <c r="C43" t="inlineStr">
        <is>
          <t>Atlassian</t>
        </is>
      </c>
      <c r="D43" t="inlineStr">
        <is>
          <t>linkedin</t>
        </is>
      </c>
      <c r="E43" t="inlineStr"/>
      <c r="F43" t="inlineStr"/>
      <c r="G43" t="inlineStr">
        <is>
          <t>San Francisco, CA</t>
        </is>
      </c>
      <c r="H43" t="inlineStr"/>
      <c r="I43"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**Your Future Team**
 This role reports to the Head of Business Insights within the People Insights team and is primarily responsible for supporting the Teamwork Lab at Atlassian. The role also partners closely with People Research and with Product teams.
 The People Insights team is a cross\-disciplinary group of analysts, data scientists, behavioral scientists, researchers and business partners, who use data and research to inform strategic and operational issues facing our leaders, teams, and people.
 The Teamwork Lab is Atlassian’s research and experimentation hub for how modern teams work, with a focus on distributed and AI\-powered collaboration. They create evidence\-based practices and thought leadership that help teams work smarter together.
**Responsibilities**
**In this role, you will:**
* Define, understand, and test opportunities to influence roadmaps and drive decision making at Atlassian
* Partner with cross\-functional teams to inform, influence, and execute strategy decision, and become a trusted strategic partner through the structure and clarity of your work
* Apply technical expertise with hypothesis development, analytical methodologies, and the presentation of data to develop strategies for our business and help solve the business's biggest challenges
* Scale actionable insights from people data by helping to enhance the data infrastructure, and innovating automated processes, analyses, and products
**Qualifications**
**Minimum Qualifications:**
* 5\+ Years of Experience in Data Science or related fields
* Serving as a data engineer when needed — sourcing the right data across systems, cleaning and transforming it, and creating new, user\-ready data tables tailored to each project’s needs
* Experience conducting network analysis / organizational network analysis (ONA) to understand collaboration patterns and inform people and workplace strategies
* Proficiency in SQL and another data manipulation programming language (e.g. Python, R)
* Familiarity with at least one visualization tool (e.g., Tableau, Power BI, Looker, Streamlit, Databricks, Hex)
* Experience in applying statistical concepts to business problems
* Proven ability to translate data into compelling and easy\-to\-understand insights, stories, and narratives that resonate with technical and non\-technical audiences
* Experience driving projects or programs which have had proven impact on business strategy and performance through your analytics skills
* Thrives in ambiguity, quickly structuring unclear asks into logical, actionable steps that drive progress toward a shared goal
**Desirable Qualifications**
* 7\+ Years of Experience in Data Science or related fields OR 5\+ Years of experience in Data Science along with a post\-graduate degree or equivalent in a related field
* Experience with establishing metrics frameworks
* Experience with data quality assessment, and the development of data infrastructure and downstream data solutions
* Experience with work automation or AI implementation, report generation, and basic API interaction to solve business problems
* Ability to use Git to collaborate with others and contribute to dynamic codebases
* Experience working with people data (e.g., HR data, survey data, human behavior data) in an applied setting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175500 \- USD 229125
 Zone B: USD 158400 \- USD 206800
 Zone C: USD 145800 \- USD 190350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44">
      <c r="A44" t="inlineStr">
        <is>
          <t>li-4368997503</t>
        </is>
      </c>
      <c r="B44" t="inlineStr">
        <is>
          <t>Data Scientist (Associate or Experienced)</t>
        </is>
      </c>
      <c r="C44" t="inlineStr">
        <is>
          <t>Jobs via Dice</t>
        </is>
      </c>
      <c r="D44" t="inlineStr">
        <is>
          <t>linkedin</t>
        </is>
      </c>
      <c r="E44" t="inlineStr"/>
      <c r="F44" t="inlineStr"/>
      <c r="G44" t="inlineStr">
        <is>
          <t>Everett, WA</t>
        </is>
      </c>
      <c r="H44" t="inlineStr"/>
      <c r="I44" t="inlineStr">
        <is>
          <t>**Company:**
 The Boeing Company
**Airplane Systems Integration is looking for a Data Scientist (Associate or Experienced) to join our team in Everett, WA.**
**Position Overview:**
 The Data Scientist will develop and build next generation Artificial Intelligence (AI) and Machine Learning (ML) products and services. This position will work effectively with cross\-functional teams and technical leads to determining, defining, and deploying analytics solutions to meet business goals.
**Primary Responsibilities:**
 You will be responsible for extracting valuable insights from complex datasets, identifying patterns, trends, and anomalies, and developing predictive models to support strategic decision\-making across the organization. You will collaborate closely with cross\-functional teams to design and implement data\-driven solutions that address business challenges and drive continuous improvement. Seeking someone with strong enthusiasm to learn new technologies and expand related skillsets.
* Analyze large\-scale time\-series and tabular datasets to extract meaningful insights and identify actionable opportunities.
* Develop and implement advanced statistical models, machine learning algorithms, and forecasting techniques to predict future trends and outcomes.
* Design and execute experiments to evaluate model performance, validate hypotheses, and optimize algorithms for accuracy and efficiency.
* Collaborate with stakeholders to define business requirements, prioritize analytical projects, and translate findings into actionable recommendations.
* Build and maintain robust data pipelines and automated workflows to streamline data collection, preprocessing, and analysis processes.
* Perform necessary data preparation and enhancements to models
* Evaluate technologies, assist in identifying capabilities gaps, develop and teach best practices and technology standards, and work alongside the rest of the global data scientists and technical leads in Analytics organization
* Communicate complex technical concepts and analytical findings to non\-technical stakeholders through clear and concise presentations, reports, and visualizations.
* Stay abreast of the latest developments in data science, machine learning, and statistical techniques, and evaluate their potential impact on business objectives.
* Contribute to technical documentation.
**Work Authorization:**
 This position is expected to be 100% onsite. The selected candidate will be required to work onsite at Everett, WA location.
**Basic Qualifications (Required Skills/ Experience):**
* Bachelor's or advanced degree in Computer Science, Statistics, Mathematics, Engineering, or a related field.
* 1\+ years of experience working with projects, teams, and/or leaders in the analytics and/or data science space
* 1\+ years of experience researching and applying large language and generative AI models
* 1\+ years of experience with various machine learning methods such as regression, clustering, classification, decision trees, natural language processing, ensemble methods, support vector machines (SVM), deep learning, reinforcement learning, etc.
* 1\+ years of experience in designing and implementing Natural Language Processing (NLP) models using machine learning techniques including neural networks, deep learning and transformer architectures
**Preferred Qualifications (Desired Skills/Experience):**
* Master's or Ph.D. degree in Engineering, Computer Science, or Math etc.
* Preferably experiences in Data processing and database programming skills, such as SQL or NoSQL
* Strong understanding of statistical concepts, hypothesis testing, regression analysis, time\-series modeling, and machine learning algorithms.
* Solid understanding of database systems, SQL, and data manipulation techniques for extracting, transforming, and loading (ETL) data.
* Experience supporting an AI or ML development team
* Proficiency in programming languages such as Python, and experience with libraries/frameworks such as pandas, NumPy, scikit\-learn, TensorFlow, or PyTorch.
* Level 3: 5 or more years' related work experience or an equivalent combination of education and experience
**Conflict of Interest**
 Successful candidates for this job must satisfy the Company's Conflict of Interest (COI) assessment process.
**Drug Free Workplace:**
 Boeing is a Drug Free Workplace where post offer applicants and employees are subject to testing for marijuana, cocaine, opioids, amphetamines, PCP, and alcohol when criteria is met as outlined in our policies.
**Union:**
 This is not a union\-represented position.
**Pay and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
 Associate (Level 2\): $108,800 \- $147,200
 Experienced (Level 3\): $137,700 \- $186,300
**Language Requirements:**
 Not Applicable
**Education:**
 Bachelor's Degree or Equivalent
**Relocation:**
 This position offers relocation based on candidate eligibility.
**Export Control Requirement:**
 This is not an Export Control position.
**Safety Sensitive:**
 This is not a Safety Sensitive Position.
**Security Clearance:**
 This position does not require a Security Clearance.
**Visa Sponsorship:**
 Employer willing to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45">
      <c r="A45" t="inlineStr">
        <is>
          <t>li-4362377691</t>
        </is>
      </c>
      <c r="B45" t="inlineStr">
        <is>
          <t>Senior People Data Scientist - Teamwork Lab</t>
        </is>
      </c>
      <c r="C45" t="inlineStr">
        <is>
          <t>Atlassian</t>
        </is>
      </c>
      <c r="D45" t="inlineStr">
        <is>
          <t>linkedin</t>
        </is>
      </c>
      <c r="E45" t="inlineStr"/>
      <c r="F45" t="inlineStr"/>
      <c r="G45" t="inlineStr">
        <is>
          <t>Washington, DC</t>
        </is>
      </c>
      <c r="H45" t="inlineStr"/>
      <c r="I45"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**Your Future Team**
 This role reports to the Head of Business Insights within the People Insights team and is primarily responsible for supporting the Teamwork Lab at Atlassian. The role also partners closely with People Research and with Product teams.
 The People Insights team is a cross\-disciplinary group of analysts, data scientists, behavioral scientists, researchers and business partners, who use data and research to inform strategic and operational issues facing our leaders, teams, and people.
 The Teamwork Lab is Atlassian’s research and experimentation hub for how modern teams work, with a focus on distributed and AI\-powered collaboration. They create evidence\-based practices and thought leadership that help teams work smarter together.
**Responsibilities**
**In this role, you will:**
* Define, understand, and test opportunities to influence roadmaps and drive decision making at Atlassian
* Partner with cross\-functional teams to inform, influence, and execute strategy decision, and become a trusted strategic partner through the structure and clarity of your work
* Apply technical expertise with hypothesis development, analytical methodologies, and the presentation of data to develop strategies for our business and help solve the business's biggest challenges
* Scale actionable insights from people data by helping to enhance the data infrastructure, and innovating automated processes, analyses, and products
**Qualifications**
**Minimum Qualifications:**
* 5\+ Years of Experience in Data Science or related fields
* Serving as a data engineer when needed — sourcing the right data across systems, cleaning and transforming it, and creating new, user\-ready data tables tailored to each project’s needs
* Experience conducting network analysis / organizational network analysis (ONA) to understand collaboration patterns and inform people and workplace strategies
* Proficiency in SQL and another data manipulation programming language (e.g. Python, R)
* Familiarity with at least one visualization tool (e.g., Tableau, Power BI, Looker, Streamlit, Databricks, Hex)
* Experience in applying statistical concepts to business problems
* Proven ability to translate data into compelling and easy\-to\-understand insights, stories, and narratives that resonate with technical and non\-technical audiences
* Experience driving projects or programs which have had proven impact on business strategy and performance through your analytics skills
* Thrives in ambiguity, quickly structuring unclear asks into logical, actionable steps that drive progress toward a shared goal
**Desirable Qualifications**
* 7\+ Years of Experience in Data Science or related fields OR 5\+ Years of experience in Data Science along with a post\-graduate degree or equivalent in a related field
* Experience with establishing metrics frameworks
* Experience with data quality assessment, and the development of data infrastructure and downstream data solutions
* Experience with work automation or AI implementation, report generation, and basic API interaction to solve business problems
* Ability to use Git to collaborate with others and contribute to dynamic codebases
* Experience working with people data (e.g., HR data, survey data, human behavior data) in an applied setting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175500 \- USD 229125
 Zone B: USD 158400 \- USD 206800
 Zone C: USD 145800 \- USD 190350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46">
      <c r="A46" t="inlineStr">
        <is>
          <t>li-4362446761</t>
        </is>
      </c>
      <c r="B46" t="inlineStr">
        <is>
          <t>Senior People Data Scientist - Teamwork Lab</t>
        </is>
      </c>
      <c r="C46" t="inlineStr">
        <is>
          <t>Atlassian</t>
        </is>
      </c>
      <c r="D46" t="inlineStr">
        <is>
          <t>linkedin</t>
        </is>
      </c>
      <c r="E46" t="inlineStr"/>
      <c r="F46" t="inlineStr"/>
      <c r="G46" t="inlineStr">
        <is>
          <t>Seattle, WA</t>
        </is>
      </c>
      <c r="H46" t="inlineStr"/>
      <c r="I46"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**Your Future Team**
 This role reports to the Head of Business Insights within the People Insights team and is primarily responsible for supporting the Teamwork Lab at Atlassian. The role also partners closely with People Research and with Product teams.
 The People Insights team is a cross\-disciplinary group of analysts, data scientists, behavioral scientists, researchers and business partners, who use data and research to inform strategic and operational issues facing our leaders, teams, and people.
 The Teamwork Lab is Atlassian’s research and experimentation hub for how modern teams work, with a focus on distributed and AI\-powered collaboration. They create evidence\-based practices and thought leadership that help teams work smarter together.
**Responsibilities**
**In this role, you will:**
* Define, understand, and test opportunities to influence roadmaps and drive decision making at Atlassian
* Partner with cross\-functional teams to inform, influence, and execute strategy decision, and become a trusted strategic partner through the structure and clarity of your work
* Apply technical expertise with hypothesis development, analytical methodologies, and the presentation of data to develop strategies for our business and help solve the business's biggest challenges
* Scale actionable insights from people data by helping to enhance the data infrastructure, and innovating automated processes, analyses, and products
**Qualifications**
**Minimum Qualifications:**
* 5\+ Years of Experience in Data Science or related fields
* Serving as a data engineer when needed — sourcing the right data across systems, cleaning and transforming it, and creating new, user\-ready data tables tailored to each project’s needs
* Experience conducting network analysis / organizational network analysis (ONA) to understand collaboration patterns and inform people and workplace strategies
* Proficiency in SQL and another data manipulation programming language (e.g. Python, R)
* Familiarity with at least one visualization tool (e.g., Tableau, Power BI, Looker, Streamlit, Databricks, Hex)
* Experience in applying statistical concepts to business problems
* Proven ability to translate data into compelling and easy\-to\-understand insights, stories, and narratives that resonate with technical and non\-technical audiences
* Experience driving projects or programs which have had proven impact on business strategy and performance through your analytics skills
* Thrives in ambiguity, quickly structuring unclear asks into logical, actionable steps that drive progress toward a shared goal
**Desirable Qualifications**
* 7\+ Years of Experience in Data Science or related fields OR 5\+ Years of experience in Data Science along with a post\-graduate degree or equivalent in a related field
* Experience with establishing metrics frameworks
* Experience with data quality assessment, and the development of data infrastructure and downstream data solutions
* Experience with work automation or AI implementation, report generation, and basic API interaction to solve business problems
* Ability to use Git to collaborate with others and contribute to dynamic codebases
* Experience working with people data (e.g., HR data, survey data, human behavior data) in an applied setting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175500 \- USD 229125
 Zone B: USD 158400 \- USD 206800
 Zone C: USD 145800 \- USD 190350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47">
      <c r="A47" t="inlineStr">
        <is>
          <t>li-4369616288</t>
        </is>
      </c>
      <c r="B47" t="inlineStr">
        <is>
          <t>Sr. Applied Scientist, AGI Foundations</t>
        </is>
      </c>
      <c r="C47" t="inlineStr">
        <is>
          <t>Amazon</t>
        </is>
      </c>
      <c r="D47" t="inlineStr">
        <is>
          <t>linkedin</t>
        </is>
      </c>
      <c r="E47" t="inlineStr"/>
      <c r="F47" t="inlineStr"/>
      <c r="G47" t="inlineStr">
        <is>
          <t>Bellevue, WA</t>
        </is>
      </c>
      <c r="H47" t="inlineStr"/>
      <c r="I47" t="inlineStr">
        <is>
          <t>**Description**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A3123268</t>
        </is>
      </c>
    </row>
    <row r="48">
      <c r="A48" t="inlineStr">
        <is>
          <t>li-4332539856</t>
        </is>
      </c>
      <c r="B48" t="inlineStr">
        <is>
          <t>Senior Data Scientist</t>
        </is>
      </c>
      <c r="C48" t="inlineStr">
        <is>
          <t>Ericsson</t>
        </is>
      </c>
      <c r="D48" t="inlineStr">
        <is>
          <t>linkedin</t>
        </is>
      </c>
      <c r="E48" t="inlineStr"/>
      <c r="F48" t="inlineStr"/>
      <c r="G48" t="inlineStr">
        <is>
          <t>Santa Clara, CA</t>
        </is>
      </c>
      <c r="H48" t="inlineStr"/>
      <c r="I48" t="inlineStr">
        <is>
          <t>**Grow with us**
**About this opportunity:**
 Innovation \&amp; Incubation (AIII) unit in Santa Clara leads the charge in developing intelligent, autonomous network solutions. We are exploring agentic AI – AI agents that can sense, reason, and act independently – as a pathway to fully autonomous networks that self\-optimize without human intervention. In this exciting role, you will leverage your expertise in transformer models, large language models (LLMs), and advanced ML to build AI\-driven systems that push the boundaries of telecom network automation. If you are passionate about state\-of\-the\-art AI (from open\-source LLMs to time\-series foundation models) and eager to apply it in a 5G/telecom context, this is the opportunity to drive innovation in a real\-world, high\-impact domain.
 Ericsson Inc. does not sponsor US work authorizations for this job position including H\-1B, O\-1, and TN. Ericsson also does not hire F\-1’s working on EAD for this position.
**What you will do:**
* Lead AI Solution Development: Design, develop, and optimize advanced AI models leveraging large language models (LLMs), context engineering, knowledge graphs, advanced RAG techniques, and agentic AI systems to solve real\-world telecom network problems. This includes fine\-tuning transformer\-based LLMs for domain\-specific tasks and applying prompt engineering to refine their outputs.
* Autonomous Network Agents: Create and integrate intelligent AI agents capable of tool use and autonomous decision\-making for network operations. You will develop multi\-agent workflows that enable AI\-driven closed\-loop automation – allowing the network to monitor itself, evaluate solutions, and act on issues in real time.
* Time\-Series Modeling: Apply cutting\-edge time\-series foundation models to telecom data for forecasting and anomaly detection. You will experiment with state\-of\-the\-art architectures (e.g. Transformer\-based models) to model temporal patterns in network KPIs and signals, helping predict issues before they arise.
* Prototype and Deploy Solutions: Work closely with telecom domain experts to define ML project objectives and develop algorithms that meet automation goals. Collaborate with software engineering teams to prototype and deploy your models into Ericsson’s products for telco network operators, ensuring a seamless transition from proof\-of\-concept to production deployment. You will also enhance the reliability and scalability of these AI models in production environments.
* Innovate and Experiment: Explore new AI technologies and frameworks (e.g. new open\-source LLMs, generative AI APIs, agent\-based systems) that could improve network automation. You will stay up\-to\-date with the latest research in AI/ML and proactively bring in innovations – from novel agent evaluation methods to emerging AI tools – to continuously improve our solutions.
* Mentorship and Collaboration: Share your expertise by mentoring junior data scientists and fostering a culture of experimentation and knowledge\-sharing. Work in a cross\-functional setting, partnering with network engineers, data engineers, and product managers to ensure that AI solutions effectively address business needs and can be integrated smoothly into Ericsson’s network management offerings.
**The Skills You Bring**
* Experience \&amp; Education: 5–7 years of hands\-on experience as a data scientist or AI/ML engineer, with a proven track record of delivering ML solutions end\-to\-end (from exploration to production). A Bachelor’s degree in Computer Science, Data Science, Engineering or related field is required (Master’s/Ph.D. preferred).
* ML/AI Expertise: Deep knowledge of machine learning fundamentals and neural network algorithms, including classic models and modern architectures. You should be well\-versed in Transformer networks and NLP/LLM technologies, as well as other AI techniques like CNNs, RNNs, reinforcement learning, etc. Experience building and refining transformer\-based LLMs (e.g., GPT\-4, LLaMA, etc.) and familiarity with their open\-source implementations and APIs is expected.
* Generative AI \&amp; Agents: Hands\-on experience with state\-of\-the\-art generative AI tools, fine tuning approaches such as LoRA/GRPO/SFT/RFT, knowledge of MCP and A2A, and platforms – including working with open\-source LLMs and APIs (OpenAI, Anthropic, etc.). Knowledge of advanced RAG techniques, prompt engineering, and context engineering for improving LLM responses is highly valued. You should also understand advanced agentic AI concepts (e.g. the ReAct agent paradigm for decision\-making) and have exposure to frameworks for building AI agents or autonomous workflows.
* Programming \&amp; Tools: Strong programming skills in Python and proficiency with the modern AI/ML ecosystem. This includes experience with deep learning frameworks (PyTorch, TensorFlow), NLP libraries (HuggingFace Transformers), and AI orchestration frameworks (such as LangGraph or similar) for tool integration. Familiarity with data science notebooks, version control, and MLOps tools for model deployment/monitoring is also important.
* Data Analytics \&amp; Foundations: Demonstrated ability to work with large, complex datasets (including time\-series data). Experience in data preprocessing, feature engineering, and vector databases for embeddings is a plus. A solid foundation in mathematics, statistics, and probability is required to develop and validate models.
* Evaluation \&amp; Optimization: Experience in evaluating AI models and designing custom evaluation benchmarks to measure model/agent performance (e.g. testing for accuracy, bias, “hallucination” in LLM outputs, etc.). You continually iterate on models based on quantitative metrics and error analysis, and you are familiar with AI safety or reliability considerations in model development.
* Domain Knowledge: Basic understanding of telecommunications networks – including Radio access networks (RAN), Transport, and Core network domains. You have an interest in how AI can be applied to network optimization, operations, and automation; for instance, how AI\-powered rApps (Radio apps) or agents can improve network performance and orchestrate resources autonomously. (Telecom/IoT domain knowledge is a strong plus.)
* Collaboration \&amp; Communication: Excellent problem\-solving skills and ability to communicate complex AI concepts to cross\-functional teams. You can effectively partner with business stakeholders and engineers, translating requirements into AI solutions and articulating results/insights clearly. Experience working in an agile, collaborative environment on innovative projects is preferred.
* Bonus Skills: Knowledge of Ericsson’s product portfolio and solutions (for example, our network management tools, OSS/BSS systems, etc.) will greatly set you apart. Familiarity with industry standards (3GPP, O\-RAN) and prior experience in network automation or telecom analytics projects is an advantage. Additionally, experience with AI data cloud platforms such as Snowflake and cloud platforms (AWS, Azure, GCP) for scalable ML would be beneficial.
 Why join Ericsson?
 At Ericsson, you´ll have an outstanding opportunity. The chance to use your skills and imagination to push the boundaries of what´s possible. To build solutions never seen before to some of the world’s toughest problems. You´ll be challenged, but you won’t be alone. You´ll be joining a team of diverse innovators, all driven to go beyond the status quo to craft what comes next.
 What happens once you apply?
 Click Here to find all you need to know about what our typical hiring process looks like.
 Ericsson uses a merit\-based hiring approach that values people with different experiences, perspectives and skillsets. We truly believe this approach drives innovation, which is essential for our future growth. We encourage people from all backgrounds to apply and realize their full potential as part of our Ericsson team. Ericsson is proud to be an Equal Opportunity employer, learn more.
 If you need assistance or to request an accommodation due to a disability, please contact Ericsson at hr.direct.americas@ericsson.com.
 DISCLAIMER: The above statements are intended to describe the general nature and level of work being performed by employees in this position. They are not an exhaustive list of all responsibilities, duties and skills required for this position, and you may be required to perform additional job tasks as assigned.
 Primary country and city: United States (US) \|\| Santa Clara
 Job details: Data Scientist (Techn)
**Compensation And Benefits At Ericsson**
 At Ericsson, we know that our people are the key to our success. We offer a competitive package to help with your individual needs and goals.
 Your Pay
 The salary range for this position is dependent on various factors including, but not limited to, location, and the candidate’s combination of job\-related knowledge, qualifications, skills, education, training, and experience.
 The salary range for this position is
 Santa Clara
 $155,600\-233,400
 Short\-Term Variable Compensation Plan: Your pay also includes the opportunity for an annual bonus. Actual bonus payouts are based on performance of the business against the unit’s objectives, individual performance, and the individual bonus target. Certain eligibility and pro\-ration rules apply.
 Your Health
 Ericsson offers excellent health benefits including the choice of three medical plan options and a dental plan option that allow an employee to select the level of coverage that suits their needs. Employees will receive company credits in an amount equal to the cost that Ericsson pays toward the cost of their medical and dental premiums for themselves and eligible covered dependents.
 Your Financial Security
 We invest in both your short and long\-term financial wellbeing. The Ericsson US 401(k) Plan offers an automatic 3% company contribution and Ericsson matches $1 for every $1 you put into the 401(k) Plan on the first 3% of your eligible pay, plus 50 cents on every $1 on the next 2% of eligible pay. When you contribute at least 5% of eligible pay, you are receiving Ericsson’s full matching contributions. Matching and company automatic contributions stop when your total eligible pay for the year reaches the IRS limits. Employees will also receive company credits in an amount equal to the cost of basic life insurance and basic accidental death and dismemberment coverage, as well as short\-term and long\-term disability coverage. Employees also have the option to participate in Ericsson’s Stock Purchase Plan.
 Your Time
 Your work\-life balance is important to us. New employees are provided a minimum of 15 days of accrued vacation, up to 3 personal days per year, 11 annual holidays, 8 hours of volunteer time, and 80 hours of sick time annually. Please note paid time off is pro\-rated based on the employee’s start date. Furthermore, Ericsson provides up to 16 weeks of paid maternity leave and 6 weeks of parental or adoption leave at 100% of pay.
**Additional Benefits**
 Ericsson offers many other company\-paid benefits such as financial wellness programs, educational assistance, matching gifts, and recognition programs.</t>
        </is>
      </c>
    </row>
    <row r="49">
      <c r="A49" t="inlineStr">
        <is>
          <t>li-4369604982</t>
        </is>
      </c>
      <c r="B49" t="inlineStr">
        <is>
          <t>Data Scientist (Hybrid as needed)</t>
        </is>
      </c>
      <c r="C49" t="inlineStr">
        <is>
          <t>Northwell Health</t>
        </is>
      </c>
      <c r="D49" t="inlineStr">
        <is>
          <t>linkedin</t>
        </is>
      </c>
      <c r="E49" t="inlineStr"/>
      <c r="F49" t="inlineStr"/>
      <c r="G49" t="inlineStr">
        <is>
          <t>Lake Success, NY</t>
        </is>
      </c>
      <c r="H49" t="inlineStr"/>
      <c r="I49" t="inlineStr">
        <is>
          <t>173498
**Job Description**
 You will plan, implement, deploy, maintain/evaluate data\-driven solutions that will directly impact patients and healthcare delivery; communicate with adjacent engineering teams as well as non\-technical/clinical stakeholders to understand how their needs can be translated into data science solutions. You will validate models used in the healthcare setting to ensure that they are improving patient care and safety. Ensures that these projects and their outputs enhance clinical quality, patient safety, and institutional efficiency, focusing on all aspects of data science, including data gathering and wrangling, exploratory data analysis, data modeling and machine learning, and model implementation and evaluation. Provides expertise on mathematical concepts for the broader applied analytics team.
 Job Responsibility
* Involvement throughout the end\-to\-end lifecycle of complex data science projects/programs including problem scoping, due diligence, evaluation/validation/model design and development, deployment to production systems, monitoring prediction output, and measuring value
* Have strong communication skills to act as the bridge between technical and non\-technical team members and stake holders
* Support the data science team in technical and strategic analyses for decision making related to machine learning/AI
* Enthusiasm for self\-directed learning
* Works collaboratively to design, implement and maintain data science models and applications.
* Works on programs to apply data science methodologies, including predictive modeling and machine learning, data analytics and visualization, and usability and design, to departmental, service line, and enterprise applications and functions.
* Synthesizes complex data\-related problems into actionable business and/or clinical strategy, and communicate findings to appropriate end\-users and stakeholders.
* Assists with the development of specifications to support the design of new or modified data science projects, with a focus on data\-driven optimization, enhancement, and development.
* Assists in the evaluation of projects, systems, and initiatives at the department, service line, and enterprise level; ensures projects and their outputs enhance clinical quality, patient safety, and institutional efficiency, focusing on all aspects of data science, including data gathering and wrangling, exploratory data analysis, data modeling and machine learning, and model implementation and evaluation; ensures high quality execution of all proposed projects.
* Knowledgeable in present and planned data science projects and maintains voice of the customer in all project initiatives.
* Serves as the link between the clinical staff (customer) requirements and IS capabilities.
* Assists in ensuring that systems are implemented to support organization initiatives and goals to improve the quality of patient care, to maximize patient safety, and to provide operational efficiencies.
* Serves as a resource to the leadership; demonstrates familiarity with current hospital information systems.
* Operates under general guidance and work assignments are varied and require interpretation and independent decisions on course of action.
* Performs related duties as required. All responsibilities noted here are considered essential functions of the job under the Americans with Disabilities Act. Duties not mentioned here, but considered related are not essential functions.
 Job Qualification
* Bachelor’s Degree in Computer Science, Informatics, Statistics, Engineering, Data Science, or related field, required. Master’s Degree, preferred.
* Minimum of two (2\) years of post\-graduate training or experience involving quantitative data analysis, required and working with clinical data, data science, and machine learning, preferred.
* Working familiarity with basic medical and health information technology concepts, including standardized terminologies and ontologies and electronic health records, as well as Data Warehousing and Business Intelligence tools, required.
* Expertise in working with SQL relational databases and statistical or general programming languages (e.g., Python, R), required.
* Deep understanding of statistical and predictive modeling concepts, machine\-learning approaches, clustering and classification techniques, and recommendation and optimization algorithms.
**Highly Preferred**
* Clear and effective communication and presentation skills are highly preferred
* Comfortable presenting to non\-technical/clinical stakeholders and executive leadership
* Experience in data science projects with organizational\-level impact (healthcare related preferred)
* Experience with cloud computing (GCP, Vertex AI preferred)
* Experience with orchestration/ETL pipelines (e.g. Airflow, Prefect, Luigi, Kubeflow) with preference for Airflow
* Experience with DevOps/MLOps (e.g. containerization, CI/CD, feature stores, data lineage)
* Strong/advanced level proficiency in statistical analysis, machine learning techniques, model evaluation
* Strong/advanced level proficiency in modern machine learning frameworks (e.g. scikit\-learn), deep learning frameworks (e.g. Pytorch)
* Strong/advanced level experience in training/deploying embedding models, fine\-tuning large language models (various tasks), retrieval\-augmented generation, prompt and context engineering, and evaluation of generative AI systems
* Additional Salary Detail The salary range and/or hourly rate listed is a good faith determination of potential base compensation that may be offered to a successful applicant for this position at the time of this job advertisement and may be modified in the future. When determining a team member's base salary and/or rate, several factors may be considered as applicable (e.g., location, specialty, service line, years of relevant experience, education, credentials, negotiated contracts, budget and internal equity).</t>
        </is>
      </c>
    </row>
    <row r="50">
      <c r="A50" t="inlineStr">
        <is>
          <t>li-4361397964</t>
        </is>
      </c>
      <c r="B50" t="inlineStr">
        <is>
          <t>Data Scientist</t>
        </is>
      </c>
      <c r="C50" t="inlineStr">
        <is>
          <t>Booz Allen Hamilton</t>
        </is>
      </c>
      <c r="D50" t="inlineStr">
        <is>
          <t>linkedin</t>
        </is>
      </c>
      <c r="E50" t="inlineStr"/>
      <c r="F50" t="inlineStr"/>
      <c r="G50" t="inlineStr">
        <is>
          <t>Pensacola, FL</t>
        </is>
      </c>
      <c r="H50" t="inlineStr"/>
      <c r="I50" t="inlineStr">
        <is>
          <t>**Job Number: R0232045**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 from fraud detection to cancer research, to national intelligence, 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2\+ years of experience with data exploration, data cleaning, data analysis, data visualization, and data mining
* 2\+ years of experience working with statistical and general\-purpose programming languages such as R or Python
* 2\+ years of experience with Microsoft Power Platform, including PBI, Power Apps, and Power Automate
* Experience analyzing structured and unstructured data
* Experience with O365 and SharePoint
* Experience supporting the programming of utilization, optimization, and risk models
* Experience researching data sources
* Experience processing, cleansing, and verifying data integrity for analysis and integrating data from multiple data sources
* Experience working with structured, unstructured, or semi\-structured data and conducting analysis
* Bachelor’s degree
**Nice If You Have:**
* Experience with ML and AI methods and techniques
* Knowledge of Agile and Scrum processes
* Knowledge of ETL technologies such as Databricks
* Possession of excellent statistical and analytics skills
* Possession of excellent verbal and written communication skills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51">
      <c r="A51" t="inlineStr">
        <is>
          <t>li-4315580159</t>
        </is>
      </c>
      <c r="B51" t="inlineStr">
        <is>
          <t>Senior Data Scientist, Yahoo Games</t>
        </is>
      </c>
      <c r="C51" t="inlineStr">
        <is>
          <t>Yahoo</t>
        </is>
      </c>
      <c r="D51" t="inlineStr">
        <is>
          <t>linkedin</t>
        </is>
      </c>
      <c r="E51" t="inlineStr"/>
      <c r="F51" t="inlineStr"/>
      <c r="G51" t="inlineStr"/>
      <c r="H51" t="inlineStr"/>
      <c r="I51" t="inlineStr">
        <is>
          <t>Yahoo serves as a trusted guide for hundreds of millions of people globally, helping them achieve their goals online through our portfolio of iconic products. For advertisers, Yahoo Advertising offers omnichannel solutions and powerful data to engage with our brands and deliver results.
**About The Role**
 Yahoo Games is seeking a Senior Data Scientist to serve as the strategic analytics expert for our fast\-growing gaming platform. This isn’t just about crunching numbers—it’s about understanding player behavior, crafting actionable stories from data, and guiding product, design, and engineering decisions that power engaging, monetizable gaming experiences.
 You’ll be embedded with key stakeholders across Yahoo Games, focusing on high\-impact analysis, experimentation, and metric innovation—steering strategy for user acquisition, retention, monetization, and cross\-game engagement. As the go\-to data partner, you’ll drive deep player segmentation, analyze in\-game economy trends, and deliver insights that shape the future of Yahoo Games.
 This is a highly visible, individual contributor role for someone who is hands\-on, analytical, and driven by results. This position requires a self\-starter who thrives in dynamic environments, is comfortable navigating ambiguity, and excels at independently managing complex analytical projects from inception to impact.
 You'll influence product direction through experimentation, advanced modeling, and behavioral research—while also creating tools and systems that keep data and insights flowing in real\-time.
* Analyze and segment player audiences to inform game development, feature prioritization, and live operations strategies.
* Assess player retention drivers, cross\-game engagement patterns, and monetization trends (e.g., in\-app purchases, ad revenue).
* Design and analyze A/B and multivariate tests on game mechanics, UI features, and content updates.
* Partner with product managers, game developers, and engineers to instrument gameplay events, develop clean measurement plans, and ensure trusted data capture.
* Lead definition and harmonization of key game metrics (DAU, MAU, ARPDAU, LTV, churn, etc.), creating single sources of truth for reporting and dashboarding.
* Build and maintain executive dashboards in Looker, Tableau, or equivalent BI tools, tailored to Yahoo Games leadership.
* Develop automated alerting in Slack or email for major shifts in core game KPIs.
* Identify and articulate strategic opportunities, risks, and growth levers—bringing games\-specific context to recommendations.
* Enable self\-serve analytics, driving adoption and training on dashboards..
* Proactively address data quality issues, maintain high standards for dataset documentation, and escalate gaps in reporting.
* Serve as the data voice in greenlight reviews, live ops syncs, and post\-launch retros—distilling complex insights to unlock business value.
**About You**
* 5\+ years as a business, product, or data scientist—ideally supporting games, gaming platforms, or entertainment tech.
* Expert in data storytelling, with a proven track record of supporting game studios or gaming platforms with clear, actionable insights.
* Highly skilled in SQL and Python for advanced analytics, automation of reporting pipelines, and large\-scale data manipulation (GCP/BigQuery/LookML a plus).
* Deep experience designing and analyzing controlled experiments in a gaming context (A/B tests on game features, tutorials, progression systems).
* Hands\-on with executive dashboard creation and metric harmonization for gaming KPIs using tools like Looker, Tableau—bonus if you’ve built dashboards for games product teams.
* Strategic thinker with strong business acumen and bias for action, thriving in ambiguous, growth\-driven gaming environments.
* Excellent communicator, able to present findings confidently to game executives, production leads, and studio partners.
* Track record of defining and evolving player and game\-level metrics; driving consensus and adoption within the Games squad.
* Experience empowering non\-analytical stakeholders to self\-serve via dashboards, explores, and alerting.
* Bachelor’s degree or equivalent professional experience.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will consider for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When you support everyone to be their best selves, they spark discovery, innovation and creativity. Among other efforts, our 11 employee resource groups (ERGs) enhance a culture of belonging with programs, events and fellowship that help educate, support and create a workplace where all feel welcome.
 The compensation for this position ranges from $128,250\.00 \- $266,875\.00/yr and will vary depending on factors such as your location, skills and experience.The compensation package may also include incentive compensation opportunities in the form of discretionary annual bonus or commissions. Our comprehensive benefits include healthcare, a great 401k, backup childcare, education stipends and much (much) more.
*Currently work for Yahoo? Please apply on our internal career site.*</t>
        </is>
      </c>
    </row>
    <row r="52">
      <c r="A52" t="inlineStr">
        <is>
          <t>li-4369107493</t>
        </is>
      </c>
      <c r="B52" t="inlineStr">
        <is>
          <t>Staff Data Scientist - Growth / Care</t>
        </is>
      </c>
      <c r="C52" t="inlineStr">
        <is>
          <t>Grow Therapy</t>
        </is>
      </c>
      <c r="D52" t="inlineStr">
        <is>
          <t>linkedin</t>
        </is>
      </c>
      <c r="E52" t="inlineStr"/>
      <c r="F52" t="inlineStr"/>
      <c r="G52" t="inlineStr"/>
      <c r="H52" t="inlineStr"/>
      <c r="I52" t="inlineStr">
        <is>
          <t>**About Us:**
 Grow Therapy is on a mission to serve as the trusted partner for therapists growing their practice, and patients accessing high\-quality care. Powered by technology, we are a three\-sided marketplace that empowers providers, augments insurance payors, and serves patients. Following the mass increase in depression and anxiety, the need for accessibility is more important than ever. To make our vision for mental healthcare a reality, we’re building a team of entrepreneurs and mission\-driven go\-getters. Since launching in February 2021, we’ve empowered more than ten thousand therapists and hundreds of thousands of clients across the country and insurance landscape. We’ve raised more than $178mm of funding from Sequoia Capital, Transformation Capital, TCV, SignalFire, and others.
**The Opportunity:**
 Grow Therapy is seeking a Staff Data Scientist to deepen our understanding of our users and unlock the next era of our growth trajectory. In this role, you will lead cross\-functional, data\-driven initiatives and drive insights that get more people successfully onboarded and retained in online therapy, shape how we build our mobile app and digital experiences, and lead the charge on how AI is used alongside therapy. You will also develop and own marketing and attribution models that help us reach patients more effectively and empower our providers’ success. Your work will shape product strategy, experimentation, and long\-term investment decisions across the company.
**What You’ll Be Doing:**
* Lead experimentation and metric development to understand user behavior, optimize onboarding and retention, and guide product direction across web and mobile experiences.
* Build predictive, attribution, and behavioral models that inform marketing strategy, therapist\-matching workflows, and future AI\-powered features.
* Partner closely with Product, Engineering, Design, and Operations to identify opportunities, quantify impact, and drive roadmap decisions with clear, actionable insights.
* Develop dashboards, analytical frameworks, and self\-serve tools that scale data access and empower teams to answer their own product questions.
* Shape Grow Therapy’s AI strategy by designing evaluation frameworks, running model\-level experiments, and identifying where AI can improve the patient and provider experience.
**You’ll Be a Good Fit If:**
* 8\+ years of experience in a quantitative role applying analytics, experimentation, and modeling in a product\-focused environment, including leading high\-impact, cross\-functional data science or analytics initiatives.
* Fluent in SQL and Python, with deep experience designing A/B tests, building models, and setting a high bar for translating complex data into clear recommendations for stakeholders at all levels.
* Proven experience owning and driving product or growth decisions through deep user understanding, funnel analytics, or marketplace dynamics, and doing so through influence as well as hands\-on work.
* Comfortable navigating ambiguity and working cross\-functionally in fast\-moving environments where data science directly influences strategy, and aligning multiple teams around shared metrics and insights.
* Excited about improving access to mental health care and motivated by building AI\-enhanced experiences that support therapists and patients.
**Role Details:**
**Employment Type:** 
 Full Time, Exempt
**Base Compensation:** 
 The base compensation range for this position is:
* Hybrid Commitment: $200,000–$250,000 USD USD Annually
* Fully Remote Commitment: $167,000–$208,000 USD Annually
 This role can be hybrid (onsite from our NYC, San Francisco, or Seattle hub location three days per week: Tuesday, Wednesday, Thursday) or fully remote. Both arrangements include travel 2–3 times per year (e.g., company and department off\-sites).
**Full Time Employee Benefits:**
* Comprehensive Health Coverage: Medical, dental, and vision insurance, plus life and disability coverage.
* Parental Leave \&amp; Family Support: Up to 18 weeks paid leave and a new child stipend.
* Financial Wellness: 401(k) program and equity opportunities.
* Meals \&amp; Home Office Support: Stipends for home office setup and ongoing funds for meals, with tailored perks for both remote and in\-office employees.
* Time Off to Recharge: Flexible PTO, 12 paid holidays, and a full winter break week.
* Wellness \&amp; Development: Annual stipends to put towards personal \&amp; professional growth.
* Mental \&amp; Physical Health Support: No\-cost access to therapy through the Grow platform, weekly flexible hours for self\-care (“Mental Health Mornings/Afternoons”) and memberships to leading wellness apps (such as One Medical, Headspace, and Talkspace).
* Extra Perks: Pet insurance discounts, commuter benefits, and global travel assistance.
*Research shows that some groups hesitate to apply unless they meet every qualification. If you’re excited about this role but don’t check every box, we encourage you to apply. At Grow, we value diverse experiences, transferable skills, and the unique strengths each person brings.*
*Grow Therapy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***Use of AI Tools:***
*By submitting your application, you acknowledge and consent to the use of automated tools as part of our recruitment process. Specifically, we use a third\-party AI tool,* 
*Gem* 
*, to assist in the* 
***initial screening of resumes***
*. This tool analyzes resumes based on role\-specific criteria provided by our recruiters to identify potentially strong matches for the role.* 
***I***
***mportantly, no hiring decisions are made by the AI tool***
***.***
*All decisions about which candidates move forward are made by our human recruiting team after independent review.* 
*More information about Gem’s approach to compliance with* 
*California FEHA regulations on automated decision systems* 
*and* 
*New York Local Law 144* 
*can be found on the Gem compliance website.* 
*We are committed to transparency and fairness in our hiring practices. If you have questions about how our AI tools work, or would like more information about how your application will be processed, please contact us at talentops@growtherapy.com* 
*.* 
*If you require an accommodation due to a disability, or have concerns about the use of AI in the hiring process, please also contact us. We are happy to provide assistance or offer an alternative method of participating in the recruitment process.*</t>
        </is>
      </c>
    </row>
    <row r="53">
      <c r="A53" t="inlineStr">
        <is>
          <t>li-4341723833</t>
        </is>
      </c>
      <c r="B53" t="inlineStr">
        <is>
          <t>Data Scientist, Mid</t>
        </is>
      </c>
      <c r="C53" t="inlineStr">
        <is>
          <t>Booz Allen Hamilton</t>
        </is>
      </c>
      <c r="D53" t="inlineStr">
        <is>
          <t>linkedin</t>
        </is>
      </c>
      <c r="E53" t="inlineStr"/>
      <c r="F53" t="inlineStr"/>
      <c r="G53" t="inlineStr">
        <is>
          <t>Washington, DC</t>
        </is>
      </c>
      <c r="H53" t="inlineStr"/>
      <c r="I53" t="inlineStr">
        <is>
          <t>**Job Number: R0230218**
 Data Scientist, Mid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 from fraud detection to cancer research, to national intelligence, 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Experience using data science programming languages, such as Python or R
* Experience creating ETL pipelines, including querying APIs, cleaning and conditioning data, and creating schemas for data storage
* Knowledge of statistical analysis, predictive modeling, and machine learning methods
* Ability to design and develop automated analytic software, techniques, and algorithms
* Ability to develop solutions and integrate and extend free and open\-source software (FOSS) or COTS products
* Ability to generate data visualizations with tools, such as Tableau, Power BI, or ArcGIS
* TS/SCI clearance
* Scheduled to obtain a Bachelor's degree by Spring or Summer 2026
**Nice If You Have:**
* Experience working with GEOINT, HUMINT, MASINT, OSINT, and SIGINT and the data and tools associated with these disciplines
* Experience with intelligence or operations analysis in the DoD or Intelligence Community
* Experience with version control tools, including Git, GitLab, GitHub, or Bitbucket
* Knowledge of DevOps, including CI/CD pipelines and Jenkins
* TS/SCI clearance with a polygraph
* Bachelor's degree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54">
      <c r="A54" t="inlineStr">
        <is>
          <t>li-4346273473</t>
        </is>
      </c>
      <c r="B54" t="inlineStr">
        <is>
          <t>Senior Data Scientist, SSP</t>
        </is>
      </c>
      <c r="C54" t="inlineStr">
        <is>
          <t>Nexxen</t>
        </is>
      </c>
      <c r="D54" t="inlineStr">
        <is>
          <t>linkedin</t>
        </is>
      </c>
      <c r="E54" t="inlineStr"/>
      <c r="F54" t="inlineStr"/>
      <c r="G54" t="inlineStr">
        <is>
          <t>Bellevue, WA</t>
        </is>
      </c>
      <c r="H54" t="inlineStr"/>
      <c r="I54"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You'll develop and deploy groundbreaking data solutions, collaborating with talented engineers and product experts to transform complex problems into elegant solutions. With proven experience in data science, machine learning, statistical modeling, and/or deep learning, you will bring a passion for problem\-solving, turning data into actionable insights, and collaboration with supporting teams. Strong programming skills in Python, SQL, Spark, and other data science tools are essential.
**Each day can be different here at Nexxen, but some of the things you can expect to be doing are:**
* Design and implement scalable data science\-based solutions, data processing, and machine learning pipelines
* Optimize models and develop new and scalable methodologies to improve data quality
* Collaborate with other Engineering and Product teams to understand product requirements and create optimal/scalable solutions
* Communicate technical concepts and findings to both technical/non\-technical team members
* Write scalable and clean code
**What You’ll Bring**
* Education in Computer Science / Engineering or a related technical field with 7\+ years of overall experience
* 5\+ years of work experience in building production\-level data science\-based solutions
* Ad\-Tech vendor experience required (SSP preferred)
* Experience in Neural Networks, Deep Learning, TensorFlow, and/or PyTorch
* Experience with Spark and SQL
* Significant experience with Python and machine learning packages (e.g., sklearn, keras)
* Experience in implementing machine learning pipelines
* Creative problem\-solving and analytical skills with experience in statistical analysis and hypothesis testing.
* Excellent verbal and written communication skills to present complex data findings to technical and non\-technical stakeholders
**What We Would Like To See**
* MS/PhD in Computer Science / Engineering or a related technical field
* Experience with latency\-sensitive scalable machine learning models
* Supply Side Platform (SSP) Ad Tech experience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\-210,000 the time of posting, with the potential of an incentive or bonusWhile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55">
      <c r="A55" t="inlineStr">
        <is>
          <t>li-4318122336</t>
        </is>
      </c>
      <c r="B55" t="inlineStr">
        <is>
          <t>Data Scientist</t>
        </is>
      </c>
      <c r="C55" t="inlineStr">
        <is>
          <t>Booz Allen Hamilton</t>
        </is>
      </c>
      <c r="D55" t="inlineStr">
        <is>
          <t>linkedin</t>
        </is>
      </c>
      <c r="E55" t="inlineStr"/>
      <c r="F55" t="inlineStr"/>
      <c r="G55" t="inlineStr">
        <is>
          <t>Springfield, VA</t>
        </is>
      </c>
      <c r="H55" t="inlineStr"/>
      <c r="I55" t="inlineStr">
        <is>
          <t>**Job Number: R0227660**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2\+ years of experience with data exploration, data cleaning, data analysis, data visualization, or data mining
* 2\+ years of experience with statistical and general\-purpose programming languages for data analysis
* Experience working in the IC using multi\-INT data sources for analysis
* Experience developing and deploying generative AI tools
* Knowledge of Machine Learning, Artificial Intelligence, or Natural Language Processing
* Active TS/SCI clearance; willingness to take a polygraph exam
* Bachelor’s degree
**Nice If You Have:** 
* 2\+ years of experience with Python for data analysis
* Experience with multiple intelligence types, including SIGINT, OSINT, ELINT, GEOINT, MASINT, or HUMINT
* Experience with geospatial data analysis tools
* Experience with R, SQL, HTML, and JavaScript
* Experience analyzing geospatially enabled data and deploying AI tools into operational software
* Knowledge of GEOINT collection and associated systems
* Ability to learn new technologies and adapt to dynamic mission needs
* TS/SCI clearance with a polygraph
* Master’s degree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56">
      <c r="A56" t="inlineStr">
        <is>
          <t>li-4341553997</t>
        </is>
      </c>
      <c r="B56" t="inlineStr">
        <is>
          <t>Data Scientist, Mid</t>
        </is>
      </c>
      <c r="C56" t="inlineStr">
        <is>
          <t>Booz Allen Hamilton</t>
        </is>
      </c>
      <c r="D56" t="inlineStr">
        <is>
          <t>linkedin</t>
        </is>
      </c>
      <c r="E56" t="inlineStr"/>
      <c r="F56" t="inlineStr"/>
      <c r="G56" t="inlineStr">
        <is>
          <t>Reston, VA</t>
        </is>
      </c>
      <c r="H56" t="inlineStr"/>
      <c r="I56" t="inlineStr">
        <is>
          <t>**Job Number: R0230218**
 Data Scientist, Mid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 from fraud detection to cancer research, to national intelligence, 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Experience using data science programming languages, such as Python or R
* Experience creating ETL pipelines, including querying APIs, cleaning and conditioning data, and creating schemas for data storage
* Knowledge of statistical analysis, predictive modeling, and machine learning methods
* Ability to design and develop automated analytic software, techniques, and algorithms
* Ability to develop solutions and integrate and extend free and open\-source software (FOSS) or COTS products
* Ability to generate data visualizations with tools, such as Tableau, Power BI, or ArcGIS
* TS/SCI clearance
* Scheduled to obtain a Bachelor's degree by Spring or Summer 2026
**Nice If You Have:**
* Experience working with GEOINT, HUMINT, MASINT, OSINT, and SIGINT and the data and tools associated with these disciplines
* Experience with intelligence or operations analysis in the DoD or Intelligence Community
* Experience with version control tools, including Git, GitLab, GitHub, or Bitbucket
* Knowledge of DevOps, including CI/CD pipelines and Jenkins
* TS/SCI clearance with a polygraph
* Bachelor's degree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57">
      <c r="A57" t="inlineStr">
        <is>
          <t>li-4346126172</t>
        </is>
      </c>
      <c r="B57" t="inlineStr">
        <is>
          <t>Senior Data Scientist</t>
        </is>
      </c>
      <c r="C57" t="inlineStr">
        <is>
          <t>Trepp, Inc.</t>
        </is>
      </c>
      <c r="D57" t="inlineStr">
        <is>
          <t>linkedin</t>
        </is>
      </c>
      <c r="E57" t="inlineStr"/>
      <c r="F57" t="inlineStr"/>
      <c r="G57" t="inlineStr"/>
      <c r="H57" t="inlineStr"/>
      <c r="I57" t="inlineStr">
        <is>
          <t>**(This role is based in Trepp's NYC office and follows a hybrid work schedule)** 
**About this Role** 
 As a Senior Data Scientist at Trepp, you will take a leading role in designing, developing, and deploying advanced data science and GenAI solutions that directly support Trepp’s analytics and product offerings. You will operate with a high degree of autonomy, owning complex projects end\-to\-end while partnering closely with product, engineering, and business stakeholders.
 This role emphasizes technical leadership, GenAI production expertise, and mentorship, while continuing to contribute hands\-on to statistical, machine learning, and applied analytics initiatives. Your work will shape Trepp’s next generation of data\-driven and AI\-powered capabilities in commercial real estate and structured finance.
**Professional and Technical Responsibilities** 
* Partner with product managers, engineers, and domain experts to translate ambiguous business problems into scalable, data\-driven solutions.
* Architect and implement GenAI applications leveraging large language models (LLMs), retrieval\-augmented generation (RAG), embeddings, agentic architectures and prompt engineering techniques.
* Build, evaluate, and maintain machine learning models using appropriate statistical, ML, and deep learning approaches.
* Ensure model quality through rigorous experimentation, validation, monitoring, and performance evaluation.
* Communicate complex technical concepts, results, and trade\-offs clearly to both technical and non\-technical stakeholders.
* Provide technical mentorship and guidance to junior data scientists, contributing to best practices and team standards.
* Contribute to the evolution of Trepp’s data science and GenAI strategy, tools, and methodologies.
**Requirements** 
 Education \&amp; Experience
* Bachelor’s or Master’s degree in Data Science, Computer Science, Statistics, Engineering, or a related quantitative field.
* 5\+ years of professional data science or applied machine learning experience.
* 2\+ years of hands\-on experience developing, deploying, and maintaining GenAI solutions in production environments.
 Core Technical Skills
* Advanced proficiency in Python for data analysis, machine learning, and GenAI development.
* Strong SQL skills and experience working with large, complex datasets.
* Experience with modern ML libraries and frameworks (e.g., scikit\-learn, PyTorch, TensorFlow).
* Proven experience with LLMs and GenAI tooling, including:
* Prompt engineering and evaluation
* Embeddings and semantic search
* Retrieval\-augmented generation (RAG) architectures
* Model APIs and open\-source LLM frameworks
* Experience deploying models and GenAI services using cloud platforms (e.g., AWS).
* Proficiency with GitHub and collaborative development workflows.
 Professional Skills
* Strong analytical thinking and problem\-solving ability, with attention to detail.
* Ability to independently own complex projects and manage ambiguity.
* Excellent verbal and written communication skills, with the ability to tailor messaging to different audiences.
* Ability to balance multiple priorities and work effectively in a fast\-paced, cross\-functional environment.
**Salary Range:**
* Base salary starting from $160k plus bonus eligible
**Benefits and Perks:**
* Base \+ target bonus compensation structure
* Medical, Dental, Vision insurance
* 401K (with employer match)
* Life insurance, long term disability, short term disability all covered by the company
* Flexible paid time off (PTO)
* Sixteen (16\) weeks paid primary caregiver leave
 *(Biological, adoptive, and foster parents are all eligible)*
* Four (4\) weeks paid parental leave
* Wellness subsidy
* Pet insurance
* Laptop \+ WFH equipment
* Career progression plan
* Pre\-tax commuter benefit with company subsidy
 *(For NYC\-office based employees only)*
* Fun company events and volunteering opportunities
 Applicants for employment in the US must have work authorization that does not now or in the future require sponsorship of a visa for employment authorization in the United States and with Trepp (i.e., H1\-B visa, F\-1 visa (OPT), TN visa or any other non\-immigrant status).
**Workplace Policy:**
*NYC, PA, and London office\-based positions:* 
 Trepp’s offices follows a 3\-2 hybrid\-working policy with the expectation of in\-office work on Tuesday\-Thursday and the option to work from home on Monday and Friday.
 Trepp maintains a drug\-free workplace.</t>
        </is>
      </c>
    </row>
    <row r="58">
      <c r="A58" t="inlineStr">
        <is>
          <t>li-4369110596</t>
        </is>
      </c>
      <c r="B58" t="inlineStr">
        <is>
          <t>Sr. Staff Applied Scientist</t>
        </is>
      </c>
      <c r="C58" t="inlineStr">
        <is>
          <t>Visa</t>
        </is>
      </c>
      <c r="D58" t="inlineStr">
        <is>
          <t>linkedin</t>
        </is>
      </c>
      <c r="E58" t="inlineStr"/>
      <c r="F58" t="inlineStr"/>
      <c r="G58" t="inlineStr">
        <is>
          <t>Bellevue, WA</t>
        </is>
      </c>
      <c r="H58" t="inlineStr"/>
      <c r="I58"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Visa Acceptance Platform is the foundation for creating innovative payment solutions that drive exceptional customer experience. It lets you easily leverage a broad range of pre\-integrated modular services and a growing ecosystem of technology and payments partners. Because it's Visa, the platform is secure, robust, and resilient. And because it's open, it will continue evolving to support you into the future.
 At Visa, we believe AI technologies have the potential to radically transform commerce. We launched Visa Intelligent Commerce to enable this next era of commerce. This program provides the infrastructure and tools developers need to build trusted, agentic experiences.
 Make an impact with a purpose\-driven industry leader. Join us today and be part of AI transformation journey at Visa.
 We are looking for a versatile, curious, and energetic Senior Applied Scientist to join our team of passionate and dedicated data scientists and engineers. We are the backbone for innovative data science and artificial intelligence developments at Visa acceptance, and we thrive on solving complex challenges on a global scale! As a Senior Applied Scientist, you will be an integral part of a multi\-functional development team inventing, designing, building, and testing products that reach a truly global customer base.
* You will face big challenges and question the status quo, changing the way data products are developed at Visa! Come join us and see your efforts shape the digital future of payments.
* The focus is on defining, executing, and delivering product and technical features at scale quickly and promoting a diverse culture of cross\-functional collaboration and engineering excellence. Be an idea leader and bring industry best practices to benefit the team and the wider organization. The ability to balance demanding business capabilities with building for operational excellence while meeting regulatory, security and privacy requirements.
* Ability to quickly grasp and evaluate new ideas and technologies from internal and external sources. Lead/Influence multiple teams, matching them with appropriate technology and business problems while building a culture of both innovation and drive for excellence.
* Transform our digital offerings by leveraging AI to enhance our current product line and develop exciting new products targeting our banking, fintech and integration partners, which will enable the next wave of innovation in payments. We need a strong technology leader, who is an expert in data science, agile delivery, building purpose driven teams, and has a background in complex integration projects. Prior experience in payments, or a background in building high volume transaction and data processing systems is preferred.
 Essential Functions:
* Provides technical expertise and mentors others to implement extensible, maintainable, and reusable data models and strategies and adheres to all security and privacy requirements for the application of artificial intelligence and data science.
* Develops strategies for and leads team's efforts to drive efficiencies across data extraction and ensure data quality and completeness using data wrangling, complex data modeling, and artificial intelligence.
* Ensures adherence to data management principles, governance, process, and tools to maintain data quality across products.
* Advises on technical specifications during discussions with collaborators (e.g., Product owners, business partners, Cybersecurity) to identify and clarify sophisticated technical or business requirements and identify business needs and upstream and/or downstream system/application dependencies.
* Defines technical standards for the design and documents the architecture for a complex product, using existing architecture design patterns.
* Oversees and establishes unit testing requirements of unit testing to confirm functional capability of code, acts as subject matter expert in testing for coding standards and security scans, strategically leads user acceptance testing in collaboration with customer across multiple domains.
* Identifies complex trends across relevant data sources and uses insights to plan platform\-wide future solution updates. Identifies opportunities and defines roadmap for software upgrades and server patches for security remediation where applicable.
 This is a hybrid position. Expectation of days in office will be confirmed by your hiring manager.
**Qualifications**
**Basic Qualifications:**
* 8\+ years of relevant work experience with a Bachelor’s Degree or at least 5 years of experience with an Advanced Degree (e.g. Masters, MBA, JD, MD) or 2 years of work experience with a PhD, OR 11\+ years of relevant work experience.
**Preferred Qualifications:**
* 9 or more years of relevant work experience with a Bachelor Degree or 7 or more relevant years of experience with an Advanced Degree (e.g. Masters, MBA, JD, MD) or 3 or more years of experience with a PhD
* Four (4\) years of experience solving data problems using data technologies (e.g., Hadoop, Hive, Kafka, Redis, NoSQL, RDBMS)
* Two (2\) years of experience designing, building/fine tuning ML/AI models around data insights, anomaly detection e.t.c
* Two (2\) years of experience in designing, building, evaluating metrics for model performance and business outcome
* Three (3\) years of experience building and pushing code into production.
* Expert in at least one of the following: Python, R, Java
* Experience with Big Data and Analytics in general leveraging technologies like Hadoop, Spark, Flink and MapReduce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162,500\.00 to 260,400\.00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59">
      <c r="A59" t="inlineStr">
        <is>
          <t>li-4314381470</t>
        </is>
      </c>
      <c r="B59" t="inlineStr">
        <is>
          <t>Staff Data Scientist, Growth Analytics</t>
        </is>
      </c>
      <c r="C59" t="inlineStr">
        <is>
          <t>Airwallex</t>
        </is>
      </c>
      <c r="D59" t="inlineStr">
        <is>
          <t>linkedin</t>
        </is>
      </c>
      <c r="E59" t="inlineStr"/>
      <c r="F59" t="inlineStr"/>
      <c r="G59" t="inlineStr">
        <is>
          <t>San Francisco, CA</t>
        </is>
      </c>
      <c r="H59" t="inlineStr"/>
      <c r="I59"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We’re hiring an experienced Staff Data Scientist to be the technical lead for our Growth Analytics team. You will partner with Growth, Sales, Marketing, and Product teams to identify opportunities, optimize strategies, and unlock scalable growth using data analytics.
**What You'll Do**
* Operate as the technical partner to Growth, Marketing, Sales and Data Science leaders to define and implement Airwallex’s growth strategy
* Lead and mentor the team in applying a variety of data science techniques—root\-cause analysis, statistical modeling, and experimentation—to identify opportunities and drive product\-led growth (acquisition, activation, retention, reactivation)
* Establish insight\-driven approaches to address key business problems and drive business impact
* Build scalable measurement frameworks that enable consistent, data\-driven decision\-making across teams and inform growth strategy
* Clearly and persuasively communicate data insights and recommendations to technical and non\-technical audiences, ensuring findings influence stakeholders
* Translate open\-ended business problems into clearly defined data science initiatives for the team to implement
* Mentor and coach junior data scientists, and act as the single\-threaded technical owner on cross\-functional initiatives
**Qualifications**
* 7\+ years industry experience and a degree in a quantitative field (e.g. Statistics, Engineering, Sciences, Computer Science, Economics). Advanced degree (PhD or MS) preferred
* Proven experience mentoring or leading data science or data analytics teams
* Excellent communication and interpersonal skills; proven ability to influence strategy in high\-growth environments
* Demonstrated experience applying data science to drive growth initiatives with concrete impact
* Strong skills in SQL and Python/R; experience with data modeling a plus
* Experience in technology, financial services and/or a high growth environment is advantageous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$250K \- $299K</t>
        </is>
      </c>
    </row>
    <row r="60">
      <c r="A60" t="inlineStr">
        <is>
          <t>li-4348276833</t>
        </is>
      </c>
      <c r="B60" t="inlineStr">
        <is>
          <t>Staff Data Scientist (Relo to SF)</t>
        </is>
      </c>
      <c r="C60" t="inlineStr">
        <is>
          <t>Airwallex</t>
        </is>
      </c>
      <c r="D60" t="inlineStr">
        <is>
          <t>linkedin</t>
        </is>
      </c>
      <c r="E60" t="inlineStr"/>
      <c r="F60" t="inlineStr"/>
      <c r="G60" t="inlineStr">
        <is>
          <t>San Francisco, CA</t>
        </is>
      </c>
      <c r="H60" t="inlineStr"/>
      <c r="I60"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**About The Team**
 The Strategic Data Science team team provides Airwallex’s Leadership with the data, tooling, and insights needed to amplify Airwallex’s rapid growth. We partner across the entire business, giving us an overarching view and opinion on what Airwallex should prioritize. Our expertise spans the full data stack, and we use it to tackle complex data problems that will shape the future of global fintech. The team is growing quickly, and currently based in the US, China, and Singapore.
 This role is based in San Francisco.
**Learn more about the data science team in** 
**this blog**
**Responsibilities**
**What you’ll do**
* Be the go\-to data partner for the CEO and Regional Business Leads.
* Use causal inference methods to understand how macroeconomic events impact the business.
* Leverage AI to generate insights and improve business and team efficiency.
* Lead Airwallex’s forecasting efforts by 1\) building tools that aggregate and evaluate forecasts 2\) applying advanced statistical methods to build your own forecasts.
* Scope and build data products. In some cases building MVPs, and in others, fully fleshed out solutions.
* Mentor junior team members and cultivate an environment grounded in technical excellence, clear communication, and proactive critical thinking.
**Who You Are**
 We're looking for people who meet the minimum qualifications for this role. The preferred qualifications are great to have, but are not mandatory.
**Minimum Qualifications**
* 7\+ years industry experience and an advanced degree (PhD or MS) in a quantitative field (e.g. Statistics, Engineering, Sciences, Computer Science, Economics)
* Excellent communication skills, ideally with a proven track record of working directly with executive\-level stakeholders to influence strategy.
* Expertise in causal inference methods and forecasting.
* Expertise in data querying languages (e.g. SQL) and scripting languages (e.g. Python, R).
* Experience with data architecture technologies such as Airflow, Databricks, and dbt.
**Preferred Qualifications**
* Experience in technology, financial services and/or a high growth environment.
* Experience with Excel and Finance systems (e.g. Oracle).
 \#sanfrancisco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$175K \- $275K</t>
        </is>
      </c>
    </row>
    <row r="61">
      <c r="A61" t="inlineStr">
        <is>
          <t>li-4369659286</t>
        </is>
      </c>
      <c r="B61" t="inlineStr">
        <is>
          <t>Data Scientist -Relocate to Saudi Arabia, Permanent Expat Relocation</t>
        </is>
      </c>
      <c r="C61" t="inlineStr">
        <is>
          <t>aramco</t>
        </is>
      </c>
      <c r="D61" t="inlineStr">
        <is>
          <t>linkedin</t>
        </is>
      </c>
      <c r="E61" t="inlineStr"/>
      <c r="F61" t="inlineStr"/>
      <c r="G61" t="inlineStr">
        <is>
          <t>Houston, TX</t>
        </is>
      </c>
      <c r="H61" t="inlineStr"/>
      <c r="I61" t="inlineStr">
        <is>
          <t>**This position requires full relocation to Saudi Arabia. It is a permanent full time Expat Relocation Package.** 
**Job Overview** 
 We are seeking a Data Engineering Specialist to join Downstream Global Optimizer (GO) team. The Downstream Global Optimizer team drives commercial optimization across Saudi Aramco’s integrated downstream value chain, including domestic and international refining assets. The GO team identifies and captures optimization opportunities to enhance system netback and deliver shareholder value. By building robust data infrastructure, automating pipelines, and enabling real\-time analytics, the team supports agile decision\-making in dynamic market conditions.
 Your primary role is to design, develop, and maintain scalable data platforms that power the iGO (intelligent Global Optimizer) ecosystem. Your work will ensure seamless integration of structured/unstructured data, enable high\-performance analytics, and provide reliable foundations for optimization models, machine learning pipelines, and enterprise reporting. You will focus on building and maintaining the data infrastructure that supports our data scientists. This role will involve designing and implementing scalable data pipelines, ensuring data quality, and managing data storage solutions. The specialist will work closely with data scientists and other teams to provide the necessary data infrastructure for advanced analytics and machine learning models.
**Key Responsibilities** 
 As the successful candidate you will be required to perform the following:
* Design and implement data architectures and efficient ETL (Extract, Transform, Load) processes to move and transform data from various sources into a format suitable for analysis.
* Ensure the accuracy, completeness, and consistency of data by implementing data validation and cleansing processes.
* Architect and manage data storage solutions, including data lakes and warehouses, to meet the needs of the organization.
* Work with data scientists and other stakeholders to understand data requirements and provide appropriate data solutions.
* Optimize data pipelines and architectures for scalability and performance, ensuring they can handle large volumes of data efficiently.
* Maintain thorough documentation of data systems, pipelines, and processes for clarity and continuity.
* Proficiency in languages such as Python, SQL, and Java or Scala.
* Experience with big data technologies like Apache Spark, Hadoop, Kafka, and Airflow.
* Knowledge of cloud services such as AWS, Azure, or GCP, including their data storage and processing services.
* Understanding of data warehousing concepts and experience with tools like Databricks, Microsoft data fabric and Cloudera.
* Familiarity with ETL tools and processes for data transformation and migration.
* Experience with CI/CD pipelines and version control systems like Git.
**Minimum Requirements** 
* You will hold a Bachelor’s degree in Computer Science, Data Engineering, Software Engineering, or a related field from a recognized institution. A Master’s or advanced degree is preferred.
* You will have at least 10 years of experience in data engineering, data architecture, or enterprise data platform development, including 5\+ years in designing and managing enterprise\-grade data pipelines.
* Strong technical expertise in programming languages: Python, SQL, Scala, and experience with data engineering frameworks (Apache Spark, Kafka, Airflow, Flink).
* Proven experience building data lakes, data warehouses, and ETL/ELT pipelines for large\-scale, heterogeneous datasets.
* In\-depth knowledge of cloud platforms (AWS, GCP, Azure) and distributed data processing tools (e.g., Databricks, Cloudera, Snowflake).
* Hands\-on experience with data governance, metadata management, and data quality frameworks.
* Ability to work in complex, cross\-functional environments, translating business needs into scalable data architectures.
* Strong communication skills to articulate technical designs to stakeholders and mentor junior engineers.
* Familiarity with industrial/energy sector data ecosystems (e.g., OT/IT systems, SCADA, ERP, market data) is preferred.
* Certifications in cloud platforms (AWS/GCP/Azure), data engineering (e.g., Google Professional Data Engineer, AWS Big Data Specialty) are a plus.
**Working Environment** 
 Our high\-performing employees are drawn by the challenging and rewarding professional, technical and industrial opportunities we offer, and are remunerated accordingly.
 At Aramco, our people work on truly world\-scale projects, supported by investment in capital and technology that is second to none. And because, as a global energy company, we are faced with addressing some of the world’s biggest technical, logistical and environmental challenges, we invest heavily in talent development.
 We have a proud history of educating and training our workforce over many decades. Employees at all levels are encouraged to improve their sector\-specific knowledge and competencies through our workforce development programs – one of the largest in the world.
**Aramco energizes the world economy.** 
 Aramco occupies a special position in the global energy industry. We are one of the world’s largest producers of hydrocarbon energy and chemicals, with among the lowest Upstream carbon intensities of any major producer.
 With our significant investment in technology and infrastructure, we strive to maximize the value of the energy we produce for the world along with a commitment to enhance Aramco’s value to society.
 Headquartered in the Kingdom of Saudi Arabia, and with offices around the world, we combine market discipline with a generations’ spanning view of the future, born of our nine decades experience as responsible stewards of the Kingdom’s vast hydrocarbon resources. This responsibility has driven us to deliver significant societal and economic benefits to not just the Kingdom, but also to a vast number of communities, economies, and countries that rely on the vital and reliable energy that we supply.</t>
        </is>
      </c>
    </row>
    <row r="62">
      <c r="A62" t="inlineStr">
        <is>
          <t>li-4369145825</t>
        </is>
      </c>
      <c r="B62" t="inlineStr">
        <is>
          <t>Data Scientist</t>
        </is>
      </c>
      <c r="C62" t="inlineStr">
        <is>
          <t>Apple</t>
        </is>
      </c>
      <c r="D62" t="inlineStr">
        <is>
          <t>linkedin</t>
        </is>
      </c>
      <c r="E62" t="inlineStr"/>
      <c r="F62" t="inlineStr"/>
      <c r="G62" t="inlineStr">
        <is>
          <t>Culver City, CA</t>
        </is>
      </c>
      <c r="H62" t="inlineStr"/>
      <c r="I62" t="inlineStr">
        <is>
          <t>**Summary**
 We’re idealists. Inventors. Forever tinkering with products and processes, always on the lookout for better. Whether you work at our global offices, offsite, or even at home, a job at Apple will be demanding. But it also rewards forward\-thinking, creative thinking and hard work. And none of us here would have it any other way. Does an exciting, dynamic, and fast\-paced environment catch your attention? Do you like puzzles and determining solutions that are not obvious? Terrific! Consider joining our team! The Applications team is looking for an outstanding Data Scientist to design, develop, and scale advanced marketing measurement and optimization models. This role will lead the development of Marketing (Media) Mix Models (MMM), budget allocation frameworks across sub\-channels, and channel quality prediction models to inform strategic and tactical marketing investment decisions. You will partner closely with Marketing, Business, and Product stakeholders to drive data\-informed budget decisions and improve marketing ROI.
**Description**
 The Data Scientist will work on designing, developing, and deploying machine learning–driven marketing measurement and optimization models to inform strategic and tactical marketing investment decisions. The role focuses on building Marketing (Media) Mix Models, budget allocation and optimization frameworks across sub\-channels, and predictive machine learning models to assess channel quality and efficiency. This role collaborates closely with Marketing, Product, and Business partners to translate business problems into scalable, explainable, and production\-ready ML solutions. The ideal candidate combines strong expertise in machine learning, statistical modeling, causal inference, optimization, and marketing analytics with the ability to communicate insights clearly and drive measurable business impact in a fast\-paced, cross\-functional environment.
**Minimum Qualifications**
* PhD in Statistics, Mathematics, Economics, Operations Research, or a related quantitative field with 3\+ years of relevant experience; or MS with 5\+ years of experience in applied modeling and optimization roles.
* Strong hands\-on experience with Marketing / Media Mix Models (MMM), including budget allocation, optimization frameworks, marginal ROI analysis, and incorporating experimentation results (e.g., geo\-lift tests, A/B experiments).
* Experience modeling marketing performance at granular levels, including sub\-channel dimensions such as creative, placement, audience, and brand vs. performance.
* Strong foundation in statistics, regression, time\-series analysis, causal inference, and optimization, with familiarity in Bayesian MMM, hierarchical models, or probabilistic forecasting.
* Experience designing, implementing, and evaluating ML models in Python, with solid understanding of model validation techniques and performance metrics.
* Proven ability to work with large\-scale, multi\-source datasets, and apply quantitative methods to real\-world business problems.
* Working proficiency with distributed data systems and big data tools (e.g., Hadoop, Spark).
* Strong communication, collaboration, and stakeholder influence skills, with a demonstrated track record of driving business impact through data\-driven recommendations.
**Preferred Qualifications**
* Ability to translate research ideas into scalable, production\-level ML/AI solutions.
* Experience in building and maintaining machine learning pipelines, including data preprocessing, model training, and deployment.
* Experience developing AI tools, frameworks, or APIs to support model deployment or LLM\-based applications.
* Familiarity with generative AI techniques (e.g., diffusion models, transformer architectures)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3">
      <c r="A63" t="inlineStr">
        <is>
          <t>li-4369155685</t>
        </is>
      </c>
      <c r="B63" t="inlineStr">
        <is>
          <t>Data Scientist</t>
        </is>
      </c>
      <c r="C63" t="inlineStr">
        <is>
          <t>Apple</t>
        </is>
      </c>
      <c r="D63" t="inlineStr">
        <is>
          <t>linkedin</t>
        </is>
      </c>
      <c r="E63" t="inlineStr"/>
      <c r="F63" t="inlineStr"/>
      <c r="G63" t="inlineStr">
        <is>
          <t>San Diego, CA</t>
        </is>
      </c>
      <c r="H63" t="inlineStr"/>
      <c r="I63" t="inlineStr">
        <is>
          <t>**Summary**
 We’re idealists. Inventors. Forever tinkering with products and processes, always on the lookout for better. Whether you work at our global offices, offsite, or even at home, a job at Apple will be demanding. But it also rewards forward\-thinking, creative thinking and hard work. And none of us here would have it any other way. Does an exciting, dynamic, and fast\-paced environment catch your attention? Do you like puzzles and determining solutions that are not obvious? Terrific! Consider joining our team! The Applications team is looking for an outstanding Data Scientist to design, develop, and scale advanced marketing measurement and optimization models. This role will lead the development of Marketing (Media) Mix Models (MMM), budget allocation frameworks across sub\-channels, and channel quality prediction models to inform strategic and tactical marketing investment decisions. You will partner closely with Marketing, Business, and Product stakeholders to drive data\-informed budget decisions and improve marketing ROI.
**Description**
 The Data Scientist will work on designing, developing, and deploying machine learning–driven marketing measurement and optimization models to inform strategic and tactical marketing investment decisions. The role focuses on building Marketing (Media) Mix Models, budget allocation and optimization frameworks across sub\-channels, and predictive machine learning models to assess channel quality and efficiency. This role collaborates closely with Marketing, Product, and Business partners to translate business problems into scalable, explainable, and production\-ready ML solutions. The ideal candidate combines strong expertise in machine learning, statistical modeling, causal inference, optimization, and marketing analytics with the ability to communicate insights clearly and drive measurable business impact in a fast\-paced, cross\-functional environment.
**Minimum Qualifications**
* PhD in Statistics, Mathematics, Economics, Operations Research, or a related quantitative field with 3\+ years of relevant experience; or MS with 5\+ years of experience in applied modeling and optimization roles.
* Strong hands\-on experience with Marketing / Media Mix Models (MMM), including budget allocation, optimization frameworks, marginal ROI analysis, and incorporating experimentation results (e.g., geo\-lift tests, A/B experiments).
* Experience modeling marketing performance at granular levels, including sub\-channel dimensions such as creative, placement, audience, and brand vs. performance.
* Strong foundation in statistics, regression, time\-series analysis, causal inference, and optimization, with familiarity in Bayesian MMM, hierarchical models, or probabilistic forecasting.
* Experience designing, implementing, and evaluating ML models in Python, with solid understanding of model validation techniques and performance metrics.
* Proven ability to work with large\-scale, multi\-source datasets, and apply quantitative methods to real\-world business problems.
* Working proficiency with distributed data systems and big data tools (e.g., Hadoop, Spark).
* Strong communication, collaboration, and stakeholder influence skills, with a demonstrated track record of driving business impact through data\-driven recommendations.
**Preferred Qualifications**
* Ability to translate research ideas into scalable, production\-level ML/AI solutions.
* Experience in building and maintaining machine learning pipelines, including data preprocessing, model training, and deployment.
* Experience developing AI tools, frameworks, or APIs to support model deployment or LLM\-based applications.
* Familiarity with generative AI techniques (e.g., diffusion models, transformer architectures)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4">
      <c r="A64" t="inlineStr">
        <is>
          <t>li-4369655729</t>
        </is>
      </c>
      <c r="B64" t="inlineStr">
        <is>
          <t>Data Scientist – Funnel Analytics &amp; Optimization</t>
        </is>
      </c>
      <c r="C64" t="inlineStr">
        <is>
          <t>Inizio Partners</t>
        </is>
      </c>
      <c r="D64" t="inlineStr">
        <is>
          <t>linkedin</t>
        </is>
      </c>
      <c r="E64" t="inlineStr"/>
      <c r="F64" t="inlineStr"/>
      <c r="G64" t="inlineStr"/>
      <c r="H64" t="inlineStr"/>
      <c r="I64" t="inlineStr">
        <is>
          <t>**Role: Data Scientist – Funnel Analytics \&amp; Optimization** 
**Location: San Diego, CA (Hybrid \| 2\-3 days from office)** 
**Roles \&amp; Responsibilities** 
 As the Staff Data Scientist – Funnel Analytics \&amp; Optimization, you will own end\-to\-end funnel analytics across acquisition, application, underwriting, and funding for a small\-business lending portfolio. You will identify friction points and operational bottlenecks, design measurement frameworks, and run test\-and\-learn experiments to improve conversion, cycle time, and customer outcomes—while maintaining strong risk discipline. You will partner with client and internal stakeholders across Risk, Operations, Product, Engineering, and AI teams to translate insights into scalable process changes, automation, and AI\-agent solutions.
* Analyze end\-to\-end funnel performance across acquisition, application, underwriting, and funding stages to identify conversion trends and structural inefficiencies
* Design and maintain analytical frameworks to monitor funnel health, conversion rates, and customer drop\-off patterns
* Identify root causes of customer attrition and dropout at each funnel stage using quantitative analysis and cohort\-based methodologies
* Drive a statistical approach to assessing information value of each funnel step v customer attrition and drop out
* Support test\-and\-learn initiatives, including A/B testing and controlled experiments, to measure the impact of funnel optimization efforts
* Partner closely with process owners \&amp; AI team to deploy automation and AI agent solutions to fundamentally enhance funnel efficiency
* Deploy game theory or other relevant statistical frameworks to enhance take up rate of client offers by channel partner
* Partner with Operations, Underwriting, and Product teams to design and evaluate strategies that reduce customer friction and improve completion rates
* Develop segmentation and behavioral analyses to identify populations with elevated dropout risk or conversion opportunity
* Translate analytical findings into clear, actionable recommendations for senior leadership and cross\-functional partners
* Monitor post\-implementation results to ensure sustained improvement and surface second\-order impacts on risk, cost, and customer experience
**Candidate Profile:** 
* 7\+ years of relevant experience in analytics or data science within fintech, financial services, or a data\-driven consumer or B2B environment
* Hands\-on experience analyzing customer funnels, conversion metrics, or operational workflows
* Demonstrated experience partnering with operations or frontline teams to translate analytics into execution
* Experience supporting experimentation, measurement, and performance monitoring in production environments
* Funnel and conversion analytics
* Cohort analysis and customer journey analysis
* Drop\-off and attrition modeling
* Experimentation and A/B testing
* Statistical analysis and hypothesis testing
* Cross\-functional analytical storytelling
* Strong SQL and Python (or R) proficiency; ability to work with large datasets and build reproducible analytical workflows.
* Excellent communication, presentation, and story\-building skills in a consulting/client\-facing setup.
* Demonstrated ability to lead cross\-functional initiatives end\-to\-end and coordinate with offshore delivery teams.
* Bachelors degree in related quantitative fields such as Data Science, Statistics, Mathematics, Economics, Finance, or Engineering required.
**\*\* Client is also open to hire junior candidates (4\-5 years exp.) with similar skills at a lower band.**</t>
        </is>
      </c>
    </row>
    <row r="65">
      <c r="A65" t="inlineStr">
        <is>
          <t>li-4369634104</t>
        </is>
      </c>
      <c r="B65" t="inlineStr">
        <is>
          <t>Data Scientist</t>
        </is>
      </c>
      <c r="C65" t="inlineStr">
        <is>
          <t>Block</t>
        </is>
      </c>
      <c r="D65" t="inlineStr">
        <is>
          <t>linkedin</t>
        </is>
      </c>
      <c r="E65" t="inlineStr"/>
      <c r="F65" t="inlineStr"/>
      <c r="G65" t="inlineStr"/>
      <c r="H65" t="inlineStr"/>
      <c r="I65" t="inlineStr">
        <is>
          <t>**About The Company** 
 Since its inception in 2009, Block has revolutionized the world of commerce by providing innovative payment solutions that enable businesses of all sizes to operate seamlessly. Initially focused on empowering merchants to accept payments without missing sales, the company quickly expanded into software development, creating integrated, omnichannel solutions that support online sales, inventory management, buy now pay later options, appointment booking, customer engagement, and staff management. Embedded within these solutions are financial services tools that allow merchants to access business loans and manage cash flow efficiently. With the acquisition of Afterpay, Block continues to enhance its offerings, helping sellers capture the next generation of shoppers, increase order sizes, and scale their operations globally. Today, Block partners with a diverse range of businesses—from large, enterprise\-scale organizations to startups and growing merchants—striving to build meaningful and lasting growth opportunities for its clients worldwide.
**About The Role** 
 We are seeking an experienced Data Scientist to join our AI, Data, and Analytics (AiDA) team at Block. This role will primarily support the Financial Platform (FinPlat) organization, focusing on acquiring side A/B testing, reporting, strategic analysis, and automation. FinPlat serves as the central nervous system for Block’s core financial operations, facilitating the movement and ledgering of funds across our primary platforms—Square, Cash App, and Afterpay. The role involves developing data products from raw event data, conducting sophisticated analyses, and building machine learning models to optimize transaction costs, authorization rates, and overall financial performance. The successful candidate will influence product roadmaps, guide cross\-functional teams, and foster a data\-driven culture that emphasizes financial impact and operational excellence. This position offers a unique opportunity to work at the intersection of payments, data science, and financial technology, contributing to innovative solutions that drive growth and efficiency across the company’s ecosystem.
**Qualifications** 
* 12\+ years of relevant experience in data science, preferably within payment analytics, chargebacks, or related fields, with a Bachelor’s degree; or 8\+ years with a Master’s degree; or 5\+ years with a PhD; or equivalent professional experience
* Bachelor’s degree in a technical discipline such as Engineering, Physics, Mathematics, Computer Science, or related fields
* Proven expertise in hypothesis testing, causal inference, and statistical analysis
* Hands\-on experience building data pipelines, architecture, and scalable data solutions
* Strong ability to communicate complex findings to cross\-functional stakeholders and influence product development
* Proficiency in data analytics and visualization tools such as SQL, Looker, and Python
* Experience working on ambiguous, high\-impact problems with innovative solutions
* Willingness to be hands\-on in developing data models and engineering solutions
**Responsibilities** 
* Develop subject\-matter expertise in payment rails, including card\-based (prepaid, debit, credit) and bank transfer systems (wire, ACH, direct deposit)
* Collaborate with product teams and FinOps to identify opportunities and navigate complex problem spaces
* Design, develop, and deploy comprehensive data products from raw event data to actionable insights and machine learning models
* Lead A/B testing initiatives to evaluate product features and optimize financial performance
* Partner with engineering and operations teams to embed data\-driven decision\-making across the organization
* Drive automation and efficiency improvements within financial processes and analytics workflows
* Mentor junior team members and evangelize best practices within the data science community at Block
* Communicate findings effectively to stakeholders and influence product and operational strategies based on data insights
**Benefits** 
* Comprehensive health insurance coverage including medical, dental, and vision plans
* Flexible work arrangements supporting remote work and work\-life balance
* Generous paid time off and holidays to promote well\-being
* Retirement savings plans with company matching contributions
* Support for modern family planning and parental leave policies
* Continuous learning and professional development opportunities
* Inclusive and diverse workplace culture committed to equity and fairness
 Equal Opportunity
 Block is an equal opportunity employer committed to fostering an inclusive environment for all employees and applicants. We evaluate all candidates without regard to race, ethnicity, gender, sexual orientation, disability, age, or any other legally protected status.</t>
        </is>
      </c>
    </row>
    <row r="66">
      <c r="A66" t="inlineStr">
        <is>
          <t>li-4369147722</t>
        </is>
      </c>
      <c r="B66" t="inlineStr">
        <is>
          <t>Data Scientist</t>
        </is>
      </c>
      <c r="C66" t="inlineStr">
        <is>
          <t>Apple</t>
        </is>
      </c>
      <c r="D66" t="inlineStr">
        <is>
          <t>linkedin</t>
        </is>
      </c>
      <c r="E66" t="inlineStr"/>
      <c r="F66" t="inlineStr"/>
      <c r="G66" t="inlineStr">
        <is>
          <t>Cupertino, CA</t>
        </is>
      </c>
      <c r="H66" t="inlineStr"/>
      <c r="I66" t="inlineStr">
        <is>
          <t>**Summary**
 We’re idealists. Inventors. Forever tinkering with products and processes, always on the lookout for better. Whether you work at our global offices, offsite, or even at home, a job at Apple will be demanding. But it also rewards forward\-thinking, creative thinking and hard work. And none of us here would have it any other way. Does an exciting, dynamic, and fast\-paced environment catch your attention? Do you like puzzles and determining solutions that are not obvious? Terrific! Consider joining our team! The Applications team is looking for an outstanding Data Scientist to design, develop, and scale advanced marketing measurement and optimization models. This role will lead the development of Marketing (Media) Mix Models (MMM), budget allocation frameworks across sub\-channels, and channel quality prediction models to inform strategic and tactical marketing investment decisions. You will partner closely with Marketing, Business, and Product stakeholders to drive data\-informed budget decisions and improve marketing ROI.
**Description**
 The Data Scientist will work on designing, developing, and deploying machine learning–driven marketing measurement and optimization models to inform strategic and tactical marketing investment decisions. The role focuses on building Marketing (Media) Mix Models, budget allocation and optimization frameworks across sub\-channels, and predictive machine learning models to assess channel quality and efficiency. This role collaborates closely with Marketing, Product, and Business partners to translate business problems into scalable, explainable, and production\-ready ML solutions. The ideal candidate combines strong expertise in machine learning, statistical modeling, causal inference, optimization, and marketing analytics with the ability to communicate insights clearly and drive measurable business impact in a fast\-paced, cross\-functional environment.
**Minimum Qualifications**
* PhD in Statistics, Mathematics, Economics, Operations Research, or a related quantitative field with 3\+ years of relevant experience; or MS with 5\+ years of experience in applied modeling and optimization roles.
* Strong hands\-on experience with Marketing / Media Mix Models (MMM), including budget allocation, optimization frameworks, marginal ROI analysis, and incorporating experimentation results (e.g., geo\-lift tests, A/B experiments).
* Experience modeling marketing performance at granular levels, including sub\-channel dimensions such as creative, placement, audience, and brand vs. performance.
* Strong foundation in statistics, regression, time\-series analysis, causal inference, and optimization, with familiarity in Bayesian MMM, hierarchical models, or probabilistic forecasting.
* Experience designing, implementing, and evaluating ML models in Python, with solid understanding of model validation techniques and performance metrics.
* Proven ability to work with large\-scale, multi\-source datasets, and apply quantitative methods to real\-world business problems.
* Working proficiency with distributed data systems and big data tools (e.g., Hadoop, Spark).
* Strong communication, collaboration, and stakeholder influence skills, with a demonstrated track record of driving business impact through data\-driven recommendations.
**Preferred Qualifications**
* Ability to translate research ideas into scalable, production\-level ML/AI solutions.
* Experience in building and maintaining machine learning pipelines, including data preprocessing, model training, and deployment.
* Experience developing AI tools, frameworks, or APIs to support model deployment or LLM\-based applications.
* Familiarity with generative AI techniques (e.g., diffusion models, transformer architectures)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7">
      <c r="A67" t="inlineStr">
        <is>
          <t>li-4369646045</t>
        </is>
      </c>
      <c r="B67" t="inlineStr">
        <is>
          <t>Data Scientist - Pricing</t>
        </is>
      </c>
      <c r="C67" t="inlineStr">
        <is>
          <t>Analytic Recruiting Inc.</t>
        </is>
      </c>
      <c r="D67" t="inlineStr">
        <is>
          <t>linkedin</t>
        </is>
      </c>
      <c r="E67" t="inlineStr"/>
      <c r="F67" t="inlineStr"/>
      <c r="G67" t="inlineStr"/>
      <c r="H67" t="inlineStr"/>
      <c r="I67" t="inlineStr">
        <is>
          <t>A leading company in B2B sales is seeking a
 **Data Scientist\- Pricing** 
 to build ownership and mastery of existing ML\-backed production features, and build new ML algorithms to optimize pricing, optimize auction lots and automate other human decision\-making tasks such as online negotiation. The ideal candidate has a strong background in math, statistics, and machine learning, plus the ability to translate business context into effective models and data products.
**Salary:** 
 Up to 150k base \+ bonus (commensurate with experience)
**Location:** 
 Remote (Eastern or Central time zones)
**Responsibilities:** 
* Demonstrate data and domain fluency with 30 days of joining
* Develop a working fluency in the data model and data warehouse
* Operate independently on ad hoc projects and write complex SQL end\-to\-end
* Produce stakeholder\-ready analysis for internal and external stakeholders that clearly communicates results, identifies limitations and communicates tradeoffs
* Deliver a production\-ready auction lot optimization model that recommends SKU\-groupings and drives 5%\+ uplift in lot clearing price within 60 days
* Partner with external stakeholders to define the objective function, constraints and evaluation framework
* Lead end\-to\-end delivery (with guidance from the data team and CEO) from determining data requirements to deployment
* Reduce mean average percentage error of the offer clearing/negotiation model by 30%\+ during the peak season within 90 days of joining
* Develop ownership of existing ML solution and begin running novel experiments to improve evaluation metrics within 60 days of joining
* Design, run, and evaluate targeted experiments to improve model performance during the industry’s peak season, when rapid price volatility reduces pricing accuracy
**Requirements:** 
* Excellent verbal and written communication skills, with ability to convey and package technical findings in simple terms
* 1\-3 years of experience working as a Data Scientist
* Experience with Python
* Experience with SQL, building data pipelines and writing complex queries
* BS or Masters in a relevant field (experience in a traditional discipline such as Math or Statistics is a plus)
* Coursework, certifications, or continuing education in Machine Learning and AI
* Commitment to never sacrificing quality
* Belief that no task is beneath you</t>
        </is>
      </c>
    </row>
    <row r="68">
      <c r="A68" t="inlineStr">
        <is>
          <t>li-4369648874</t>
        </is>
      </c>
      <c r="B68" t="inlineStr">
        <is>
          <t>Data Scientist</t>
        </is>
      </c>
      <c r="C68" t="inlineStr">
        <is>
          <t>STI</t>
        </is>
      </c>
      <c r="D68" t="inlineStr">
        <is>
          <t>linkedin</t>
        </is>
      </c>
      <c r="E68" t="inlineStr"/>
      <c r="F68" t="inlineStr"/>
      <c r="G68" t="inlineStr">
        <is>
          <t>Hartford, CT</t>
        </is>
      </c>
      <c r="H68" t="inlineStr"/>
      <c r="I68" t="inlineStr">
        <is>
          <t>**Experience Required For This Role**
***Data Research \&amp; Analysis***
 – at least 3 years of measurable experience in the following:
* Analyzing data and customer metrics to fulfill specific business goals
* Using data to help teams improve functionality and operations
* Developing and applying data models to improve the collection and analysis of data
* Bridging the divide between technical and business teams through data
* Communicating data analysis to various levels of stakeholders through visualizations
* Data cleansing, optimizing, and ETL
* Developing and analyzing user surveys
* Expertise in the principles and operating procedures of a specific industry
* Performing competitor research to help improve products and services
* Researching latest market trends and implementing knowledge
* Creating dashboards and reports that are easy to understand for non\-technical users
* Organizing and storing data and queries for easy access in future work projects
* Documenting data collection and analysis procedures
* Organizing focus groups and feedback loops to establish data collection
* Using data to isolate problems and develop solutions
* Discovering and establishing proper KPIs to help track success
* Preparing and executing ROI analysis
* Establishing testing of products/services based off data analysis
* Identifying and understanding issues through forecasting, gap analysis, quantitative reporting, research, and statistical analysis
* Providing insights and recommending changes based on data findings
**Knowledge, Skills, And Ability**
***Data Science***
* Experience with machine learning, AI, and cognitive service engine models
* Experience with programming languages like SQL, Python, R, and Scala
* Using analytics software and platforms (GA, GTM, SPSS, Excel, Microsoft Office Suite)
* Experience using business intelligence tools like Tableau or Power BI
* Experience in data collection from on\-prem and cloud platforms like Microsoft, Azure, and Salesforce
* Engaging in data experiments to provide cross\-persona or enterprise analysis
* Leveraging statistical analysis and algebra
* Improving research or data management environments
* Leveraging economics, business/systems analysis, and quality assurance
* Manipulating large, complex data sets
* Documenting processes and modelling
***Performance in Complex Situations***
* Communication and collaboration with cross\-functional teams and state\-wide partners
* Clearing challenges for team members
* Comfort in blazing a path through an ambiguous work environment
* Judgement fitting to the ever\-changing environment
* Ability to juggle multiple project workstreams
***Service Design Team Building***
* Supporting teammates’ skills and behavior development and delivery
* Advocating data strategies both internally and externally
* A balance between strong domain expertise and flexibility
* Prioritization, organization, and triage in an independent environment
* Encouraging of an interactive, cooperative, collaborative, and customer\-focused work environment
* Ability to maintain strict confidentiality
* Judgement in dealing effectively and diplomatically with all levels of government staff
**Preferred Skills \&amp; Qualifications**
***Other Desirable Skills***
* Deep domain knowledge for a particular industry – especially Health, Business, or Education
* Bachelor’s degree in computer science, business, IT, management, administration, economics, or information science
* 2 years of user research and feedback analysis
* 2 years of data governance and working within data security groups
* 1 year of API development
* 1 year of marketing experience, supported through metrics
* 1 year of project management experience
* 1 year of experience with customer relationship management platforms such as Salesforce
* 1 year of experience with web content management platforms such as Sitecore</t>
        </is>
      </c>
    </row>
    <row r="69">
      <c r="A69" t="inlineStr">
        <is>
          <t>li-4369632165</t>
        </is>
      </c>
      <c r="B69" t="inlineStr">
        <is>
          <t>Data Scientist, D&amp;T</t>
        </is>
      </c>
      <c r="C69" t="inlineStr">
        <is>
          <t>General Mills</t>
        </is>
      </c>
      <c r="D69" t="inlineStr">
        <is>
          <t>linkedin</t>
        </is>
      </c>
      <c r="E69" t="inlineStr"/>
      <c r="F69" t="inlineStr"/>
      <c r="G69" t="inlineStr"/>
      <c r="H69" t="inlineStr"/>
      <c r="I69" t="inlineStr">
        <is>
          <t>**About The Company**
 General Mills is a renowned global food company dedicated to creating products that bring joy and nourishment to consumers worldwide. With a rich history of innovation and a commitment to quality, the company operates across multiple segments including cereals, snacks, baking products, and more. Emphasizing sustainability, health, and consumer\-centricity, General Mills continually strives to enhance its offerings and operational excellence. As a leader in the food industry, the company fosters a collaborative and inclusive work environment that encourages innovation, integrity, and growth.
**About The Role**
 We are seeking a highly skilled Lead Data Scientist to join our team at General Mills. In this pivotal role, you will leverage your expertise in statistics, mathematics, data science, artificial intelligence, and machine learning to develop advanced analytics engines and services. Your primary focus will be on optimizing marketing strategies through data\-driven insights, causal modeling, and predictive analytics. Collaborating closely with product owners, business partners, and fellow data scientists, you will define technical problem statements, develop robust models, and translate complex insights into actionable recommendations. Your work will directly impact marketing effectiveness, budget allocation, and strategic decision\-making, ultimately supporting our goal to deliver the food people love with precision and innovation.
**Qualifications**
* 6\+ years of professional experience as a hands\-on coding Data Scientist, with at least 4 years specializing in Marketing Mix Models (MMM) and Marketing Attribution Models
* Bachelor’s Degree in Mathematics, Statistics, Data Science, Operations Research, Econometrics, or a related quantitative discipline
* Expert\-level proficiency in Python and SQL programming languages
* Deep expertise in causal modeling principles, including DAG design, assumptions, and falsification
* Strong experience in regression modeling (panel, time series, ridge), Bayesian modeling (e.g., PyMC), and marketing mix frameworks (PyMC, Meridian, Robyn)
* Proficiency with ensemble methods such as Gradient Boosting and XGBoost
* Ability to work with large datasets and write complex SQL queries efficiently
* Proven track record of partnering with marketing and business leaders to influence key marketing decisions
* Highly adaptable, curious, and capable of working independently on complex problems
* Bias for action with excellent task prioritization and time management skills
* Experience with cloud\-based AI platforms
**Responsibilities**
* Collaborate with data science leadership, machine learning engineering, and business partners to develop and refine optimization and machine learning models using state\-of\-the\-art tools and technologies
* Provide strategic data science leadership within product teams through strong partnership, delivering actionable insights and technical roadmap recommendations
* Design, validate, and maintain causal measurement strategies such as Marketing Mix Models, Difference in Differences, Regression Discontinuity, and causal ML to evaluate marketing effectiveness
* Conduct comprehensive statistical and econometric analyses to forecast marketing impact and optimize budget allocation strategies
* Translate complex model findings into clear, actionable insights for campaign planning, budget decisions, and marketing strategies across various stakeholders
* Design and execute statistically rigorous A/B testing and measurement campaigns to evaluate marketing initiatives
* Advise business partners on technical solutions, ensuring alignment with strategic objectives
* Contribute to the technical strategy, best practices, and team development as a senior leader within the data science team
* Mentor junior data scientists through solution reviews and technical guidance
* Monitor and improve model performance metrics, incorporating feedback from business partners to enhance accuracy and recommendations
* Engage actively with the team, participate in strategic planning, and contribute to documentation and standardization efforts
**Benefits**
* Competitive salary package within the range of $126,700 to $211,200 annually
* Comprehensive health benefits and wellness programs
* Retirement plans and financial wellbeing support
* Generous time off policies and paid leave
* Opportunities for professional development and career growth
* Participation in annual incentive programs based on performance
* Flexible work arrangements, including remote work options within the United States
 Equal Opportunity
 General Mills is an equal opportunity employer. We celebrate diversity and are committed to creating an inclusive environment for all employees. All qualified applicants will receive consideration without regard to race, color, religion, gender, gender identity or expression, sexual orientation, national origin, genetics, disability, age, or veteran status. We believe that diverse perspectives foster innovation and drive our success, and we are dedicated to providing equal employment opportunities to all individuals.</t>
        </is>
      </c>
    </row>
    <row r="70">
      <c r="A70" t="inlineStr">
        <is>
          <t>li-4369635444</t>
        </is>
      </c>
      <c r="B70" t="inlineStr">
        <is>
          <t>Data Scientist - Machine Learning</t>
        </is>
      </c>
      <c r="C70" t="inlineStr">
        <is>
          <t>United Airlines</t>
        </is>
      </c>
      <c r="D70" t="inlineStr">
        <is>
          <t>linkedin</t>
        </is>
      </c>
      <c r="E70" t="inlineStr"/>
      <c r="F70" t="inlineStr"/>
      <c r="G70" t="inlineStr">
        <is>
          <t>Chicago, IL</t>
        </is>
      </c>
      <c r="H70" t="inlineStr"/>
      <c r="I70" t="inlineStr">
        <is>
          <t>Achieving our goals starts with supporting yours. Grow your career, access top\-tier health and wellness benefits, build lasting connections with your team and our customers, and travel the world using our extensive route network.
 Come join us to create what’s next. Let’s define tomorrow, together.
**Description**
 United's Digital Technology team is comprised of many talented individuals all working together with cutting\-edge technology to build the best airline in the history of aviation. Our team designs, develops and maintains massively scaling technology solutions brought to life with innovative architectures, data analytics, and digital solutions. Job overview and responsibilities Provides mathematical modeling and analysis services to support critical financial, operational, and/or strategic planning decisions and engages in supporting project teams in value added activities that generate practical solutions to complex business problems, explores new business alternatives, and drives improvement in business decisions
* Develops the approach and methods to define and solve management problems through quantitative analysis and analytical models using machine learning, statistical, and structured programming languages
* Identifies, researches, or solves large complex problems using big data and machine learning principles
* Leverages understanding of the business process to identify and implement predictive and prescriptive solutions that will result in significant bottom\-line contributions
* Builds and develops machine learning model applications, and provides client support leveraging machine learning knowledge
* Participates in model design, prototype, and model development for several efforts that occur simultaneously, and interfaces with product delivery groups
* Raises concerns when scope of analysis may not align with time available and can choose an appropriate scope of analysis to conduct balancing ROI to time available
* Designs analytic plan/develop hypotheses to test; understands limitations of analysis (what it can and cannot be used for)
* Anticipates working team questions to data and approach
* Identifies solution quality risks and on\-time risks
* Understands the business value, process, and expectations before focusing on choice of a technical solution
* Understands the intuition behind the numbers (i.e. does it make sense?)
* Provides on\-going analytical services to client organizations
* Communicates results to management and clients
* Contributes deck content and builds the story for the deck with guidance to summarize findings
* Develops and delivers presentations aligned with Analytics \&amp; Innovation team standards
* Speaks in a manner appropriate for working team and their level \+1
* Keeps informed about the latest analytical methods and research in machine learning, data science, and other analytics fields
* Research and socialize tools and techniques in data science, ensuring best practices are applied at United
**Qualifications**
 What’s needed to succeed (Minimum Qualifications):
* Master’s degree in quantitative field (machine learning, data science, statistics, engineering, etc.)
* Coursework or work experience with mathematical programming techniques
* Coursework or work experience implementing supervised machine learning to real\-world tabular data use cases
* Hands\-on experience with ML and statistical modeling in applied projects
* Strong Python software engineering skills with a focus on object\-oriented programming and GitHub usage
* Proficiency in SQL for analytical tasks and data manipulation
* Ability to identify high\-value opportunities and efficiently apply data science techniques to drive business impact
* Strong ownership mindset, with the ability to work independently and collaborate across teams, including with SMEs and stakeholders, without direct supervision
* Demonstrated intellectual curiosity, with a proactive approach to solving complex problems and a willingness to navigate ambiguity
* Excellent oral and written communication skills, with the ability to clearly explain algorithms, modeling techniques, and data\-driven insights to diverse audiences
* Good business, technical, verbal/written communication, presentation and sales skills. Adaptability to changing business environment
* Good interpersonal skills and ability to interact with clients
* Proficient with MS Office
* Must be legally authorized to work in the United States for any employer without sponsorship
* Successful completion of interview required to meet job qualifications
* Reliable, punctual attendance is an essential function of the position
 What will help you propel from the pack (Preferred Qualifications):
* Supervised computer vision (object detection) \&amp; NLP
* Signal processing \&amp; machine learning applied to sensor data
* Causal ML (DML, DR, etc.)
* Probabilistic programming (Pyro, PyMC, Stan, etc.) and Bayesian modeling
* AWS cloud stack experience
* PySpark
* Docker
* Generative AI
* Demonstrated ability to create business value
 The base pay range for this role is $94,145\.00 to $122,550\.00\.
 The base salary range/hourly rate listed is dependent on job\-related, factors such as experience, education, and skills. This position is also eligible for bonus and/or long\-term incentive compensation awards.
 You may be eligible for the following competitive benefits: medical, dental, vision, life, accident \&amp; disability, parental leave, employee assistance program, commuter, paid holidays, paid time off, 401(k) and flight privileges.
 United Airlines is an equal opportunity employer. United Airlines recruits, employs, trains, compensates and promotes regardless of race, religion, color, national origin, gender identity, sexual orientation, physical ability, age, veteran status and other protected status as required by applicable law. Equal Opportunity Employer \- Minorities/Women/Veterans/Disabled/LGBT.
 We will ensure that individuals with disabilities are provided reasonable accommodation to participate in the job application or interview process, to perform crucial job functions. Please contact JobAccommodations@united.com to request accommodation.</t>
        </is>
      </c>
    </row>
    <row r="71">
      <c r="A71" t="inlineStr">
        <is>
          <t>li-4369615923</t>
        </is>
      </c>
      <c r="B71" t="inlineStr">
        <is>
          <t>Data Scientist, Sr.</t>
        </is>
      </c>
      <c r="C71" t="inlineStr">
        <is>
          <t>Patreon</t>
        </is>
      </c>
      <c r="D71" t="inlineStr">
        <is>
          <t>linkedin</t>
        </is>
      </c>
      <c r="E71" t="inlineStr"/>
      <c r="F71" t="inlineStr"/>
      <c r="G71" t="inlineStr"/>
      <c r="H71" t="inlineStr"/>
      <c r="I71" t="inlineStr">
        <is>
          <t>**About The Company**
 Patreon is a leading media and community platform dedicated to empowering creators and connecting them with their fans. With over 300,000 creators utilizing the platform, Patreon offers a diverse range of engagement tools including paid memberships, free memberships, community chats, live video sessions, and direct sales through one\-time purchases. Since its inception, Patreon has generated over $10 billion for creators, supporting a vibrant ecosystem of artists, writers, musicians, and other content creators. The platform has facilitated over 100 million free memberships and currently hosts more than 25 million paid memberships, making it a pivotal player in the creator economy. The company's mission is straightforward: to fund the creative class and foster sustainable creative careers. With a commitment to innovation and community, Patreon continues to invest heavily in building the best creator platform supported by a talented team dedicated to transforming the creator economy.
**About The Role**
 We are seeking a highly skilled Senior Data Scientist to join our team in New York or San Francisco, working on a hybrid model requiring in\-office presence two days per week. In this role, you will collaborate closely with cross\-functional teams to develop product features that enhance creators’ ability to monetize their memberships effectively. Your primary responsibilities will include conducting quantitative research to inform product strategy, designing and tracking key metrics, and devising experiments to test hypotheses. You will work alongside our machine learning and data engineering teams to develop minimum viable products (MVPs) and data\-driven solutions that directly impact our platform’s growth and user engagement.
 You will be responsible for translating complex data into actionable insights, communicating findings clearly to technical and non\-technical stakeholders, including executive leadership. As a cultural and technical leader on the data science team, you will foster a collaborative environment, mentor junior team members, and contribute to the continuous improvement of our data practices. Your work will help shape the future of Patreon’s product offerings and support our mission to empower creators worldwide.
**Qualifications**
* Bachelor’s degree in Statistics, Economics, Engineering, Mathematics, or a related quantitative field, or equivalent practical experience
* Extensive experience supporting product teams with data\-driven decision\-making
* Expertise in experimentation design and statistical inference
* Strong analytical thinking with the ability to interpret data in real\-world contexts
* Proficiency in SQL and experience with Python or R for statistical analysis
* Experience balancing speed and accuracy in data analysis
* Proven ability to build strong relationships with cross\-functional teams including product, engineering, research, and design
* Growth mindset with a continuous learning attitude
* Exceptional communication skills, with a focus on clarity and simplicity
**Responsibilities**
* Collaborate with product teams to develop features that improve creator monetization strategies
* Conduct quantitative research to identify opportunities and inform product development
* Design and implement metrics to monitor progress towards goals
* Develop experiments and testing frameworks to validate hypotheses
* Work closely with machine learning and data engineering teams to build MVP data products
* Translate complex data insights into clear, actionable recommendations for stakeholders
* Communicate findings effectively across technical and non\-technical audiences, including executive leadership
* Mentor junior data scientists and foster a collaborative team environment
* Continuously evaluate and improve data practices, tools, and methodologies
**Benefits**
* Competitive salary and equity plans
* Comprehensive healthcare coverage
* Flexible time off policies, including company holidays and recharge days
* Commuter benefits and lifestyle stipends
* Learning and development stipends to support professional growth
* Patronage programs supporting creative pursuits
* Generous parental leave policies
* 401(k) plan with matching contributions
 Equal Opportunity
 Patreon is proud to be an equal opportunity employer. We are committed to fostering an inclusive environment where all employees and applicants are treated with respect and dignity. We do not discriminate based on age, race, color, ancestry, national origin, religion, disability, sex, gender identity or expression, sexual orientation, veteran status, or any other protected class. We encourage candidates from diverse backgrounds to apply. If you require a reasonable accommodation during the interview process,</t>
        </is>
      </c>
    </row>
    <row r="72">
      <c r="A72" t="inlineStr">
        <is>
          <t>li-4369149031</t>
        </is>
      </c>
      <c r="B72" t="inlineStr">
        <is>
          <t>Data Scientist</t>
        </is>
      </c>
      <c r="C72" t="inlineStr">
        <is>
          <t>Marlabs</t>
        </is>
      </c>
      <c r="D72" t="inlineStr">
        <is>
          <t>linkedin</t>
        </is>
      </c>
      <c r="E72" t="inlineStr"/>
      <c r="F72" t="inlineStr"/>
      <c r="G72" t="inlineStr"/>
      <c r="H72" t="inlineStr"/>
      <c r="I72" t="inlineStr">
        <is>
          <t>**Data Scientist** 
**About the Role** 
 Looking for Data Scientist in a small team focused on applying AI to help legal professionals stay current as laws and regulations change. In this role, you will guide the development of
 large language models (LLMs) and build
 **enrichments processing agents** 
 that analyze new and updated case law and legislation and support automated updates to impacted content. You will work within a shared Agentic Content Platform, partnering closely with platform and software engineering teams who are responsible for deploying models into production. Your focus will be on model design, evaluation, and
 **AI Enrichments** 
 quality, while ensuring solutions are designed to integrate smoothly into the platform.
**What You’ll Do** 
* Serve as the primary senior data scientist, coordinating the work of a small team of data scientists responsible for designing and delivering LLM\-based models and
 **AI Enrichments** 
 .
* Define and oversee AI workflows for legal research, impact analysis, and content update recommendations, ensuring high accuracy and editorial quality.
* Design models and agentic or multi\-agent LLM workflows that are ready for deployment by software engineers into the Agentic Content Platform.
* Partner with platform and software engineering teams to align on interfaces, constraints, and integration requirements.
* Collaborate with other teams to align approaches, reuse patterns, and share learnings.
* Establish clear standards for model evaluation, quality thresholds, and handoff criteria from data science to engineering.
* Provide hands\-on technical guidance and mentorship to ensure the team operates cohesively and efficiently.
* Serve as the primary technical point of contact for data science within cross\-team platform discussions.
**What You Bring** 
* Master’s degree with experience, or PhD with experience, in a quantitative field.
* Strong experience working with large language models and transformer\-based architectures (e.g., GPT\-style models, BERT, T5\).
* Hands\-on experience applying LLMs such as ChatGPT, GPT\-4/3\.5, Claude, or Mistral in applied or production\-adjacent environments.
* Experience designing agentic or multi\-agent LLM workflows for research, drafting, and automated review, with attention to reliability and evaluation.
* Experience with retrieval\-augmented generation (RAG), semantic search, and vector\-based retrieval.
* Proven ability to collaborate effectively with software engineers and platform teams.
* Strong communication skills and experience leading small teams in cross\-functional environments.
**Nice to Have** 
* Experience working within shared AI platforms or centralized ML infrastructure.
* Experience with legal, regulatory, or professional services content.
* Familiarity with human\-in\-the\-loop or editorial review workflows.
 For this role, I’m specifically looking for candidates with strong hands\-on experience in developing
 **data models** 
 , training data set, evaluation of data quality,
 **building Agents** 
 , working experience with
 **NLP** 
 ,
 **LLMs,** 
 and strong background in
 **AWS** 
 .</t>
        </is>
      </c>
    </row>
    <row r="73">
      <c r="A73" t="inlineStr">
        <is>
          <t>li-4360574668</t>
        </is>
      </c>
      <c r="B73" t="inlineStr">
        <is>
          <t>Data Scientist</t>
        </is>
      </c>
      <c r="C73" t="inlineStr">
        <is>
          <t>Galent</t>
        </is>
      </c>
      <c r="D73" t="inlineStr">
        <is>
          <t>linkedin</t>
        </is>
      </c>
      <c r="E73" t="inlineStr"/>
      <c r="F73" t="inlineStr"/>
      <c r="G73" t="inlineStr">
        <is>
          <t>San Francisco, CA</t>
        </is>
      </c>
      <c r="H73" t="inlineStr"/>
      <c r="I73" t="inlineStr">
        <is>
          <t>* 4–6 years of experience in applied machine learning or data science.
* Strong hands\-on experience with Python, scikit\-learn, XGBoost, LightGBM, CatBoost, or similar libraries.
* Experience developing ML models in Databricks with Python or PySpark.
* Strong knowledge of feature engineering, model training workflows, and evaluation techniques.
* Experience working with large structured datasets (financial or transactional data preferred).
* Ability to write clear documentation and communicate technical results to non\-technical stakeholders.
* 4\+ years of hands\-on experience developing, deploying, and maintaining machine\-learning models.
* Advanced proficiency in Python (NumPy, pandas, scikit\-learn, PyTorch or TensorFlow).
* Strong statistical and mathematical foundation, including regression, classification probability, optimization, etc.
* Experience building end\-to\-end ML pipelines: data ingestion, cleaning, feature engineering, modeling, evaluation, deployment.
* Experience working within client environments, including adapting to unfamiliar Infrastructure, constraints, and security requirements.
* Experience with cloud platforms (AWS, Azure, or GCP) and on\-prem environments.
* Advanced SQL ability and experience with big\-data tools (Spark, Databricks, Hadoop).</t>
        </is>
      </c>
    </row>
    <row r="74">
      <c r="A74" t="inlineStr">
        <is>
          <t>li-4369612893</t>
        </is>
      </c>
      <c r="B74" t="inlineStr">
        <is>
          <t>Staff Data Scientist – Credit Strategy</t>
        </is>
      </c>
      <c r="C74" t="inlineStr">
        <is>
          <t>Inizio Partners</t>
        </is>
      </c>
      <c r="D74" t="inlineStr">
        <is>
          <t>linkedin</t>
        </is>
      </c>
      <c r="E74" t="inlineStr"/>
      <c r="F74" t="inlineStr"/>
      <c r="G74" t="inlineStr"/>
      <c r="H74" t="inlineStr"/>
      <c r="I74" t="inlineStr">
        <is>
          <t>**Role: Staff Data Scientist – Credit Strategy** 
**Location: San Diego, CA \| Hybrid (2\-3 days from office)** 
 As the
 **Staff Data Scientist – Credit Strategy** 
 , you will design, deploy, and optimize end\-to\-end credit strategies that balance growth, profitability, and credit risk for a small\-business lending portfolio. You will develop policy frameworks for approvals, segmentation, limits, and pricing; embed forward\-looking risk signals; and build monitoring to keep portfolio performance within loss tolerances. You will partner with client and internal leaders across Risk, Product, Engineering, and Underwriting to operationalize decisioning, enable rapid experimentation, and create resilient portfolios that are attractive to debt investors on a risk\-adjusted basis.
* Design and deploy innovative approval, qualification, and segmentation strategies that maximize application approval rates while achieving credit loss targets
* Develop and maintain underwriting policies that define minimum acceptance criteria and policy declines for segments outside clients risk appetite
* Create statistically grounded credit limit assignment frameworks that optimize lifetime customer value while managing downside risk
* Design pricing and interest rate strategies, including testing frameworks, to ensure adequate loss coverage, strong borrower selection, and high customer take\-up rates
* Optimize data collection strategies by balancing the information value of data against customer friction and operational cost
* Partner closely with the manual underwriting team to build a hybrid risk framework that integrates analytical strategies with expert manual review, ensuring consistent execution and continuous feedback loops. This would require innovative credit strategy tooling to create differentiated credit pathways for applications based on their profile, loan amount exposure and complexity of underwriting required
* Collaborate with Product, Engineering, and Data Science teams to design and deploy scalable infrastructure that enables rapid iteration and refinement of credit strategies
* Establish robust portfolio monitoring and reporting processes to track approval rates, credit performance, and risk metrics against expectations
* Apply a thoughtful, forward\-looking approach to portfolio construction to ensure assets are resilient across economic cycles and attractive to debt investors on a risk\-adjusted basis
* Incorporate macroeconomic trends and forward\-looking risk signals into credit strategy to ensure ongoing relevance in evolving market conditions
**Candidate Profile** 
* 7\+ years of hands\-on experience designing, calibrating, and managing credit strategies for cash advance / short\-duration small business credit products; prior MCA credit strategy experience
* Strong experience overseeing model deployment, execution, and monitoring within a production environment; ML Ops experience is highly preferred
* Masters degree in Data Science, Statistics, Economics, Finance, or a related quantitative discipline
* Strong SQL and Python proficiency; ability to work with large datasets and build reproducible analytical workflows.
* Excellent communication, presentation, and story\-building skills in a consulting/client\-facing setup.
* Demonstrated ability to lead cross\-functional initiatives end\-to\-end and coordinate with offshore delivery teams.
* Bachelors degree in a related quantitative field such as Data Science, Statistics, Mathematics, Economics, Finance, or Engineering required.
* Masters degree in Data Science, Statistics, Economics, Finance, or a related quantitative discipline is a plus
**\*\* Client is also open to hire junior candidates (4\-5 years exp.) with similar skills at a lower band.**</t>
        </is>
      </c>
    </row>
    <row r="75">
      <c r="A75" t="inlineStr">
        <is>
          <t>li-4361022302</t>
        </is>
      </c>
      <c r="B75" t="inlineStr">
        <is>
          <t>Data Scientist</t>
        </is>
      </c>
      <c r="C75" t="inlineStr">
        <is>
          <t>Boston VA Research Institute, Inc. (BVARI)</t>
        </is>
      </c>
      <c r="D75" t="inlineStr">
        <is>
          <t>linkedin</t>
        </is>
      </c>
      <c r="E75" t="inlineStr"/>
      <c r="F75" t="inlineStr"/>
      <c r="G75" t="inlineStr">
        <is>
          <t>Boston, MA</t>
        </is>
      </c>
      <c r="H75" t="inlineStr"/>
      <c r="I75" t="inlineStr">
        <is>
          <t>**Boston VA Research Institute, Inc. (BVARI)\- Data Scientist**
 We are a Boston\-based epidemiology and biomedical research organization. We are actively engaged in several clinical trials, pharmacoepidemiology, chronic disease epidemiology, genetic epidemiology, biostatistical and genomics research. Our research team oversees study data related activities and Quality improvement activities to improve the way translational research is conducted and clinical care is delivered. The multi\-disciplinary center consists of a highly talented group of biomedical researchers, clinicians, epidemiologists, biostatisticians, data analysts/programmers, project coordinators, and informatics team with academic affiliations to Harvard Medical School and Boston University. We are looking for candidates with a service\-oriented mentality, high sense of ownership of the assigned tasks and ability to solve problems presented by data.
**Project Background:** 
 Our research group has a full\-time Data Scientist opening for individuals who love working with data and want to use their data science skills to help researchers conduct high\-impact research that expands our understanding of human health and improves healthcare outcomes for Veterans. You will work with a strong, collegial, diverse, and talented team of computer scientists, statisticians, and clinicians at BVARI, the VA Boston Healthcare System, Harvard Medical School, and the Boston University School of Medicine.
 Why should a data scientist work at a VA\-associated research institute? The VA has the largest integrated medical records database in the United States, with comprehensive clinical information on over 22 million patients (2 trillion\+ rows, 22,000\+ columns of data), including large amounts of both structured and unstructured data. The VA also has large databases of genomic and imaging data. Working with our group offers the opportunity to execute high\-impact projects with large\-scale real\-world healthcare data that is unavailable at most other institutions.
**Essential Duties and Responsibilities:** 
* Use advanced data analysis methods (from machine learning, artificial intelligence, applied statistics, etc) to assist in building predictive models of healthcare outcomes from the largest integrated medical records database in the United States.
* Extract, clean, and validate data in preparation for analysis, starting from raw data in a large relational database.
* Carry out exploratory analysis and data visualization and summarize analysis results.
* Collaborate with a range of researchers, including clinicians, computer scientists and statisticians to design and execute analyses.
* Assist in developing improved data science methodology in relation to healthcare data.
* Assist in publishing papers on our findings, systems, and methodology.
**Qualifications and Entrance Requirements:** 
* Proficiency in programming with Python to carry out data analysis in large and complex datasets.
* Experience working with relational databases using SQL or willingness to learn.
* Experience with machine learning frameworks such as PyTorch or Tensorflow on GPU enabled hardware.
* Ability to move projects forward independently with moderate support.
* Ability to work effectively in multi\-disciplinary teams.
* Passion for advancing healthcare research through creative use of data.
* Strong communication and collaborative research skills required.
* Experience using version control and reproducible research (git, knitr, etc.) is preferred.
* Experience with electronic medical record data or clinical databases preferred.
**The employee must be a resident of Massachusetts upon the start date.** 
**Please note we are unable to provide work authorization and/or visa sponsorship.** 
**Work Environment** 
 This job operates in a professional office environment. This role routinely uses standard office equipment such as computers, phones, photocopiers, filing cabinets and fax machines.
**Physical Demands** 
 The physical demands described in this job description are representative of those that must be met by an employee to successfully perform the essential functions of this job.
 While performing the duties of this job, the employee frequently is required to stand; walk; use hands; and reach with hands and arms.
**Selective Service** 
 If you are male application born after December 31, 1959, you must certify that you have registered with the Selective Service System or are exempt from having to do so under the Selective Service Law.
 This position requires the ability to occasionally lift office products and supplies, up to 20 pounds.
**Position Type/Expected Hours of Work** 
 This is a full\-time position, and hours of work and days are Monday through Friday, 8:30 a.m. to 5 p.m.
**Travel** 
 No travel is required for this position. Optional travel to scientific meetings may occur from time to time.
**Work Authorization/Security Clearance** 
 An employee in this position must complete all appropriate background checks at the time of hire and periodic reappointment.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**Equal Opportunity Employer** 
 Boston VA Research Institute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transfer, leaves of absences, compensation, and training.
**Pay Range** 
 Minimum $125,000\.00, Midpoint $135,000\.00, Maximum $145,000\.00
 Salary is based on related experience, expertise, and internal equity; generally, new hires can expect pay between the minimum and midpoint of the range.</t>
        </is>
      </c>
    </row>
    <row r="76">
      <c r="A76" t="inlineStr">
        <is>
          <t>li-4360545316</t>
        </is>
      </c>
      <c r="B76" t="inlineStr">
        <is>
          <t>Data Scientist</t>
        </is>
      </c>
      <c r="C76" t="inlineStr">
        <is>
          <t>Boston VA Research Institute, Inc. (BVARI)</t>
        </is>
      </c>
      <c r="D76" t="inlineStr">
        <is>
          <t>linkedin</t>
        </is>
      </c>
      <c r="E76" t="inlineStr"/>
      <c r="F76" t="inlineStr"/>
      <c r="G76" t="inlineStr">
        <is>
          <t>Boston, MA</t>
        </is>
      </c>
      <c r="H76" t="inlineStr"/>
      <c r="I76" t="inlineStr">
        <is>
          <t>**Boston VA Research Institute, Inc. (BVARI)\- Data Scientist**
 We are a Boston\-based epidemiology and biomedical research organization. We are actively engaged in several clinical trials, pharmacoepidemiology, chronic disease epidemiology, genetic epidemiology, biostatistical and genomics research. Our research team oversees study data related activities and Quality improvement activities to improve the way translational research is conducted and clinical care is delivered. The multi\-disciplinary center consists of a highly talented group of biomedical researchers, clinicians, epidemiologists, biostatisticians, data analysts/programmers, project coordinators, and informatics team with academic affiliations to Harvard Medical School and Boston University. We are looking for candidates with a service\-oriented mentality, high sense of ownership of the assigned tasks and ability to solve problems presented by data.
**Project Background:** 
 Our research group has a full\-time Data Scientist opening for individuals who love working with data and want to use their data science skills to help researchers conduct high\-impact research that expands our understanding of human health and improves healthcare outcomes for Veterans. You will work with a strong, collegial, diverse, and talented team of computer scientists, statisticians, and clinicians at BVARI, the VA Boston Healthcare System, Harvard Medical School, and the Boston University School of Medicine.
 Why should a data scientist work at a VA\-associated research institute? The VA has the largest integrated medical records database in the United States, with comprehensive clinical information on over 22 million patients (2 trillion\+ rows, 22,000\+ columns of data), including large amounts of both structured and unstructured data. The VA also has large databases of genomic and imaging data. Working with our group offers the opportunity to execute high\-impact projects with large\-scale real\-world healthcare data that is unavailable at most other institutions.
**Essential Duties and Responsibilities:** 
* Use advanced data analysis methods (from machine learning, artificial intelligence, applied statistics, etc) to assist in building predictive models of healthcare outcomes from the largest integrated medical records database in the United States.
* Extract, clean, and validate data in preparation for analysis, starting from raw data in a large relational database.
* Carry out exploratory analysis and data visualization and summarize analysis results.
* Collaborate with a range of researchers, including clinicians, computer scientists and statisticians to design and execute analyses.
* Assist in developing improved data science methodology in relation to healthcare data.
* Assist in publishing papers on our findings, systems, and methodology.
**Qualifications and Entrance Requirements:** 
* Proficiency in programming with Python to carry out data analysis in large and complex datasets.
* Experience working with relational databases using SQL or willingness to learn.
* Experience in image processing, including computer vision packages (openCV, albumentations) and standards.
* Experience with machine learning frameworks such as PyTorch or Tensorflow on GPU enabled hardware.
* Ability to move projects forward independently with moderate support.
* Ability to work effectively in multi\-disciplinary teams.
* Passion for advancing healthcare research through creative use of data.
* Strong communication and collaborative research skills required.
* Experience using version control and reproducible research (git, knitr, etc.) is preferred.
* Experience with electronic medical record data or clinical databases preferred, familiarity with imaging standards such as DICOM is a plus.
**The employee must be a resident of Massachusetts upon the start date.** 
**Please note we are unable to provide work authorization and/or visa sponsorship.** 
**Work Environment** 
 This job operates in a professional office environment. This role routinely uses standard office equipment such as computers, phones, photocopiers, filing cabinets and fax machines.
**Physical Demands** 
 The physical demands described in this job description are representative of those that must be met by an employee to successfully perform the essential functions of this job.
 While performing the duties of this job, the employee frequently is required to stand; walk; use hands; and reach with hands and arms.
**Selective Service** 
 If you are male application born after December 31, 1959, you must certify that you have registered with the Selective Service System or are exempt from having to do so under the Selective Service Law.
 This position requires the ability to occasionally lift office products and supplies, up to 20 pounds.
**Position Type/Expected Hours of Work** 
 This is a full\-time position, and hours of work and days are Monday through Friday, 8:30 a.m. to 5 p.m.
**Travel** 
 No travel is required for this position. Optional travel to scientific meetings may occur from time to time.
**Work Authorization/Security Clearance** 
 An employee in this position must complete all appropriate background checks at the time of hire and periodic reappointment.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**Equal Opportunity Employer** 
 Boston VA Research Institute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transfer, leaves of absences, compensation, and training.
**Pay Range** 
 Minimum $125,000\.00, Midpoint $135,000\.00, Maximum $145,000\.00
 Salary is based on related experience, expertise, and internal equity; generally, new hires can expect pay between the minimum and midpoint of the range.</t>
        </is>
      </c>
    </row>
    <row r="77">
      <c r="A77" t="inlineStr">
        <is>
          <t>li-4369135818</t>
        </is>
      </c>
      <c r="B77" t="inlineStr">
        <is>
          <t>Senior Data Scientist, Avail</t>
        </is>
      </c>
      <c r="C77" t="inlineStr">
        <is>
          <t>Realtor.com</t>
        </is>
      </c>
      <c r="D77" t="inlineStr">
        <is>
          <t>linkedin</t>
        </is>
      </c>
      <c r="E77" t="inlineStr"/>
      <c r="F77" t="inlineStr"/>
      <c r="G77" t="inlineStr">
        <is>
          <t>Austin, TX</t>
        </is>
      </c>
      <c r="H77" t="inlineStr"/>
      <c r="I77"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Realtor.com is a two\-sided platform helping match the consumers on our site and apps to our paying customers. The Data Science \&amp; Analytics team at Realtor.com provides trusted data and insights to optimize every aspect of consumer/customer experience and to drive the company’s commercial performance.
 Avail (part of Realtor.com) is a fast\-growing platform transforming how independent landlords and tenants manage the rental experience. Built with the spirit of a startup and backed by the scale and stability of a leading digital real estate company, Avail provides a complete suite of tools, resources, and education to help landlords manage their properties with confidence and professionalism. As part of the Avail team, you’ll have the opportunity to make a meaningful impact – shaping the future of this rapidly expanding brand and helping to reimagine the rental industry for millions across the U.S.
**Role Description** 
 We are seeking a Senior Data Scientist with a strong background in machine learning, experimentation, strategic analytics, and cross\-functional stakeholder support to help shape the future of our Data Science program at Avail. As a trusted partner to the Avail leadership team, you will be the vital link between complex data and pivotal business moves, striving to enable and empower data\-driven decision making across the business.
 In this role, you will analyze large and complex data sets, conduct robust analyses, generate actionable insights, and deliver clear recommendations that inform critical decisions across strategy, product, marketing, and operations.
 The ideal candidate is a detail\-oriented data science expert, a self\-starter comfortable with ambiguity, and a team player who excels in cross\-functional collaborations, with the ability to work in a fast\-paced environment and driven by a desire to make things better.
**What you’ll do:** 
* Partner closely with Avail business stakeholders to understand/clarify needs and requirements, and translate them into data science problems.
* If the required data is not available, work with the team to identify the right data sources, and build analytical data layers in collaboration with the data engineering partner.
* Independently conduct end\-to\-end data science work from data collection, ETL, model development/analysis, to the delivery of insights and recommendations.
* Serve as Avail’s Data Science expert and own experimental design and advanced statistical analysis best practices; provide consultation and collaborate closely with colleagues conducting research/experiments in product, marketing and beyond.
* Document methodologies, assumptions, and recommendations clearly for both technical and non\-technical audiences.
* Build and grow adoption of self\-service solutions that empower stakeholders to access data and insights, and hence accelerate data\-driven decision making.
* Work with Avail leadership team on strategic initiatives and planning, providing analytical support on financial modeling, forecast, opportunity sizing, and so on.
* Foster a culture of accountability and transparency by ensuring reproducibility, traceability, and clear code documentation in all analytics work.
**How We Work:** 
 We balance creativity and innovation on a foundation of in\-person collaboration. Our employees work three days in our Austin headquarters where they have the opportunity to collaborate in\-person, adding richness to our culture and knitting us closer together.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**What you’ll bring:** 
* Bachelor’s degree in a quantitative field (
 *e.g.* 
 , Statistics, Data Science, Applied Mathematics, Economics, Engineering, Computer Science).
* 6\+ years of relevant experience as a Data Scientist, Data Analyst, Product Analyst, or similar role, using SQL and Python (pandas, numpy, scipy).
* SQL \&amp; Python proficiency is a must, with 6\+ years of experience.
* Strong capability to work with complex data sets and perform EDA, descriptive, diagnostic, and predictive analyses.
* Sound understanding of statistical methods for experimentation (randomization, t\-tests, confidence intervals, etc.).
* Experience with cloud\-based data environments such as Snowflake and AWS.
* Proven experience using data science to drive revenue and other business KPIs, and doing so in a proactive manner by actively seeking to identify opportunities.
* Excellent written and verbal communication skills, with experience presenting to diverse technical and business audiences at different levels.
* Experience in collaborating with cross\-functional partners.
* Self\-motivated and self\-managing, with strong time management, documentation, and organizational skills.
**Preferred Qualifications** 
* Master's or Ph.D. degree in a quantitative field (
 *e.g.* 
 , Statistics, Data Science, Applied Mathematics, Economics, Engineering, Computer Science).
* Experience creating business intelligence reports using Tableau, Mixpanel, Power BI, or similar tools.
* Familiarity with revenue or monetization analytics.
* Experience in the tech sector, especially marketplace or property tech.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78">
      <c r="A78" t="inlineStr">
        <is>
          <t>li-4369660104</t>
        </is>
      </c>
      <c r="B78" t="inlineStr">
        <is>
          <t>Data Scientist</t>
        </is>
      </c>
      <c r="C78" t="inlineStr">
        <is>
          <t>Hirenza</t>
        </is>
      </c>
      <c r="D78" t="inlineStr">
        <is>
          <t>linkedin</t>
        </is>
      </c>
      <c r="E78" t="inlineStr"/>
      <c r="F78" t="inlineStr"/>
      <c r="G78" t="inlineStr"/>
      <c r="H78" t="inlineStr"/>
      <c r="I78" t="inlineStr">
        <is>
          <t>**About The Company**
 Disney Experiences, a division of Disney Consumer Products, is dedicated to creating magical moments and memorable experiences for families and fans worldwide. Our company is renowned for its innovative approach to entertainment, retail, and hospitality, leveraging the beloved Disney brands and franchises. We operate across multiple channels, including Disney Parks, Disney Store e\-commerce platforms, and various retail partners globally. Our commitment to quality, creativity, and inclusivity drives us to deliver products and experiences that inspire imagination and foster joy in the lives of our guests and consumers. As part of the Disney family, we uphold a culture of excellence, storytelling, and community engagement, ensuring that every interaction with Disney Experiences leaves a lasting impression.
**About The Role**
 At Disney Experiences, we are seeking a highly skilled and innovative Sr. Data Scientist to join our Merchandise Business Insight and Analytics (MBIA) team. This team plays a pivotal role in supporting the full retail lifecycle by providing advanced analytics, insights, and data\-driven solutions that inform strategic decision\-making across our global retail operations. The Sr. Data Scientist will focus on developing sophisticated machine learning models and analytical frameworks to optimize key retail functions such as customer segmentation, assortment planning, promotion effectiveness, and demand forecasting. This role offers an exciting opportunity to work at the intersection of data science and retail strategy, directly impacting revenue growth, guest experience, and operational efficiency across both physical and digital retail channels.
**Qualifications**
 The ideal candidate will possess a minimum of five years of experience as a Data Scientist with a strong background in retail analytics. A deep understanding of statistical modeling, machine learning, and data visualization is essential. Candidates should have proven expertise in developing scalable data pipelines, working with cloud platforms, and translating complex data insights into actionable business strategies. A bachelor’s degree in Mathematics, Economics, Data Science, Computer Science, Operations Research, or a related field is required, with a preference for candidates holding a Master’s or PhD. Strong communication skills, business acumen, and the ability to collaborate effectively with cross\-functional teams are also critical for success in this role.
**Responsibilities**
* Lead end\-to\-end development of advanced models, including regression, classification, clustering, and time series forecasting, to address complex retail challenges such as customer segmentation, promotion optimization, and demand prediction.
* Design and implement scalable data pipelines and model workflows utilizing Python, SQL, and cloud platforms like Google Cloud Platform and Snowflake to support continuous data integration, model retraining, and large\-scale analytics.
* Create dynamic dashboards and self\-service analytics tools using Tableau, Looker, or similar platforms to visualize key business metrics, monitor model performance, and facilitate data\-driven decision\-making across teams.
* Collaborate with business stakeholders—including product, merchandising, marketing, and technology teams—to translate ambiguous business questions into structured analytical problems and deliver actionable insights that influence strategic initiatives.
* Mentor junior data scientists and analysts, promoting best practices in coding, model validation, reproducibility, and responsible AI, including bias mitigation and performance monitoring.
**Benefits**
 Disney Experiences offers a comprehensive rewards package designed to support your personal and professional growth. Our benefits include competitive health insurance plans, retirement savings options, and paid time off. We also provide opportunities for ongoing education and training, employee discounts, and access to exclusive Disney events and experiences. Our commitment to work\-life balance and employee well\-being ensures that our team members can thrive both inside and outside of work, fostering a positive and inclusive environment where creativity and innovation are celebrated.
 Equal Opportunity
 Disney Experiences is an equal opportunity employer. We celebrate diversity and are committed to creating an inclusive environment for all employees. We do not discriminate based on race, ethnicity, gender, age, religion, sexual orientation, gender identity, disability, or any other protected status. We believe that a diverse team fosters creativity, innovation, and better decision\-making, and we are dedicated to providing equal employment opportunities to all qualified candidates.</t>
        </is>
      </c>
    </row>
    <row r="79">
      <c r="A79" t="inlineStr">
        <is>
          <t>li-4360534891</t>
        </is>
      </c>
      <c r="B79" t="inlineStr">
        <is>
          <t>Founding Data Scientist</t>
        </is>
      </c>
      <c r="C79" t="inlineStr">
        <is>
          <t>Brahma Consulting Group</t>
        </is>
      </c>
      <c r="D79" t="inlineStr">
        <is>
          <t>linkedin</t>
        </is>
      </c>
      <c r="E79" t="inlineStr"/>
      <c r="F79" t="inlineStr"/>
      <c r="G79" t="inlineStr"/>
      <c r="H79" t="inlineStr"/>
      <c r="I79" t="inlineStr">
        <is>
          <t>We are looking for a Founding Data Scientist with 4–8 years of experience to define how data shapes decisions across the company. You’ll operate with a high degree of autonomy in an ambiguous, fast\-moving environment—owning everything from data foundations and pipelines to the analyses and recommendations that guide product and business strategy. This is a hands\-on role where you’ll move between SQL, Python, stakeholders, and the whiteboard every day.
 What You’ll Do
* Own the end\-to\-end data lifecycle: ingestion, modeling, analysis, and actionable recommendations.
* Design, build, and maintain core data pipelines and models in close partnership with engineering.
* Analyze product usage, adoption, reliability, and revenue data to surface opportunities and risks.
* Define and track key metrics, and deliver clear, opinionated recommendations with tradeoffs and success criteria.
* Proactively identify insights and shape which experiments to run to drive product and business impact.
* Help establish best practices, tooling, and culture for data within the company as one of the first data hires.
 Required Qualifications
* 4–8 years of experience in data science or closely related analytical roles.
* Experience at either:
* A company with a strong, mature data science organization (e.g., consumer/marketplace/fintech/infra companies), or
* An early\-stage startup where you helped build data foundations from scratch.
* Experience as one of the first data scientists or in a “founding” / greenfield data role.
* Degree in a highly quantitative field (e.g., applied math, physics, statistics, computer science, engineering).
* Strong fluency in SQL and Python.
* Hands\-on experience building and owning production data pipelines and models.
* Proficiency with Pandas and common data science tooling.
* Ability to communicate and influence effectively: opinionated but open, comfortable handling pushback and driving to alignment.
* High agency and bias toward action—able to navigate ambiguity, unblock yourself, and drive measurable impact.
* Willingness and ability to work in\-office 5 days/week in New York or San Francisco.
 Nice to Have
* Experience at high\-growth or top\-tier tech companies (e.g., Lyft, DoorDash, Uber, Stripe) or similarly data\-driven organizations.
* Advanced experimentation experience (A/B testing, causal inference, uplift modeling).
* Familiarity with modern data stack tools (e.g., dbt, Airflow, Looker/Mode/Hex, warehouse technologies).</t>
        </is>
      </c>
    </row>
    <row r="80">
      <c r="A80" t="inlineStr">
        <is>
          <t>li-4359089379</t>
        </is>
      </c>
      <c r="B80" t="inlineStr">
        <is>
          <t>Data Scientist I</t>
        </is>
      </c>
      <c r="C80" t="inlineStr">
        <is>
          <t>Zoro.com</t>
        </is>
      </c>
      <c r="D80" t="inlineStr">
        <is>
          <t>linkedin</t>
        </is>
      </c>
      <c r="E80" t="inlineStr"/>
      <c r="F80" t="inlineStr"/>
      <c r="G80" t="inlineStr">
        <is>
          <t>Chicago, IL</t>
        </is>
      </c>
      <c r="H80" t="inlineStr"/>
      <c r="I80" t="inlineStr">
        <is>
          <t>**Company Summary**
 Zoro.com is a leading eCommerce platform offering nearly 12 million tools, parts and supplies for our business customers. Launched in 2011, we brought a B2C\-like experience to the B2B industry, and continue to be at the forefront of digital innovation at the intersection of technology and distribution. We have rapidly grown to over $1 billion in annual revenue and we’re just getting started!
**Position Description:**
 As a Data Scientist at Zoro, you’ll apply your expertise in machine learning, statistical modeling, and data analysis to solve a variety of business challenges. From forecasting and customer segmentation to improving onsite search and recommendations, our team directly enhances our customers' experiences and informs critical business decisions. At Zoro, every day brings new challenges and opportunities to innovate.
**Duties and Responsibilities:**
* Build, validate, and deploy predictive and inference models using Python to support key business initiatives.
* Review relevant academic research and collaborate with other data scientists to identify and implement suitable algorithms.
* Partner with stakeholders to understand business objectives, gather requirements and design tailored data solutions.
* Write and maintain high\-quality code, including unit and integration tests.
* Debug production issues and update existing processes to meet evolving needs.
* Write clear documentation for transparency and maintainability.
* Communicate findings to business leaders and colleagues using visualizations, presentations, and reports.
**Minimum Qualifications:**
* Bachelor’s degree in a technical field (e.g., Data Science, Computer Science, Mathematics, Statistics, Physics, or Engineering).
* 2\+ years of experience in applied data analytics/data science or a master's degree in a relevant field.
* 2\+ years of experience utilizing Python for data exploration, visualization and predictive modeling.
* Demonstrated proficiency in SQL.
* Strong knowledge of statistical methods, hypothesis testing and regression analysis.
* Experience with deep learning frameworks, NLP and data mining techniques.
* Strong communication skills. Must be able to interact cross\-functionally and engage in both business and technical discussions.
**Preferred Qualifications:**
* Experience using data science in an internet retailer or a top\-tier consumer\-focused company.
* Experience with deep learning frameworks, LLMs, fine\-tuning, and evaluation tasks for LLMs.
* Domain knowledge and experience building models for recommendation or search systems.
* Experience using containerization tools like Docker and Kubernetes in production environments.
* Experience using orchestration tools such as Airflow or Kubeflow for production workloads.
* Experience with cloud\-hosted data platforms (AWS, Google Cloud Platform, etc.)
* Knowledge of web tracking technology and web analytics tools (Google Analytics, Adobe Analytics, etc.).
**Total Rewards**
 Zoro’s total compensation plan includes our Zoro Incentive Plan (ZIP) that is designed to foster and reward our team members for strong performance. Total compensation will be highly competitive.
 In addition to competitive compensation, Zoro offers comprehensive benefits and perks including:
* Medical, dental, vision, and life insurance plans with coverage starting on day one of employment
* Maternity support programs, nursing benefits, and up to 14 weeks paid leave for birth parents and up to 4 weeks paid leave for non\-birth parents. We also support growing your family through access to adoption assistance program
* 6 free sessions each year with a licensed therapist and Wellhub portal membership to support your mental and emotional wellbeing
* At least 18 paid time off days annually for full\-time employees and 6 company holidays per year
* 6% company contribution to a 401K Retirement Savings Plan each pay period, no employee contribution required
* Tuition reimbursement, student loan refinancing and access to financial counseling, education, and tools
* Charitable Gift Program \- match gift to an eligible educational, cultural, community health, and human service organizations
* Employee discounts and admission to various civic and cultural institutions around Chicago
* Zoro office perks including coffee bar, beer on tap, unlimited snacks, access to the onsite gym, and incredible city skyline views
 For additional information and details regarding our benefits and our parent company, W. W. Grainger, please click on the link here.
 The pay range provided is not a guarantee of compensation. The range listed reflects the expected base pay for this position at the time of posting, based on the role's job grade. Actual compensation may vary depending on factors such as location, relevant experience and individual qualifications.
 Illinois
 $70,200—$117,000 USD
**Our Culture**
 Zoro was founded in 2011 with a simple idea: make it easy for businesses to get the tools, parts, and supplies they need to keep things running. We've grown by staying curious, moving quickly, and solving everyday challenges in smart, practical ways. Backed by W.W. Grainger and inspired by our endless assortment business model, we’re on a clear path toward our next big milestone: $2 billion in revenue—and beyond.
 At Zoro, we don’t just follow a playbook—we help build it. You’ll get to work on real problems with a supportive team that shares ideas freely, learns from each other, and celebrates wins together. Our culture is grounded in values that guide how we show up every day:
 **Winning \&amp; Learning Together** 
 ,
 **Being Customer Obsessed** 
 ,
 **Being Transparent** 
 , and
 **Taking Ownership** 
 . We don’t have all the answers, but we’re always asking good questions.
 Zoro’s culture has been recognized by Fortune, Best Places to Work, and Built In Chicago—but the recognition we care about most comes from our team members, who make this place what it is.
 We also know that flexibility matters. Our hybrid work model gives you space to focus and the flexibility to live your life — asking team members to be onsite at least two days a week. Our Chicago HQ (right above Ogilvie Transportation Center in the Accenture Tower) is always open and ready for connection, collaboration, or just a good cup of coffee.
 At Zoro, we’re growing fast toward big aspirations — and we’re continuously excited about the new challenges we get to solve together.
*We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 We are also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t>
        </is>
      </c>
    </row>
    <row r="81">
      <c r="A81" t="inlineStr">
        <is>
          <t>li-4369154877</t>
        </is>
      </c>
      <c r="B81" t="inlineStr">
        <is>
          <t>Data Scientist I</t>
        </is>
      </c>
      <c r="C81" t="inlineStr">
        <is>
          <t>American National</t>
        </is>
      </c>
      <c r="D81" t="inlineStr">
        <is>
          <t>linkedin</t>
        </is>
      </c>
      <c r="E81" t="inlineStr"/>
      <c r="F81" t="inlineStr"/>
      <c r="G81" t="inlineStr">
        <is>
          <t>League City, TX</t>
        </is>
      </c>
      <c r="H81" t="inlineStr"/>
      <c r="I81" t="inlineStr">
        <is>
          <t>We are seeking an entry to mid\-level Data Scientist to join our growing and dynamic team! In this position, you will consult multiple groups within the organization to research problems and offer solutions. You will utilize your analytical, statistical and programming skills to collect, analyze and interpret large datasets. You will develop data\-driven solutions to difficult business challenges. You will research and implement technologies to assist with a diverse array of problems. If you enjoy telling stories, working as a team, and have a passion for intellectual challenges, you are encouraged to apply.
 This position is available in Springfield, MO; Houston, TX; or League City, TX.
**What You'll Do**
* Collaborate across the business to understand business needs.
* Display drive and curiosity to understand business processes and their challenges.
* Understand data sources and process pipelines.
* Network with domain experts to better understand the business mechanics that generated the data.
* Acquire access to various databases, and other source systems such as SQL or graph databases.
* Generate hypotheses about the underlying mechanics of the business process and test hypotheses using various quantitative methods.
* Apply statistical analysis and visualization techniques to various data, such as hierarchical clustering, T\-distributed Stochastic Neighbor Embedding (t\-SNE), principal components analysis (PCA).
* Research and experiment with machine learning and AI technologies.
* Apply various machine learning and advanced analytics techniques to perform classification or prediction tasks.
**Minimum Qualifications**
* Bachelor’s degree in computer science, statistics, applied math or related field.
* Zero to two years of experience as a Data Scientist in a reputed organization
 Our job titles may span more than one career level. The actual base pay is dependent upon many factors, including training, transferable skills, work experience, business needs, and market demands. The base pay is subject to change and may be modified in the future.
 American National offers eligible employees and their families medical, dental, vision, and basic life insurance. Employees are able to enroll in our company’s 401k plan. Employees also receive annually a bank of paid time off and paid holidays. We aspire to see people for what they bring to our corporate culture by supporting an inclusive work environment, including an emphasis on a healthy work\-life balance, development opportunities, and a casual dress code.
 American National is an established, stable, and successful multi\-line insurance corporation that has provided financial strength and a sense of security to employees, customers and business partners since 1905\. With focus on our organization’s values and cultural richness: Financial Strength, Integrity, Respect, Service and Teamwork (FIRST) and Agility, Collaboration, and Engagement (ACE) we continue to pursue our vision to be a leading provider of financial products and services for current and future generations.
 Hiring Practices
 The preceding job posting was designed to indicate the general nature and level of work performed by employees assigned to this position. It is not intended to be interpreted as a comprehensive list of all duties, responsibilities, and qualifications. We are dedicated to building a diverse, inclusive, and authentic workplace, so if you’re excited about this role, but your past experience doesn’t align perfectly with the job qualifications, we still encourage you to apply. You may be just the right candidate for this position or other opportunities at American National.
 American National’s recruitment policies help us place individuals in a timely and efficient manner. Only the most qualified candidates will be contacted by our recruiting team. Candidates may check the status of their application(s) by logging into their account. Learn more about our company, by following us on social media: LinkedIn, Facebook, Instagram
 American National is an equal opportunity employer. All qualified applicants will receive consideration for employment without regard to race, color, religion, sex, disability, age, sexual orientation, gender identity, national origin, veteran status, genetic information or any other legally protected categories. American National is committed to providing access, equal opportunity and reasonable accommodation for individuals with disabilities in employment, its services, programs, and activities.</t>
        </is>
      </c>
    </row>
    <row r="82">
      <c r="A82" t="inlineStr">
        <is>
          <t>li-4369142086</t>
        </is>
      </c>
      <c r="B82" t="inlineStr">
        <is>
          <t>Data Scientist – Retail Decision Science</t>
        </is>
      </c>
      <c r="C82" t="inlineStr">
        <is>
          <t>Calculated Hire</t>
        </is>
      </c>
      <c r="D82" t="inlineStr">
        <is>
          <t>linkedin</t>
        </is>
      </c>
      <c r="E82" t="inlineStr"/>
      <c r="F82" t="inlineStr"/>
      <c r="G82" t="inlineStr">
        <is>
          <t>San Antonio, Texas Metropolitan Area</t>
        </is>
      </c>
      <c r="H82" t="inlineStr"/>
      <c r="I82" t="inlineStr">
        <is>
          <t>**Data Scientist – Retail Decision Science** 
**Location:** 
 San Antonio, TX
**About the Role** 
 We’re partnering with a large\-scale grocery and retail client to hire a Senior Data Scientist focused on predictive analytics, advanced modeling, and real\-world business decision\-making.
 This role goes beyond traditional reporting or historical analysis. You’ll answer forward\-looking questions such as:
* If we change product mix, pricing, or store assortment, how will it impact sales and profitability?
* How do seasonality, promotions, foot traffic, and customer behavior interact—and how can we model that to improve performance?
 The ideal candidate is a Business Decision Scientist who can work through ambiguity, connect complex data sources, and translate insights into clear, actionable recommendations for business leaders.
**What You’ll Do** 
**Analytics, Design \&amp; Development** 
* Build predictive and scenario\-based models to evaluate “what\-if” business decisions across stores, regions, and product categories
* Analyze large, complex datasets including transactional, operational, behavioral, and clickstream data
* Identify hidden drivers of performance by connecting variables that are not always obviously related
* Apply causal reasoning and advanced analytics to move beyond correlation into decision\-quality insight
* Partner cross\-functionally with planning, merchandising, pricing, and operations teams to influence strategy
* Translate technical findings into clear business narratives and actionable recommendations
* Contribute to scalable analytics frameworks and reusable decision\-support methodologies
**What We’re Looking For** 
**Experience \&amp; Background** 
* Bachelor’s degree required; Master’s degree strongly preferred (Data Science, Analytics, Mathematics, Statistics, or similar)
* 5\+ years of experience in data science, decision science, or advanced analytics
* Experience in retail, grocery, CPG, restaurants, or consumer behavior analytics strongly preferred
* Comfortable working in ambiguous environments without a predefined path
**Core Technical Skills** 
* Strong SQL and Python (hands\-on coding expected)
* Experience working across multiple data sources (transactional, behavioral, operational)
* Predictive modeling, forecasting, and scenario analysis
* Exposure to machine learning, AI, or causal modeling techniques
**Advanced Technical Capabilities** 
 Strong candidates will bring depth across several of the following areas (not all required):
* **Programming \&amp; Languages:**
* Hands\-on experience with SQL and Python required; familiarity with R, Scala, Java, and/or C/C\+\+ preferred
* **Big Data \&amp; ML Optimization:**
* Experience optimizing machine learning workloads using large\-scale or distributed systems, including tools and techniques such as GPU optimization, Spark MLlib, Horovod, Cython, JNI, or Numba
* **Machine Learning \&amp; AI Methods:**
* Working knowledge of mainstream ML and AI techniques, which may include manifold learning, distributed clustering, graph networks, hierarchical and Bayesian models, deep learning, computer vision, NLP/NLU, reinforcement learning, meta\-learning, or federated learning
* **Causal Reasoning \&amp; Responsible AI:**
* Ability to consider and apply causal reasoning frameworks, along with human\-centric, explainable, and responsible AI practices when developing models and recommendations
* **Business Translation \&amp; Storytelling:**
* Strong ability to translate complex machine learning outputs into clear, compelling business narratives and decision\-ready recommendations
* **Real\-World Data Problem Solving:**
* Comfortable working with imperfect, incomplete, or ambiguous data to deliver practical, high\-impact solutions
* **Decision\-Oriented AI:**
* Proven ability to apply AI and advanced analytics directly to business decisions, driving measurable outcomes rather than purely academic results
**Business \&amp; Communication** 
* Strong communicator who can translate technical work into business value
* Ability to explain how past experience applies to retail and operational decision\-making
* Comfortable engaging stakeholders without getting overly technical
**What Sets Candidates Apart** 
* Prior experience supporting a
 **retailer, grocer, or CPG company**
* Work involving pricing, promotions, assortment, supply chain, or store analytics
* Demonstrated ability to influence decisions — not just deliver analysis
* Willingness to be on\-site in San Antonio or open to relocation
**Work Environment** 
* Fast\-paced, high\-impact retail environment
* Frequently shifting priorities tied to real business needs
* High visibility role with access to decision\-makers
* Full\-time opportunity; our team is supporting direct hiring manager engagement
*Eight Eleven Group (DBA Calculated Hire)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***ABOUT EIGHT ELEVEN:***
*At Eight Eleven, our business is people. Relationships are at the center of what we do. A successful partnership is only as strong as the relationship built. We’re your trusted partner for IT hiring, recruiting and staffing needs.* 
*For over 16 years, Eight Eleven has established and maintained relationships that are designed to meet your IT staffing needs. Whether it’s contract, contract\-to\-hire, or permanent placement work, we customize our search based upon your company's unique initiatives, culture and technologies. With our national team of recruiters placed at 21 major hubs around the nation, Eight Eleven finds the people best\-suited for your business. When you work with us, we work with you. That’s the Eight Eleven promise.* 
* *Eight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t>
        </is>
      </c>
    </row>
    <row r="83">
      <c r="A83" t="inlineStr">
        <is>
          <t>li-4369132703</t>
        </is>
      </c>
      <c r="B83" t="inlineStr">
        <is>
          <t>Senior Applied Scientist - Pricing</t>
        </is>
      </c>
      <c r="C83" t="inlineStr">
        <is>
          <t>CHEManager International</t>
        </is>
      </c>
      <c r="D83" t="inlineStr">
        <is>
          <t>linkedin</t>
        </is>
      </c>
      <c r="E83" t="inlineStr"/>
      <c r="F83" t="inlineStr"/>
      <c r="G83" t="inlineStr"/>
      <c r="H83" t="inlineStr"/>
      <c r="I83"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Data Science is an integral component of Coinbase's product and decision making process: we work in partnership with Product, Engineering and Design to influence the roadmap and better understand our users. With a deep expertise in experimentation, analytics and advanced modeling, we produce insights which directly move the company's bottom line.
 Specifically, we're looking for a Senior Applied Scientist to join our Retail Trading Team. In this role, you'll take charge of pricing experimentation and play a pivotal role in determining our pricing strategy: you'll spearhead testing design and analysis, find opportunities to improve engagement and our bottom line, and communicate your ideas to execs and leaders across the company.
**What You'll Be Doing (ie. Job Duties)**
* Act as a strategic partner and collaborate with cross\-functional stakeholders to develop pricing vision, roadmap and priorities
* Design and develop pricing models and their evaluation framework to determine optimal pricing strategy
* Develop causal models to help isolate the impact of fee changes using experiments and observational data
* Initiate, develop, and maintain data pipelines and data models with outstanding craftsmanship
* Synthesize findings, and recommendations in a clear and concise manner and communicate to senior leadership
**What We Look For In You (ie. Job Requirements)**
* Demonstration of our core cultural values: clear communication, positive energy, continuous learning, and efficient execution.
* PhD preferred, or a Master's degree in a field such as Economics or Statistics with 5\+ years of relevant experience.
* Minimum 5 years of experience in pricing experimentation, data analysis and statistical modeling
* Strong proficiency in SQL, Python, R, or other programming languages used for data analysis and statistical modeling
* Ability to independently create plans for analytics projects and a track record of overseeing large / complex analytical projects spanning multiple teams
* Excellent communication and presentation skills with the ability to explain complex data and analysis to non\-technical stakeholders.
* Strong attention to detail and ability to work under tight deadlines
**Nice To Haves**
* Experience applying causal inference techniques outside of controlled experiments
* Experience working at or on a Crypto\-focused company or at a crypto exchange
 Disclaimer: Applying for a specific role does not guarantee consideration for that exact position. Leveling and team matching are assessed throughout the interview process.
 ID: P75771
**Pay Transparency Notice** 
 :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$180,370\-$212,200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84">
      <c r="A84" t="inlineStr">
        <is>
          <t>li-4359826189</t>
        </is>
      </c>
      <c r="B84" t="inlineStr">
        <is>
          <t>Data Scientist (Senior Scientist, Data Science)</t>
        </is>
      </c>
      <c r="C84" t="inlineStr">
        <is>
          <t>LGC</t>
        </is>
      </c>
      <c r="D84" t="inlineStr">
        <is>
          <t>linkedin</t>
        </is>
      </c>
      <c r="E84" t="inlineStr"/>
      <c r="F84" t="inlineStr"/>
      <c r="G84" t="inlineStr">
        <is>
          <t>Alexandria, MN</t>
        </is>
      </c>
      <c r="H84" t="inlineStr"/>
      <c r="I84" t="inlineStr">
        <is>
          <t>With manufacturing sites across the US, UK, Germany and Denmark, LGC Biosearch Technologies has plans to continue growing. We deliver mission critical genomics to our diverse customer base in molecular diagnostics, pharma/biotech and agrigenomics. Our integrated portfolio of products, services and expertise supports our purpose of Science for a Safer World and we have embodied our mission by working with customers to enable research into life\-altering treatment for disease and illness worldwide. We are currently seeking candidates who are up for the challenge of operating in a high\-growth, purpose\-driven organisation.
**Job Description**
 Position Summary
 We seek a dynamic and experienced Data Scientist to play an integral role in developing and enhancing LGC's data science product portfolio. As a pivotal member of our innovative R\&amp;D team, you will collaborate closely with multiple divisions within LGC, leveraging your data science expertise to deliver impactful insights and advanced solutions. The ideal candidate will possess experience across various data mining techniques, analytical methodologies, statistics and modern data modeling tools. Skilled in designing, building, and deploying models on\-premises and in the cloud, creating novel algorithms, programming, optimizing processes, and conducting comprehensive simulations. You should be enthusiastic about extracting meaningful patterns from large\-scale datasets, creating predictive and analytical models, and proactively managing data infrastructure to ensure accuracy, accessibility, and efficiency.
 If you're passionate about uncovering insights from data and contributing significantly to data\-driven innovation, we encourage you to join our team.
 Job Responsibilities
 To perform this job effectively, an individual must be able to perform the following essential functions satisfactorily:
* Work with multiple partners throughout the organization to identify valuable data sources and automate collection processes
* Undertake pre\-processing, curating, and model building of the structured and unstructured data
* Analyze large datasets and experiments to discover trends and patterns with statistics
* Help identify and define new product ideas based on the outcomes from the predictive models and machine\-learning algorithms
* Present analytical results using data visualization techniques
* Propose data science solutions and strategies for R\&amp;D and business challenges
* Taking ideas from theory into deployment
* Learn, follow, and deliver high\-quality product development documentation consistent with LGC’s quality systems
 Qualifications
**Qualifications**
**Minimum Qualifications:**
* Ph.D or M.S or equivalent experience with at least 3 years of industry/academic experience in data science, statistics, mathematics, computer science, physics, computational biology, operations research, or a related field
* Ability to break down and understand complex business/scientific challenges, define solutions, and implement them using advanced quantitative methods
* Proficiency in high\-level scripting languages (Python, Java)
* Experience with statistical data analysis and visualization tools (R, matplotlib, or similar)
* Experience with LINUX\-based operating systems and shell scripting
* Expertise in supervised and unsupervised learning methods
* Knowledge and experience in statistical and data mining techniques: Linear Mixed model, Clustering, GLM/Regression, Random Forest, Boosting, Trees, text mining, network analysis, etc.
* Ability to analyze algorithms
* Knowledge of software development principles and architecture
* Basic computer skills, including working knowledge of Microsoft Office suite of products, particularly Word, Excel, PowerPoint, and Visio
**Preferred Qualifications:**
* Understanding of deep learning and LLM algorithms
* Knowledge of Frequentist and Bayesian statistics, and neural networks
* Experience in Cloud technologies such as AWS, Azure, or GCP
* Knowledge of any relational database such as My SQL
 Proficiencies \&amp; Behaviors
* Analytical and strategic thinker
* Aptitude for complex problem\-solving and continuous improvement, with the willingness to work in a rapidly growing matrix organization
* Ability to work well in a team environment, possess an ability to adapt to change in the environment and have a proven track record of exerting influence in a directive and positive manner
* Demonstrated autonomy: the ability to self\-start and drive whilst recognizing the appropriate time for collaborator engagement
* Committed to achieving goals, ensuring targets are met within specified timelines and budgets
 The typical pay range for this role is:
 Minimum: $90,000/Annually
 Maximum: $130,000/Annually
 Bonus eligible
**Additional Information**
**ABOUT LGC:**
 LGC is a leading, global life science tools company, providing mission\-critical components and solutions into high\-growth application areas across the human healthcare and applied market segments. Its high\-quality product portfolio is comprised of mission\-critical tools for genomic analysis and for quality assurance applications, which are typically embedded and recurring within our customers’ products and workflows and are valued for their performance, quality, and range.
**OUR VALUES**
* **PASSION**
* **CURIOSITY**
* **INTEGRITY**
* **BRILLIANCE**
* **RESPECT**
**EQUAL OPPORTUNITIES**
 LGC strongly believes that every job applicant and employee should be valued for their individual talents regardless of age, disability, race, color, ethnic or national origin, sex, sexual orientation, gender reassignment, marital or civil partnership, pregnancy or maternity, religion, or belief. Short listing, interviewing and selection will always be carried out without regard to gender, sexual orientation, marital status, color, race, nationality, ethnic or national origins, religion or belief, age, or trade union membership.
 For more information about LGC, please visit our website www.lgcgroup.com
**\#scienceforasaferworld**</t>
        </is>
      </c>
    </row>
    <row r="85">
      <c r="A85" t="inlineStr">
        <is>
          <t>li-4369154878</t>
        </is>
      </c>
      <c r="B85" t="inlineStr">
        <is>
          <t>Data Scientist I</t>
        </is>
      </c>
      <c r="C85" t="inlineStr">
        <is>
          <t>American National</t>
        </is>
      </c>
      <c r="D85" t="inlineStr">
        <is>
          <t>linkedin</t>
        </is>
      </c>
      <c r="E85" t="inlineStr"/>
      <c r="F85" t="inlineStr"/>
      <c r="G85" t="inlineStr">
        <is>
          <t>Springfield, MO</t>
        </is>
      </c>
      <c r="H85" t="inlineStr"/>
      <c r="I85" t="inlineStr">
        <is>
          <t>We are seeking an entry to mid\-level Data Scientist to join our growing and dynamic team! In this position, you will consult multiple groups within the organization to research problems and offer solutions. You will utilize your analytical, statistical and programming skills to collect, analyze and interpret large datasets. You will develop data\-driven solutions to difficult business challenges. You will research and implement technologies to assist with a diverse array of problems. If you enjoy telling stories, working as a team, and have a passion for intellectual challenges, you are encouraged to apply.
 This position is available in Springfield, MO; Houston, TX; or League City, TX.
**What You'll Do**
* Collaborate across the business to understand business needs.
* Display drive and curiosity to understand business processes and their challenges.
* Understand data sources and process pipelines.
* Network with domain experts to better understand the business mechanics that generated the data.
* Acquire access to various databases, and other source systems such as SQL or graph databases.
* Generate hypotheses about the underlying mechanics of the business process and test hypotheses using various quantitative methods.
* Apply statistical analysis and visualization techniques to various data, such as hierarchical clustering, T\-distributed Stochastic Neighbor Embedding (t\-SNE), principal components analysis (PCA).
* Research and experiment with machine learning and AI technologies.
* Apply various machine learning and advanced analytics techniques to perform classification or prediction tasks.
**Minimum Qualifications**
* Bachelor’s degree in computer science, statistics, applied math or related field.
* Zero to two years of experience as a Data Scientist in a reputed organization
 Our job titles may span more than one career level. The actual base pay is dependent upon many factors, including training, transferable skills, work experience, business needs, and market demands. The base pay is subject to change and may be modified in the future.
 American National offers eligible employees and their families medical, dental, vision, and basic life insurance. Employees are able to enroll in our company’s 401k plan. Employees also receive annually a bank of paid time off and paid holidays. We aspire to see people for what they bring to our corporate culture by supporting an inclusive work environment, including an emphasis on a healthy work\-life balance, development opportunities, and a casual dress code.
 American National is an established, stable, and successful multi\-line insurance corporation that has provided financial strength and a sense of security to employees, customers and business partners since 1905\. With focus on our organization’s values and cultural richness: Financial Strength, Integrity, Respect, Service and Teamwork (FIRST) and Agility, Collaboration, and Engagement (ACE) we continue to pursue our vision to be a leading provider of financial products and services for current and future generations.
 Hiring Practices
 The preceding job posting was designed to indicate the general nature and level of work performed by employees assigned to this position. It is not intended to be interpreted as a comprehensive list of all duties, responsibilities, and qualifications. We are dedicated to building a diverse, inclusive, and authentic workplace, so if you’re excited about this role, but your past experience doesn’t align perfectly with the job qualifications, we still encourage you to apply. You may be just the right candidate for this position or other opportunities at American National.
 American National’s recruitment policies help us place individuals in a timely and efficient manner. Only the most qualified candidates will be contacted by our recruiting team. Candidates may check the status of their application(s) by logging into their account. Learn more about our company, by following us on social media: LinkedIn, Facebook, Instagram
 American National is an equal opportunity employer. All qualified applicants will receive consideration for employment without regard to race, color, religion, sex, disability, age, sexual orientation, gender identity, national origin, veteran status, genetic information or any other legally protected categories. American National is committed to providing access, equal opportunity and reasonable accommodation for individuals with disabilities in employment, its services, programs, and activities.</t>
        </is>
      </c>
    </row>
    <row r="86">
      <c r="A86" t="inlineStr">
        <is>
          <t>li-4369648910</t>
        </is>
      </c>
      <c r="B86" t="inlineStr">
        <is>
          <t>Data Scientist</t>
        </is>
      </c>
      <c r="C86" t="inlineStr">
        <is>
          <t>People, Technology &amp; Processes, LLC</t>
        </is>
      </c>
      <c r="D86" t="inlineStr">
        <is>
          <t>linkedin</t>
        </is>
      </c>
      <c r="E86" t="inlineStr"/>
      <c r="F86" t="inlineStr"/>
      <c r="G86" t="inlineStr">
        <is>
          <t>Arlington, VA</t>
        </is>
      </c>
      <c r="H86" t="inlineStr"/>
      <c r="I86" t="inlineStr">
        <is>
          <t>**Description**
**Position Title** 
 : Data Scientist
**Location** 
 : Arlington, VA (Remote)
**Clearance Level** 
 : Secret
**Responsibilities Will Include, But Are Not Limited To**
* Serve as a primary facilitator for preparation, execution and follow up for all Planning, Programming, and Budgeting Committee – Guard (PPBC\-G) forums (General Officer / Strategic Level forums), to include Resourcing Council of Colonels (RCoC), Resource Integration Steering Committee (RISC). Coordinates across Army National Guard Bureau staffs to develop topics, products, and presentations for submission to the PPBC\-G process.
* Support the design, development, and execution of all data analytic efforts led by the GS\-13 Data Scientist as directed by the DAG\-R Division Chief/Deputy Division Chief in support of the Chief Financial Officer’s analytic agenda.
* Provide expertise on ARNG Roles, Missions, Authorities and Army strategic guidance and key planning efforts such as The Army Plan (TAP), Total Army Analysis (TAA), the Army Equipment Modernization Strategy (AEMS), and the Long\-Range Investment Requirements Analysis (LIRA).
* Develop and enhance websites, applications, and secure access to databases based upon requirements for analytic efforts as approved by the COR. Customers include the CFO, ARNG G\-8, DAG\-R, ARNG Directorate Office of Primary Responsibility (OPR) for program portfolio’s, and National\-level Program Managers (NPMs).
**Qualifications**
**Required qualifications**
* Bachelor’s Degree in related field of study or equivalent experience.
* Minimum of four years of experience, two within the DoD working with big\-data systems and developing production\-level data models .
* Possess skills and expertise in machine learning tools to select features, create, and optimize classifiers.
* Possess demonstrable collegiate\-level writing skills, demonstrated familiarity with the U.S. Army organization and regulations, and strong organization and communication skills.
* Demonstrate practical experience substantiating equivalent skills such as Structured Query Language, Microsoft Excel, R or Python statistical programming, Data Visualization, and Presentation Skills.
* Prior knowledge of Power BI, Tableau, and Advana data science is preferred</t>
        </is>
      </c>
    </row>
    <row r="87">
      <c r="A87" t="inlineStr">
        <is>
          <t>li-4369624961</t>
        </is>
      </c>
      <c r="B87" t="inlineStr">
        <is>
          <t>Data Scientist II</t>
        </is>
      </c>
      <c r="C87" t="inlineStr">
        <is>
          <t>TalentAlly</t>
        </is>
      </c>
      <c r="D87" t="inlineStr">
        <is>
          <t>linkedin</t>
        </is>
      </c>
      <c r="E87" t="inlineStr"/>
      <c r="F87" t="inlineStr"/>
      <c r="G87" t="inlineStr"/>
      <c r="H87" t="inlineStr"/>
      <c r="I87" t="inlineStr">
        <is>
          <t>Do you have a passion for innovation? Are you excited to leverage cutting edge technology to solve big business problems? If your response to those questions is "yes", we would love for you to join us! At OrangePeople we consult for some of the most prestigious brands in the world. But more importantly, our consultants have a voice in the vision and future of the company. At OrangePeople, our focus is people. It's right there in our name.
**Required:** 
* Relevant experience must be in two or more of the following: designing/implementing machine learning, data mining, advanced analytical algorithms, programming, data science, advanced statistical analysis, artificial intelligence, or software engineering.
* An ideal candidate for the Lead Machine Learning Scientist role should have practical experience, a love of experimentation, and a passion for the problem we're trying to solve.
* In this position, you will play a central role in developing novel ways to leverage machine learning and statistical analyses.
* You'll use a mixture of supervised and unsupervised techniques to generate and test hypotheses and turning your results into actionable, impactful insights.
* You will be exposed to and incorporate a variety of statistical and machine learning techniques such as logistic regression, experimental design, generalized linear models, mixed modeling, CHAID/decision trees, neural networks and ensemble models.
* Knowledge of statistical concepts such as regression, time series, mixed model, Bayesian, clustering, etc., to analyze data and provide insights.
* Conduct statistical analysis and build time series models using linear regression, ARIMA, DLM, VAR, and VECM.
* Responsible for creating and implementing AI, machine learning and deep learning algorithms to solve business problems.
* Design project specific custom model architectures, preprocessing and post processing pipelines and training and evaluation procedures.
* Deploy machine learning and deep learning models from prototype stage to production ready, highly scalable applications capable of real\-time and batch inference.
* Develop models to derive information from text using natural language processing like parts of speech, named entity recognition, constituency parsing, and dependency parsing.
* Automatically summarize text, classify text, extract sentiment and infer latent topics from text data to predict company performance.
* Research, prototype, and develop core machine learning and statistical analyses for commercial strategy data including revenue and capacity data.
* Mix supervised and unsupervised methods to train classifiers.
* Leverage cloud\-based technologies to collate and pre\-process model input data.
* Work closely with our team to validate and improve experiment results.
**Required:** 
* You're adaptable, driven, and have at least a BS in Computer Science, Statistics, Mathematics, Applied Mathematics, or a related field.
* You're a leader: you can accomplish things on your own, but you also bring out the best in people around you.
* You have 3\+ years of experience in architecting, implementing, and evaluating machine learning and/or image processing approaches for unique datasets.
* You're proficient in Python and common machine learning frameworks
* You're familiar with cloud computing technologies and conducting experiments on cloud\-based datasets (e.g. Amazon EC2, Amazon S3, Docker, Snowflake).
* You have strong written and verbal communication skills to share findings with the rest of the team.
**Pluses:** 
* MS/Ph.D. in a relevant field.
* Demonstrable experience as a primary developer for production ML solutions.
* Proficiency in machine learning and statistics theory, as well as knowledge of recent advances in deep learning.
**Additional Responsibilities:** 
* Participate in OrangePeople monthly team meetings, and participate in team building efforts.
* Contribute to OrangePeople technical discussions, peer reviews, etc.
* Contribute content and collaborate via the OP\-Wiki/Knowledge Base.
* Provide status reports to OP Account Management as requested
**About us:** 
 Orange People is an Enterprise Architecture and Project Management solutions company. Our most valuable asset is our people: dynamic, creative thinkers who are passionate about doing quality work. As a member of the Orange People team you will have access to industry\-leading consulting practices, strategies \&amp; technologies, innovative training \&amp; education. An ideal Orange Person is a technology leader with a proven track record of technical achievements and strong process/methodology orientation.
 PDN\-a0fe87fc\-a330\-499c\-8c49\-5c1bb2971df0</t>
        </is>
      </c>
    </row>
    <row r="88">
      <c r="A88" t="inlineStr">
        <is>
          <t>li-4369118649</t>
        </is>
      </c>
      <c r="B88" t="inlineStr">
        <is>
          <t>Data Scientist (NLP and GenAI Specialist)</t>
        </is>
      </c>
      <c r="C88" t="inlineStr">
        <is>
          <t>Morgan Stanley</t>
        </is>
      </c>
      <c r="D88" t="inlineStr">
        <is>
          <t>linkedin</t>
        </is>
      </c>
      <c r="E88" t="inlineStr"/>
      <c r="F88" t="inlineStr"/>
      <c r="G88" t="inlineStr">
        <is>
          <t>Coppell, TX</t>
        </is>
      </c>
      <c r="H88" t="inlineStr"/>
      <c r="I88" t="inlineStr">
        <is>
          <t>We're seeking someone to join our team as a Data Scientist (NLP Specialist) in Non\-Financial Risk to develop and deploy advanced AI models using NLP, Machine Learning, and quantitative techniques to improve surveillance and compliance monitoring.
 In the Legal \&amp; Compliance division, we assist the Firm in achieving its business objectives by facilitating and overseeing the Firm's management of legal, regulatory, and franchise risk. This is a director level position within the NFR Data \&amp; Analytics team, which is responsible for designing and optimizing surveillance models and tools using advanced analytical techniques to help identify suspicious and/or illegal behaviors like money laundering, market manipulation, insider trading, unfair sales or trading practices and other financial crimes.
 Since 1935, Morgan Stanley is known as a global leader in financial services, always evolving and innovating to better serve our clients and our communities in more than 40 countries around the world.
**What You'll Do In The Role**
 \&gt; Design high\-performance systems leveraging cutting\-edge techniques including Large Language Models (LLMs), Retrieval Augmented Generation (RAG), Agentic AI architecture, and knowledge graph analytics.
 \&gt; Create GenAI\-based solutions to automate manual tasks and drive cost efficiency.
 \&gt; Conduct research to identify novel methods for enhancing analytical solutions.
 \&gt; Collaborate with stakeholders across Compliance, Legal, Financial Crimes, and IT to promote adoption of new AI/ML/NLP capabilities.
 \&gt; Champion innovative approaches to improve detection of suspicious activity.
**What you'll bring to the role:?**
 \&gt; Master's or PhD degree in Computer Science, Machine Learning, Intelligent Systems, Statistics, Mathematics, Engineering or other highly quantitative fields
 \&gt; 5\+ years of hands\-on industry experience in building AI/ML/NLP solutions and applied statistical analysis to solve complex business problems
 \&gt; Knowledge of software design and system principles and excellent skills in either Python (preferred) or Java
 \&gt; Experience with AI/ML/NLP software packages such as LangChain, LangGraph, Semantic Kernel, CrewAI, OpenAI SDK, PyTorch, HuggingFace, etc.
 \&gt; Experience in adhering to Software Development Life Cycle (SDLC) principles include GIT related operations
 \&gt; Strong problem solving and time management skills
 \&gt; Excellent written and oral communication skills
 \&gt; Familiarity with financial markets, especially in Compliance, Non\-Financial Risk, and Fraud analytics
 \&gt; Experience with benchmark creation and evaluation including LLM\-as\-a\-Judge based techniques
 \&gt; Knowledge of Vector Stores, Linux, SPARQL, and Graph Databases
 Typically, 8\+ years' relevant experience would generally be expected to find the skills required for this role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89">
      <c r="A89" t="inlineStr">
        <is>
          <t>li-4369155646</t>
        </is>
      </c>
      <c r="B89" t="inlineStr">
        <is>
          <t>Senior Data Scientist</t>
        </is>
      </c>
      <c r="C89" t="inlineStr">
        <is>
          <t>Software Guidance &amp; Assistance, Inc. (SGA, Inc.)</t>
        </is>
      </c>
      <c r="D89" t="inlineStr">
        <is>
          <t>linkedin</t>
        </is>
      </c>
      <c r="E89" t="inlineStr"/>
      <c r="F89" t="inlineStr"/>
      <c r="G89" t="inlineStr">
        <is>
          <t>Rockville, MD</t>
        </is>
      </c>
      <c r="H89" t="inlineStr"/>
      <c r="I89" t="inlineStr">
        <is>
          <t>Software Guidance \&amp; Assistance, Inc., (SGA), is searching for a
 **Senior Data Scientist** 
 for a
 **Contract** 
 assignment with one of our premier
 **Regulatory** 
 clients in
 **Rockville, MD or Tysons, VA.
 This role is hybrid (3 days/week Onsite in either Rockville or Tysons office)**
 The Surveillance Data Science team is looking for Python\-heavy, cloud\-savvy, data scientists to support and expand surveillance initiatives. Candidates will work with big data in AWS, develop prototypes, and create interactive dashboards (Plotly preferred). Strong communication skills are critical, candidates must be able to explain technical work to both business and technical audiences clearly and professionally. The role balances 80% assigned work with 20% R\&amp;D/innovation, including Graph\-based algorithms and generative AI, with an emphasis on practical, production\-ready solutions.
**Responsibilities** 
 :
* Develop prototypes and models to support surveillance workflows; work closely with engineering teams to hand off artifacts.
* Build interactive dashboards and visualizations to communicate insights; Plotly Dash preferred.
* Apply statistical methods, signal processing, anomaly detection, and time\-series analysis to extract actionable insights.
* Explore and implement GenAI and Graph\-based algorithms to expand surveillance capabilities.
* Collaborate with stakeholders and business users weekly; strong, polished communication is a must.
* Operate independently, efficiently, and flexibly; adapt to multiple priorities and fast\-paced workflows.
* Mentor or guide junior team members as needed; contribute to the growth of the data science practice.
**Requirements:**
* Python: Expert\-level; extensive open\-source experience; non\-negotiable.
* Cloud / Big Data: AWS experience essential; capable of handling large datasets and working with engineering teams.
* Visualization: Plotly/Plotly Dash preferred; experience building dashboards for technical and business users.
* GenAI / Graph Analytics: Exposure to generative AI, graph\-based algorithms, and agentic workflows; interest in R\&amp;D.
* Analytical / Statistical Rigor: Signal processing, anomaly detection, and time\-series analysis; strong problem\-solving.
* Communication: Must be able to clearly articulate work, influence stakeholders, and collaborate across teams.
* Education: Bachelor's required; Master's or PhD preferred.
**Preferred** 
**Skills** 
 :
* Generative AI: Experience with large language models (LLMs), prompt engineering, and GenAI applications
* Experience with graph databases and graph analytics
* Knowledge of network analysis and graph\-based algorithms
* Experience in financial services or regulated industries
* Familiarity with MLOps and model monitoring best practices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90">
      <c r="A90" t="inlineStr">
        <is>
          <t>li-4362843333</t>
        </is>
      </c>
      <c r="B90" t="inlineStr">
        <is>
          <t>Data Scientist-GenAI &amp; Modeling-Vice President</t>
        </is>
      </c>
      <c r="C90" t="inlineStr">
        <is>
          <t>JPMorganChase</t>
        </is>
      </c>
      <c r="D90" t="inlineStr">
        <is>
          <t>linkedin</t>
        </is>
      </c>
      <c r="E90" t="inlineStr"/>
      <c r="F90" t="inlineStr"/>
      <c r="G90" t="inlineStr">
        <is>
          <t>New York, NY</t>
        </is>
      </c>
      <c r="H90" t="inlineStr"/>
      <c r="I90" t="inlineStr">
        <is>
          <t>**Job Description**
 Drive the future of data\-driven decision making—join us to transform raw information into actionable insights that power our understanding of the economy and fuel business innovation.
 The Center for Economic Intelligence (CEI) is a new organization that monitors, coordinates and develops a holistic internal \&amp; external view of the financial well\-being of consumers and businesses through the lens of JPMC and third\-party data. As the nation’s largest bank, we are uniquely positioned to inform public perspective on the direction of the economy. During a time of unprecedented macroeconomic uncertainty, identifying emerging trends and economic relationships is of heightened importance.
 As a Data Scientist in the Center for Economic Intelligence team, you will help drive the end\-to\-end data science strategy and execution from data curation, analytics and modeling in collaboration with economic domain experts. You will use the latest LMM models to power code development, statistical analysis, visualization and narrative development of macroeconomic and financial data while using proprietary JPMC tools along with capabilities enabled through the leading data platforms (e.g., Snowflake, Databricks, AWS, etc.).
**Job Responsibilities**
* Plan and lead complex analytics projects from inception to delivery in partnership with other data scientists, economists, product owners, and strategists on the team
* Work with large, complex, and often unstructured datasets, transforming them into formats that enable meaningful analysis
* Design and implement statistical, machine learning, and generative AI–driven solutions to uncover patterns, test hypotheses, and generate forecasts
* Recognize and communicate meaningful trends/patterns in data as it relates to consumer and business health using solid data support
* Collaborate and explore emerging trends in income, spend, savings and credit with other economists, econometricians and data scientists
* Utilize advanced analytical and econometric techniques to uncover detailed explanations of broader economic trends
* Identify and validate data sources and quality
* Contribute to the critical thinking and thrive in a fast\-paced, competitive environment that prides itself on attention to detail and results
* Develop and present insights clearly through reports, visualizations, and presentations tailored to both technical and non\-technical senior executive audiences
* Champion the use of LLM and GenAI through all aspects of the role to drive efficiency, innovation and accelerate our strategic vision
**Required Qualifications, Capabilities And Skills**
* Master’s degree in a quantitative discipline with 5\+ years of relevant professional experience, or a PhD in a related field and 3\+ years relevant experience
* Experience working with large, complex, and often unstructured datasets in applied research or real\-world business contexts
* Strong programming skills in Python, SQL, Spark, and/or R. AWS, Snowflake, and/or databricks knowledge desirable
* Deep knowledge of statistics and data mining
* Expertise leveraging econometric modeling tools and techniques is highly desired
* Ability to design and deliver analytical solutions with clear commercial impact, from methodology selection through implementation, validation, monitoring and refinement
* Exceptional communication abilities and capable of translating complex quantitative findings for both technical and non\-technical executive audiences
* Organizational skills and adaptability, with the ability to manage multiple projects in a fast\-paced environment and work independently while engaging colleagues and managers for alignment and feedback
**Preferred Qualifications, Capabilities, And Skills**
* Experience in economics or the financial services industry
 This role is not eligible for visa sponsorship or relocation assistance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91">
      <c r="A91" t="inlineStr">
        <is>
          <t>li-4369134682</t>
        </is>
      </c>
      <c r="B91" t="inlineStr">
        <is>
          <t>Staff Applied Scientist - Causal Inference</t>
        </is>
      </c>
      <c r="C91" t="inlineStr">
        <is>
          <t>CHEManager International</t>
        </is>
      </c>
      <c r="D91" t="inlineStr">
        <is>
          <t>linkedin</t>
        </is>
      </c>
      <c r="E91" t="inlineStr"/>
      <c r="F91" t="inlineStr"/>
      <c r="G91" t="inlineStr"/>
      <c r="H91" t="inlineStr"/>
      <c r="I91"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As an Applied Scientist sitting within our Data Science organization, you will be responsible for building cutting edge models to navigate critical tradeoffs to drive business value.
**What You'll Be Doing (ie. Job Duties)**
* Develop and deploy robust causal inference models to quantify the holistic business impact of new product launches (e.g. PSM, Double ML)
* Act as a leader to establish standards for measurement for new product and feature launches
* Provide technical mentorship for other members of the data science organization
* Act as a thought partner for senior leadership to help guide our product development process
**What We Look For In You**
* PhD or Master's degree in a quantitative field such as Economics, Statistics with 8\+ years of distinguished industry experience
* Strong proficiency in SQL, Python, R, or other programming languages used for data analysis and statistical modeling
* Deep theoretical and applied expertise in a wide range of quasi\-experimental methods
* A track record of influencing business and product strategy through data\-driven, causal insights, and a proven ability to translate complex technical concepts to non\-technical stakeholders.
* Demonstration of our core cultural values: clear communication, positive energy, continuous learning, and efficient execution.
**Nice To Haves**
* Experience in the fintech or crypto industries.
* Specific experience working pricing models, marketing attribution, or customer LTV modeling.
* Familiarity with the unique opportunities and challenges of crypto businesses and blockchain data.
 Disclaimer: Applying for a specific role does not guarantee consideration for that exact position. Leveling and team matching are assessed throughout the interview process.
 PID: P55383
**Pay Transparency Notice** 
 :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$207,485\-$244,100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92">
      <c r="A92" t="inlineStr">
        <is>
          <t>li-4369135721</t>
        </is>
      </c>
      <c r="B92" t="inlineStr">
        <is>
          <t>AWS SageMaker Data Scientist</t>
        </is>
      </c>
      <c r="C92" t="inlineStr">
        <is>
          <t>Capgemini</t>
        </is>
      </c>
      <c r="D92" t="inlineStr">
        <is>
          <t>linkedin</t>
        </is>
      </c>
      <c r="E92" t="inlineStr"/>
      <c r="F92" t="inlineStr"/>
      <c r="G92" t="inlineStr">
        <is>
          <t>Charlotte, NC</t>
        </is>
      </c>
      <c r="H92" t="inlineStr"/>
      <c r="I92" t="inlineStr">
        <is>
          <t>**Position Title : AWS SageMaker Data Scientist** 
**Location : Charlotte, NC (Onsite/Hybrid)** 
**Experience : 8\+ Years** 
**Employee Type : Full Time with Benefits** 
**Job Description**
 We are seeking a highly skilled AWS SageMaker Data Scientist with deep expertise in building, deploying, and optimizing machine learning solutions on AWS. The ideal candidate will have strong experience with modern ML architectures (including transformers), end\-to\-end pipeline development, and ML Ops best practices across the AWS ecosystem. This role requires a hands\-on technologist who can collaborate with cross\-functional teams to translate business needs into scalable AI/ML solutions.
**Must Have skills:**
* **8\+ years** 
 of hands\-on experience in data science, machine learning, or applied AI.
* Strong expertise in
 **transformer models** 
 , ML architectures, and algorithm development.
* Proven experience with
 **Amazon SageMaker, AWS Bedrock, and MLflow** 
 .
* Advanced programming skills in
 **Python or R** 
 .
* Experience with AWS analytical and data services including
 **Athena, Redshift, EMR, Glue, and Lambda** 
 .
**Key Responsibilities:**
* Design and implement end\-to\-end machine learning (ML) pipelines using services such as
 **Amazon SageMaker, AWS Glue, AWS Lambda, and Amazon S3** 
 .
* Perform data collection, cleaning, and feature engineering to prepare datasets for modeling.
* Develop predictive models and statistical analyses using
 **Python, R, or similar tools** 
 .
* Deploy, monitor, and optimize
 **ML models** 
 in production environments using AWS ML Ops best practices.
* Collaborate with data engineers to design
 **ETL pipelines** 
 and ensure data availability and reliability.
* Utilize
 **AWS analytics services** 
 (Athena, Redshift, QuickSight, EMR) for advanced reporting and visualization.
* Work with stakeholders to translate business objectives into data science solutions and actionable insights.
* Apply
 **AI/ML algorithms** 
 for use cases such as forecasting, anomaly detection,
 **NLP, computer vision** 
 , and recommendation systems.
* Maintain compliance with security and governance standards for data management on AWS.
 If your Interested, Kindly, share us your resume on
 ***abuzar.umar@capgemini.com***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**Salary Transparency**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$95,320 to $110,458 /yearly.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t>
        </is>
      </c>
    </row>
    <row r="93">
      <c r="A93" t="inlineStr">
        <is>
          <t>li-4361032731</t>
        </is>
      </c>
      <c r="B93" t="inlineStr">
        <is>
          <t>Senior Data Scientist, Data &amp; Member Behavior</t>
        </is>
      </c>
      <c r="C93" t="inlineStr">
        <is>
          <t>Oscar Health</t>
        </is>
      </c>
      <c r="D93" t="inlineStr">
        <is>
          <t>linkedin</t>
        </is>
      </c>
      <c r="E93" t="inlineStr"/>
      <c r="F93" t="inlineStr"/>
      <c r="G93" t="inlineStr">
        <is>
          <t>Phoenix, AZ</t>
        </is>
      </c>
      <c r="H93" t="inlineStr"/>
      <c r="I93" t="inlineStr">
        <is>
          <t>Hi, we're Oscar. We're hiring a Senior Data Scientist to join our Engineering team.
 Oscar is the first health insurance company built around a full stack technology platform and a focus on serving our members. We started Oscar in 2012 to create the kind of health insurance company we would want for ourselves—one that behaves like a doctor in the family.
**About The Role**
 Oscar is in a unique position to drive impact through high engagement with members and a variety of high\-tech touchpoints (such as virtual care or superagent).The Senior Data Scientist develops personalized multi\-channel marketing campaigns to influence behaviors that Oscar members take that are key to their health. You will ideate, scope business cases, design targeted pipelines by using predictive models, launch campaigns, monitor and optimize campaigns in real time to attribute best performing marketing variants, and measure campaigns. This will involve research, pipeline/ML model development, optimization techniques such (e.g. MAB), and measurement techniques (traditional statistical and casual machine learning).
 You work cross functionally with marketing and clinical teams, dedicated to a specific goal of lowering medical cost. You will have accountability for the success of each campaign.
 You will report to the Senior Director, Data Science.
**Work Location:** 
 This position is a hybrid role based in our New York City office, Los Angeles Office, or Tempe Office requiring a hybrid work schedule with 3 days of in\-office work per week OR remote, if you're located in Boston or the San Francisco Bay Area. Thursdays are a required in\-office day for team meetings and events, while your other two office days are flexible to suit your schedule.
**Pay Transparency:** 
 The base pay for this role is: $158\.400 \- $207,900 per year. You are also eligible for employee benefits, participation in Oscar's unlimited vacation program, company equity grants, and annual performance bonuses.
**Responsibilities**
* Works with team and manager to impact longer term strategies and roadmap
* Sets shorter term roadmap for team
* Interacts and collaborates closely with data and business counterparts across functional areas
* Researches, develops, and maintains data pipelines, statistical/ML models, and/or advanced analyses
* Compliance with all applicable laws and regulations
* Other duties as assigned
**Qualifications**
* 4\+ years of industry or other quantitative technical fields (which may include academia).
* 3\+ years of work experience working with SQL, R, and/or Python to query, manipulate and analyze data
* 3\+ years experience building data models, using more advanced analytics methods, statistical modeling, and/or data processing
 Bonus points
* Advanced degree in a quantitative or technical field
* Experience in the healthcare, finance and/or insurance industries
 Travel
 Up to 5%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94">
      <c r="A94" t="inlineStr">
        <is>
          <t>li-4369636343</t>
        </is>
      </c>
      <c r="B94" t="inlineStr">
        <is>
          <t>DATA SCIENTIST</t>
        </is>
      </c>
      <c r="C94" t="inlineStr">
        <is>
          <t>TalentAlly</t>
        </is>
      </c>
      <c r="D94" t="inlineStr">
        <is>
          <t>linkedin</t>
        </is>
      </c>
      <c r="E94" t="inlineStr"/>
      <c r="F94" t="inlineStr"/>
      <c r="G94" t="inlineStr">
        <is>
          <t>Fairfax, VA</t>
        </is>
      </c>
      <c r="H94" t="inlineStr"/>
      <c r="I94" t="inlineStr">
        <is>
          <t>**\*\*\*Position is 100% on\-site\*\*\*** 
**\*\*\*Secret Clearance Is Required\*\*\*** 
 VSolvitis looking for a broadly talented Data Scientist with quantitative research skills to take an active role on our data analytics team. You will work on vast amounts of DEA data to discover hidden information by applying modern statistical and ML/AI techniques. The main scripting languages used on this program are Python and some 'R'. The databases are MS SQL Server and Elastic Search and are used against the enterprise data warehouses with Kibana, Tableau or other BI and Visualization tools. This is a mature team that is high profile and charged with delivering solutions in Data Sciences enabling maximum leverage of DEA master data. At a higher Level, this position is part of a team of developers and IT SME's who support the DEA data warehouse project and the ability to recognize opportunities for the correlation of data is vital for this position. The need for strategic thinking, with the ability to easily spot gaps, ensure accuracy, and find differences in what should be the same values in data, and lags in data that will ultimately affect velocity and overall quality of the products, is highly desired.
 Your primary focus will be applying data mining techniques, doing statistical analysis, and building high\-quality prediction systems integrated with DEA programs and DEA data (e.g. structured, unstructured, and mixed datasets). You will also design and develop automatic scoring using machine learning techniques, build recommendation systems, design, and develop classifiers for feature extraction. This program is one in which pushing boundaries and innovation within the scope of the program is valued. There is a fully supported effort to develop and further Power BI/ML/AI in the quest for 'making the data dance'. The Data Sciences group provides innovative algorithm development using various techniques to achieve desired insight or open eyes to new revealing results and possibilities. In addition to technical knowledge the team values the ability to collaborate and communicate with one another to ensure a highly productive, respectful, and harmonious work setting, be it virtual or mixed of onsite and remote.
 As with any position, additional expectations exist. Some of these include, but are not limited to, adhering to normal working hours, meeting deadlines, following company policies as outlined by the Employee Handbook, communicating regularly with assigned supervisor(s), staying focused on the assigned tasks, and completing other tasks as assigned.
**Responsibilities** 
* Work with large DEA data using descriptive statistics and data visualization tools
* Create insights from existing DEA data, and drive the collection of new data and ways to address new data
* Collaborate with clients and team members to understand and communicate results, and to put insights into operation
* Enhancing data collection procedures to include information that is relevant for building analytical systems
* Doing ad\-hoc analysis and presenting results in a clear manner
* Work with other team members such as those focused on Data warehousing, Tools development, software development, DevOps, systems analysts etc.
* Design accurate and scalable prediction algorithms
* Collaborate with engineering team to bring analytical prototypes to production
* Generate actionable insights for business improvements
**Basic Qualifications** 
* U.S. Citizenship Required
* Secret Clearance Required
* Must be able to pass a DEA Security Approval
* Team experience (i.e., managing tasks with other Data Scientists; communicator to client and other DEA Team Leads; good communication skills orally and in writing)
* At least 2 years of data science and custom Machine Learning and AI model training experience solved 'real world' problem (to include supervised and unsupervised) and Natural Language Processing (NLP) expertise focusing on unstructured data with Anaconda, VScode with Git Version control
* Bachelor's or Master's degree in Computer Science, Data Science, or a related field.
* 5\+ years' of professional experience in data science and analysis
* 5\+ years' Python, "R" or other scripting languages
* 2\+ years' database experience
* ML practice \- using scikit learn, tensorflow, or pytorch and perform DEA (Data exploration Analysis), clean data, model selection, feature selection/tuning, and deployment
* 2\+ years' experience with data visualization tools
* Utilize a strong understanding of Machine Learning basics to design and implement effective models for \[specific industry/sector] applications.
* Professional experience in implementing and deploying Deep Learning models to solve complex problems
* Collaborate with cross\-functional teams as a team player to integrate data science solutions into our products and services.
* Demonstrate excellent communication skills to convey complex technical concepts to non\-technical stakeholders and team members.
* Utilize Git for version control, ensuring effective collaboration and code management within the team.
* Embrace Agile methodologies to adapt to fast\-paced development cycles and deliver high\-quality results.
* Solid understanding of statistical analysis and data visualization techniques.
* Ability to work independently and collaboratively in a team\-oriented environment.
* Dedication to continued learning, be team\-oriented, self\-driven, quality minded, and customer\-friendly
* If applicable: If you are or have been recently employed by the U.S. government, a post\-employment ethics letter will be required if employment with VSolvit is offered
**Preferred Qualifications (but not required)** 
* Graduate degree in a quantitative social science or a STEM field highly desired
* 10\+ years' of professional experience in data science and analysis
* 10\+ years' Python, "R" or other scripting languages
* 5\+ years' of relational database experience
* 5\+ years of non\-relational/big data experience
* Experience or knowledge of ELK may be helpful
* Experience with common data science toolkits, such as R, Weka, NumPy, MatLab, etc.
* Proficiency in using data query languages such as SQL, Hive, Pig, Pandas, MongoDB
* Proficiency in big data modeling work: Hadoop, Pig, Scala, Spark
* Good, applied statistics skills, such as distributions, statistical testing, regression, etc.
* Substantial experience with statistics and the scientific method, and the ability to perform self\-directed hypothesis\-driven research
**Company Summary** 
 Join the VSolvit Team! Founded in 2006, VSolvit (pronounced 'We Solve It') is a technology services provider that specializes in cybersecurity, cloud computing, geographic information systems (GIS), business intelligence (BI) systems, data warehousing, engineering services, and custom database and application development. VSolvit is an award winning WOSB, CA CDB, MBE, WBE, and CMMI Level 3 certified company. We offer a customizable health benefits program that best meets the needs of its employees. Offering may include: medical, dental, and vision insurance, life insurance, long and short\-term disability and other insurance products, Health Savings Account, Flexible Spending Account, 401K Retirement Plan options, Tuition Reimbursement, and assorted voluntary benefits. Our goal is to grow together and enjoy the work that we do as a team.
*VSolvit LLC is an Equal Opportunity/Affirmative Action employer and will consider all qualified applicants for employment without regard to race, color, religion, sex, national origin, protected veteran status, or disability status.* 
 PDN\-a1008b14\-e84b\-48b4\-a3e9\-fdacdeb57f4f</t>
        </is>
      </c>
    </row>
    <row r="95">
      <c r="A95" t="inlineStr">
        <is>
          <t>li-4369163545</t>
        </is>
      </c>
      <c r="B95" t="inlineStr">
        <is>
          <t>Data Scientist / Data Analytics</t>
        </is>
      </c>
      <c r="C95" t="inlineStr">
        <is>
          <t>Wipro</t>
        </is>
      </c>
      <c r="D95" t="inlineStr">
        <is>
          <t>linkedin</t>
        </is>
      </c>
      <c r="E95" t="inlineStr"/>
      <c r="F95" t="inlineStr"/>
      <c r="G95" t="inlineStr">
        <is>
          <t>Orange, CA</t>
        </is>
      </c>
      <c r="H95" t="inlineStr"/>
      <c r="I95" t="inlineStr">
        <is>
          <t>Job description:
 Job Description
 Role: Data Scientist / Data Analytics
 Location: Orance, CT (Hybrid \- 3 Days onsite/week)
 Job Description:
 Looking for a Data Scientist / Data Analytics professional, with strong emphasis on storytelling, business insights, stakeholder engagement, reporting and Azure platform skillset
 Key Responsibilities
 Business Insight \&amp; Storytelling
 •    Translate complex datasets into actionable business insights aligned to organizational goals
 •    Develop data narratives, dashboards, and presentations that clearly communicate trends, risks, and opportunities to senior leadership
 •    Apply storytelling techniques to explain why insights matter, not just what the data shows
 •    Support strategic decision making through scenario analysis, trend forecasting, and root cause analysis
 Stakeholder Engagement \&amp; Consulting
 •    Partner with business stakeholders, product owners, and leadership to understand requirements and define analytics use cases
 •    Facilitate discussions to recommend data driven solutions, KPIs, and measurement frameworks
 •    Act as a trusted advisor to stakeholders by translating business problems into analytical approaches
 •    Collaborate with cross functional teams (Data Engineering, BI, Cloud, IT) to ensure end to end delivery
 Data Analysis \&amp; Reporting
 •    Perform advanced data analysis using SQL and analytical techniques on large, complex datasets
 •    Design and maintain enterprise grade reports and dashboards for operational and executive audiences
 •    Ensure data accuracy, consistency, and interpretability across reports
 Azure Analytics \&amp; Data Platforms
 •    Leverage Azure Synapse Analytics for data exploration, analytics, and reporting workloads
 •    Work with data stored in Azure Data Lake / SQL Pools / Dedicated \&amp; Serverless SQL
 •    Optimize SQL queries and data models for performance and scalability
 •    Collaborate with data engineers on ingestion, transformation, and analytics ready data models
 Required Skills \&amp; Experience
 Core Experience
 •    10\+ years of experience in Data Science / Data Analytics / Business Analytics
 •    Strong experience deriving business insights from structured and semi structured data
 •    Proven ability to influence decisions through data storytelling and stakeholder communication
 Technical Skills
 •    Advanced SQL (query optimization, complex joins, window functions, performance tuning)
 •    Strong hands on experience with Azure Synapse Analytics
 •    Experience with Azure Data Lake, SQL databases, and cloud based analytics architectures
 •    Proficiency in reporting and visualization tools (e.g., Power BI or similar)
 •    Working knowledge of Python or similar languages for analysis and automation (preferred)
 Analytical \&amp; Business Skills
 •    Strong understanding of KPIs, metrics design, and analytical frameworks
 •    Ability to connect analytical findings to business outcomes and strategy
 •    Experience working in large, enterprise data environments
 •    Excellent problem solving and structured thinking skills
 Communication \&amp; Leadership
 •    Exceptional verbal, written, and presentation skills
 •    Ability to communicate technical concepts to non technical audiences
 •    Experience leading discussions, workshops, and reviews with senior stakeholders
 •    Mentoring and guiding junior team members
 Experience: 8\-10 Years
 .
 The expected compensation for this role ranges from $80,000 to $158,000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96">
      <c r="A96" t="inlineStr">
        <is>
          <t>li-4369149427</t>
        </is>
      </c>
      <c r="B96" t="inlineStr">
        <is>
          <t>Senior Data Scientist</t>
        </is>
      </c>
      <c r="C96" t="inlineStr">
        <is>
          <t>Jobs via Dice</t>
        </is>
      </c>
      <c r="D96" t="inlineStr">
        <is>
          <t>linkedin</t>
        </is>
      </c>
      <c r="E96" t="inlineStr"/>
      <c r="F96" t="inlineStr"/>
      <c r="G96" t="inlineStr">
        <is>
          <t>Spring, TX</t>
        </is>
      </c>
      <c r="H96" t="inlineStr"/>
      <c r="I96" t="inlineStr">
        <is>
          <t>RESPONSIBILITIES:
 Kforce has a client in Spring, TX that is seeking a Senior Data Scientist. This is a hybrid role requiring 3 days onsite, 2 days remote.
 Summary:
 Our client is seeking a Senior Data Scientist to design, build, and deploy scalable AI and machine learning solutions using the Databricks Lakehouse Platform. In this role, you will partner with cross\-functional teams to transform complex data into production\-grade digital products that drive measurable business impact. You will work across the full analytics and ML lifecycle\-from data ingestion and modeling to deployment, monitoring, and governance\-while mentoring junior team members and advancing modern AI capabilities across the organization.
 REQUIREMENTS:
* 5\-7 years of experience as a Senior Data Scientist and 7\+ years of experience in Data Science, Information Systems, Computer Science, Engineering, or a related field
* Demonstrated experience collaborating with multidisciplinary teams to define business requirements and deliver Databricks\-based ML solutions
* Experience with modern data architectures, including Delta Lake, Azure Data Lake, SQL Warehouses, and Synapse Analytics
* Hands\-on experience with AutoML platforms (e.g., Dataiku) and familiarity with Azure AutoML and Mosaic AI AutoML (Databricks)
* Deep understanding of Azure cloud technologies, including Azure Machine Learning, Azure DevOps, Cognitive Search, and Azure OpenAI
* Familiarity with Generative AI and Large Language Models, including transformer architectures, Hugging Face frameworks, and Lakehouse\-native LLM serving
* Expertise in machine learning, applied AI, statistical modeling, and data mining using the Databricks Lakehouse Platform, Azure ML, and (optionally) Dataiku
* Advanced proficiency in Python, PySpark, SQL, and familiarity with tools such as Jupyter, VS Code, MLflow, and Databricks Repos
* Skilled in designing end\-to\-end ML pipelines and converting analytics into business impact on Databricks
* Proven track record leading AI/ML projects from ideation to production deployment
* Strong communication skills with the ability to translate analytical findings and ML outputs into actionable business insights
* Strong mentoring and leadership capabilities for developing early\-career team members
* Entrepreneurial problem\-solving mindset with a strong focus on experimenting, scaling, and delivering measurable value
* Demonstrated ability to solve complex data challenges with practical, scalable, and innovative solutions
* Ability to quickly learn and adapt to new domains, technologies, and Databricks platform features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97">
      <c r="A97" t="inlineStr">
        <is>
          <t>li-4369159342</t>
        </is>
      </c>
      <c r="B97" t="inlineStr">
        <is>
          <t>GenAI Data Scientist/ LOCAL ONLY /Financial Services/ Capital Markets / NYC (Hybrid)/W2</t>
        </is>
      </c>
      <c r="C97" t="inlineStr">
        <is>
          <t>Jobs via Dice</t>
        </is>
      </c>
      <c r="D97" t="inlineStr">
        <is>
          <t>linkedin</t>
        </is>
      </c>
      <c r="E97" t="inlineStr"/>
      <c r="F97" t="inlineStr"/>
      <c r="G97" t="inlineStr">
        <is>
          <t>New York, NY</t>
        </is>
      </c>
      <c r="H97" t="inlineStr"/>
      <c r="I97" t="inlineStr">
        <is>
          <t>Dice is the leading career destination for tech experts at every stage of their careers. Our client, Crox Consulting Inc, is seeking the following. Apply via Dice today!
**Job Summary**
**Local/W2 Only**
 We are looking for a
 **GenAI\-focused Data Scientist** 
 with
 **strong financial services / capital markets experience** 
 to work on next\-generation data and AI products. The ideal candidate will have an
 **advanced degree in Financial Engineering or Data Science** 
 and hands\-on experience building
 **machine learning and Generative AI solutions** 
 in a production environment.
 This role requires someone who already understands the
 **financial business context** 
 \-we are not looking to train from scratch on capital markets.
**Key Responsibilities**
* Collaborate closely with product development and technology teams to advance S3 data products
* Design, improve, and innovate statistical, machine learning, and predictive models across asset classes such as Equities and Fixed Income
* Develop and deploy AI/ML predictive analytics models
* Work with Generative AI models, including LLMs, embeddings, and prompt\-based workflows
* Evaluate and select appropriate GenAI models (open\-source or commercial) for business use cases
* Perform daily data quality checks and ensure production stability
* Support model performance monitoring and continuous improvement
**Required Qualifications (Critical)**
* Advanced degree in Financial Engineering or Data Science (MANDATORY)
* 4\+ years of experience in data analysis, data science, or a similar role
* Strong experience applying machine learning techniques in real\-world scenarios
* Hands\-on experience with LLMs / GenAI technologies
* Experience using Azure AI / OpenAI APIs
* Familiarity with LangChain or similar orchestration frameworks
* Strong programming skills in Python and SQL
* Experience with Azure ML, Excel
* Financial Services / Capital Markets experience is REQUIRED
**Nice to Have (Desirable)**
* Experience with fine\-tuning models, RAG (Retrieval\-Augmented Generation), and model optimization
* Understanding of model governance, Responsible AI, and risk controls in financial environments
* Experience in Prime Brokerage, Securities Lending, or Counterparty Risk
**Why Join**
* Work on cutting\-edge GenAI and ML initiatives
* Exposure to capital markets data and complex financial use cases
* Competitive compensation and long\-term growth opportunity</t>
        </is>
      </c>
    </row>
    <row r="98">
      <c r="A98" t="inlineStr">
        <is>
          <t>li-4369697257</t>
        </is>
      </c>
      <c r="B98" t="inlineStr">
        <is>
          <t>Senior Data Scientist</t>
        </is>
      </c>
      <c r="C98" t="inlineStr">
        <is>
          <t>Bugcrowd</t>
        </is>
      </c>
      <c r="D98" t="inlineStr">
        <is>
          <t>linkedin</t>
        </is>
      </c>
      <c r="E98">
        <f>HYPERLINK("https://www.linkedin.com/jobs/view/4369697257", "https://www.linkedin.com/jobs/view/4369697257")</f>
        <v/>
      </c>
      <c r="F98" t="inlineStr"/>
      <c r="G98" t="inlineStr">
        <is>
          <t>Bedford, NH</t>
        </is>
      </c>
      <c r="H98" t="inlineStr"/>
      <c r="I98" t="inlineStr">
        <is>
          <t>We are Bugcrowd. Since 2012, we've been empowering organizations to take back control and stay ahead of threat actors by uniting the collective ingenuity and expertise of our customers and trusted alliance of elite hackers, with our patented data and AI\-powered Security Knowledge Platform™. Our network of hackers brings diverse expertise to uncover hidden weaknesses, adapting swiftly to evolving threats, even against zero\-day exploits. With unmatched scalability and adaptability, our data and AI\-driven CrowdMatch™ technology in our platform finds the perfect talent for your unique fight. We aim to create a new era of modern crowdsourced security that outpaces threat actors. Unleash the ingenuity of the hacker community with Bugcrowd, visit www.bugcrowd.com. Based in San Francisco and New Hampshire, Bugcrowd is supported by General Catalyst, Rally Ventures, Costanoa Ventures, and others.
 We're looking for a hands\-on Senior Data Engineer / Data Scientist to design and implement data\-driven and AI\-powered systems that enhance our offensive security capabilities. You'll build scalable pipelines, deploy intelligent agents, and apply Generative AI, retrieval\-augmented generation (RAG), and predictive modeling to solve complex security challenges. This role is ideal for someone who thrives at the intersection of AI innovation, data engineering, and cybersecurity, and wants to shape the next generation of intelligent offensive security tools on top of our MCP server and related platforms.
**Essential Duties and Responsibilities**
 AI, ML \&amp; Generative Systems
* Design, develop, and deploy LLM\- and RAG\-powered applications that enhance analyst and hacker productivity across offensive security use cases.
* Integrate Generative AI models (e.g., via AWS Bedrock, OpenAI, Anthropic) with internal APIs and security datasets to automate and augment workflows.
* Build and fine\-tune ML models for vulnerability prediction, triage prioritization, and exploit pattern detection.
* Develop evaluation pipelines and feedback loops to continuously improve AI model performance and explainability.
 Data Engineering \&amp; Infrastructure
* Architect and maintain large\-scale, high\-performance data pipelines to process vulnerability, asset, and activity datasets from multiple sources.
* Build secure data ingestion, transformation, and storage workflows leveraging AWS (Glue, Lambda, Step Functions, S3, Redshift, Bedrock) and modern MLOps practices.
* Develop robust CI/CD pipelines for data and ML model deployment using AWS CDK and testing frameworks.
* Partner with infrastructure teams to scale AI workloads efficiently and securely across multi\-tenant environments (FedRAMP, SOC2\).
 Security Use Cases \&amp; Integration
* Collaborate with security researchers and engineers to translate offensive security workflows into data\-driven automation.
* Integrate ML and AI systems with core security platforms such as the MCP server, Bugcrowd Connect, and vulnerability intelligence pipelines.
* Design APIs and interfaces that enable LLM agents to interact with internal systems for search, enrichment, and decision support.
 Collaboration \&amp; Strategy
* Work cross\-functionally with data, product, and platform teams to drive adoption of AI capabilities across the engineering organization.
* Provide technical mentorship and guide best practices for ML infrastructure, feature engineering, and model observability.
* Contribute to architectural reviews, ensuring scalability, maintainability, and security in all AI and data systems.
**Education, Experience, Knowledge, Skills, and Abilities**
* 5\+ years of experience in Data Science, Machine Learning Engineering, or Data Engineering.
* Deep experience with Python, AWS services (S3, Lambda, Batch, Glue, Bedrock, Step Functions, Redshift), and ML frameworks (Scikit\-Learn, XGBoost, PyTorch, etc.).
* Proven experience building end\-to\-end ML pipelines — from data ingestion to model deployment and monitoring.
* Strong understanding of LLM technologies, RAG architectures, and API integration with AI systems.
* Ability to design and manage data architectures for large\-scale, multi\-tenant environments.
* Experience applying ML or automation to security or operational intelligence domains.
* A builder's mindset — passionate about shipping scalable, practical AI systems.
**Preferred Experience**
* Knowledge of offensive security workflows (bug bounty, vulnerability research, red teaming).
* Familiarity with vector databases, embedding models, and semantic search.
* Experience deploying AI solutions in regulated environments (FedRAMP, SOC2\).
* Bachelor's or Master's in Computer Science, Information Systems, or related field.
**Working Conditions**
 The ideal candidate must be able to complete all physical requirements of the job with or without reasonable accommodation.
 Sitting and/or standing \- Must be able to remain in a stationary position 50% of the time
 Carrying and /or lifting \- Must be able to carry / move laptop as needed throughout the work day.
 Environment \- remote, work\-from\-home 100% of the time.
**ADA Statement**
 Bugcrowd is committed to the full inclusion of all qualified individuals. In keeping with our commitment, Bugcrowd will take the steps to assure that people with disabilities are provided reasonable accommodations. Accordingly, if reasonable accommodation is required to fully participate in the job application or interview process, to perform the essential functions of the position, and/or to receive all other benefits and privileges of employment, please contact HR at ada@bugcrowd.com.
**Pay Range Disclosure**
 At Bugcrowd, we strive for fairness, equality and to create an environment that allows our people to perform at their very best. Our compensation philosophy is to foster a collaborative community that rewards, attracts and retains the best possible talent. The provided salary details are based on US national averages and we retain the flexibility to tailor to the needs of the business.
 The national estimate for the current base range for the position of Senior Data Scientist is: $110,720 \- $138,400\.
 This position may also be eligible to participate in a discretionary bonus program or commission plan, subject to the rules governing the program, whereby an award, if any, depends on various factors, including, without limitation, individual and organizational performance.
**Culture**
* At Bugcrowd, we understand that diversity in the workplace is vital to a company's success and growth. We strive to make sure that people are included and have a sense of being part of making Bugcrowd not only a great product but a great place to work.
* We regularly hear from both customers and researchers that Bugcrowd feels like a family, and we strive to maintain that internally as well.
* Our team consists of a broad range of people: musicians, adventure sports junkies, nature lovers, parents, cereal enthusiasts, night owls, cyclists, artists—you get the point.
 At Bugcrowd, we are solving security threats and vulnerabilities that are relevant to everyone, therefore we believe solving these problems takes all kinds of backgrounds. We value the perspectives and experiences people from underrepresented backgrounds bring.
**Disclaimer**
 This position has access to highly confidential, sensitive information relating to the technologies of Bugcrowd. It is essential that the applicant possess the requisite integrity to maintain the information in the strictest confidence.
 The company is authorized to obtain background checks for employment purposes under state and federal law. Background checks will be conducted for positions that involve access to confidential or proprietary information (including trade secrets).
 Background checks may include Social Security verification, prior employment verification, personal and professional references, educational verification, and criminal history. Applicants with conviction histories will not be excluded from consideration to the extent required by law.
**Equal Employment Opportunity:**
 Bugcrowd is EOE, Disability/Age Employer.
 Individuals seeking employment at Bugcrowd are considered without regards to race, color, religion, national origin, age, sex, marital status, ancestry, physical or mental disability, veteran status, gender identity, or sexual orientation.
 Apply at: https://www.bugcrowd.com/about/careers/</t>
        </is>
      </c>
    </row>
    <row r="99">
      <c r="A99" t="inlineStr">
        <is>
          <t>li-4248363685</t>
        </is>
      </c>
      <c r="B99" t="inlineStr">
        <is>
          <t>Data Scientist, Quantitative Research</t>
        </is>
      </c>
      <c r="C99" t="inlineStr">
        <is>
          <t>ICE</t>
        </is>
      </c>
      <c r="D99" t="inlineStr">
        <is>
          <t>linkedin</t>
        </is>
      </c>
      <c r="E99">
        <f>HYPERLINK("https://www.linkedin.com/jobs/view/4248363685", "https://www.linkedin.com/jobs/view/4248363685")</f>
        <v/>
      </c>
      <c r="F99" t="inlineStr"/>
      <c r="G99" t="inlineStr">
        <is>
          <t>Atlanta, GA</t>
        </is>
      </c>
      <c r="H99" t="inlineStr"/>
      <c r="I99" t="inlineStr">
        <is>
          <t>**Overview**
**Job Purpose**
 The Data Scientist will join the Quant Group which designs, implements, and supports enterprise quantitative models and systems. The primary role of this position will be to support the design and development of financial data models and provide data support for the Quant and Risk divisions. The role will use a variety of data science, analytics and engineering tools and techniques to solve diverse, data focused problems across the business. The candidate for this job must have the ability to work in a fast\-paced environment, formulate and articulate solutions, defend assumptions and be highly detail oriented. This role requires frequent interaction with Quant Research, Risk Managers, Developers and Senior Management.
**Responsibilities**
* Perform data exploration and statistical analysis for quantitative research purposes
* Data preparation, validation, and visualization of various data sets such as time series of financial derivatives
* Build production quality, data driven software solutions to support data management and analysis
* Develop ETL applications to support core quant and risk team data requirements
* Diagnose and profile data issues and recommend ways to improve data reliability, efficiency, and quality
* Coordinate with quantitative research and business experts to develop and refine data management best practices, policies, and procedures
* Provide documentations and/or presentations to illustrate methods, techniques, and findings for individuals with diverse professional backgrounds
* Manage large data sets and interpret diverse database architecture across various platforms such as Oracle, Postgres, Snowflake, etc.
* Serve as a liaison between technology, operations, product management and the Financial Engineering teams
* Engage in innovative research tasks in the quantitative finance and data science field
**Knowledge And Experience**
* Bachelor’s degree in Data Science/Analytics, Engineering, Mathematics, Statistics or similar required; Post Graduate degree in Data Science, Engineering, Mathematics, Statistics or similar preferred
* Statistical programming experience in Python, R, MATLAB, C/C\+\+ or Java
* Working knowledge of SQL and experience working with relational databases
* Ability to work in a high\-performance, high\-velocity environment
* Strong analytical and organizational skills with acute attention to detail
* Strong communication skills
* Customer focused and results oriented
* Advanced Statistics knowledge related to Time Series preferred
* Experience with code versioning tools such as Git preferred
* Experience in Quantitative Finance and/or Financial Derivatives preferred
 Intercontinental Exchange, Inc. is an Equal Opportunity Employer. All qualified applicants will receive consideration for employment without regard to legally protected characteristics.</t>
        </is>
      </c>
    </row>
    <row r="100">
      <c r="A100" t="inlineStr">
        <is>
          <t>li-4369634104</t>
        </is>
      </c>
      <c r="B100" t="inlineStr">
        <is>
          <t>Data Scientist</t>
        </is>
      </c>
      <c r="C100" t="inlineStr">
        <is>
          <t>Block</t>
        </is>
      </c>
      <c r="D100" t="inlineStr">
        <is>
          <t>linkedin</t>
        </is>
      </c>
      <c r="E100">
        <f>HYPERLINK("https://www.linkedin.com/jobs/view/4369634104", "https://www.linkedin.com/jobs/view/4369634104")</f>
        <v/>
      </c>
      <c r="F100">
        <f>HYPERLINK("https://www.wiraa.com/job-description/usE9AF0C7F11C34433719D492DC1C4167C?source=Linkedin&amp;urlHash=qFIz", "https://www.wiraa.com/job-description/usE9AF0C7F11C34433719D492DC1C4167C?source=Linkedin&amp;urlHash=qFIz")</f>
        <v/>
      </c>
      <c r="G100" t="inlineStr"/>
      <c r="H100" t="inlineStr"/>
      <c r="I100" t="inlineStr">
        <is>
          <t>**About The Company** 
 Since its inception in 2009, Block has revolutionized the world of commerce by providing innovative payment solutions that enable businesses of all sizes to operate seamlessly. Initially focused on empowering merchants to accept payments without missing sales, the company quickly expanded into software development, creating integrated, omnichannel solutions that support online sales, inventory management, buy now pay later options, appointment booking, customer engagement, and staff management. Embedded within these solutions are financial services tools that allow merchants to access business loans and manage cash flow efficiently. With the acquisition of Afterpay, Block continues to enhance its offerings, helping sellers capture the next generation of shoppers, increase order sizes, and scale their operations globally. Today, Block partners with a diverse range of businesses—from large, enterprise\-scale organizations to startups and growing merchants—striving to build meaningful and lasting growth opportunities for its clients worldwide.
**About The Role** 
 We are seeking an experienced Data Scientist to join our AI, Data, and Analytics (AiDA) team at Block. This role will primarily support the Financial Platform (FinPlat) organization, focusing on acquiring side A/B testing, reporting, strategic analysis, and automation. FinPlat serves as the central nervous system for Block’s core financial operations, facilitating the movement and ledgering of funds across our primary platforms—Square, Cash App, and Afterpay. The role involves developing data products from raw event data, conducting sophisticated analyses, and building machine learning models to optimize transaction costs, authorization rates, and overall financial performance. The successful candidate will influence product roadmaps, guide cross\-functional teams, and foster a data\-driven culture that emphasizes financial impact and operational excellence. This position offers a unique opportunity to work at the intersection of payments, data science, and financial technology, contributing to innovative solutions that drive growth and efficiency across the company’s ecosystem.
**Qualifications** 
* 12\+ years of relevant experience in data science, preferably within payment analytics, chargebacks, or related fields, with a Bachelor’s degree; or 8\+ years with a Master’s degree; or 5\+ years with a PhD; or equivalent professional experience
* Bachelor’s degree in a technical discipline such as Engineering, Physics, Mathematics, Computer Science, or related fields
* Proven expertise in hypothesis testing, causal inference, and statistical analysis
* Hands\-on experience building data pipelines, architecture, and scalable data solutions
* Strong ability to communicate complex findings to cross\-functional stakeholders and influence product development
* Proficiency in data analytics and visualization tools such as SQL, Looker, and Python
* Experience working on ambiguous, high\-impact problems with innovative solutions
* Willingness to be hands\-on in developing data models and engineering solutions
**Responsibilities** 
* Develop subject\-matter expertise in payment rails, including card\-based (prepaid, debit, credit) and bank transfer systems (wire, ACH, direct deposit)
* Collaborate with product teams and FinOps to identify opportunities and navigate complex problem spaces
* Design, develop, and deploy comprehensive data products from raw event data to actionable insights and machine learning models
* Lead A/B testing initiatives to evaluate product features and optimize financial performance
* Partner with engineering and operations teams to embed data\-driven decision\-making across the organization
* Drive automation and efficiency improvements within financial processes and analytics workflows
* Mentor junior team members and evangelize best practices within the data science community at Block
* Communicate findings effectively to stakeholders and influence product and operational strategies based on data insights
**Benefits** 
* Comprehensive health insurance coverage including medical, dental, and vision plans
* Flexible work arrangements supporting remote work and work\-life balance
* Generous paid time off and holidays to promote well\-being
* Retirement savings plans with company matching contributions
* Support for modern family planning and parental leave policies
* Continuous learning and professional development opportunities
* Inclusive and diverse workplace culture committed to equity and fairness
 Equal Opportunity
 Block is an equal opportunity employer committed to fostering an inclusive environment for all employees and applicants. We evaluate all candidates without regard to race, ethnicity, gender, sexual orientation, disability, age, or any other legally protected status.</t>
        </is>
      </c>
    </row>
    <row r="101">
      <c r="A101" t="inlineStr">
        <is>
          <t>li-4369171349</t>
        </is>
      </c>
      <c r="B101" t="inlineStr">
        <is>
          <t>Data Scientist Gen AI</t>
        </is>
      </c>
      <c r="C101" t="inlineStr">
        <is>
          <t>EXL</t>
        </is>
      </c>
      <c r="D101" t="inlineStr">
        <is>
          <t>linkedin</t>
        </is>
      </c>
      <c r="E101">
        <f>HYPERLINK("https://www.linkedin.com/jobs/view/4369171349", "https://www.linkedin.com/jobs/view/4369171349")</f>
        <v/>
      </c>
      <c r="F101" t="inlineStr"/>
      <c r="G101" t="inlineStr"/>
      <c r="H101" t="inlineStr"/>
      <c r="I101" t="inlineStr">
        <is>
          <t>**Job Title: Data Scientist \- GenAI** 
**Location: Atlanta** 
**Work Experience: 4\+ Years** 
**Salary \- 100k** 
**Job Summary:** 
 We are looking for a highly capable and innovative Data Scientist with experience in Generative AI to join our Data Science Team. You will lead the development and deployment of GenAI solutions, including LLM\-based applications, prompt engineering, fine\-tuning, embeddings, and retrieval\-augmented generation (RAG) for enterprise use cases.
 The ideal candidate has a strong foundation in machine learning and NLP, with hands\-on experience in modern GenAI tools and frameworks such as OpenAI, LangChain, Hugging Face, Vertex AI, Bedrock, or similar.
**Key Responsibilities:** 
* Design and build Generative AI solutions using Large Language Models (LLMs) for business problems across domains like customer service, document automation, summarization, and knowledge retrieval.
* Fine\-tune or adapt foundation models using domain\-specific data.
* Implement RAG pipelines, embedding models, vector databases (e.g., FAISS, Pinecone, ChromaDB).
* Collaborate with data engineers, MLOps, and product teams to build end\-to\-end AI applications and APIs.
* Develop custom prompts and prompt chains using tools like LangChain, LlamaIndex, PromptFlow, or custom frameworks.
* Evaluate model performance, mitigate bias, and optimize accuracy, latency, and cost.
* Stay up to date with the latest trends in LLMs, transformers, and GenAI architecture.
**Required Skills:** 
* Strong Python programming skills, especially in libraries such as Transformers, LangChain, scikit\-learn, PyTorch, or TensorFlow.
* Experience with OpenAI (GPT\-4\), Claude, Mistral, LLaMA, or similar models.
* Knowledge of vector search, embedding models (e.g., BERT, Sentence Transformers), and semantic search techniques.
* Ability to build scalable AI workflows and deploy them via APIs or web apps (e.g., FastAPI, Streamlit, Flask).
* Familiarity with cloud platforms (AWS/GCP/Azure) and MLOps best practices.
* Excellent communication skills with the ability to translate technical solutions into business impact.
**Preferred Qualifications:** 
* Experience with prompt tuning, few\-shot learning, or LoRA\-based fine\-tuning.
* Knowledge of data privacy and security considerations in GenAI applications.
* Proven expertise or certification in
 **Palantir Foundry** 
 is highly preferred.
* Familiarity with enterprise architecture, SDLC, or building GenAI use cases in regulated domains (e.g., finance, insurance, healthcare).
 For more information on benefits and what we offer please visit us at https://www.exlservice.com/us\-careers\-and\-benefits</t>
        </is>
      </c>
    </row>
    <row r="102">
      <c r="A102" t="inlineStr">
        <is>
          <t>li-4369632165</t>
        </is>
      </c>
      <c r="B102" t="inlineStr">
        <is>
          <t>Data Scientist, D&amp;T</t>
        </is>
      </c>
      <c r="C102" t="inlineStr">
        <is>
          <t>General Mills</t>
        </is>
      </c>
      <c r="D102" t="inlineStr">
        <is>
          <t>linkedin</t>
        </is>
      </c>
      <c r="E102">
        <f>HYPERLINK("https://www.linkedin.com/jobs/view/4369632165", "https://www.linkedin.com/jobs/view/4369632165")</f>
        <v/>
      </c>
      <c r="F102" t="inlineStr"/>
      <c r="G102" t="inlineStr"/>
      <c r="H102" t="inlineStr"/>
      <c r="I102" t="inlineStr">
        <is>
          <t>**About The Company**
 General Mills is a renowned global food company dedicated to creating products that bring joy and nourishment to consumers worldwide. With a rich history of innovation and a commitment to quality, the company operates across multiple segments including cereals, snacks, baking products, and more. Emphasizing sustainability, health, and consumer\-centricity, General Mills continually strives to enhance its offerings and operational excellence. As a leader in the food industry, the company fosters a collaborative and inclusive work environment that encourages innovation, integrity, and growth.
**About The Role**
 We are seeking a highly skilled Lead Data Scientist to join our team at General Mills. In this pivotal role, you will leverage your expertise in statistics, mathematics, data science, artificial intelligence, and machine learning to develop advanced analytics engines and services. Your primary focus will be on optimizing marketing strategies through data\-driven insights, causal modeling, and predictive analytics. Collaborating closely with product owners, business partners, and fellow data scientists, you will define technical problem statements, develop robust models, and translate complex insights into actionable recommendations. Your work will directly impact marketing effectiveness, budget allocation, and strategic decision\-making, ultimately supporting our goal to deliver the food people love with precision and innovation.
**Qualifications**
* 6\+ years of professional experience as a hands\-on coding Data Scientist, with at least 4 years specializing in Marketing Mix Models (MMM) and Marketing Attribution Models
* Bachelor’s Degree in Mathematics, Statistics, Data Science, Operations Research, Econometrics, or a related quantitative discipline
* Expert\-level proficiency in Python and SQL programming languages
* Deep expertise in causal modeling principles, including DAG design, assumptions, and falsification
* Strong experience in regression modeling (panel, time series, ridge), Bayesian modeling (e.g., PyMC), and marketing mix frameworks (PyMC, Meridian, Robyn)
* Proficiency with ensemble methods such as Gradient Boosting and XGBoost
* Ability to work with large datasets and write complex SQL queries efficiently
* Proven track record of partnering with marketing and business leaders to influence key marketing decisions
* Highly adaptable, curious, and capable of working independently on complex problems
* Bias for action with excellent task prioritization and time management skills
* Experience with cloud\-based AI platforms
**Responsibilities**
* Collaborate with data science leadership, machine learning engineering, and business partners to develop and refine optimization and machine learning models using state\-of\-the\-art tools and technologies
* Provide strategic data science leadership within product teams through strong partnership, delivering actionable insights and technical roadmap recommendations
* Design, validate, and maintain causal measurement strategies such as Marketing Mix Models, Difference in Differences, Regression Discontinuity, and causal ML to evaluate marketing effectiveness
* Conduct comprehensive statistical and econometric analyses to forecast marketing impact and optimize budget allocation strategies
* Translate complex model findings into clear, actionable insights for campaign planning, budget decisions, and marketing strategies across various stakeholders
* Design and execute statistically rigorous A/B testing and measurement campaigns to evaluate marketing initiatives
* Advise business partners on technical solutions, ensuring alignment with strategic objectives
* Contribute to the technical strategy, best practices, and team development as a senior leader within the data science team
* Mentor junior data scientists through solution reviews and technical guidance
* Monitor and improve model performance metrics, incorporating feedback from business partners to enhance accuracy and recommendations
* Engage actively with the team, participate in strategic planning, and contribute to documentation and standardization efforts
**Benefits**
* Competitive salary package within the range of $126,700 to $211,200 annually
* Comprehensive health benefits and wellness programs
* Retirement plans and financial wellbeing support
* Generous time off policies and paid leave
* Opportunities for professional development and career growth
* Participation in annual incentive programs based on performance
* Flexible work arrangements, including remote work options within the United States
 Equal Opportunity
 General Mills is an equal opportunity employer. We celebrate diversity and are committed to creating an inclusive environment for all employees. All qualified applicants will receive consideration without regard to race, color, religion, gender, gender identity or expression, sexual orientation, national origin, genetics, disability, age, or veteran status. We believe that diverse perspectives foster innovation and drive our success, and we are dedicated to providing equal employment opportunities to all individuals.</t>
        </is>
      </c>
    </row>
    <row r="103">
      <c r="A103" t="inlineStr">
        <is>
          <t>li-4369175512</t>
        </is>
      </c>
      <c r="B103" t="inlineStr">
        <is>
          <t>Data Scientist – AI/ML for Multimodal Systems Biology</t>
        </is>
      </c>
      <c r="C103" t="inlineStr">
        <is>
          <t>ChronicleBio</t>
        </is>
      </c>
      <c r="D103" t="inlineStr">
        <is>
          <t>linkedin</t>
        </is>
      </c>
      <c r="E103">
        <f>HYPERLINK("https://www.linkedin.com/jobs/view/4369175512", "https://www.linkedin.com/jobs/view/4369175512")</f>
        <v/>
      </c>
      <c r="F103" t="inlineStr"/>
      <c r="G103" t="inlineStr"/>
      <c r="H103" t="inlineStr"/>
      <c r="I103" t="inlineStr">
        <is>
          <t>**Company Overview** 
 Chronicle Bio is developing a data\-driven healthcare platform that harnesses comprehensive biobanks to develop proprietary diagnostics and advanced AI to transform the management and treatment of chronic conditions globally. We integrate multimodal data (clinical records, biowearables, patient\-reported outcomes, and multi\-omic analysis) to generate insights that unlock new diagnostics, biomarkers, and therapeutic targets for complex neuroimmune conditions.
**Role Summary** 
 We are seeking a Data Scientist specializing in AI/ML model development to drive our next\-generation discovery engine. This role is central to building and training novel algorithms that define disease endotypes and reveal actionable insights for diagnostics, biomarkers, and drug targets. The ideal candidate combines strong machine learning expertise with a background in systems biology or related disciplines. A background in immunology and wet\-lab experience are an added advantage.
**Key Responsibilities** 
***Model Development \&amp; Deployment***
* Design and implement cutting\-edge machine learning and deep learning models to analyze large\-scale, multimodal datasets (genomics, transcriptomics, epigenetics, proteomics, metabolomics, EHR, biowearables).
* Develop AI frameworks for patient stratification, disease endotyping, and target discovery.
* Contribute to building Chronicle Bio’s proprietary foundation model for neuroimmune conditions.
***Scientific Insight \&amp; Creation***
* Integrate multi\-omic and clinical data to identify novel biomarkers, diagnostic signatures, and therapeutic targets.
* Collaborate with scientific leadership to translate findings into innovation and peer\-reviewed publications.
 Cross\-Functional Collaboration
* Partner with wet\-lab scientists, bioinformaticians, and clinical researchers to ensure data quality and biological relevance.
* Present complex analyses to scientific, operational, and investor audiences.
* Contribute to pipeline design, from experimental planning to computational interpretation.
**Qualifications** 
*Education* 
 : Ph.D. in Computational Biology, Systems Biology, Computer Science, or related field required.
*Experience* 
 :
* Industry experience in biotech, pharma, or health\-tech is strongly preferred.
* Demonstrated success applying AI/ML to biological or clinical datasets, ideally in immune or neuroimmune contexts.
* Experience with multi\-omic integration and large\-scale biological data (genomics, transcriptomics, proteomics, etc.).
* Familiarity with single\-cell analysis, network biology, or spatial omics is a plus.
*Technical Skills:* 
* Proficiency in Python and R, and deep learning frameworks such as PyTorch or TensorFlow.
* Strong understanding of statistical modeling, feature engineering, and model interpretability.
* Experience with cloud computing and high\-performance data infrastructure.
*Other Qualities:* 
* Strong scientific curiosity and ability to translate biological questions into computational strategies.
* Excellent communication skills to convey complex analyses across interdisciplinary teams.</t>
        </is>
      </c>
    </row>
    <row r="104">
      <c r="A104" t="inlineStr">
        <is>
          <t>li-4359826189</t>
        </is>
      </c>
      <c r="B104" t="inlineStr">
        <is>
          <t>Data Scientist (Senior Scientist, Data Science)</t>
        </is>
      </c>
      <c r="C104" t="inlineStr">
        <is>
          <t>LGC</t>
        </is>
      </c>
      <c r="D104" t="inlineStr">
        <is>
          <t>linkedin</t>
        </is>
      </c>
      <c r="E104">
        <f>HYPERLINK("https://www.linkedin.com/jobs/view/4359826189", "https://www.linkedin.com/jobs/view/4359826189")</f>
        <v/>
      </c>
      <c r="F104" t="inlineStr"/>
      <c r="G104" t="inlineStr">
        <is>
          <t>Alexandria, MN</t>
        </is>
      </c>
      <c r="H104" t="inlineStr"/>
      <c r="I104" t="inlineStr">
        <is>
          <t>With manufacturing sites across the US, UK, Germany and Denmark, LGC Biosearch Technologies has plans to continue growing. We deliver mission critical genomics to our diverse customer base in molecular diagnostics, pharma/biotech and agrigenomics. Our integrated portfolio of products, services and expertise supports our purpose of Science for a Safer World and we have embodied our mission by working with customers to enable research into life\-altering treatment for disease and illness worldwide. We are currently seeking candidates who are up for the challenge of operating in a high\-growth, purpose\-driven organisation.
**Job Description**
 Position Summary
 We seek a dynamic and experienced Data Scientist to play an integral role in developing and enhancing LGC's data science product portfolio. As a pivotal member of our innovative R\&amp;D team, you will collaborate closely with multiple divisions within LGC, leveraging your data science expertise to deliver impactful insights and advanced solutions. The ideal candidate will possess experience across various data mining techniques, analytical methodologies, statistics and modern data modeling tools. Skilled in designing, building, and deploying models on\-premises and in the cloud, creating novel algorithms, programming, optimizing processes, and conducting comprehensive simulations. You should be enthusiastic about extracting meaningful patterns from large\-scale datasets, creating predictive and analytical models, and proactively managing data infrastructure to ensure accuracy, accessibility, and efficiency.
 If you're passionate about uncovering insights from data and contributing significantly to data\-driven innovation, we encourage you to join our team.
 Job Responsibilities
 To perform this job effectively, an individual must be able to perform the following essential functions satisfactorily:
* Work with multiple partners throughout the organization to identify valuable data sources and automate collection processes
* Undertake pre\-processing, curating, and model building of the structured and unstructured data
* Analyze large datasets and experiments to discover trends and patterns with statistics
* Help identify and define new product ideas based on the outcomes from the predictive models and machine\-learning algorithms
* Present analytical results using data visualization techniques
* Propose data science solutions and strategies for R\&amp;D and business challenges
* Taking ideas from theory into deployment
* Learn, follow, and deliver high\-quality product development documentation consistent with LGC’s quality systems
 Qualifications
**Qualifications**
**Minimum Qualifications:**
* Ph.D or M.S or equivalent experience with at least 3 years of industry/academic experience in data science, statistics, mathematics, computer science, physics, computational biology, operations research, or a related field
* Ability to break down and understand complex business/scientific challenges, define solutions, and implement them using advanced quantitative methods
* Proficiency in high\-level scripting languages (Python, Java)
* Experience with statistical data analysis and visualization tools (R, matplotlib, or similar)
* Experience with LINUX\-based operating systems and shell scripting
* Expertise in supervised and unsupervised learning methods
* Knowledge and experience in statistical and data mining techniques: Linear Mixed model, Clustering, GLM/Regression, Random Forest, Boosting, Trees, text mining, network analysis, etc.
* Ability to analyze algorithms
* Knowledge of software development principles and architecture
* Basic computer skills, including working knowledge of Microsoft Office suite of products, particularly Word, Excel, PowerPoint, and Visio
**Preferred Qualifications:**
* Understanding of deep learning and LLM algorithms
* Knowledge of Frequentist and Bayesian statistics, and neural networks
* Experience in Cloud technologies such as AWS, Azure, or GCP
* Knowledge of any relational database such as My SQL
 Proficiencies \&amp; Behaviors
* Analytical and strategic thinker
* Aptitude for complex problem\-solving and continuous improvement, with the willingness to work in a rapidly growing matrix organization
* Ability to work well in a team environment, possess an ability to adapt to change in the environment and have a proven track record of exerting influence in a directive and positive manner
* Demonstrated autonomy: the ability to self\-start and drive whilst recognizing the appropriate time for collaborator engagement
* Committed to achieving goals, ensuring targets are met within specified timelines and budgets
 The typical pay range for this role is:
 Minimum: $90,000/Annually
 Maximum: $130,000/Annually
 Bonus eligible
**Additional Information**
**ABOUT LGC:**
 LGC is a leading, global life science tools company, providing mission\-critical components and solutions into high\-growth application areas across the human healthcare and applied market segments. Its high\-quality product portfolio is comprised of mission\-critical tools for genomic analysis and for quality assurance applications, which are typically embedded and recurring within our customers’ products and workflows and are valued for their performance, quality, and range.
**OUR VALUES**
* **PASSION**
* **CURIOSITY**
* **INTEGRITY**
* **BRILLIANCE**
* **RESPECT**
**EQUAL OPPORTUNITIES**
 LGC strongly believes that every job applicant and employee should be valued for their individual talents regardless of age, disability, race, color, ethnic or national origin, sex, sexual orientation, gender reassignment, marital or civil partnership, pregnancy or maternity, religion, or belief. Short listing, interviewing and selection will always be carried out without regard to gender, sexual orientation, marital status, color, race, nationality, ethnic or national origins, religion or belief, age, or trade union membership.
 For more information about LGC, please visit our website www.lgcgroup.com
**\#scienceforasaferworld**</t>
        </is>
      </c>
    </row>
    <row r="105">
      <c r="A105" t="inlineStr">
        <is>
          <t>li-4369615923</t>
        </is>
      </c>
      <c r="B105" t="inlineStr">
        <is>
          <t>Data Scientist, Sr.</t>
        </is>
      </c>
      <c r="C105" t="inlineStr">
        <is>
          <t>Patreon</t>
        </is>
      </c>
      <c r="D105" t="inlineStr">
        <is>
          <t>linkedin</t>
        </is>
      </c>
      <c r="E105">
        <f>HYPERLINK("https://www.linkedin.com/jobs/view/4369615923", "https://www.linkedin.com/jobs/view/4369615923")</f>
        <v/>
      </c>
      <c r="F105" t="inlineStr"/>
      <c r="G105" t="inlineStr"/>
      <c r="H105" t="inlineStr"/>
      <c r="I105" t="inlineStr">
        <is>
          <t>**About The Company**
 Patreon is a leading media and community platform dedicated to empowering creators and connecting them with their fans. With over 300,000 creators utilizing the platform, Patreon offers a diverse range of engagement tools including paid memberships, free memberships, community chats, live video sessions, and direct sales through one\-time purchases. Since its inception, Patreon has generated over $10 billion for creators, supporting a vibrant ecosystem of artists, writers, musicians, and other content creators. The platform has facilitated over 100 million free memberships and currently hosts more than 25 million paid memberships, making it a pivotal player in the creator economy. The company's mission is straightforward: to fund the creative class and foster sustainable creative careers. With a commitment to innovation and community, Patreon continues to invest heavily in building the best creator platform supported by a talented team dedicated to transforming the creator economy.
**About The Role**
 We are seeking a highly skilled Senior Data Scientist to join our team in New York or San Francisco, working on a hybrid model requiring in\-office presence two days per week. In this role, you will collaborate closely with cross\-functional teams to develop product features that enhance creators’ ability to monetize their memberships effectively. Your primary responsibilities will include conducting quantitative research to inform product strategy, designing and tracking key metrics, and devising experiments to test hypotheses. You will work alongside our machine learning and data engineering teams to develop minimum viable products (MVPs) and data\-driven solutions that directly impact our platform’s growth and user engagement.
 You will be responsible for translating complex data into actionable insights, communicating findings clearly to technical and non\-technical stakeholders, including executive leadership. As a cultural and technical leader on the data science team, you will foster a collaborative environment, mentor junior team members, and contribute to the continuous improvement of our data practices. Your work will help shape the future of Patreon’s product offerings and support our mission to empower creators worldwide.
**Qualifications**
* Bachelor’s degree in Statistics, Economics, Engineering, Mathematics, or a related quantitative field, or equivalent practical experience
* Extensive experience supporting product teams with data\-driven decision\-making
* Expertise in experimentation design and statistical inference
* Strong analytical thinking with the ability to interpret data in real\-world contexts
* Proficiency in SQL and experience with Python or R for statistical analysis
* Experience balancing speed and accuracy in data analysis
* Proven ability to build strong relationships with cross\-functional teams including product, engineering, research, and design
* Growth mindset with a continuous learning attitude
* Exceptional communication skills, with a focus on clarity and simplicity
**Responsibilities**
* Collaborate with product teams to develop features that improve creator monetization strategies
* Conduct quantitative research to identify opportunities and inform product development
* Design and implement metrics to monitor progress towards goals
* Develop experiments and testing frameworks to validate hypotheses
* Work closely with machine learning and data engineering teams to build MVP data products
* Translate complex data insights into clear, actionable recommendations for stakeholders
* Communicate findings effectively across technical and non\-technical audiences, including executive leadership
* Mentor junior data scientists and foster a collaborative team environment
* Continuously evaluate and improve data practices, tools, and methodologies
**Benefits**
* Competitive salary and equity plans
* Comprehensive healthcare coverage
* Flexible time off policies, including company holidays and recharge days
* Commuter benefits and lifestyle stipends
* Learning and development stipends to support professional growth
* Patronage programs supporting creative pursuits
* Generous parental leave policies
* 401(k) plan with matching contributions
 Equal Opportunity
 Patreon is proud to be an equal opportunity employer. We are committed to fostering an inclusive environment where all employees and applicants are treated with respect and dignity. We do not discriminate based on age, race, color, ancestry, national origin, religion, disability, sex, gender identity or expression, sexual orientation, veteran status, or any other protected class. We encourage candidates from diverse backgrounds to apply. If you require a reasonable accommodation during the interview process,</t>
        </is>
      </c>
    </row>
    <row r="106">
      <c r="A106" t="inlineStr">
        <is>
          <t>li-4360594587</t>
        </is>
      </c>
      <c r="B106" t="inlineStr">
        <is>
          <t>Data Scientist</t>
        </is>
      </c>
      <c r="C106" t="inlineStr">
        <is>
          <t>Raft</t>
        </is>
      </c>
      <c r="D106" t="inlineStr">
        <is>
          <t>linkedin</t>
        </is>
      </c>
      <c r="E106">
        <f>HYPERLINK("https://www.linkedin.com/jobs/view/4360594587", "https://www.linkedin.com/jobs/view/4360594587")</f>
        <v/>
      </c>
      <c r="F106" t="inlineStr"/>
      <c r="G106" t="inlineStr">
        <is>
          <t>Colorado Springs, CO</t>
        </is>
      </c>
      <c r="H106" t="inlineStr"/>
      <c r="I106" t="inlineStr">
        <is>
          <t>**This is a U.S. based position. All of the programs we support require** 
**U.S. citizenship to be eligible for employment. All work must be conducted within the continental U.S.**
**Who we are:**
 Raft (https://TeamRaft.com) is a customer\-obsessed non\-traditional small business with a purposeful focus on Distributed Data Systems, Platforms at Scale, and Complex Application Development, with headquarters in McLean, VA. Our range of clients includes innovative federal and public agencies leveraging design thinking, cutting\-edge tech stack, and cloud\-native ecosystem. We build digital solutions that impact the lives of millions of Americans.
**About the role:**
 As a Data Scientist, you will work in cross\-functional teams with data at all stages of the analysis lifecycle to derive actionable insight. You will analyze available data sets and translate mission needs into an end\-to\-end analytical approach to achieve results and perform the pre\-analytics areas of data collection and understanding, data cleansing and integration, and data storage and retrieval. You will also support the development, learning and fielding of learned models and similar artificial intelligence techniques enabling the effective data to information to knowledge pipelines of applicable data sets.
**What you will do:**
* Determine the appropriate analytics based on the data and the desired outcomes, using techniques including feature detection, statistics, data mining, predictive modeling, machine learning, natural language processing, and business intelligence.
* Analyze and map potential data sets to mission value as applied to specific customer needs and outcomes.
* Interpret the validity of results and communicates the meaning of those results.
**What we are looking for:**
* Bachelor’s degree with 18\+ years of related experience, or Master’s degree with 16\+ years, or PhD with 15\+ years.
* Has familiarity with data wrangling, analytics, and visualization software and programming languages, including analytics methods for big data.
* Follows a scientific approach to generate value from data, verifying results at each step.
**Highly preferred:**
* Experience supporting DoD, federal, or classified software programs.
* Advanced degrees in data science, statistics, or related fields. Experience with big data platforms and tools.
* Knowledge of scientific research methodologies and result validation techniques
* Familiarity with systems engineering processes and documentation.
* Exposure to DevSecOps, CI/CD pipelines, or modern software delivery practices.
* Familiarity with DoD cloud deployment environments and tooling (i.e. AWS, Azure).
* Mentorship of junior engineers or informal technical leadership experience.
**Clearance Requirements:**
* Active Top Secret with SCI
**Work Type:**
* Onsite in Colorado Springs, CO or Arlington, VA
* May require up to 15% travel
**Salary Range** 
 :
* $160,000 \- $220,000
* The determination of compensation is predicated upon a candidate's comprehensive experience, demonstrated skill, and proven abilities
**What we will offer you:**
* Highly competitive salary
* Fully covered healthcare, dental, and vision coverage
* 401(k) and company match
* Take as you need PTO \+ 11 paid holidays
* Education \&amp; training benefits
* Generous Referral Bonuses
* And More!
**Our Vision Statement:**
 We bridge the gap between humans and data through radical transparency and our obsession with the mission.
**Our Customer Obsession:**
 We will approach every deliverable like it's a product. We will adopt a customer\-obsessed mentality. As we grow, and our footprint becomes larger, teams and employees will treat each other not only as teammates but customers. We must live the customer\-obsessed mindset, always. This will help us scale and it will translate to the interactions that our Rafters have with their clients and other product teams that they integrate with. Our culture will enable our success and set us apart from other companies.
**How do we get there?**
 Public\-sector modernization is critical for us to live in a better world. We, at Raft, want to innovate and solve complex problems. And, if we are successful, our generation and the ones that follow us will live in a delightful, efficient, and accessible world where out\-of\-box thinking, and collaboration is a norm.
 Raft’s core philosophy is
 **Ubuntu: I Am, Because We are** 
 . We support our
 *“nadi”* 
 by elevating the other Rafters. We work as a hyper collaborative team where each team member brings a unique perspective, adding value that did not exist before. People make Raft special. We celebrate each other and our cognitive and cultural diversity. We are devoted to our practice of innovation and collaboration.
**We’re an equal opportunity employer. All applicants will be considered for employment without attention to race, color, religion, sex, sexual orientation, gender identity, national origin, veteran or disability status.**</t>
        </is>
      </c>
    </row>
    <row r="107">
      <c r="A107" t="inlineStr">
        <is>
          <t>li-4349445492</t>
        </is>
      </c>
      <c r="B107" t="inlineStr">
        <is>
          <t>Data Scientist - Energy Trading</t>
        </is>
      </c>
      <c r="C107" t="inlineStr">
        <is>
          <t>Expand Energy</t>
        </is>
      </c>
      <c r="D107" t="inlineStr">
        <is>
          <t>linkedin</t>
        </is>
      </c>
      <c r="E107">
        <f>HYPERLINK("https://www.linkedin.com/jobs/view/4349445492", "https://www.linkedin.com/jobs/view/4349445492")</f>
        <v/>
      </c>
      <c r="F107" t="inlineStr"/>
      <c r="G107" t="inlineStr">
        <is>
          <t>Spring, TX</t>
        </is>
      </c>
      <c r="H107" t="inlineStr"/>
      <c r="I107" t="inlineStr">
        <is>
          <t>Our core values — Stewardship, Character, Collaborate, Learn, Disrupt — are the lens through which we evaluate every business decision. As a dynamic, growing company that offers extremely competitive compensation and benefits, our employees are our most valued assets and the foundation of Expands performance among our E\&amp;P competitors.
 We seek applicants from all backgrounds to ensure we get the best, most creative talent on our team. We realize that, historically, underrepresented groups feel the need to be 100% qualified in order to apply. If you meet any combination of our requirements, we encourage you to apply. We strive to hire people from a wide variety of backgrounds, not just because it’s the right thing to do, but because it makes our company stronger.
**Job Summary**
 This isn't about maintaining existing systems \- you'll be architecting the analytical foundation that spots major market shifts or dislocations and drives real commercial value. You'll lead the development of sophisticated models and analytical frameworks across natural gas, LNG, power, and related commodities while shaping the data strategy that supports critical trading decisions. The role combines hands\-on advanced modeling with strategic thinking about data acquisition and architecture, with the autonomy to steer the ship and move quickly as both you and the business scale up. Reporting structure within Fundamental \&amp; Quantitative Analytics team will be determined based on team composition and individual experience levels.
**Job Duties \&amp; Responsibilities**
* Lead end\-to\-end advanced modeling initiatives from identifying data needs and acquisition strategies (vendor sources, web scraping, internal systems, unstructured data) through to deployment of production models
* Develop and implement sophisticated analytical techniques including machine learning, time series forecasting, optimization models, and statistical analysis to address critical business themes with speed and accuracy
* Serve as the technical visionary for applying novel analytical techniques and emerging technologies including machine learning, artificial intelligence, and large language models to energy commodity challenges
* Collaborate closely with the Lead Data Engineer to develop integrated data strategy that supports both current analytical needs and cutting\-edge technological applications
* Collaborate closely with data engineers and analysts to translate complex business requirements into technical data solutions, ensuring seamless integration from data acquisition to model deployment
* Drive rapid response capabilities for market analysis, developing models and insights that can quickly adapt to changing market conditions and emerging opportunities
* Build and maintain advanced analytical outputs including predictive models, risk assessment tools, optimization algorithms, and real\-time monitoring systems
* Automate and streamline analytic processes and products
* Establish best practices for modeling processes (e.g. technical documentation, code review, version control, etc.)
* Partner with the Director and analytics team members, traders, and commercial stakeholders to identify high\-impact analytical opportunities and translate findings into actionable business intelligence
* Contribute to establishing best practices for model development, validation, and deployment while mentoring junior team members on advanced analytical techniques
**Job Specific Skills**
* Strong background in machine learning, statistical modeling, optimization, and time series analysis with proven ability to apply these techniques to real\-world business problems
* Proficiency with advanced analytical tools including Python/R, SQL, machine learning frameworks (scikit\-learn, TensorFlow, PyTorch), and cloud computing platforms
* Experience with diverse data acquisition and integration methods including APIs, web scraping; database management, schema development, and application of metadata layers; and working with both structured and unstructured data sources
* Strong understanding of data architecture principles and ability to contribute to strategic decisions about data storage, processing, and modeling infrastructure, including cloud compute solutions (Snowflake experience preferred but not required)
* Energy commodity market knowledge or demonstrated ability to quickly develop deep domain expertise in complex technical markets
* Excellent communication skills with ability to translate complex analytical concepts into clear business insights for both technical and non\-technical stakeholders
**Education**
 Minimum: High school diploma or GED
 Preferred: Bachelor’s degree \- from accredited university \- Mathematics, Statistics, Analytics, Engineer, Computer Science, or related field
 Preferred: Master’s degree \- from accredited university
**Experience**
 Minimum: 2 \- 5 years related work experience
 Prior or current data science, quantitative analysis, or related technical roles with demonstrated expertise in advanced modeling techniques
**Additional Qualifications**
* Natural Gas Market Experience: Experience with natural gas market fundamentals including basis trading, pipeline systems, storage dynamics, and location\-specific pricing datasets. Candidates from adjacent markets (power, crude oil, financial commodities) with strong analytical aptitude will be considered
* Energy Trading Background: Experience at energy trading firms, commodity companies, or related commercial energy organizations with understanding of market dynamics and trading applications
* Advanced Technical Skills: Experience with optimization software (Gurobi, CPLEX), advanced time series methods, or specialized domain modeling techniques
* Data Strategy Experience: Track record of contributing to or leading data architecture decisions, platform selection, or analytical infrastructure development
* Cross\-Functional Leadership: Experience working across technical and business teams to drive analytical initiatives from conception to implementation
* Real\-Time Analytics: Experience developing models and systems that support time\-sensitive business decisions or trading applications
* Emerging Technologies: Experience with or strong interest in applying novel technologies including large language models, advanced AI techniques, or cutting\-edge analytical methods to business applications
 Expand Energy takes necessary action to ensure that all applicants are treated without regard to their race, color, religion, sex, sexual orientation, age, gender identity, national origin, genetic information, disability, pregnancy, military or veteran status or any other protected characteristic as established by law.
 Expand Energy Corporation's operations are focused on discovering and developing its large and geographically diverse resource base of unconventional oil and natural gas assets onshore in the United States.
**Nearest Major Market:** 
 Houston
**Job Segment:** 
 Pipeline, Cloud, Quantitative Analyst, Statistics, Data Architect, Energy, Technology, Data</t>
        </is>
      </c>
    </row>
    <row r="108">
      <c r="A108" t="inlineStr">
        <is>
          <t>li-4360576130</t>
        </is>
      </c>
      <c r="B108" t="inlineStr">
        <is>
          <t>Data Scientist - Risk and Trading (Daily Fantasy Sports)</t>
        </is>
      </c>
      <c r="C108" t="inlineStr">
        <is>
          <t>Sleeper</t>
        </is>
      </c>
      <c r="D108" t="inlineStr">
        <is>
          <t>linkedin</t>
        </is>
      </c>
      <c r="E108">
        <f>HYPERLINK("https://www.linkedin.com/jobs/view/4360576130", "https://www.linkedin.com/jobs/view/4360576130")</f>
        <v/>
      </c>
      <c r="F108">
        <f>HYPERLINK("https://jobs.ashbyhq.com/sleeper/c3193c80-c44f-4cb5-8792-a456397cf99e?src=Careers+Site&amp;urlHash=UBhe", "https://jobs.ashbyhq.com/sleeper/c3193c80-c44f-4cb5-8792-a456397cf99e?src=Careers+Site&amp;urlHash=UBhe")</f>
        <v/>
      </c>
      <c r="G108" t="inlineStr"/>
      <c r="H108" t="inlineStr"/>
      <c r="I108" t="inlineStr">
        <is>
          <t>**About Sleeper**
 Sleeper is one of the fastest growing sports platforms in the US. As the leader in Fantasy Sports, Sleeper’s product portfolio includes a variety of free\-to\-play Fantasy Sports and real money Daily Fantasy Sports (“DFS”) games and applications. Our growing list of titles spans a diverse range of sports leagues, including the NFL, NBA/WNBA, MLB, NHL, EURO, and other soon\-to\-be released offerings.
 We are seeking a Data Scientist with relevant DFS or Sportsbook experience to help support our risk and trading function.
**Responsibilities**
* Support risk and liability management with respect to Sleeper’s DFS operations, conducting data analysis and modeling to identify trends, patterns, and insights.
* Develop predictive models and algorithms to better understand Sleeper’s real\-time liability, including risk exposure related to specific markets and events.
* Conduct data wrangling, processing and cleaning operations, and design processes, as well as tools for monitoring and analyzing performance and accuracy.
* Monitor all pricing for real\-time odds, active player statistics markets, breaking news, and other relevant information to make real\-time market adjustments / suspensions, while also ensuring that data flows from external partners are being recorded timely and accurately.
* Build out user risk profiles, staying close to behavior patterns and trends, and collaborate with product and engineering teams to enhance personalization within our DFS ecosystem.
* Automate risk and trading processes to scale for growth in users, sports, and markets in support of all game operations, and contribute to research and innovation for this function as a whole.
**Qualifications:**
* Background in computer science, data science, machine learning, mathematics/statistics, or a similar field with related experience. Comfortable working with and analyzing large data sets.
* In\-depth knowledge of DFS, sports betting, player props, handicapping, expected value, and closing line value. Ideal candidates have extensive experience with high volumes of DFS/sports betting and real money games, either as a trader, \+EV bettor, and/or oddsmaker.
* Proactive – ready to hit the ground running; excited about the idea of building out processes from scratch, and not afraid to break the “sports trading mold”, challenging how the industry has historically approached risk management and trading.
* Comfortable working “off hours” to align with peaks in the sports calendar. This will often include nights and weekends. We are generally quite flexible and will work with you to ensure an appropriate work/life balance is molded around game schedules.
* Knowledge of SQL, Python, and/or related software/tools, and familiarity in working with databases, data warehouses, data visualizations and report building.
* Experience with player performance metrics, game outcome predictions, in\-game event modeling, as well as working with real\-time sports data feeds and APIs.
**Additional Information**
 We believe in fair and equitable pay. Certain locations in the United States require job postings to include a reasonable estimate of the base salary range and/or a general description of benefits and other compensation applicable to the role.
 For this role, in this particular location, a reasonable estimate of the base salary range for new hires is between $75,000 USD to $150,000 USD, plus benefits including Medical, Dental, PTO, and 401k.
 Please note that the salary range for this role takes into account a wide range of factors that are considered in making compensation decisions including, but not limited to, skill sets; experience and training; licensure and certifications; and other business and organizational needs.
 The policy of Sleeper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Sleeper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sending an email to jobs@sleeper.app.
 Headquartered in Las Vegas, NV, Sleeper is backed by Silicon Valley’s top investors, including Andreessen Horowitz, General Catalyst, and Expa.
 To learn more, visit us online at: www.sleeper.com</t>
        </is>
      </c>
    </row>
    <row r="109">
      <c r="A109" t="inlineStr">
        <is>
          <t>li-4362718662</t>
        </is>
      </c>
      <c r="B109" t="inlineStr">
        <is>
          <t>Data Scientist (Levels II-IV) - REMOTE</t>
        </is>
      </c>
      <c r="C109" t="inlineStr">
        <is>
          <t>E Source</t>
        </is>
      </c>
      <c r="D109" t="inlineStr">
        <is>
          <t>linkedin</t>
        </is>
      </c>
      <c r="E109">
        <f>HYPERLINK("https://www.linkedin.com/jobs/view/4362718662", "https://www.linkedin.com/jobs/view/4362718662")</f>
        <v/>
      </c>
      <c r="F109">
        <f>HYPERLINK("https://www.paycomonline.net/v4/ats/web.php/portal/D091157AE56F3B54E83C2790C96E526E/jobs/454010?src=LinkedIn&amp;urlHash=1kG3", "https://www.paycomonline.net/v4/ats/web.php/portal/D091157AE56F3B54E83C2790C96E526E/jobs/454010?src=LinkedIn&amp;urlHash=1kG3")</f>
        <v/>
      </c>
      <c r="G109" t="inlineStr"/>
      <c r="H109" t="inlineStr"/>
      <c r="I109" t="inlineStr">
        <is>
          <t>Are you an experienced data scientist looking to join an industry\-leading team?
 E Source develops groundbreaking data science applications that change the way utilities understand and manage their networks. We tackle challenging projects like simulating major investment strategies across statewide electric networks and optimizing vegetation management strategies. To conduct these projects, we leverage a combination of machine\-learning models, inference\-based statistics, and remote\-sensing applications. Each project or product is collaboratively developed in\-house by a data science team of diverse professional backgrounds and domain expertise. Ultimately, our work helps utilities keep the lights on for their customers when they need it most.
**A Little About E Source**
 E Source combines industry\-leading research, data science, and consulting to help utilities make and implement better data\-driven decisions that positively impact their customers, their bottom line, and our planet. Headquartered in Boulder, CO, we have teams across the US and Canada. Learn more at www.esource.com.
**How You’ll Help**
* Fit and assess predictive models leveraging geospatial data sources in R or Python.
* Explore and analyze client\-provided assets and reliability data sets.
* Collaborate with a broader data science and engineering team to take projects and products from inception to client delivery.
 You’ll be a full\-time member of the E Source Data Science team. Our data science positions appeal to self\-starters who welcome and excel in team\-based, collaborative projects from conception to end\-user handoff, providing excellent customer experience throughout. The ability to simplify complex analyses into understandable concepts that are applicable to management and operations staff is highly desired.
**Required Qualifications**
**What will make you a great fit:**
* Education: MS or PhD in Engineering, Math, Statistics, or similar field of study.
* Experience:
* MS \+ 1 year professional experience conducting data science projects in industry or applied research – analytical design, managing schedule and communicating results to stakeholders or
* PhD with applied research in above mentioned fields of study.
* Hands on experience cleaning, joining, and analyzing real\-world data sets using predictive models (statistical, machine learning) in R and/or Python.
* Experience working as part of a larger data science team, collaborating with technical or non\-technical peers, and presenting interpretable results to stakeholders.
**Preferred Qualifications**
* Domain expertise in the electric utility space
* Domain expertise in geospatial analytics or using remotely sensed weather observations
* Experience leading and overseeing the work of data analysists or data scientists within a team
**What You Can Expect**
* Excellent insurance options, including medical, dental, and vision plans; company\-paid life insurance; company\-paid long\- and short\-term disability insurance; and medical and dependent\-care flexible spending plans.
* A flexible time off (FTO) program where you can take as many paid days off per year as they need, with manager approval, while fulfilling their work obligations and ensuring proper coverage of their responsibilities.
* Flexible schedules, flexible work locations, and a paid parental leave benefit.
* A 401(k)/RRSP plan with a 3% employer match.
 We are hiring between Levels II\-IV for this position.
**The Budgeted Salary For This Position Is**
**$90,000 to $145,000 USD \+ annual bonus.**
 Actual pay will be adjusted based on experience.
 This role will be 100% remote, with infrequent travel (generally 1\-2 times per year).
 Applicants must be authorized to work for any employer in the US or Canada. We’re unable to sponsor or take over sponsorship of employment visas or Labour Market Impact Assessments (Cdn) at this time.
 All qualified applicants will receive consideration for employment without regard to race, color, religion, sex, sexual orientation, gender identity, national origin, disability, or status as a protected veteran.
 Employees of E Source are encouraged to apply. To foster a positive work environment and company culture, we support our employees in their career growth at E Source. If you are interested in similar job opportunities in the future, visit the E Source careers page for a listing of all open positions and contact Human Resources.
 We contact applicants directly via email using only our designated company email addresses with the domain of @esource.com. Please do not provide personal information to anyone over email and be wary of other accounts impersonating businesses.</t>
        </is>
      </c>
    </row>
    <row r="110">
      <c r="A110" t="inlineStr">
        <is>
          <t>li-4369707299</t>
        </is>
      </c>
      <c r="B110" t="inlineStr">
        <is>
          <t>Operations Data Scientist Ops</t>
        </is>
      </c>
      <c r="C110" t="inlineStr">
        <is>
          <t>Paylocity</t>
        </is>
      </c>
      <c r="D110" t="inlineStr">
        <is>
          <t>linkedin</t>
        </is>
      </c>
      <c r="E110">
        <f>HYPERLINK("https://www.linkedin.com/jobs/view/4369707299", "https://www.linkedin.com/jobs/view/4369707299")</f>
        <v/>
      </c>
      <c r="F110" t="inlineStr"/>
      <c r="G110" t="inlineStr"/>
      <c r="H110" t="inlineStr"/>
      <c r="I110" t="inlineStr">
        <is>
          <t>Job Type
 Full\-time
**Description**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Help our award\-winning technology company run effectively as you take on big challenges and find solutions with a position in Operations.
 Use your problem\-solving skills to shape the way others see Paylocity. Launch your career with us!
**Fully Remote (U.S. Only):**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or schedule expectations, as necessary.
**Position Overview**
 The Operations Data Scientist Ops will support the development, optimization, and deployment of machine learning models that drive operational decision\-making. Working closely with senior team members, engineering partners, and cross\-functional operations stakeholders, this role will help translate business challenges into scalable data science solutions using modern ML and cloud technologies.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Under guidance from senior team members and leadership, select features, build, and optimize models using ML techniques (time series, regression, random forests, gradient boosting, neural networks, gen AI)
* Leverage big data cloud technologies
* Collaborate across Operations to translate business challenges into data science projects
* Create automated data and modeling pipelines and develop performance tracking
* Work closely with data engineers to deliver ML software features
* Conduct ad\-hoc analyses and/or present modeling results clearly to operations stakeholders
* Perform exploratory data analysis (EDA) to understand data quality, patterns, and relationships.
* Engineer new features to improve model performance.
* Document modeling steps, assumptions, pipelines, and decision logic.
* Create reproducible notebooks or technical documentation.
* Ensure models comply with data governance, privacy, and ethical AI standards.
* Participate in model risk reviews when applicable.
* Explore new algorithms, tools, and techniques.
* Build prototypes or proof\-of\-concept models for early validation
**Education And Experience**
* Bachelor’s degree with 3\+ years of data science experience, or an advanced Master’s or PhD) in a quantitative field.
* Experience writing production\-grade ML models in Python.
* Experience working with cloud data infrastructures (e.g., Azure, AWS, GCP).
* Demonstrated ability to translate business problems into structured data science solutions.
* Ability to work collaboratively within teams as well as independently on assignments.
**Preferred Skills**
* Experience with cloud development and MLOps practices.
* Commitment to staying current with emerging data science technologies and techniques.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LeaveBenefits@paylocity.com. This email address is exclusively designated for such requests, aligning with federal and state disability laws. Please do not send resumes to this email address, as they will be removed.
 The base pay range for this position is $92,400 \- $132,000; however, base pay offered may vary depending on job\-related knowledge, skills, and experience. This position offers a full range of benefits outlined here. This information is provided per the relevant state and local pay transparency laws for the location in which this position will be performed. Base pay information is based on market location. Applicants should apply via www.paylocity.com/careers.</t>
        </is>
      </c>
    </row>
    <row r="111">
      <c r="A111" t="inlineStr">
        <is>
          <t>li-4369309765</t>
        </is>
      </c>
      <c r="B111" t="inlineStr">
        <is>
          <t>Data Scientist</t>
        </is>
      </c>
      <c r="C111" t="inlineStr">
        <is>
          <t>Old Dominion Freight Line</t>
        </is>
      </c>
      <c r="D111" t="inlineStr">
        <is>
          <t>linkedin</t>
        </is>
      </c>
      <c r="E111">
        <f>HYPERLINK("https://www.linkedin.com/jobs/view/4369309765", "https://www.linkedin.com/jobs/view/4369309765")</f>
        <v/>
      </c>
      <c r="F111" t="inlineStr"/>
      <c r="G111" t="inlineStr">
        <is>
          <t>Thomasville, NC</t>
        </is>
      </c>
      <c r="H111" t="inlineStr"/>
      <c r="I111" t="inlineStr">
        <is>
          <t>Are you someone who never rests on their laurels, always strives to go above and beyond, and is committed to keeping your
 **PROMISES** 
 ? Do you appreciate a company culture that is open, fosters work\-life balance, and a dynamic team environment? Then Old Dominion is the home for you. We take pride in being the best in the industry, and from our humble beginnings we know that our
 **People** 
 and our
 **Family Spirit** 
 are the main ingredient in our secret sauce to success. At Old Dominion we are looking for individuals to join the OD Family that will provide innovative solutions and exceed expectations to keep OD the premier transportation solutions provider.
 The position requires the use of Juypter Notebook to automate many manual tasks that the department currently completes. As part of this role we will look at current suites of analytics and work towards improving quality while removing false positives inside of actionable data. This position is project based and typically works on 1\-3 assigned projects per week. Those projects with longer horizons and integrations will require excellent time management and project prioritization skills.
**Primary Responsibilities**
* Document and understand business use cases, determine, and analyze relevant data to draw fact\-based conclusions and recommend actions
* Collaborate with data modelers, analysts, and developers to ensure quality analytic products
* Write and present findings to Operations Systems, technology, and business leadership
* Learn, analyze, and reconcile information builder’s products
* Work with UI/UX mock\-ups of reports or dashboards
* High quality professional day\-to\-day execution of engagements and special projects
**Job Qualifications**
 Education:
* Bachelor’s degree in Data Science, Accounting, Finance, Business Analytics, or Information Systems
* Strong proficiency in Microsoft Word, Excel, PowerPoint, and SQL with a general understanding of data analysis techniques
* Master's degree or above in Data Science, Accounting, Finance, Business Analytics, and/or Information Systems from an accredited college/university preferred
 Experience:
* Working knowledge of R, R Stat, Python (Juypter Notebook), or similar statistical analytic tool(s)
* Relevant experience preferred
* Ability to participate within a multi\-disciplinary team as well as acting autonomously as appropriate
* Demonstrated proficiency with project completion
* Strong interpersonal and time management skills
* Excellent verbal and written communication skills
* Strong analytical and quantitative abilities with excellent written and verbal communications
**Working Days:** 
 Shift and hours to be determined.
**Working Shift:** 
 Shift and hours to be determined.
 Work Days and Shift are estimates and are subject to change, at any given time, based on job scheduling and/or business levels. Any information listed regarding Days and Shifts shall be considered a guideline of expectations for the specific position at the time of posting.
 Join the OD Family Today!
 As a Full Time member of our Family, you and your family are eligible to receive:
* Great Health Benefits including a Zero premium medical plan for employee only coverage
* Vision \&amp; Dental
* Short Term \&amp; Long Term Disability
* Flex Spending Accounts
* 401k Retirement plan with company match and additional company annual discretionary match opportunity
* Life Insurance
* Wellness Program
* Tuition Reimbursement for Drivers and Technicians
* Training and growth opportunities to build a career
* We prioritize our OD family of employees
* Ability to advance through our promote from within philosophy
* National Career Opportunities Available at our 260\+ service centers
 Old Dominion Freight Line, Inc. is an equal opportunity employer. All qualified applicants will receive consideration for employment without regard to race, color, religion, sex, national origin, gender identity, and/or gender expression, sexual orientation, age, disability, pregnancy, genetic information, military status, Vietnam Era and/or veteran status, or any other characteristic protected by applicable law(s).
 If you have questions regarding this posting or require assistance with the application process, please
 click here
 for contact information.</t>
        </is>
      </c>
    </row>
    <row r="112">
      <c r="A112" t="inlineStr">
        <is>
          <t>li-4369322012</t>
        </is>
      </c>
      <c r="B112" t="inlineStr">
        <is>
          <t>Staff Product Data Scientist</t>
        </is>
      </c>
      <c r="C112" t="inlineStr">
        <is>
          <t>griddable.io</t>
        </is>
      </c>
      <c r="D112" t="inlineStr">
        <is>
          <t>linkedin</t>
        </is>
      </c>
      <c r="E112">
        <f>HYPERLINK("https://www.linkedin.com/jobs/view/4369322012", "https://www.linkedin.com/jobs/view/4369322012")</f>
        <v/>
      </c>
      <c r="F112">
        <f>HYPERLINK("https://careers.salesforce.com/en/jobs/jr325992/staff-product-data-scientist/&amp;urlHash=oCgo", "https://careers.salesforce.com/en/jobs/jr325992/staff-product-data-scientist/&amp;urlHash=oCgo")</f>
        <v/>
      </c>
      <c r="G112" t="inlineStr"/>
      <c r="H112" t="inlineStr"/>
      <c r="I112" t="inlineStr">
        <is>
          <t>**Description**
 We are looking for a seasoned Data Science expert to help build a world\-class data science and analytics platform that supports and scales data\-driven product decision\-making.
 As a Staff Product Data Scientist, you will work closely with cross\-functional partners to proactively define the product landscape, derive insights from data, communicate key findings to product executives, and directly contribute to product strategy building and implementation. You’ll partner with Product, Design, and Engineering (PDE) to contribute directly to product development—shaping what we build, how we measure success, and when/how we iterate and improve.
 At Slack, we foster a positive, diverse, and supportive culture. We look for people who are curious, bold, and eager to improve every day. Our team values being smart, humble, hardworking, and above all, collaborative.
 What you will be doing
* Apply advanced data science techniques to analyze Slack product usage patterns, identifying what’s working, what’s not, and opportunities for improvement.
* Conduct evidence\-based evaluations to determine key drivers of Slack’s product growth.
* Define and report key success metrics, effectively communicating insights to Slack and Salesforce leadership to enable executive level decision making and follow\-ups.
* Synthesize insights across different product areas and business outcomes, identifying correlations and causal relationships that drive success.
* Serve as a domain expert in product data science, guiding best practices and advancing data science methodologies and operations.
* Champion evidence\-based decision\-making, making data and insights accessible and scalable for stakeholders at all levels.
 What you should have
* 5\+ years of experience in data science or quantitative analysis, preferably in technology product development or enterprise software.
* A related technical degree required.
* Expertise in at least one programming language for data science (e.g., Python, R).
* Experience working with large\-scale data technologies (e.g., Spark, Presto, Hive, Hadoop). Expertise in Apache Airflow is a strong plus.
* Strong communication skills. Able to translate complex technical results into clear, actionable insights.
* Cross\-functional collaboration and influencing skills, with a track record of impacting decisions at both strategic and executional levels.
* Experience designing and implementing advanced data models with scalability and efficiency.
* Experienced in applying advanced quant measurement techniques in a product development environment.
 For roles in San Francisco and Los Angeles: Pursuant to the San Francisco Fair Chance Ordinance and the Los Angeles Fair Chance Initiative for Hiring, Salesforce will consider for employment qualified applicants with arrest and conviction records.</t>
        </is>
      </c>
    </row>
    <row r="113">
      <c r="A113" t="inlineStr">
        <is>
          <t>li-4285597857</t>
        </is>
      </c>
      <c r="B113" t="inlineStr">
        <is>
          <t>Senior AI Data Scientist</t>
        </is>
      </c>
      <c r="C113" t="inlineStr">
        <is>
          <t>Electronic Arts (EA)</t>
        </is>
      </c>
      <c r="D113" t="inlineStr">
        <is>
          <t>linkedin</t>
        </is>
      </c>
      <c r="E113">
        <f>HYPERLINK("https://www.linkedin.com/jobs/view/4285597857", "https://www.linkedin.com/jobs/view/4285597857")</f>
        <v/>
      </c>
      <c r="F113" t="inlineStr"/>
      <c r="G113" t="inlineStr">
        <is>
          <t>Redwood City, CA</t>
        </is>
      </c>
      <c r="H113" t="inlineStr"/>
      <c r="I113"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Empowering players to create is an exciting future for the gaming industry. At Electronic Arts we have many examples of players creating content, whether it be a skateboard park in Skate or fantastical mansions in the Sims 4\. The future definitely has our players being more empowered to create with their imagination being the only limit.
 We are looking for a Data Scientist to help shape the future of content creation and gameplay with AI. If you have the right expertise and are interested we want to hear from you!
**As a Senior AI Data Scientist You Will**
* Build, fine\-tune and implement AI and machine learning models to solve challenging problems
* Ensure AI and machine learning production pipelines are scalable, repeatable and cloud agnostic
* Apply current and emerging techniques in deep learning, natural language processing and other machine learning areas
* Collect, clean, manage, analyze and visualize large sets of data using multiple data platforms, tools and technique
* Work in partnership with game teams to integrate AI solutions into products and services.
* Optimize and fine\-tune AI models for performance and scalability. Analyze and interpret data to extract meaningful insights and improve AI models.
* Document and present findings and solutions to stakeholders.
**Desired Qualifications And Experience**
* A minimum of 3\+ years of experience in data science
* PhD or MSc in statistics, mathematics, computer science, or related field
* Strong expertise in deep learning, fluent in Python and SQL
* Expertise in automating machine learning models and building end to end products
* Experience with devops tools and principles (Git, CI/CD, Docker)
* Effective within Cloud environments (GCP, AWS)
* Understanding of containerization and orchestration technologies (Docker, Kubernetes, etc.)
* C\+\+ and game development experience is a plus.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\*$138,700 \- $199,900 CAD
* California (depending on location e.g. Los Angeles vs. San Francisco) \*$160,600 \- $249,300 USD
* Washington (depending on location e.g. Seattle vs. Spokane) \*$149,200 \- $205,500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In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14">
      <c r="A114" t="inlineStr">
        <is>
          <t>li-4359089379</t>
        </is>
      </c>
      <c r="B114" t="inlineStr">
        <is>
          <t>Data Scientist I</t>
        </is>
      </c>
      <c r="C114" t="inlineStr">
        <is>
          <t>Zoro.com</t>
        </is>
      </c>
      <c r="D114" t="inlineStr">
        <is>
          <t>linkedin</t>
        </is>
      </c>
      <c r="E114">
        <f>HYPERLINK("https://www.linkedin.com/jobs/view/4359089379", "https://www.linkedin.com/jobs/view/4359089379")</f>
        <v/>
      </c>
      <c r="F114" t="inlineStr"/>
      <c r="G114" t="inlineStr">
        <is>
          <t>Chicago, IL</t>
        </is>
      </c>
      <c r="H114" t="inlineStr"/>
      <c r="I114" t="inlineStr">
        <is>
          <t>**Company Summary**
 Zoro.com is a leading eCommerce platform offering nearly 12 million tools, parts and supplies for our business customers. Launched in 2011, we brought a B2C\-like experience to the B2B industry, and continue to be at the forefront of digital innovation at the intersection of technology and distribution. We have rapidly grown to over $1 billion in annual revenue and we’re just getting started!
**Position Description:**
 As a Data Scientist at Zoro, you’ll apply your expertise in machine learning, statistical modeling, and data analysis to solve a variety of business challenges. From forecasting and customer segmentation to improving onsite search and recommendations, our team directly enhances our customers' experiences and informs critical business decisions. At Zoro, every day brings new challenges and opportunities to innovate.
**Duties and Responsibilities:**
* Build, validate, and deploy predictive and inference models using Python to support key business initiatives.
* Review relevant academic research and collaborate with other data scientists to identify and implement suitable algorithms.
* Partner with stakeholders to understand business objectives, gather requirements and design tailored data solutions.
* Write and maintain high\-quality code, including unit and integration tests.
* Debug production issues and update existing processes to meet evolving needs.
* Write clear documentation for transparency and maintainability.
* Communicate findings to business leaders and colleagues using visualizations, presentations, and reports.
**Minimum Qualifications:**
* Bachelor’s degree in a technical field (e.g., Data Science, Computer Science, Mathematics, Statistics, Physics, or Engineering).
* 2\+ years of experience in applied data analytics/data science or a master's degree in a relevant field.
* 2\+ years of experience utilizing Python for data exploration, visualization and predictive modeling.
* Demonstrated proficiency in SQL.
* Strong knowledge of statistical methods, hypothesis testing and regression analysis.
* Experience with deep learning frameworks, NLP and data mining techniques.
* Strong communication skills. Must be able to interact cross\-functionally and engage in both business and technical discussions.
**Preferred Qualifications:**
* Experience using data science in an internet retailer or a top\-tier consumer\-focused company.
* Experience with deep learning frameworks, LLMs, fine\-tuning, and evaluation tasks for LLMs.
* Domain knowledge and experience building models for recommendation or search systems.
* Experience using containerization tools like Docker and Kubernetes in production environments.
* Experience using orchestration tools such as Airflow or Kubeflow for production workloads.
* Experience with cloud\-hosted data platforms (AWS, Google Cloud Platform, etc.)
* Knowledge of web tracking technology and web analytics tools (Google Analytics, Adobe Analytics, etc.).
**Total Rewards**
 Zoro’s total compensation plan includes our Zoro Incentive Plan (ZIP) that is designed to foster and reward our team members for strong performance. Total compensation will be highly competitive.
 In addition to competitive compensation, Zoro offers comprehensive benefits and perks including:
* Medical, dental, vision, and life insurance plans with coverage starting on day one of employment
* Maternity support programs, nursing benefits, and up to 14 weeks paid leave for birth parents and up to 4 weeks paid leave for non\-birth parents. We also support growing your family through access to adoption assistance program
* 6 free sessions each year with a licensed therapist and Wellhub portal membership to support your mental and emotional wellbeing
* At least 18 paid time off days annually for full\-time employees and 6 company holidays per year
* 6% company contribution to a 401K Retirement Savings Plan each pay period, no employee contribution required
* Tuition reimbursement, student loan refinancing and access to financial counseling, education, and tools
* Charitable Gift Program \- match gift to an eligible educational, cultural, community health, and human service organizations
* Employee discounts and admission to various civic and cultural institutions around Chicago
* Zoro office perks including coffee bar, beer on tap, unlimited snacks, access to the onsite gym, and incredible city skyline views
 For additional information and details regarding our benefits and our parent company, W. W. Grainger, please click on the link here.
 The pay range provided is not a guarantee of compensation. The range listed reflects the expected base pay for this position at the time of posting, based on the role's job grade. Actual compensation may vary depending on factors such as location, relevant experience and individual qualifications.
 Illinois
 $70,200—$117,000 USD
**Our Culture**
 Zoro was founded in 2011 with a simple idea: make it easy for businesses to get the tools, parts, and supplies they need to keep things running. We've grown by staying curious, moving quickly, and solving everyday challenges in smart, practical ways. Backed by W.W. Grainger and inspired by our endless assortment business model, we’re on a clear path toward our next big milestone: $2 billion in revenue—and beyond.
 At Zoro, we don’t just follow a playbook—we help build it. You’ll get to work on real problems with a supportive team that shares ideas freely, learns from each other, and celebrates wins together. Our culture is grounded in values that guide how we show up every day:
 **Winning \&amp; Learning Together** 
 ,
 **Being Customer Obsessed** 
 ,
 **Being Transparent** 
 , and
 **Taking Ownership** 
 . We don’t have all the answers, but we’re always asking good questions.
 Zoro’s culture has been recognized by Fortune, Best Places to Work, and Built In Chicago—but the recognition we care about most comes from our team members, who make this place what it is.
 We also know that flexibility matters. Our hybrid work model gives you space to focus and the flexibility to live your life — asking team members to be onsite at least two days a week. Our Chicago HQ (right above Ogilvie Transportation Center in the Accenture Tower) is always open and ready for connection, collaboration, or just a good cup of coffee.
 At Zoro, we’re growing fast toward big aspirations — and we’re continuously excited about the new challenges we get to solve together.
*We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 We are also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t>
        </is>
      </c>
    </row>
    <row r="115">
      <c r="A115" t="inlineStr">
        <is>
          <t>li-4341742056</t>
        </is>
      </c>
      <c r="B115" t="inlineStr">
        <is>
          <t>Data Scientist/AI Engineer (Remote)</t>
        </is>
      </c>
      <c r="C115" t="inlineStr">
        <is>
          <t>YouGov</t>
        </is>
      </c>
      <c r="D115" t="inlineStr">
        <is>
          <t>linkedin</t>
        </is>
      </c>
      <c r="E115">
        <f>HYPERLINK("https://www.linkedin.com/jobs/view/4341742056", "https://www.linkedin.com/jobs/view/4341742056")</f>
        <v/>
      </c>
      <c r="F115">
        <f>HYPERLINK("https://yougov.wd103.myworkdayjobs.com/LinkedIn/job/New-York-United-States-of-America/AI-Data-Scientist\u002d\u002dRemote-_JR0199-2?source=LinkedIn&amp;urlHash=tEcN", "https://yougov.wd103.myworkdayjobs.com/LinkedIn/job/New-York-United-States-of-America/AI-Data-Scientist\u002d\u002dRemote-_JR0199-2?source=LinkedIn&amp;urlHash=tEcN")</f>
        <v/>
      </c>
      <c r="G115" t="inlineStr">
        <is>
          <t>New York, United States</t>
        </is>
      </c>
      <c r="H115" t="inlineStr"/>
      <c r="I115" t="inlineStr">
        <is>
          <t>**THE TEAM \&amp; THE JOB**
 We are seeking a talented and self\-motivated Data Scientist/AI Engineer to join our team. In this role, you will design, build, and deploy next generation AI\-driven tools for market research. You will work at the intersection of data science and AI engineering.
 We develop models and predictions using a combination of surveys, voter databases, census microdata, behavioral tracking and other sources. We handle the most difficult data problems at our company, including massive datasets, missing data, self\-selection, measurement error, fraud detection, attrition, and many more.
 This is a hands\-on role that requires both analytical and programming skills.
**What You Will Be Doing**
* Design and build AI\-powered applications to analyze, summarize, and generate insights from survey data.
* Develop and optimize prompts and chains.
* Build applications to simplify analytics and improve the efficiency of data processing.
* Work with structured and unstructured data
* Collaborate with data analysts, product managers, UI designers, and software developers to create great products.
* Contribute to model evaluation and performance tracking using both qualitative and quantitative metrics.
* Stay up to date with recent developments in AI and machine learning, including LLMs, embeddings, and RAG pipelines.
**KEY COMPETENCIES**
* Master’s or PhD in data science or related field.
* Hands\-on experience in data science roles.
* Proficiency in Python and/or R for data analysis, modelling, and visualization.
* Experience working with LLM APIs and building LLM\-based applications and frameworks.
* Experience with natural language processing, including topic modelling, text classification, and summarization.
* Ability to write clean, maintainable, well\-documented code.
 For roles based in California, New York, Colorado or Washington State, the base salary hiring range for this position is USD 152,383 \- USD 174,304\. Compensation offered will be determined by multiple factors including location, job\-related knowledge, skills and experience. Certain roles may be eligible for incentive compensation and additional benefits. All US based full time employees are eligible for the following benefits:
* Paid vacation, holidays and sick days
* Flexible working arrangement available
* Group medical, dental and vision insurance
* Company\-paid life and disability insurance
* Paid parental leave
* 401(k) with company match
**Why join YouGov?**
 Join our global team to help us achieve our social mission: to make millions of people’s opinions heard for the benefit of our local, national, and international communities.
 Understanding diversity of opinion requires diversity of background. Although our global panel of millions of people worldwide powers our research, our biggest asset is our people. If our research is to be truly representative of what the world thinks, we need people from all walks of life to be part of the team to bring their perspective to the work we do.
**Life at YouGov**
 We are driven by a set of shared values. We are fast, fearless, and innovative. We work diligently to get it right. We are guided by accuracy, ethics, and proven methodologies. We respect and trust each other, bringing these values into everything that we do.
 We strive to provide YouGovers with best\-in\-class benefits to support their physical, financial, and emotional wellbeing. We want our employees to have a sense of belonging and uniqueness in a supportive workplace, so they can bring their full selves to work.
**Equal Opportunity Employer**
 As an Equal Opportunity Employer, qualified applicants will receive consideration for employment without regard to race, color, religion, sex (including pregnancy, gender identity or expression, and sexual orientation), parental status, national origin, marital status, age, disability, genetic information, HIV status, political affiliation, socioeconomic background, veteran status or any other characteristic protected by law or in line with our responsibilities as a fair and ethic employer. All employment decisions are made based on occupational qualifications, merit, and business need.
**Data Privacy**
 To find out how we collect and use your personal data when you apply for a role at YouGov, please read our privacy notice at https://jobs.yougov.com/privacy</t>
        </is>
      </c>
    </row>
    <row r="116">
      <c r="A116" t="inlineStr">
        <is>
          <t>li-4369686658</t>
        </is>
      </c>
      <c r="B116" t="inlineStr">
        <is>
          <t>Data Scientist II - Consumer</t>
        </is>
      </c>
      <c r="C116" t="inlineStr">
        <is>
          <t>Coinbase</t>
        </is>
      </c>
      <c r="D116" t="inlineStr">
        <is>
          <t>linkedin</t>
        </is>
      </c>
      <c r="E116">
        <f>HYPERLINK("https://www.linkedin.com/jobs/view/4369686658", "https://www.linkedin.com/jobs/view/4369686658")</f>
        <v/>
      </c>
      <c r="F116" t="inlineStr"/>
      <c r="G116" t="inlineStr"/>
      <c r="H116" t="inlineStr"/>
      <c r="I116"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Data Science is an integral component of Coinbase’s product and decision making process: we work in partnership with Product, Engineering and Design to influence the roadmap and better understand our users. With a deep expertise in experimentation, analytics and advanced modeling, we produce insights which directly move the company’s bottom line.
 As a Data Scientist II in the consumer org, you'll apply these skills to improve the customer experience across Coinbase's consumer products—spot and advanced trading, yield, Coinbase One (CB1\), international expansion, and new launches (including prediction markets and equities trading). You'll define and instrument key metrics, build measurement and causal frameworks, and translate insights into product strategy and shipped improvements.
***What you'll be doing***
* Perform analyses on products to answer open\-ended questions and provide strategic recommendations.
* Design and guide experiments/analysis to measure impact and drive product improvements.
* Develop and maintain key metrics and reports, enhancing data infrastructure for better analysis.
***What we look for in you:***
* At least a BA/BS in a quantitative field (ex Math, Stats, Physics, or Computer Science) with ≥2\+ years of relevant experience.
* Experience driving impact for a digital product with an iterative development cycle.
* Understanding of statistical concepts and practical experience applying them (in A\|B testing, causal inference, ML, etc.).
* Experience in data analyses using SQL.
* Experience in programming/modeling in Python.
* Demonstration of our core cultural values: clear communication, positive energy, continuous learning, and efficient execution.
*Disclaimer: Applying for a specific role does not guarantee consideration for that exact position. Leveling and team matching are assessed throughout the interview process.* 
 ID: P75707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$152,405 USD \- $179,300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17">
      <c r="A117" t="inlineStr">
        <is>
          <t>li-4359013789</t>
        </is>
      </c>
      <c r="B117" t="inlineStr">
        <is>
          <t>Applied Scientist - Personalization and Recommendation</t>
        </is>
      </c>
      <c r="C117" t="inlineStr">
        <is>
          <t>OnePay</t>
        </is>
      </c>
      <c r="D117" t="inlineStr">
        <is>
          <t>linkedin</t>
        </is>
      </c>
      <c r="E117">
        <f>HYPERLINK("https://www.linkedin.com/jobs/view/4359013789", "https://www.linkedin.com/jobs/view/4359013789")</f>
        <v/>
      </c>
      <c r="F117" t="inlineStr"/>
      <c r="G117" t="inlineStr"/>
      <c r="H117" t="inlineStr"/>
      <c r="I117" t="inlineStr">
        <is>
          <t>**About OnePay**
 OnePay is the consumer fintech trusted by millions of Americans to make money better.
 Our financial system is broken. High fees, low rates, and too few ways to actually grow your money. We’re fixing it. And we’re moving fast.
 We’re an all\-in\-one financial services platform that brings together banking, high\-yield savings, credit cards, point\-of\-sale lending, investing, and crypto in one place. We also partner with employers, HCM providers, gig platforms, and others to deliver embedded financial services to millions of employees and frontline workers.
 We’re backed by Walmart, the world’s largest retailer, and Ribbit Capital, one of fintech’s most respected investors, giving us rare scale, distribution, and the opportunity to build something truly category\-defining.
 But What Really Sets OnePay Apart Is How We Move. Our Customers Don’t Have Time To Wait… And Neither Do We. This Place Moves Fast, And We’re Looking For People Who Are
* Ready to run
* Hungry and driven by urgency
* Exceptional at what they do, with low ego
* Comfortable operating in motion
**The Role**
 As An Applied Scientist At OnePay, You’ll Be At The Forefront Of Our AI And Machine Learning Innovation! You Will
* Design and deploy machine learning, deep learning, and LLM models that will shape our customer experience, drive business growth, and improve operational efficiency while collaborating closely with product, engineering, and analytics teams.
* Build intelligent AI agents that can reason, plan, and interact across workflows to enhance automation and decision\-making.
* Develop personalization and recommendation systems that deliver dynamic, user\-centric experiences across our product offerings.
* Design and optimize search and retrieval systems to improve discoverability, relevance, and user satisfaction.
**You Bring**
* Hands\-on expertise with 2 years of experience building and productionizing ML/AI models that deliver measurable business impact.
* Experience building and productionizing LLM\-powered applications, agentic systems, and traditional ML (ranking, recommendations, personalization).
* A strong technical background with a degree in Computer Science, Data Science, Applied Mathematics, or a related field.
* Fluency in collaborating with Product, Engineering, and Analytics teams to bring AI solutions from ideation to deployment.
* Drive and proactivity – everyone here is a builder and executor.
**What We Offer**
* Competitive base salary, stock options, and health benefits from Day 1
* 401(k) plan with company match
* Remote\-friendly (US), flexible time off (FTO), and opportunities for growth
* A high\-growth, mission\-driven, inclusive culture where your work has real impact
**Standard Interview Process**
* Initial Interview with Talent Partner
* Technical or Hiring Manager Interview
* Team Interview
* Executive Interview
* Offer!
 Standard Interview Process
* Initial Interview with Talent Partner
* Technical or Hiring Manager Interview
* Team Interview
* Executive Interview
* Offer!
 Equal Employment Opportunity
 To build technology and products that are used and loved by people and solve real\-world problems, we need to build a team with many different perspectives and experiences. We are an equal opportunity employer. We do not discriminate on the basis of race, religion, color, national origin, gender, sexual orientation, age, marital status, veteran status, or disability status. We encourage candidates from all backgrounds to apply. Applicants in need of special assistance or accommodation during the interview process or in accessing our website may contact us at talent@onepay.com.</t>
        </is>
      </c>
    </row>
    <row r="118">
      <c r="A118" t="inlineStr">
        <is>
          <t>li-4369178579</t>
        </is>
      </c>
      <c r="B118" t="inlineStr">
        <is>
          <t>Senior/Staff Data Scientist, Infrastructure</t>
        </is>
      </c>
      <c r="C118" t="inlineStr">
        <is>
          <t>Glean</t>
        </is>
      </c>
      <c r="D118" t="inlineStr">
        <is>
          <t>linkedin</t>
        </is>
      </c>
      <c r="E118">
        <f>HYPERLINK("https://www.linkedin.com/jobs/view/4369178579", "https://www.linkedin.com/jobs/view/4369178579")</f>
        <v/>
      </c>
      <c r="F118" t="inlineStr"/>
      <c r="G118" t="inlineStr"/>
      <c r="H118" t="inlineStr"/>
      <c r="I118" t="inlineStr">
        <is>
          <t>**About Glean**
 Founded in 2019, Glean is an innovative AI\-powered knowledge management platform designed to help organizations quickly find, organize, and share information across their teams. By integrating seamlessly with tools like Google Drive, Slack, and Microsoft Teams, Glean ensures employees can access the right knowledge at the right time, boosting productivity and collaboration. The company’s cutting\-edge AI technology simplifies knowledge discovery, making it faster and more efficient for teams to leverage their collective intelligence.
 Glean was born from Founder \&amp; CEO Arvind Jain’s deep understanding of the challenges employees face in finding and understanding information at work. Seeing firsthand how fragmented knowledge and sprawling SaaS tools made it difficult to stay productive, he set out to build a better way \- an AI\-powered enterprise search platform that helps people quickly and intuitively access the information they need. Since then, Glean has evolved into the leading Work AI platform, combining enterprise\-grade search, an AI assistant, and powerful application\- and agent\-building capabilities to fundamentally redefine how employees work.
**About The Role**
 Glean is building a world\-class data organization spanning data science, applied science, data engineering, and business analytics. This role sits within the Growth and Enterprise Readiness data science team, with a primary focus on pricing, billing, and enterprise usage, alongside broader time\-to\-value and deployment health metrics.
 In this role, you’ll work at the intersection of Product, Finance, Infrastructure, and Post\-Sales to ensure Glean’s pricing and enterprise experience are grounded in clear, trusted data.
**You Will**
* Become a deep expert in Glean’s product telemetry, billing data, and platform systems, partnering closely with Product, Finance, and Infrastructure to self\-serve insights
* Develop and evolve metrics that capture enterprise readiness, deployment health, and time\-to\-value, from initial rollout to sustained adoption
* Drive deployment and infrastructure cost optimization by analyzing usage patterns, workload drivers, and scaling behavior across customers.
* Partner with platform and infrastructure teams to model and optimize the economics of core systems such as connectors, indexing, and knowledge graph infrastructure, ensuring margins scale sustainably with usage growth
* Support pricing, packaging, and monetization decisions through thoughtful analysis of usage, consumption, and cost drivers
* Improve observability and data quality for billing and enterprise\-critical workflows, identifying gaps and driving alignment across systems
* Build analytics and models to support security and trust initiatives, including threat detection, abuse patterns, and monitoring for enterprise\-critical products
* Analyze and improve the cost efficiency of compute\-intensive workflows (eg: mining and indexing), identifying trade\-offs between product value, performance, and unit economics.
* Lead cross\-functional data science projects end\-to\-end, translating ambiguous problems into clear, actionable insights
* You will collaborate closely with Product Management, Engineering, Finance, Billing Operations, and GTM leadership to ensure Glean’s pricing, billing, and enterprise readiness strategies are grounded in high\-quality data and clear, trusted metrics.
**About You**
* 7\+ years of experience in a highly quantitative data science role, with a degree in Statistics, Mathematics, Computer Science, or a related field
* Strong proficiency in SQL and Python, and experience working with modern data stacks (e.g., dbt, analytics engineering pipelines)
* Experience analyzing nascent, complex datasets and translating them into clear, actionable insights
* A strong product and business mindset, with experience defining KPIs, guardrail metrics, and dashboards that influence decisions
* Solid grounding in statistics, including experimentation and non\-experimental methods
* Ability to independently own projects end\-to\-end, from problem framing to delivery
* Clear, concise communication skills, with the ability to explain complex analyses to both technical and non\-technical audience
* You have experience in B2B SaaS, especially in the enterprise AI space.
* You have a very strong sense of ownership and self\-motivation. You are laser\-focused on delivering business impact while growing as an individual along with Glean.
* You are good at managing evolving priorities while successfully delivering core initiatives.
* You have experience working with collaborators across large time zone differences.
**Location:**
* This role is hybrid (4 days a week in one of our SF Bay Area offices)
**Compensation \&amp; Benefits**
 The standard base salary range for this position is $175,000 \- $250,000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19">
      <c r="A119" t="inlineStr">
        <is>
          <t>li-4369706666</t>
        </is>
      </c>
      <c r="B119" t="inlineStr">
        <is>
          <t>CST Data Scientist II</t>
        </is>
      </c>
      <c r="C119" t="inlineStr">
        <is>
          <t>Jefferson Lab</t>
        </is>
      </c>
      <c r="D119" t="inlineStr">
        <is>
          <t>linkedin</t>
        </is>
      </c>
      <c r="E119">
        <f>HYPERLINK("https://www.linkedin.com/jobs/view/4369706666", "https://www.linkedin.com/jobs/view/4369706666")</f>
        <v/>
      </c>
      <c r="F119">
        <f>HYPERLINK("https://jefferson-lab.us.careers.hr/p/65e91fd07c6f4f16b160e4f59f48c5c1-cst-data-scientist-ii&amp;urlHash=MGUy", "https://jefferson-lab.us.careers.hr/p/65e91fd07c6f4f16b160e4f59f48c5c1-cst-data-scientist-ii&amp;urlHash=MGUy")</f>
        <v/>
      </c>
      <c r="G119" t="inlineStr">
        <is>
          <t>Newport News, VA</t>
        </is>
      </c>
      <c r="H119" t="inlineStr"/>
      <c r="I119" t="inlineStr">
        <is>
          <t>****Come join our team at Jefferson Lab, where great minds
 *matter* 
 .****
**Posting Date:** 
 02/05/2026
**Range:** 
 $89,800 \- $159,300 (SCS\-II)
**Work type:** 
 Remote (working less than 60% on\-site)
**What Your Job Will Be Like**
 You will work on all elements of the data science workflow (data preprocessing, analyzing data using exploratory mathematic and statistical technique, and developing and optimization models). Recommend various technology options or approaches for system and processes improvements in terms of performance, efficiency, cost or safety.
**In This Role You Will**
* Participate in the research and development of machine learning and data analysis
* Conduct technical data science research for climate and health disparity, nuclear physics experimental control, MLOps and in areas of interest to the projects
* Apply and develop methods to include uncertainty quantification
* Publish research results in highly visible, peer\-reviewed venues (conferences \&amp; journals)
* Develop and maintain high quality software for data science projects (machine learning \&amp; uncertainty quantification)
* Interact with internal and external researchers and domain scientists for collaboration purposes
* Participate and interact with funding clients, and potentially lead technical presentations on the work
**Education**
**Qualifications we require:**
* Bachelor's Degree Computer Science, Data Science, Applied Mathematics, Computer Engineering, or closely related field
* Education above the minimum may be substituted for experience
**Experience**
* 3 or more years relevant experience
* Experience with contributing and leading tasks on major projects with multi\-disciplinary teams
* AI/ML applications for particle accelerators
* Authoring publications utilizing Uncertainty Quantified machine learning methods like Gaussian Processes and Deep Quantile Regression
* Familiarity with data archived from the Experimental Physics and Industrial Control System (EPICS)
* Experience in AI/ML applications for polarized cryo\-targets and tokenization of physics data is preferred
**Knowledge, Skills And Abilities**
* Proficiency in Python and familiarity with publicly available technical libraries for data analytics (e.g. scikit\-learn), deep learning (e.g. Pytorch, Tensorflow) and optimization tools
* Ability to work with large datasets and mine relevant information for use in AI/ML applications
* Ability to develop approaches and solutions to complex problems in the forms of proposals, software, documents or other work products
* Strong interpersonal skills and ability to effectively work on project teams
* Strong mathematical skills including Numerical Linear Algebra
* Ability to lead and collaborate on work at the intersection of physics/accelerators and AI (Physics\-informed NNs, Inverse Problems) is preferred
**About Jefferson Lab**
 Join a community with a common purpose of solving the most challenging scientific and engineering problems of our time. The Jefferson Lab campus is located in southeastern Virginia amidst a vibrant and growing technology community.
 A career at Jefferson Lab is more than a job. You will be part of “big science” and work alongside top scientists and engineers from around the world unlocking the secrets of our visible universe. Managed by Jefferson Science Associates, LLC; Thomas Jefferson National Accelerator Facility is entering an exciting period of mission growth and is seeking new team members ready to apply their skills and passion to have an impact. You could call it work, or you could call it a mission. We call it a challenge. We do things that will change the world.
**Total Rewards at Jefferson Lab**
**Benefits**
 At Jefferson Lab, we believe that a comprehensive employee benefits program is an important and meaningful part of the compensation employees receive. Our benefits program includes, but is not limited to:
* Medical, Dental, and Vision Care Plans
* Flexible Spending Accounts
* Paid Time\-off and Leave Programs (Paid Parental, vacation, holidays, and sick leave)
* 401(k) Plan – 9% Lab Contribution; 100% vested
* Flexible Work Arrangements (Remote \&amp; Alternate Work Schedules available)
* Tuition Assistance, Training and Professional Development Programs
* Live near the waterways of the Chesapeake Bay region with access to nearby beaches, mountains, and all major metropolitan centers on the East Coast
 Jefferson Science Associates, LLC (JSA) manages and operates the Thomas Jefferson National Accelerator Facility (Jefferson Lab). JSA is an Equal Opportunity Employer.
 JSA is committed to providing reasonable accommodations for persons with disabilities (unless doing so will result in an undue hardship). If you need a reasonable accommodation for any part of the employment process, please send an e\-mail to recruiting @jlab.org or contact Human Resources by calling (757\) 269\-7100 and selecting option 1 between 8 am – 5 pm EST to provide the nature of your request.
 Employment with JSA is conditional upon DOE approval if at any time during your employment you are participating in a Foreign Government Talent Recruitment Program or Affiliated activity. Generally, such programs/activities include any foreign\-state\-sponsored attempt to acquire U.S.\-funded scientific research through programs run or funded by the government that target scientists, engineers, students, academics, researchers, and entrepreneurs of all nationalities working or educated in the United States. This includes positions or appointments, both domestic and foreign, titled academic, professional, or institutional appointments whether or not remuneration is received and whether full\-time, part\-time or voluntary.</t>
        </is>
      </c>
    </row>
    <row r="120">
      <c r="A120" t="inlineStr">
        <is>
          <t>li-4361014142</t>
        </is>
      </c>
      <c r="B120" t="inlineStr">
        <is>
          <t>Applied Data Scientist – Scientific Digital Transformation</t>
        </is>
      </c>
      <c r="C120" t="inlineStr">
        <is>
          <t>Momentive</t>
        </is>
      </c>
      <c r="D120" t="inlineStr">
        <is>
          <t>linkedin</t>
        </is>
      </c>
      <c r="E120">
        <f>HYPERLINK("https://www.linkedin.com/jobs/view/4361014142", "https://www.linkedin.com/jobs/view/4361014142")</f>
        <v/>
      </c>
      <c r="F120">
        <f>HYPERLINK("https://momentive.wd1.myworkdayjobs.com/MC/job/US-NY-Pearl-River/Applied-Data-Scientist\u002d\u002d-Scientific-Digital-Transformation_R9115?source=LinkedIn_corporate_page&amp;urlHash=Ntes", "https://momentive.wd1.myworkdayjobs.com/MC/job/US-NY-Pearl-River/Applied-Data-Scientist\u002d\u002d-Scientific-Digital-Transformation_R9115?source=LinkedIn_corporate_page&amp;urlHash=Ntes")</f>
        <v/>
      </c>
      <c r="G120" t="inlineStr">
        <is>
          <t>Pearl River, NY</t>
        </is>
      </c>
      <c r="H120" t="inlineStr"/>
      <c r="I120" t="inlineStr">
        <is>
          <t>**Job Title**
 Applied Data Scientist – Scientific Digital Transformation
**Summary**
 We are seeking a highly motivated Data Scientist with a strong foundation in computer science, computational science, data science, and machine learning, combined with expertise in chemistry, chemical engineering or material science. In this role, you will support our digital transformation initiatives in scientific research and new product development. The position is pivotal in bridging the gap between data science and domain expertise in chemistry, chemical engineering, polymers, and materials science
 This position is part of a strategic pilot program aimed at embedding digital and AI\-driven capabilities into R\&amp;D workflows. It offers a unique opportunity to contribute to cutting\-edge scientific innovation while enhancing research efficiency, collaboration, and overall team productivity through digital transformation.
**Responsibilities Include**
* Develop and implement algorithms to address complex data analysis challenges in scientific domains.
* Perform quantitative analysis of experimental and image\-based data to uncover patterns and generate actionable insights.
* Collaborate with scientists to automate and optimize R\&amp;D workflows, including image analysis for application testing, and to expand predictive modeling capabilities (e.g., biodegradation) using existing datasets.
* Serve as a liaison between IT, data science, and scientific teams to ensure alignment with research objectives.
* Contribute to patent applications and scientific publications through data\-driven innovation.
**Qualifications**
**The following are
 *required* 
 for the role**
* Ph.D. in Computer Science, Data Science, Chemical Engineering, Applied Mathematics, Physics, or a related field.
* Strong programming proficiency in languages such as Python, R, MATLAB, and SQL.
* Experience with machine learning and AI frameworks, including scikit\-learn, PyTorch, TensorFlow, or Keras.
* Demonstrated ability to analyze and interpret complex datasets, including image and experimental data.
* Familiarity with scientific research environments and terminology.
* Excellent communication and collaboration skills.
**The Following Are Preferred For The Role**
* Background in Chemistry, Chemical Engineering, Polymer Science, or Materials Science.
* Experience working in cross\-functional teams involving scientists and technologists.
* Prior experience in developing predictive models for scientific applications
* Basic experience with Data Visualization and Analytics Tools such as Matplotlib, Seaborn, or Plotly.
* Understanding of ODE/PDE\-based system modeling and parameter optimization for performance improvement in chemical or material science applications.
* Proficiency with statistical analysis software, including Minitab and JMP.
* Familiarity with scientific instruments such as microscopy (SEM, TEM, optical), spectroscopy (FTIR, Raman, UV\-Vis, fluorescence), and rheological measurement.
**What We Offer**
 Base Pay Range: $114,500 \- $168,300
*The actual salary offered is determined by factors including but not limited to education, experience, skill sets, and geography. Local geographic pay differentials may not be reflected in the above pay range and will be discussed with you by a member of the HR team when applicable.* 
***If you are interested in this position, we’d ask that you apply!***
***\#BePartoftheSolution***
*Additionally, this role is eligible for incentive or sales variable compensation payments. The amount of these incentives is based on the terms of the Company's incentive plans, the Company's financial performance, and/or individual employee job performance.*
**At Momentive, compensation is one part of your overall package. We offer a fantastic variety of total rewards and development programs to support your unique needs for overall well\-being and personal career aspirations.**
* Health, dental \&amp; vision insurance, including critical illness coverage and optional orthodontia coverage.
* Paid parental leave for the birth of a child; adoption and surrogacy reimbursement.
* Short term disability with 100% base salary coverage.
* Company funded counseling (EAP) and assistance finding care for children, parents, or pets.
* 25 days of Paid Time Off (PTO) plus paid holidays. Additional time off with years of service.
* 401k savings plan with 5% employer match plus additional contribution based on years of service.
* Student debt pay\-off program.
* Professional development programs and courses.
* Wellness programs and financial education.
 Refer to the Hiring Process tab on our Careers page for a detailed description on the physical job requirements.
**About Us**
 Momentive is a premier global advanced materials company with a cutting\-edge focus on silicones and specialty products. We deliver solutions designed to help propel our customer’s products forward—products that have a profound impact on all aspects of life, around the clock and from living rooms to outer space. With every innovation, Momentive creates a more sustainable future. Our vast product portfolio is made up of advanced silicones and specialty solutions that play an essential role in driving performance across a multitude of industries, including agriculture, automotive, aerospace, electronics, energy, healthcare, personal care, consumer products, building and construction, and more.
 Momentive believes a diverse workforce empowers our people, strengthens our business, and contributes to a sustainable world. We are proud to be an equal opportunity employer. Qualified applicants will receive consideration for employment without regard to race, color, religion, sex, sexual orientation, gender identity, national origin, disability, status as a protected veteran, or any characteristic protected by law.
 To be considered for this position candidates are required to submit an application for employment and be of legal working age as defined by local law. An offer may be conditioned upon the successful completion of pre\-employment conditions, as applicable, and subject to applicable laws and regulations.
**Note to third parties:** 
 Momentive is not seeking or accepting any unsolicited assistance from search and selection firms or employment agencies at this time.</t>
        </is>
      </c>
    </row>
    <row r="121">
      <c r="A121" t="inlineStr">
        <is>
          <t>li-4369136953</t>
        </is>
      </c>
      <c r="B121" t="inlineStr">
        <is>
          <t>Advanced Data Scientist - FULL TIME (Equity only)</t>
        </is>
      </c>
      <c r="C121" t="inlineStr">
        <is>
          <t>Fact Finders Pro</t>
        </is>
      </c>
      <c r="D121" t="inlineStr">
        <is>
          <t>linkedin</t>
        </is>
      </c>
      <c r="E121">
        <f>HYPERLINK("https://www.linkedin.com/jobs/view/4369136953", "https://www.linkedin.com/jobs/view/4369136953")</f>
        <v/>
      </c>
      <c r="F121" t="inlineStr"/>
      <c r="G121" t="inlineStr"/>
      <c r="H121" t="inlineStr"/>
      <c r="I121" t="inlineStr">
        <is>
          <t>**Key Responsibilities:** 
* Collecting data through means such as analyzing business results or by setting up and managing new studies.
* Transferring data into a new format to make it more appropriate for analysis.
* Creating new, experimental frameworks to collect data.
* Building tools to automate data collection.
* Searching through large data sets for usable information.
* Creating reports and presentations for business uses.
* Correlating similar data to find actionable results. Perform statistical analysis of results and refine models.
**Qualifications:** 
* A Master's or advanced degree in Data Science, Computer Science, Statistics, or a related field.
* A minimum of 5 years of experience in data exploration, data cleaning, data analysis, data visualization, and data mining.
* Mandatory to have 6months \-1 yr of LLM experience in projects.
* Experience with Python for at least 5 years developing basic level prediction model
* Deep understanding of Machine Learning \&amp; Deep Learning algorithms
* Knowledge of most of the following quantitative fields: Natural Language Processing, Information Retrieval, Machine Comprehension, Question Answering/Conversational AI, Reinforcement Learning, Knowledge Graph, Causal Inference, and Design of Experiment
* Statistical and data science programming skills, such as Python and R
* SQL expertise for data extraction, transformation, and analysis
* Experience in Big Data, search, NLP, and chatbot technologies such as Elasticsearch and Solr
* Knowledge of Deep Learning and related tools such as TensorFlow, Keras, MXNET, or H2O is preferred
* Experience deploying NLP solutions in a commercial environment.
* Extensive experience with Microsoft Azure, including certification in machine learning
* Experience with machine learning pipelines (Azure ML, AWS SAGEMAKER)
* Experience in an Agile working environment and related project management tools (Jira, Azure DevOps, etc.)
* Public AI\-related projects you have developed available on GitHub
* What You'll Do:
* Work closely with software and business teams to build, integrate and deliver successful algorithms in a modern SaaS platform.
* Contribute to advancing NLP and its applications, to create highly innovative products and customer experiences, ranging from text understanding and classification to information extraction.
* Build end\-to\-end products from the ground up, from data exploration through feature generation and model construction and deployment.
* Own design, implementation, and deployment of your models and see them deliver business impact.
* Mentor other team members and continuously further the Data Science organization.
* Guide design, architecture, tooling, and processes at the organization level.</t>
        </is>
      </c>
    </row>
    <row r="122">
      <c r="A122" t="inlineStr">
        <is>
          <t>li-4369165883</t>
        </is>
      </c>
      <c r="B122" t="inlineStr">
        <is>
          <t>Senior Applied Scientist</t>
        </is>
      </c>
      <c r="C122" t="inlineStr">
        <is>
          <t>Adobe</t>
        </is>
      </c>
      <c r="D122" t="inlineStr">
        <is>
          <t>linkedin</t>
        </is>
      </c>
      <c r="E122">
        <f>HYPERLINK("https://www.linkedin.com/jobs/view/4369165883", "https://www.linkedin.com/jobs/view/4369165883")</f>
        <v/>
      </c>
      <c r="F122" t="inlineStr"/>
      <c r="G122" t="inlineStr">
        <is>
          <t>San Jose, CA</t>
        </is>
      </c>
      <c r="H122" t="inlineStr"/>
      <c r="I122"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anywhere in the organization, and we know the next big idea could be yours!
 Adobe Firefly’s Applied Science \&amp; Machine Learning (ASML) group is looking for research scientists and engineers focused on
 **post\-training, alignment, and distillation of large\-scale generative AI models** 
 . Our goal is to push the frontier of generative AI while ensuring models are safe, efficient, aligned with user intent, and deployable at scale.
 We are particularly interested in candidates with expertise in
 **reinforcement learning from human feedback (RLHF), direct preference optimization (DPO/GRPO), supervised fine\-tuning (SFT), and model distillation / efficiency methods** 
 . This work directly impacts the quality, efficiency, and safety of Firefly’s image and video generation models, enabling next\-generation creative workflows for millions of users.
 As an Applied Scientist at Adobe, you will join a world\-class team of applied researchers and engineers building the future of digital experiences. You will have the opportunity to innovate across the full post\-training stack, collaborate across data, modeling, and product, and see your work ship to customers worldwide.
 Job Responsibilities
* Conduct innovative research and development in post\-training alignment and model distillation for large\-scale generative AI models.
* Design and evaluate techniques such as RLHF, DPO/GRPO, SFT, reward modeling, and preference optimization to improve instruction\-following, controllability, and safety.
* Develop efficient distillation, compression, and inference acceleration methods to make frontier models deployable at scale.
* Collaborate with researchers, engineers, and product teams to transfer post\-training innovations into Adobe products.
* Build and maintain pipelines to evaluate generative models across quality, efficiency, and safety metrics.
* Convert research ideas/papers into production\-ready implementations in Python and modern ML toolkits.
* Provide technical mentorship and guidance to peers and junior researchers.
 What you'll need to succeed
* Master’s or Ph.D. in Computer Science, Machine Learning, or a related field.
* Strong hands\-on experience with large\-scale generative AI training and post\-training (SFT, RLHF, DPO/GRPO, distillation).
* Familiarity with diffusion models, transformers, or other state\-of\-the\-art generative architectures.
* Excellent communication skills and ability to collaborate across cross\-functional teams.
* Strong coding and prototyping ability in Python, PyTorch, and ML infrastructure tools.
* Working with product teams on technology transfers
* Good publication record in Computer Science, AI/ML or related fields
 \#FireflyGenAI
 Our compensation reflects the cost of labor across several  U.S. geographic markets, and we pay differently based on those defined markets. The U.S. pay range for this position is $164,000 \-\- $313,300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$216,400 \- $313,300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23">
      <c r="A123" t="inlineStr">
        <is>
          <t>li-4369730355</t>
        </is>
      </c>
      <c r="B123" t="inlineStr">
        <is>
          <t>Senior Data Scientist</t>
        </is>
      </c>
      <c r="C123" t="inlineStr">
        <is>
          <t>bet365</t>
        </is>
      </c>
      <c r="D123" t="inlineStr">
        <is>
          <t>linkedin</t>
        </is>
      </c>
      <c r="E123">
        <f>HYPERLINK("https://www.linkedin.com/jobs/view/4369730355", "https://www.linkedin.com/jobs/view/4369730355")</f>
        <v/>
      </c>
      <c r="F123" t="inlineStr"/>
      <c r="G123" t="inlineStr">
        <is>
          <t>Denver, CO</t>
        </is>
      </c>
      <c r="H123" t="inlineStr"/>
      <c r="I123" t="inlineStr">
        <is>
          <t>At bet365, we're one of the world's leading online gambling companies, revolutionising the industry since 2000\. Founded by Denise Coates CBE, we now employ over 9,000 people and serve over 100 million customers in 27 languages. Our focus on In\-Play betting has solidified our market\-leading position, offering an unmatched experience across 96 sports and 700,000 streaming events. With over 750 concurrent sporting fixtures at peak and more live sports streamed than anyone else in Europe, we handle over 6 billion HTTP requests daily and process more than 2 million bets per hour at peak.
 We empower our employees to push boundaries and explore new ideas, cultivating a culture that celebrates and rewards creativity. This offers employees a wealth of opportunities for growth, giving them the opportunity to make a real impact in the world of online gambling. As a forward\-thinking company, we’re breaking new ground in software innovation too, redefining what’s possible for our customers worldwide.
**Job Description**
 As a Senior Data Scientist, you will accelerate our end\-to\-end machine learning lifecycle, building on our strong data science foundation to scale impact and automate business decisions.
 The data science team is at the forefront of driving business decisions, we are now scaling our impact with a focus on automation and advanced MLOps practices on Google Cloud.
 This is a key technical leadership role where you will champion rapid iteration and innovation, this will be instrumental in elevating our ability to deliver measurable value. You will be responsible for the end\-to\-end lifecycle of machine learning solutions that optimize our Sports and Gaming products, from development to automated deployment and monitoring.
 This is an exciting opportunity to apply cutting\-edge data science and MLOps principles in a fast\-paced, high\-impact environment, tackling complex challenges in areas like Trading, Fraud, Responsible Gaming, and Personalization.
 The listed salary for this position is $135,000 – $150,000 annually.
**Qualifications**
* PhD or MSc in a quantitative field such as Computer Science, Statistics, or Engineering, or equivalent industry experience delivering complex data science projects.
* Demonstrable experience deploying and maintaining machine learning systems in a production environment with measurable business impact.
* Strong programming skills in Python and deep expertise in data science libraries such as, Scikit\-learn, Pandas, NumPy, XGBoost.
* Advanced proficiency in SQL, with hands\-on experience querying and manipulating large, complex datasets, preferably with Google BigQuery.
* Extensive hands\-on experience with Google Cloud Platform (GCP), including building and automating ML workflows with Vertex AI pipelines, managing datasets, training models, and deploying to Vertex AI.
* Experience using collaborative development environments such as Vertex AI Workbench for rapid prototyping, exploration, and analysis.
* Experience leveraging other core GCP services such as BigQuery, Cloud Storage, and Cloud Functions to build end\-to\-end data solutions.
* Solid understanding of CI/CD principles and tools such as Cloud Build or GitLab CIfor automating ML workflows.
* Experience with containerization such as Docker, Kubernetes/GKE.
**Additional Information**
* Owning the full data science lifecycle, from initial ideation and rapid prototyping in tools such as Vertex AI Workbench, to deploying production\-grade models and pipelines that are robust, scalable, and automated.
* Leading the implementation of advanced MLOps principles within our Google Cloud environment, designing, building, and maintaining CI/CD/CT pipelines for automated model deployment using Vertex AI Pipelines and other GCP services.
* Partnering proactively with stakeholders in Product, Responsible Gaming, Trading, and other teams to identify high impact opportunities and translate complex business needs into tangible data science use cases.
* Building and implementing frameworks for automated model testing, validation, and monitoring using tools such as Vertex AI Model Monitoring to detect drift and ensure performance at scale.
* Designing, implementing, and rigorously analyzing A/B tests and other experiments to measure the impact of models and strategies, ensuring data\-driven solutions deliver clear, quantifiable value.
* Researching and championing the adoption of innovative data science and MLOps techniques, tools, and methodologies that solve problems efficiently, prioritizing impact over complexity .
* Acting as a technical leader and mentor for other data scientists, fostering a culture of continuous learning and high\-velocity execution.
 bet365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124">
      <c r="A124" t="inlineStr">
        <is>
          <t>li-4369723068</t>
        </is>
      </c>
      <c r="B124" t="inlineStr">
        <is>
          <t>CST Data Scientist II</t>
        </is>
      </c>
      <c r="C124" t="inlineStr">
        <is>
          <t>Jefferson Lab</t>
        </is>
      </c>
      <c r="D124" t="inlineStr">
        <is>
          <t>linkedin</t>
        </is>
      </c>
      <c r="E124">
        <f>HYPERLINK("https://www.linkedin.com/jobs/view/4369723068", "https://www.linkedin.com/jobs/view/4369723068")</f>
        <v/>
      </c>
      <c r="F124" t="inlineStr"/>
      <c r="G124" t="inlineStr">
        <is>
          <t>Newport News, VA</t>
        </is>
      </c>
      <c r="H124" t="inlineStr"/>
      <c r="I124" t="inlineStr">
        <is>
          <t>****Come join our team at Jefferson Lab, where great minds
 *matter* 
 .****
**Posting Date:** 
 02/05/2026
**Range:** 
 $89,800 \- $159,300 (SCS\-II)
**Work type:** 
 Hybrid (combination of on\-site and remote based on business need)
**What Your Job Will Be Like**
 You will work on all elements of the data science workflow (data preprocessing, analyzing data using exploratory mathematic and statistical technique, and developing and optimization models). Recommend various technology options or approaches for system and processes improvements in terms of performance, efficiency, cost or safety.
**In This Role You Will**
* Participate in the research and development of machine learning and data analysis
* Conduct technical data science research for climate and health disparity, nuclear physics experimental control, MLOps and in areas of interest to the projects
* Apply and develop methods to include uncertainty quantification
* Publish research results in highly visible, peer\-reviewed venues (conferences \&amp; journals)
* Develop and maintain high quality software for data science projects (machine learning \&amp; uncertainty quantification)
* Interact with internal and external researchers and domain scientists for collaboration purposes
* Participate and interact with funding clients, and potentially lead technical presentations on the work
**Education**
**Qualifications we require:**
* Bachelor's Degree Computer Science, Data Science, Applied Mathematics, Computer Engineering, or closely related field
* Education above the minimum may be substituted for experience
**Experience**
* 3 or more years relevant experience
* Experience with contributing and leading tasks on major projects with multi\-disciplinary teams
* AI/ML applications for particle accelerators
* Authoring publications utilizing Uncertainty Quantified machine learning methods like Gaussian Processes and Deep Quantile Regression
* Familiarity with data archived from the Experimental Physics and Industrial Control System (EPICS)
* Experience in AI/ML applications for polarized cryo\-targets and tokenization of physics data is preferred
**Knowledge, Skills And Abilities**
* Proficiency in Python and familiarity with publicly available technical libraries for data analytics (e.g. scikit\-learn), deep learning (e.g. Pytorch, Tensorflow) and optimization tools
* Ability to work with large datasets and mine relevant information for use in AI/ML applications
* Ability to develop approaches and solutions to complex problems in the forms of proposals, software, documents or other work products
* Strong interpersonal skills and ability to effectively work on project teams
* Strong mathematical skills including Numerical Linear Algebra
* Ability to lead and collaborate on work at the intersection of physics/accelerators and AI (Physics\-informed NNs, Inverse Problems) is preferred
**About Jefferson Lab**
 Join a community with a common purpose of solving the most challenging scientific and engineering problems of our time. The Jefferson Lab campus is located in southeastern Virginia amidst a vibrant and growing technology community.
 A career at Jefferson Lab is more than a job. You will be part of “big science” and work alongside top scientists and engineers from around the world unlocking the secrets of our visible universe. Managed by Jefferson Science Associates, LLC; Thomas Jefferson National Accelerator Facility is entering an exciting period of mission growth and is seeking new team members ready to apply their skills and passion to have an impact. You could call it work, or you could call it a mission. We call it a challenge. We do things that will change the world.
**Total Rewards at Jefferson Lab**
**Benefits**
 At Jefferson Lab, we believe that a comprehensive employee benefits program is an important and meaningful part of the compensation employees receive. Our benefits program includes, but is not limited to:
* Medical, Dental, and Vision Care Plans
* Flexible Spending Accounts
* Paid Time\-off and Leave Programs (Paid Parental, vacation, holidays, and sick leave)
* 401(k) Plan – 9% Lab Contribution; 100% vested
* Flexible Work Arrangements (Remote \&amp; Alternate Work Schedules available)
* Tuition Assistance, Training and Professional Development Programs
* Live near the waterways of the Chesapeake Bay region with access to nearby beaches, mountains, and all major metropolitan centers on the East Coast
 Jefferson Science Associates, LLC (JSA) manages and operates the Thomas Jefferson National Accelerator Facility (Jefferson Lab). JSA is an Equal Opportunity Employer.
 JSA is committed to providing reasonable accommodations for persons with disabilities (unless doing so will result in an undue hardship). If you need a reasonable accommodation for any part of the employment process, please send an e\-mail to recruiting @jlab.org or contact Human Resources by calling (757\) 269\-7100 and selecting option 1 between 8 am – 5 pm EST to provide the nature of your request.
 Employment with JSA is conditional upon DOE approval if at any time during your employment you are participating in a Foreign Government Talent Recruitment Program or Affiliated activity. Generally, such programs/activities include any foreign\-state\-sponsored attempt to acquire U.S.\-funded scientific research through programs run or funded by the government that target scientists, engineers, students, academics, researchers, and entrepreneurs of all nationalities working or educated in the United States. This includes positions or appointments, both domestic and foreign, titled academic, professional, or institutional appointments whether or not remuneration is received and whether full\-time, part\-time or voluntary.</t>
        </is>
      </c>
    </row>
    <row r="125">
      <c r="A125" t="inlineStr">
        <is>
          <t>li-4359154223</t>
        </is>
      </c>
      <c r="B125" t="inlineStr">
        <is>
          <t>Data Scientist II</t>
        </is>
      </c>
      <c r="C125" t="inlineStr">
        <is>
          <t>Kansas City National Security Campus</t>
        </is>
      </c>
      <c r="D125" t="inlineStr">
        <is>
          <t>linkedin</t>
        </is>
      </c>
      <c r="E125">
        <f>HYPERLINK("https://www.linkedin.com/jobs/view/4359154223", "https://www.linkedin.com/jobs/view/4359154223")</f>
        <v/>
      </c>
      <c r="F125">
        <f>HYPERLINK("https://career-hcm03.ns2cloud.com/career?career_ns=job_listing&amp;company=KCPHCM03&amp;navBarLevel=JOB_SEARCH&amp;rcm_site_locale=en_US&amp;career_job_req_id=3325&amp;urlHash=Two0", "https://career-hcm03.ns2cloud.com/career?career_ns=job_listing&amp;company=KCPHCM03&amp;navBarLevel=JOB_SEARCH&amp;rcm_site_locale=en_US&amp;career_job_req_id=3325&amp;urlHash=Two0")</f>
        <v/>
      </c>
      <c r="G125" t="inlineStr">
        <is>
          <t>Kansas City, MO</t>
        </is>
      </c>
      <c r="H125" t="inlineStr"/>
      <c r="I125" t="inlineStr">
        <is>
          <t>**Join the industry leader to design the next generation of breakthroughs.**
 Honeywell is a Fortune 100 company that invents and manufactures technologies to address critical challenges linked to global macrotrends such as safety, security, productivity, global urbanization and energy. Honeywell has been named a Top 100 Global Innovator for seven years in a row, recognizing the company’s global reach of portfolio and invention influence.
 In Kansas City,
**Summary**
 As part of the Data Science and Analytics team, you will play a pivotal role in designing, optimizing, and maintaining scalable data pipelines, machine learning infrastructure, custom applications and high\-performance analytics systems to drive data\-based decisions.
****Duties and Responsibilities****
* Lead and support moderate to highly complex data science and analytics projects in support of process improvement, defect reduction, and predictive analytics for manufacturing and business applications.
* Independently develop solutions using disciplined software development processes, making recommendations for developing new code or re\-using existing code, implementing version control, and maintaining documentation of created applications.
* Work and communicate directly with key stakeholders to develop requirements and provide technical solutions through an analysis of manufacturing/business needs and pain points.
* Define and implement ingestion, data preparation, curation, and governance of large, multi\-faceted data sets supporting analytics models and workflows.
* Contribute to the production of information products, supporting visualization and data accessibility in a customer centric manner.
* Evaluate and make recommendations regarding technical advances that improve productivity and quality, reduce flow times, and enhance operational surety.
* Strong analytical skills with experience with data mining and modeling.
* Develop and implement machine learning models to inform business needs and decisions.
* Perform data processing and transformation to targeted audience.
****You Must Have****
* BS in engineering from ABET accredited institution or Bachelor of Science degree in data science or related field, or two years of relevant experience in lieu of a degree.
* Two or more years of relevant experience in data science or related technical activities.
* Ability to travel as determined by the needs of the business
* Ability to work remote, hybrid, or on\-site as directed by management and is determined by the needs of the business
* Regular and reliable attendance is an essential function of this job
* United States Citizenship
* Ability to obtain and maintain a U.S. Department of Energy (DOE) security clearance (some positions require additional DOE designations)
****We Value****
* Working knowledge of statistics, statistical modeling, and statistical process control.
* Practiced using scripting and querying languages such as Python, R, SQL, and others.
* Effective communication skills (verbal, written, and presentation) for interacting with customers and peers.
* User experience mindset, including the production of visualizations and infographics to distill complex information.
* Experience producing analytics data visualizations, preferably using Tableau, MicroStrategy, or equivalent.
* Experience working with Dataiku, Hadoop, Hive, Apache Spark, etc.
* Experience with machine learning, neural networks, deep learning.
* Experience using open\-source data analytics and machine learning tools along with other cloud\-based platforms.
 FMT2021
 This job description/job posting is not all inclusive and other duties may be assigned.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**If you require a reasonable accommodation to submit an application, please send an email to our Reasonable Accommodation Support Team at**
 To learn more about our benefits and culture follow the link below:
**Additional Information**
* Job ID: 3325
* Category: Engineering
* Level of Experience:
* Posting Location: Kansas City National Security Campus 14520 Botts Road Kansas City, MO, 64147
* Remote Eligibility: Hybrid
* Travel Required: 0\-10%
* Approved Work States: MO; KS
* Hourly/Salary: Salary</t>
        </is>
      </c>
    </row>
    <row r="126">
      <c r="A126" t="inlineStr">
        <is>
          <t>li-4335312901</t>
        </is>
      </c>
      <c r="B126" t="inlineStr">
        <is>
          <t>Applied Scientist, Artificial General Intelligence</t>
        </is>
      </c>
      <c r="C126" t="inlineStr">
        <is>
          <t>Amazon</t>
        </is>
      </c>
      <c r="D126" t="inlineStr">
        <is>
          <t>linkedin</t>
        </is>
      </c>
      <c r="E126">
        <f>HYPERLINK("https://www.linkedin.com/jobs/view/4335312901", "https://www.linkedin.com/jobs/view/4335312901")</f>
        <v/>
      </c>
      <c r="F126">
        <f>HYPERLINK("https://www.amazon.jobs/jobs/3123457/applied-scientist-artificial-general-intelligence?cmpid=SPLICX0248M&amp;utm_source=linkedin.com&amp;utm_campaign=cxro&amp;utm_medium=social_media&amp;utm_content=job_posting&amp;ss=paid&amp;urlHash=QO8k", "https://www.amazon.jobs/jobs/3123457/applied-scientist-artificial-general-intelligence?cmpid=SPLICX0248M&amp;utm_source=linkedin.com&amp;utm_campaign=cxro&amp;utm_medium=social_media&amp;utm_content=job_posting&amp;ss=paid&amp;urlHash=QO8k")</f>
        <v/>
      </c>
      <c r="G126" t="inlineStr">
        <is>
          <t>Bellevue, WA</t>
        </is>
      </c>
      <c r="H126" t="inlineStr"/>
      <c r="I126" t="inlineStr">
        <is>
          <t>**Description**
 The Artificial General Intelligence (AGI) team is seeking a dedicated, skilled, and innovative Applied Scientist with a robust background in deep learning, to build industry\-leading technology with Large Language Models (LLMs) and multimodal systems.
 Key job responsibilities
 As part of the AGI team, the Applied Scientist will collaborate closely with talented colleagues to lead the development of advanced approaches and modeling techniques, driving forward the frontier of LLM technology. This includes innovating model\-in\-the\-loop and human\-in\-the\-loop approaches to ensure the collection of high\-quality data, safeguarding data privacy and security for LLM training, and more. The Applied Scientist will also have a direct impact on enhancing customer experiences through state\-of\-the\-art products and services.
 A day in the life
 The Applied Scientist with the AGI team will support the science solution design, run experiments, research new algorithms, and find new ways of optimizing the customer experience; while setting examples for the team on good science practice and standards. Besides theoretical analysis and innovation, an Applied Scientist will also work closely with talented engineers and scientists to put algorithms and models into practice.
 The ideal candidate should be passionate about delivering experiences that delight customers and creating robust solutions. They will also create reliable, scalable and high\-performance products that require exceptional technical expertise, and a sound understanding of Machine Learning.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PhD
* 4\+ years of deep learning, computer vision, human robotic interaction, algorithms implementation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A3123457</t>
        </is>
      </c>
    </row>
    <row r="127">
      <c r="A127" t="inlineStr">
        <is>
          <t>li-4369697168</t>
        </is>
      </c>
      <c r="B127" t="inlineStr">
        <is>
          <t>Senior Data Scientist - Platform</t>
        </is>
      </c>
      <c r="C127" t="inlineStr">
        <is>
          <t>Coinbase</t>
        </is>
      </c>
      <c r="D127" t="inlineStr">
        <is>
          <t>linkedin</t>
        </is>
      </c>
      <c r="E127">
        <f>HYPERLINK("https://www.linkedin.com/jobs/view/4369697168", "https://www.linkedin.com/jobs/view/4369697168")</f>
        <v/>
      </c>
      <c r="F127" t="inlineStr"/>
      <c r="G127" t="inlineStr"/>
      <c r="H127" t="inlineStr"/>
      <c r="I127"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Data Science is an integral component of Coinbase’s product and decision making process: we work in partnership with Product, Engineering and Design to influence the roadmap and better understand our users. With a deep expertise in experimentation, analytics and advanced modeling, we produce insights which directly move the company’s bottom line.
 We’re looking for a Senior Data Scientist to join Coinbase’s Platform Data Science team. Platform data scientists partner with product, engineering, and design to improve the core systems and user journeys that power Coinbase spanning areas like Payments, Risk \&amp; Trust, Identity \&amp; Onboarding, Compliance, Customer Support, and Experimentation. 
 As a Senior Data Scientist on Platform, you’ll work on high\-impact, cross\-functional problems where the goal is to make Coinbase safer, more reliable, and easier to use, while unlocking growth through better decision\-making and measurement. Sample projects include diagnosing funnel drop\-offs and reliability issues across critical user journeys (e.g., onboarding, payments, authentication), designing north star \+ guardrail \+ diagnostic metric systems and running and improving experimentation and causal inference approaches (A/B tests, quasi\-experiments, incrementality measurement).
***What you'll be doing:***
* Conduct analysis and deep dives on ambiguous problems for our business. Your work will result in insights and recommendations that guide the team’s decision making.
* Act as owner for a broad scope of data and metrics, from core logging to presentation of data visualizations.
* Guide code reviews, provide SQL and Python expertise, and create well\-maintained ETL jobs.
* Maintain a high bar for statistical rigor on your team. Ensure that we’re conducting experimentation and causal analyses that build confidence with your stakeholders.
***What we look for in you:***
* A BA/BS in a quantitative field (ex Math, Stats, Physics, or Computer Science) with ≥5\+ years of relevant experience or a PhD in a quantitative field with with ≥3\+ years of relevant experience
* Demonstrated experience in driving impactful data science projects that tackle ambiguous problem spaces.
* Ability to influence external stakeholders by synthesizing data learnings into compelling stories.
* Practical expertise in applying complex modeling frameworks to practical business problems.
* Professional experience using SQL and Python.
* Experience working with digital products in an iterative development cycle.
* Demonstration of our core cultural values: clear communication, positive energy, continuous learning, and efficient execution.
*Disclaimer: Applying for a specific role does not guarantee consideration for that exact position. Leveling and team matching are assessed throughout the interview process.* 
 ID: P69292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$180,370 USD \- $212,200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28">
      <c r="A128" t="inlineStr">
        <is>
          <t>li-4369679828</t>
        </is>
      </c>
      <c r="B128" t="inlineStr">
        <is>
          <t>Senior Data Scientist - Developer</t>
        </is>
      </c>
      <c r="C128" t="inlineStr">
        <is>
          <t>Coinbase</t>
        </is>
      </c>
      <c r="D128" t="inlineStr">
        <is>
          <t>linkedin</t>
        </is>
      </c>
      <c r="E128">
        <f>HYPERLINK("https://www.linkedin.com/jobs/view/4369679828", "https://www.linkedin.com/jobs/view/4369679828")</f>
        <v/>
      </c>
      <c r="F128">
        <f>HYPERLINK("https://grnh.se/ryk78uf91us?gh_src=20687b321us&amp;urlHash=gqGE", "https://grnh.se/ryk78uf91us?gh_src=20687b321us&amp;urlHash=gqGE")</f>
        <v/>
      </c>
      <c r="G128" t="inlineStr">
        <is>
          <t>San Francisco, CA</t>
        </is>
      </c>
      <c r="H128" t="inlineStr"/>
      <c r="I128"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Data Science is an integral component of Coinbase’s product and decision making process: we work in partnership with Product, Engineering and Design to influence the roadmap and better understand our users. With a deep expertise in experimentation, analytics and advanced modeling, we produce insights which directly move the company’s bottom line.
 We're looking for a Senior Data Scientist to join the Coinbase Developer Platform (CDP) and Stablecoins team. CDP is the best place to build decentralized applications or integrate crypto to existing apps, and our stablecoins team is working to enable instant global payments. We are looking for a product Data Scientist who can help define metrics for developer tools, create user funnels and inform product decisions based on user behavior. You may also work on stablecoin economics or fund flows throughout the ecosystem, and help to design programs to increase liquidity for stablecoins worldwide. You'll use proprietary and public data to create analyses and dashboards with exposure to leaders working on the frontier of decentralized app development and defi.
***What you'll be doing:***
* Conduct analysis and deep dives on ambiguous problems for our business. Your work will result in insights and recommendations that guide the team’s decision making.
* Act as owner for a broad scope of data and metrics, from core logging to presentation of data visualizations.
* Guide code reviews, provide SQL and Python expertise, and create well\-maintained ETL jobs.
* Maintain a high bar for statistical rigor on your team. Ensure that we’re conducting experimentation and causal analyses that build confidence with your stakeholders.
***What we look for in you:***
* A BA/BS in a quantitative field (ex Math, Stats, Physics, or Computer Science) with ≥5\+ years of relevant experience or a PhD in a quantitative field with with ≥3\+ years of relevant experience
* Demonstrated experience in driving impactful data science projects that tackle ambiguous problem spaces.
* Ability to influence external stakeholders by synthesizing data learnings into compelling stories.
* Practical expertise in applying complex modeling frameworks to practical business problems.
* Professional experience using SQL and Python.
* Experience working with digital products in an iterative development cycle.
* Demonstration of our core cultural values: clear communication, positive energy, continuous learning, and efficient execution.
*Disclaimer: Applying for a specific role does not guarantee consideration for that exact position. Leveling and team matching are assessed throughout the interview process.* 
 ID: P75683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$180,370 USD \- $212,200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29">
      <c r="A129" t="inlineStr">
        <is>
          <t>li-4369141636</t>
        </is>
      </c>
      <c r="B129" t="inlineStr">
        <is>
          <t>Data Scientist II / Data Analyst</t>
        </is>
      </c>
      <c r="C129" t="inlineStr">
        <is>
          <t>HDR</t>
        </is>
      </c>
      <c r="D129" t="inlineStr">
        <is>
          <t>linkedin</t>
        </is>
      </c>
      <c r="E129">
        <f>HYPERLINK("https://www.linkedin.com/jobs/view/4369141636", "https://www.linkedin.com/jobs/view/4369141636")</f>
        <v/>
      </c>
      <c r="F129" t="inlineStr"/>
      <c r="G129" t="inlineStr">
        <is>
          <t>Fulton, MD</t>
        </is>
      </c>
      <c r="H129" t="inlineStr"/>
      <c r="I129" t="inlineStr">
        <is>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We believe transportation is more than movement, it’s the foundation of connected, thriving communities. As part of HDR’s Transportation Business Group, you’ll help shape the systems that move people and goods safely, efficiently, and sustainably. From designing resilient highways and iconic bridges to advancing transit, passenger and freight rail, aviation, federal transportation ports and marine infrastructure, your work will directly support economic vitality, public safety, sustainable and resilient communities and quality of life. We bring together planners, engineers, architects, construction management staff, environmental, strategic communications, economists, management consultants and specialists across disciplines to solve complex mobility challenges with innovation, technical excellence, and a deep understanding of community needs. Whether you're modernizing aging infrastructure or pioneering next\-generation transportation solutions, your contributions will help define the future of mobility. This isn’t just a job, it’s a chance to lead progress, drive meaningful impact, and leave a legacy of smarter, more connected transportation networks. We are all employee\-owners at HDR, which is the foundation of our collaborative culture that connects employees around the world.
 In the role of Data Scientist II / Data Analyst, we'll count on you to:
* Handle highly sensitive and confidential information with professionalism and discretion
* Collaborate with stakeholders to improve business decisions by identifying patterns and trends in data
* Develop data products including reports, visualizations, and dashboards
* Adhere to software and data science development standards
* Perform data acquisition, sourcing, cleaning, and exploratory data analysis (EDA)
* Transform raw data into usable attributes for machine learning modules through feature engineering
* Manage model lifecycle including development, deployment, data drift detection, model retraining, and model inference
* Create automated data pipelines and data engineering solutions
* Develop advanced and custom predictive models (classification, regression, time series, neural networks, natural language processing, and computer vision)
* Tune models with training, hyperparameters with comprehensive validation and testing processes
* Leverage predictive models to optimize business results
 \*Position will be based in a client office located in Arlington, VA\*
**Preferred Qualifications**
* Bachelor's degree
* A minimum of 5 years experience strongly preferred
* Transit experience preferred
* WMATA experience preferred
* Preference given to candidates currently located in the area
**Required Qualifications**
* A degree in a closely related field or combination of education and relevant experience
* A minimum of 3 years experience with data engineering tools and languages such as SQL, Power Query, and Pandas
* A minimum of 3 years experience with business intelligence tools such as Power BI, Tableau, Plotly, Seaborn, and Matplotlib
* A minimum of 3 years experience with data science languages such as Python and R
* Self\-motivated, detail\-oriented professional, ability to multitask a must
* Proficiency with MS Office including Word and Outlook
* Ability to handle confidential information
* Excellent writing and people skills
* Strong math and organizational skills
* Flexibility and ability to prioritize and handle multiple tasks and various managers in a fast\-paced environment
* Excellent verbal and written communication skills including grammar, punctuation, proofreading, spelling and telephone skills
* An attitude and commitment to being an active participant of our employee\-owned culture is a must
* In\-depth knowledge of machine learning algorithms, statistical models, and data analytics
* Experience completing multiple data science projects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We provide a comprehensive benefits package that promotes employee ownership, employee health, performance, and success, which includes medical, dental, vision, short and long\-term disability, life insurance, an employee assistance program, paid time away, parental leave, paid holidays, a retirement savings plan with employer match, employee referral bonus and tuition reimbursement. The expected compensation range for this position depends upon skills, experience, education and geographical location. (Stated benefits are for full\-time regular positions. Temporary and part\-time roles eligible for limited benefits.) Washington, DC: $100,044 \- $142,920\. Fulton, MD: $91,707\-131,010
**Primary Location:**
 United States\-District of Columbia\-Washington DC
**Other Locations:**
 United States\-Virginia\-Vienna, United States\-Maryland\-Fulton
**Industry:**
 Transit
**Schedule:**
 Full\-time
**Employee Status:**
 Regular
**BusinessClass:**
 Data and Automation
**Job Posting:**
 Feb 5, 2026
 At HDR, we are committed to the principles of employment equity. We are an Affirmative Action and Equal Opportunity Employer (https://www.hdrinc.com/equal\-employment\-opportunity\-employer). We consider all qualified applicants, regardless of criminal histories, arrest and conviction records.</t>
        </is>
      </c>
    </row>
    <row r="130">
      <c r="A130" t="inlineStr">
        <is>
          <t>li-4362325601</t>
        </is>
      </c>
      <c r="B130" t="inlineStr">
        <is>
          <t>Applied Scientist, GenAI Evaluation Media</t>
        </is>
      </c>
      <c r="C130" t="inlineStr">
        <is>
          <t>Amazon</t>
        </is>
      </c>
      <c r="D130" t="inlineStr">
        <is>
          <t>linkedin</t>
        </is>
      </c>
      <c r="E130">
        <f>HYPERLINK("https://www.linkedin.com/jobs/view/4362325601", "https://www.linkedin.com/jobs/view/4362325601")</f>
        <v/>
      </c>
      <c r="F130" t="inlineStr"/>
      <c r="G130" t="inlineStr">
        <is>
          <t>New York, United States</t>
        </is>
      </c>
      <c r="H130" t="inlineStr"/>
      <c r="I130" t="inlineStr">
        <is>
          <t>**Description**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
**Company** 
 \- Amazon.com Services LLC
 Job ID: A3159215</t>
        </is>
      </c>
    </row>
    <row r="131">
      <c r="A131" t="inlineStr">
        <is>
          <t>li-4359111107</t>
        </is>
      </c>
      <c r="B131" t="inlineStr">
        <is>
          <t>Lead Data Scientist</t>
        </is>
      </c>
      <c r="C131" t="inlineStr">
        <is>
          <t>Awardco</t>
        </is>
      </c>
      <c r="D131" t="inlineStr">
        <is>
          <t>linkedin</t>
        </is>
      </c>
      <c r="E131">
        <f>HYPERLINK("https://www.linkedin.com/jobs/view/4359111107", "https://www.linkedin.com/jobs/view/4359111107")</f>
        <v/>
      </c>
      <c r="F131" t="inlineStr"/>
      <c r="G131" t="inlineStr">
        <is>
          <t>Lindon, UT</t>
        </is>
      </c>
      <c r="H131" t="inlineStr"/>
      <c r="I131" t="inlineStr">
        <is>
          <t>Awardco is reimagining the workplace to be more rewarding, supportive, and fun for everyone. As one of the fastest\-growing companies in the employee experience industry, our mission is to help employees love what they do, love where they work, and get recognized for their efforts—especially our own employees! And as winners of Glassdoor's Best Places to Work, Best in Brightest in the Nation, and Great Place to Work, we do much more than talk the talk.
**Summary**
 Awardco is looking for a results\-driven, hands\-on leader to build and lead the Data Science function. The Data Operations group is responsible for delivering business insights and high\-impact analyses to the various business units within Awardco. Within this group, the Lead Data Scientist will address strategic and operational questions facing our global business, including customer behavior, performance measurement, and product and marketing efficiency. This individual will partner with different business units to meet their analytic needs and conduct extensive analyses of Awardco's data, generate insights, and communicate those insights to the business.
 The Lead Data Scientist role is data and analytically intensive. Successful candidates will offer deep analytical capabilities and will be adept at using large data sets to find opportunities for product and process optimization and using models to test the effectiveness of different courses of action.
**What You Will Do**
**Responsibilities**
* This position will enable data\-driven business decisions by performing business and data analyses using a variety of techniques, ranging from simple data aggregation to complex statistical analysis.
* Develop custom data models and algorithms to apply to data sets.
* Churn and pipeline analysis
* Use predictive modeling to increase and optimize customer experiences, revenue generation, ad targeting, and other business outcomes.
* Evaluate risk.
* Work with stakeholders throughout the organization to identify opportunities for leveraging company data to drive business solutions.
* Mine and analyze data from company databases to drive optimization and improvement of product development, marketing techniques, and business strategies.
* Create presentations, visualizations, and reports and present findings to executive\-level management.
* Provide analysis and information supporting various campaigns, events, and initiatives, summarize key findings and trends, produce data sheets, graphics, and presentations.
* This individual will also be responsible for mentoring peers in analyst positions, providing analytical support, and having expertise in statistical concepts and methods.
* Forecast various data elements, such as sales and enrollments.
**What You Will Bring**
**Qualifications**
* The ability to analyze, model, and interpret data
* 8\+ years of experience in analytics and quantitative techniques.
* Critical thinking
* Creativity
* Written and verbal communication skills
* A drive to learn and master new technologies and techniques.
**Additional Qualifications**
* Advanced experience using statistical computer languages (R, Python, SQL, etc.) to manipulate data and draw insights from large data sets.
* Advanced experience analyzing data from 3rd party providers such as Google Analytics or Qualtrics.
* Advanced knowledge of, and experience with, a variety of machine learning techniques (clustering, decision tree learning, artificial neural networks, etc.) and their real\-world advantages/drawbacks.
* Advanced SQL skills
* Experience visualizing/presenting data for executive\-level management
**Why Awardco:**
* We have a revolutionary, client\-approved product.
* One of the fastest growing companies in the nation: 3x Inc. 500, 2x Deloitte Technology Fast 500, 2x Mountain West Capital Network Fast 100, 3x Fast 50 (Utah Business), and 3x UV50 Fastest Growing Companies (BusinessQ), to name just a few.
* Great Place to Work certified, ranked in Inc. Best Workplaces, one of the Best and Brightest companies to work for, and ranked on the Salt Lake Tribune's Top Workplaces.
* Backed by renowned investors, both local and national.
*Awardco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***Disclaimer:** 
 Please be aware that all official communication regarding your application will only come from an email address ending in @awardco.com. If you receive any communication from a different domain, it may be fraudulent, and we encourage you to report it.*</t>
        </is>
      </c>
    </row>
    <row r="132">
      <c r="A132" t="inlineStr">
        <is>
          <t>li-4369736264</t>
        </is>
      </c>
      <c r="B132" t="inlineStr">
        <is>
          <t>Applied Scientist, Amazon Ads, Demand Forecasting &amp; Guidance</t>
        </is>
      </c>
      <c r="C132" t="inlineStr">
        <is>
          <t>Amazon</t>
        </is>
      </c>
      <c r="D132" t="inlineStr">
        <is>
          <t>linkedin</t>
        </is>
      </c>
      <c r="E132">
        <f>HYPERLINK("https://www.linkedin.com/jobs/view/4369736264", "https://www.linkedin.com/jobs/view/4369736264")</f>
        <v/>
      </c>
      <c r="F132" t="inlineStr"/>
      <c r="G132" t="inlineStr">
        <is>
          <t>Palo Alto, CA</t>
        </is>
      </c>
      <c r="H132" t="inlineStr"/>
      <c r="I132" t="inlineStr">
        <is>
          <t>**Description**
 Work at the intersection of Generative AI, AI Agents, and large\-scale ML, helping build Amazon's world\-class advertising business.
 Key job responsibilities
* Lead and contribute to end\-to\-end ML initiatives with high ambiguity, scale, and complexity from problem formulation through production deployment
* Develop and optimize forecasting models by performing hands\-on analysis of large\-scale datasets to improve ad delivery prediction accuracy and operational efficiency
* Build, experiment, and deploy machine learning models through rapid prototyping, rigorous experimentation, and close collaboration with software engineering teams for seamless productization.
* Design and execute A/B experiments, collect performance data, and conduct statistical analysis to validate model impact
* Establish scalable ML infrastructure including automated pipelines for data processing, model training, validation, and serving
* Advance the state of the art by researching innovative machine learning techniques and applying them to forecasting challenges
**About The Team**
 You'll join a highly motivated, collaborative, and entrepreneurial team with a broad mandate to experiment, innovate, and break new ground. Here, your work will directly influence advertiser success and shape the future of programmatic advertising.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in designing experiments and statistical analysis of results
* Experience with popular deep learning frameworks such as MxNet and Tensor Flow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\- 171,600\.00 \- 222,200\.00 USD annually
**Company** 
 \- Amazon.com Services LLC
 Job ID: A3175274</t>
        </is>
      </c>
    </row>
    <row r="133">
      <c r="A133" t="inlineStr">
        <is>
          <t>li-4363541681</t>
        </is>
      </c>
      <c r="B133" t="inlineStr">
        <is>
          <t>Lead R&amp;D Data Scientist</t>
        </is>
      </c>
      <c r="C133" t="inlineStr">
        <is>
          <t>Labcorp</t>
        </is>
      </c>
      <c r="D133" t="inlineStr">
        <is>
          <t>linkedin</t>
        </is>
      </c>
      <c r="E133">
        <f>HYPERLINK("https://www.linkedin.com/jobs/view/4363541681", "https://www.linkedin.com/jobs/view/4363541681")</f>
        <v/>
      </c>
      <c r="F133">
        <f>HYPERLINK("https://jsv3.recruitics.com/redirect?rx_cid=3600&amp;rx_jobId=26275&amp;rx_url=https%3A%2F%2Fcareers.labcorp.com%2Fglobal%2Fen%2Fjob%2F26275%3Frx_campaign%3DLinkedin1%26rx_ch%3Dconnector%26rx_group%3D486230%26rx_id%3D406b6ebd-f23b-11f0-b47e-63364ae17a63%26rx_job%3D26275%26rx_medium%3Dpost%26rx_r%3Dnone%26rx_source%3DLinkedin%26rx_ts%3D20260206T001225Z%26rx_vp%3Dslots%26source%3Dlinkedin%26utm_source%3Dlinkedin&amp;urlHash=xR-2", "https://jsv3.recruitics.com/redirect?rx_cid=3600&amp;rx_jobId=26275&amp;rx_url=https%3A%2F%2Fcareers.labcorp.com%2Fglobal%2Fen%2Fjob%2F26275%3Frx_campaign%3DLinkedin1%26rx_ch%3Dconnector%26rx_group%3D486230%26rx_id%3D406b6ebd-f23b-11f0-b47e-63364ae17a63%26rx_job%3D26275%26rx_medium%3Dpost%26rx_r%3Dnone%26rx_source%3DLinkedin%26rx_ts%3D20260206T001225Z%26rx_vp%3Dslots%26source%3Dlinkedin%26utm_source%3Dlinkedin&amp;urlHash=xR-2")</f>
        <v/>
      </c>
      <c r="G133" t="inlineStr">
        <is>
          <t>Raleigh, NC</t>
        </is>
      </c>
      <c r="H133" t="inlineStr"/>
      <c r="I133" t="inlineStr">
        <is>
          <t>**Location: Remote, United States**
 Labcorp Genetics (formerly Invitae) is dedicated to bringing comprehensive genetic information into mainstream medicine to improve healthcare for billions of people. Our team is driven to make a difference for the patients we serve. We are leading the transformation of the genetics industry, by making clinical\-grade genetic information affordable and accessible to guide health decisions across all stages of life.
 The genomics insights team leverages clinical genomic expertise, our massive genetics, laboratory and linked public/private datasets, and the latest AI/ML technologies to improve diagnosis, clinical care, and treatment options. We design and develop robust, quantitative, and scalable systems for variant interpretation and disease insights. Our research findings are broadly disseminated to improve testing guidelines, optimize reimbursement rates, and educate the healthcare ecosystem. We are seeking a Lead R\&amp;D Data Scientist to join our team and contribute to these initiatives.
**Duties And Responsibilities**
* Lead and deliver the translation of complex biological and clinical questions into actionable analysis plans.
* Architect and implement robust data pipelines that integrate large\-scale genomic, phenotypic, laboratory, and real\-world clinical datasets.
* Conduct repeatable data analysis and modeling with a high degree of scientific and statistical rigor, for complex tasks such as understanding patient trajectories, elucidating variant effect, and identifying genotype\-phenotype associations.
* Write clean, maintainable, and well\-documented code following best practices for version control, testing, and scalability.
* Prepare technical reports, peer\-reviewed publications, and conference presentations to share research outcomes with internal stakeholders and the broader scientific community.
* Collaborate closely with both internal and external stakeholders to drive impactful research and development initiatives.
* Ensure high standards of data privacy, security, and compliance are maintained in all projects.
**Qualifications**
* Masters degree, or equivalent industry experience in Computer Science, Statistics, Data Science, Computational Biology, or a related field.
* 5\+ years of hands\-on experience in data science and statistical methods, as applied to large biomedical datasets.
* Experience working within a collaborative technical team with strong software engineering practices.
* Proficiency in modern programming languages (Python and SQL), shell scripting, and version control (Git).
* Experience with data management, ETL, and business intelligence tools.
* Excellent communication skills for presenting research findings to diverse audiences.
**Preferred Qualifications**
* Ph.D
* Experience with big data technologies (Snowflake, Databricks, etc.) and visualization/dashboarding (Looker, Dash, etc.).
* Experience with high performance computing (SGE etc.).
* Experience in the development and validation of complex computational models for biological data, in particular machine learning and bioinformatics techniques.
* Understanding of data privacy, security, and ethical considerations in clinical and biological research.
* Previous published work in genetics, functional genomics, or clinical research.
**This position is not eligible for visa sponsorship.**
**Application window closes: 02/14/2026**
**Pay Range: $100,000\.00 \- $155,000\.00 a year**
**Schedule/Shift: M\-F, 8\-5 EST**
 All job offers will be based on a candidate’s skills and prior relevant experience, applicable degrees/certifications, as well as internal equity and market data.
 The position is also eligible for an annual bonus under the Labcorp Bonus Plan. Bonuses are payable based on corporate and/or business segment performance and are subject to individual performance modifiers. Compensation may also include discretionary short\- and long\-term incentive packages
 **.**
**Benefits:** 
 Employees regularly scheduled to work 20 or more hours per week are eligible for comprehensive benefits including: Medical, Dental, Vision, Life, STD/LTD, 401(k), Paid Time Off (PTO) or Flexible Time Off (FTO), Tuition Reimbursement and Employee Stock Purchase Plan. Casual, PRN \&amp; Part Time employees regularly scheduled to work less than 20 hours are eligible to participate in the 401(k) Plan only. Employees who are regularly scheduled to work a 7 on/7 off schedule are eligible to receive all the foregoing benefits except PTO or FTO. For more detailed information, please click here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is>
      </c>
    </row>
    <row r="134">
      <c r="A134" t="inlineStr">
        <is>
          <t>li-4301278769</t>
        </is>
      </c>
      <c r="B134" t="inlineStr">
        <is>
          <t>Applied Scientist II, Creative X - RAPID</t>
        </is>
      </c>
      <c r="C134" t="inlineStr">
        <is>
          <t>Amazon</t>
        </is>
      </c>
      <c r="D134" t="inlineStr">
        <is>
          <t>linkedin</t>
        </is>
      </c>
      <c r="E134">
        <f>HYPERLINK("https://www.linkedin.com/jobs/view/4301278769", "https://www.linkedin.com/jobs/view/4301278769")</f>
        <v/>
      </c>
      <c r="F134" t="inlineStr"/>
      <c r="G134" t="inlineStr">
        <is>
          <t>New York, United States</t>
        </is>
      </c>
      <c r="H134" t="inlineStr"/>
      <c r="I134" t="inlineStr">
        <is>
          <t>**Description**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
**Company** 
 \- Amazon.com Services LLC
 Job ID: A3083576</t>
        </is>
      </c>
    </row>
    <row r="135">
      <c r="A135" t="inlineStr">
        <is>
          <t>li-4369135997</t>
        </is>
      </c>
      <c r="B135" t="inlineStr">
        <is>
          <t>Data Scientist II / Data Analyst</t>
        </is>
      </c>
      <c r="C135" t="inlineStr">
        <is>
          <t>HDR</t>
        </is>
      </c>
      <c r="D135" t="inlineStr">
        <is>
          <t>linkedin</t>
        </is>
      </c>
      <c r="E135">
        <f>HYPERLINK("https://www.linkedin.com/jobs/view/4369135997", "https://www.linkedin.com/jobs/view/4369135997")</f>
        <v/>
      </c>
      <c r="F135">
        <f>HYPERLINK("https://hdr.taleo.net/careersection/ex/jobdetail.ftl?job=190429&amp;lang=en&amp;src=SNS-10025&amp;urlHash=2uqT", "https://hdr.taleo.net/careersection/ex/jobdetail.ftl?job=190429&amp;lang=en&amp;src=SNS-10025&amp;urlHash=2uqT")</f>
        <v/>
      </c>
      <c r="G135" t="inlineStr">
        <is>
          <t>Vienna, VA</t>
        </is>
      </c>
      <c r="H135" t="inlineStr"/>
      <c r="I135" t="inlineStr">
        <is>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We believe transportation is more than movement, it’s the foundation of connected, thriving communities. As part of HDR’s Transportation Business Group, you’ll help shape the systems that move people and goods safely, efficiently, and sustainably. From designing resilient highways and iconic bridges to advancing transit, passenger and freight rail, aviation, federal transportation ports and marine infrastructure, your work will directly support economic vitality, public safety, sustainable and resilient communities and quality of life. We bring together planners, engineers, architects, construction management staff, environmental, strategic communications, economists, management consultants and specialists across disciplines to solve complex mobility challenges with innovation, technical excellence, and a deep understanding of community needs. Whether you're modernizing aging infrastructure or pioneering next\-generation transportation solutions, your contributions will help define the future of mobility. This isn’t just a job, it’s a chance to lead progress, drive meaningful impact, and leave a legacy of smarter, more connected transportation networks. We are all employee\-owners at HDR, which is the foundation of our collaborative culture that connects employees around the world.
 In the role of Data Scientist II / Data Analyst, we'll count on you to:
* Handle highly sensitive and confidential information with professionalism and discretion
* Collaborate with stakeholders to improve business decisions by identifying patterns and trends in data
* Develop data products including reports, visualizations, and dashboards
* Adhere to software and data science development standards
* Perform data acquisition, sourcing, cleaning, and exploratory data analysis (EDA)
* Transform raw data into usable attributes for machine learning modules through feature engineering
* Manage model lifecycle including development, deployment, data drift detection, model retraining, and model inference
* Create automated data pipelines and data engineering solutions
* Develop advanced and custom predictive models (classification, regression, time series, neural networks, natural language processing, and computer vision)
* Tune models with training, hyperparameters with comprehensive validation and testing processes
* Leverage predictive models to optimize business results
 \*Position will be based in a client office located in Arlington, VA\*
**Preferred Qualifications**
* Bachelor's degree
* A minimum of 5 years experience strongly preferred
* Transit experience preferred
* WMATA experience preferred
* Preference given to candidates currently located in the area
**Required Qualifications**
* A degree in a closely related field or combination of education and relevant experience
* A minimum of 3 years experience with data engineering tools and languages such as SQL, Power Query, and Pandas
* A minimum of 3 years experience with business intelligence tools such as Power BI, Tableau, Plotly, Seaborn, and Matplotlib
* A minimum of 3 years experience with data science languages such as Python and R
* Self\-motivated, detail\-oriented professional, ability to multitask a must
* Proficiency with MS Office including Word and Outlook
* Ability to handle confidential information
* Excellent writing and people skills
* Strong math and organizational skills
* Flexibility and ability to prioritize and handle multiple tasks and various managers in a fast\-paced environment
* Excellent verbal and written communication skills including grammar, punctuation, proofreading, spelling and telephone skills
* An attitude and commitment to being an active participant of our employee\-owned culture is a must
* In\-depth knowledge of machine learning algorithms, statistical models, and data analytics
* Experience completing multiple data science projects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We provide a comprehensive benefits package that promotes employee ownership, employee health, performance, and success, which includes medical, dental, vision, short and long\-term disability, life insurance, an employee assistance program, paid time away, parental leave, paid holidays, a retirement savings plan with employer match, employee referral bonus and tuition reimbursement. The expected compensation range for this position depends upon skills, experience, education and geographical location. (Stated benefits are for full\-time regular positions. Temporary and part\-time roles eligible for limited benefits.) Washington, DC: $100,044 \- $142,920\. Fulton, MD: $91,707\-131,010
**Primary Location:**
 United States\-District of Columbia\-Washington DC
**Other Locations:**
 United States\-Virginia\-Vienna, United States\-Maryland\-Fulton
**Industry:**
 Transit
**Schedule:**
 Full\-time
**Employee Status:**
 Regular
**BusinessClass:**
 Data and Automation
**Job Posting:**
 Feb 5, 2026
 At HDR, we are committed to the principles of employment equity. We are an Affirmative Action and Equal Opportunity Employer (https://www.hdrinc.com/equal\-employment\-opportunity\-employer). We consider all qualified applicants, regardless of criminal histories, arrest and conviction records.</t>
        </is>
      </c>
    </row>
    <row r="136">
      <c r="A136" t="inlineStr">
        <is>
          <t>li-4369734366</t>
        </is>
      </c>
      <c r="B136" t="inlineStr">
        <is>
          <t>Senior Applied Scientist, Amazon Industrial Robotics</t>
        </is>
      </c>
      <c r="C136" t="inlineStr">
        <is>
          <t>Amazon</t>
        </is>
      </c>
      <c r="D136" t="inlineStr">
        <is>
          <t>linkedin</t>
        </is>
      </c>
      <c r="E136">
        <f>HYPERLINK("https://www.linkedin.com/jobs/view/4369734366", "https://www.linkedin.com/jobs/view/4369734366")</f>
        <v/>
      </c>
      <c r="F136" t="inlineStr"/>
      <c r="G136" t="inlineStr">
        <is>
          <t>Middlesex County, MA</t>
        </is>
      </c>
      <c r="H136" t="inlineStr"/>
      <c r="I136" t="inlineStr">
        <is>
          <t>**Description**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We are seeking a Senior Simulation Applied Scientist to advance the state of the art in simulation for advanced robotics systems. This role blends research and practical engineering to develop novel simulation methodologies that accelerate robot development and reduce the simulation\-to\-reality gap, translating theoretical advances into real\-world impact.
 The ideal candidate will work at the intersection of theory and practice, contributing research that directly informs the deployment of real robotic systems. You will join a team that is redefining how robots learn, adapt, and interact with complex, real\-world environments.
 Key job responsibilities
* Conduct research to advance simulation fidelity for contact\-rich manipulation and locomotion
* Develop novel methods for quantifying and minimizing simulation\-to\-reality gaps across design, safety, and control domains
* Design scalable simulation solutions for rigid and deformable body dynamics
* Develop simulation pipelines optimized for large\-scale reinforcement learning training
* Build frameworks for continuous simulation improvement using real\-world deployment data
* Collaborate with robotics engineers, applied scientists, and safety teams on simulation requirements and certification methodologies
**Basic Qualifications**
* Experience programming in Java, C\+\+, Python or related language
* PhD in engineering, technology, computer science, machine learning, robotics, operations research, statistics, mathematics or equivalent quantitative field, or PhD and 4\+ years of industry or academic research experience
* Strong publication record in simulation, robotics, or computer graphics
* Demonstrated ability to advance state of the art through novel research
* Deep technical expertise in simulation for robotics, including rigid and deformable body dynamics, contact mechanics, numerical methods, computational geometry, camera and sensor simulation.
* Experience developing simulation software for high\-performance computing environments
* Expert knowledge of major physics engines, including MuJoCo, Isaac Lab, Drake, Newton
* Proven track record of bridging simulation and real\-world robotic systems
**Preferred Qualifications**
* Experience with reinforcement learning and training policies in simulation
* Experience with differentiable simulation, learned simulation models, or neural physics engines
* Background in contact\-rich manipulation simulation
* Knowledge of GPU\-accelerated simulation, USD pipelines, and distributed computing (CUDA)
* Experience deploying simulation\-trained policies on real robotic hardware
* Research leadership: leading projects from conception to publication and deployment
* Contributions to open\-source simulation tools or robotics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
**Company** 
 \- Amazon.com Services LLC
 Job ID: A3174859</t>
        </is>
      </c>
    </row>
    <row r="137">
      <c r="A137" t="inlineStr">
        <is>
          <t>li-4363620409</t>
        </is>
      </c>
      <c r="B137" t="inlineStr">
        <is>
          <t>Forward Deployed Data Scientist</t>
        </is>
      </c>
      <c r="C137" t="inlineStr">
        <is>
          <t>Burtch Works</t>
        </is>
      </c>
      <c r="D137" t="inlineStr">
        <is>
          <t>linkedin</t>
        </is>
      </c>
      <c r="E137">
        <f>HYPERLINK("https://www.linkedin.com/jobs/view/4363620409", "https://www.linkedin.com/jobs/view/4363620409")</f>
        <v/>
      </c>
      <c r="F137" t="inlineStr"/>
      <c r="G137" t="inlineStr">
        <is>
          <t>Pittsburgh, PA</t>
        </is>
      </c>
      <c r="H137" t="inlineStr"/>
      <c r="I137" t="inlineStr">
        <is>
          <t>**Job Title:** 
 Forward Deployed Data Scientist (FDDS)
**Location:** 
 Pittsburgh, PA or Washington, DC (Remote with travel)
**About The Company**
 Our client is a U.S.\-based defense software and analytics company focused on modernizing the defense acquisition process. For more than a decade, the organization has built and governed one of the most comprehensive datasets covering the defense supply chain, logistics, sustainment, and MRO (Maintenance, Repair, and Overhaul). The company applies advanced AI, data science, and analytics to help government and national security organizations improve readiness, reduce risk, and accelerate decision\-making across the full lifecycle of complex systems.
 The organization is known for operating at the intersection of mission\-critical data, applied AI, and real\-world execution, with a strong emphasis on accountability, speed, and measurable impact.
**Job Summary**
 We are looking for a Forward Deployed Data Scientist to join the AI organization and work directly on high\-impact customer deployments. The ideal candidate is a hands\-on, applied data scientist who thrives in ambiguous environments, enjoys working close to real customer problems, and is comfortable owning solutions end\-to\-end—from problem framing and modeling through production and delivery.
 This role is designed for individuals who want to see their work directly influence operational decisions, system readiness, and mission outcomes.
**Key Responsibilities**
* Customer\-Embedded Problem Solving: Partner with engagement managers and customer stakeholders to deeply
 understand mission\-critical problems across logistics, supply chain, MRO, and sustainment, translating them
 into actionable data science solutions.
* End\-to\-End Solution Ownership: Design, build, iterate, and deploy data science and machine learning solutions, taking
 full accountability from initial analysis through production implementation.
* Applied Modeling \&amp; Analytics: Develop predictive, optimization, search, retrieval, and recommendation models
 tailored to real\-world operational constraints and decision environments.
* Rapid Iteration \&amp; Deployment: Operate in a fast\-paced environment, pushing models and analytical
 solutions into production quickly while maintaining quality, reliability, and explain ability.
* Product Feedback Loop: Collaborate closely with core AI and product teams to identify patterns across
 deployments and help translate successful solutions into scalable, extensible product capabilities.
**Requirements**
* Education: Bachelor’s degree in Computer Science, Data Science, Engineering, Mathematics, Operations Research, or a
 related field (or equivalent practical experience).
* Experience: 4–8\+ years of applied data science or machine learning experience in production environments.
**Skills**
* Strong proficiency in Python and SQL
* Experience working with messy, real\-world datasets
* Hands\-on experience deploying models into production environments
* Applied experience with optimization, decision modeling, search/retrieval, recommendation systems, or similar techniques
* Ability to communicate complex analytical findings to technical and non\-technical audiences
**Security Requirements:** 
 U.S. citizenship required; must be eligible and willing to obtain a security clearance.
**Other:** 
 Willingness to travel up to 25–50% as required by customer deployments.
**Preferred Qualifications**
* Experience in logistics, supply chain, manufacturing, robotics, IoT, or defense\-related domains
* Background in fast\-paced commercial technology environments (e.g., large\-scale tech, applied AI startups)
* Familiarity with advanced retrieval systems, embeddings, or cross\-modal modeling
* Experience operating in customer\-facing or forward\-deployed roles
**Benefits**
* Competitive Salary: Market\-aligned compensation based on experience and role scope
* Health and Wellness: Comprehensive medical, dental, and vision coverage
* Work\-Life Balance: Flexible work arrangements with remote options
* Professional Development: Opportunities for continuous learning, technical growth, and leadership development
* Additional Perks: Exposure to mission\-critical work, collaboration with senior leaders, and the opportunity to see
 direct real\-world impact from your work</t>
        </is>
      </c>
    </row>
    <row r="138">
      <c r="A138" t="inlineStr">
        <is>
          <t>li-4369730434</t>
        </is>
      </c>
      <c r="B138" t="inlineStr">
        <is>
          <t>Sr. Applied Scientist Pricing Optimization, LEO Global Pricing Strategy</t>
        </is>
      </c>
      <c r="C138" t="inlineStr">
        <is>
          <t>Amazon</t>
        </is>
      </c>
      <c r="D138" t="inlineStr">
        <is>
          <t>linkedin</t>
        </is>
      </c>
      <c r="E138">
        <f>HYPERLINK("https://www.linkedin.com/jobs/view/4369730434", "https://www.linkedin.com/jobs/view/4369730434")</f>
        <v/>
      </c>
      <c r="F138">
        <f>HYPERLINK("https://www.amazon.jobs/jobs/3175246/sr-applied-scientist-pricing-optimization-leo-global-pricing-strategy?cmpid=SPLICX0248M&amp;utm_source=linkedin.com&amp;utm_campaign=cxro&amp;utm_medium=social_media&amp;utm_content=job_posting&amp;ss=paid&amp;urlHash=t-Pr", "https://www.amazon.jobs/jobs/3175246/sr-applied-scientist-pricing-optimization-leo-global-pricing-strategy?cmpid=SPLICX0248M&amp;utm_source=linkedin.com&amp;utm_campaign=cxro&amp;utm_medium=social_media&amp;utm_content=job_posting&amp;ss=paid&amp;urlHash=t-Pr")</f>
        <v/>
      </c>
      <c r="G138" t="inlineStr">
        <is>
          <t>Bellevue, WA</t>
        </is>
      </c>
      <c r="H138" t="inlineStr"/>
      <c r="I138" t="inlineStr">
        <is>
          <t>**Description**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The Sr. Applied Scientist Pricing Optimization, Leo Global Pricing Strategy will have an outsized impact on the profitability of Amazon Leo directly through building the initial foundational models to enable the business to optimize our pricing and product feature strategies. You will be building a true "0 to 1" function, powering the science behind pricing decisions and driving science automation at a global scale.
**Export Control Requirement**
 Due to applicable export control laws and regulations, candidates must be a U.S. citizen or national, U.S. permanent resident (i.e., current Green Card holder), or lawfully admitted into the U.S. as a refugee or granted asylum.
 A day in the life
 You will design, develop, and deploy advanced machine‑learning models to predict customer‑level behavior (revenue, churn, usage, migration, product choice) and response to pricing changes. You will build robust models that capture the complexities of multi‑product bundling interactions in a subscription business model and regional nuances in supply/demand and consumer choice alternative choices. You will implement scalable inference systems, will monitor model performance, and will automate retraining. Collaboration with cross‑functional teams will be critical to ensure that technical solutions will align with business objectives and actionable strategies. Establishing mechanisms to stay up to date on latest scientific advancements in machine learning, neural networks, natural language processing, probabilistic forecasting, and multi\-objective optimization techniques will be critical.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 Experience with large scale machine learning systems such as profiling and debugging and understanding of system performance and scalability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\- 167,100\.00 \- 226,100\.00 USD annually
**Company** 
 \- Amazon Kuiper Commercial Services LLC
 Job ID: A3175246</t>
        </is>
      </c>
    </row>
    <row r="139">
      <c r="A139" t="inlineStr">
        <is>
          <t>li-4369693321</t>
        </is>
      </c>
      <c r="B139" t="inlineStr">
        <is>
          <t>Applied Scientist</t>
        </is>
      </c>
      <c r="C139" t="inlineStr">
        <is>
          <t>Apex Systems</t>
        </is>
      </c>
      <c r="D139" t="inlineStr">
        <is>
          <t>linkedin</t>
        </is>
      </c>
      <c r="E139">
        <f>HYPERLINK("https://www.linkedin.com/jobs/view/4369693321", "https://www.linkedin.com/jobs/view/4369693321")</f>
        <v/>
      </c>
      <c r="F139" t="inlineStr"/>
      <c r="G139" t="inlineStr">
        <is>
          <t>Westboro, WI</t>
        </is>
      </c>
      <c r="H139" t="inlineStr"/>
      <c r="I139" t="inlineStr">
        <is>
          <t>**Job\#: 3015438**
**Job Description:**
 Apex Systems is a world class technology services business that incorporates industry insights and experience to deliver solutions that fulfill our clients’ digital visions.
 Apex has an opportunity for an
 **Applied Scientist** 
 . For applicants who are interested in this
 **Applied Scientist** 
 opportunity, send your updated resume to
 **Tom McGrath** 
 at
 **\[email protected]**
 Here are the details:
**Position:** 
 Applied Scientist
**Location:** 
 Hybrrid, Westborough MA 01581
**Rate: Negotiable Based on Experience**
**Duration:** 
 3 months
**Position Description:**
 We are seeking a talented and experienced Applied Scientist with a background in computer vision to join our innovative team.
 The ideal candidate will contribute projects involving image processing, stereo vision to production a deployable solution at warehouses.
 As an Applied Scientist specializing in computer vision, you will be responsible for developing, implementing, and maintaining softwaresolutions. You will work on projects that involve image processing and embedded systems, utilizing your expertise in both software engineering and computer vision.
**Required Skills:**
* Bachelor's degree in Computer Science, Software Engineering, or a related field
* Proficient coding skills in Python and C/C\+\+
* Experience in creating Python bindings for C/C\+\+ libraries
* Solid understanding and hands\-on experience with CMake and Git version control
* Proven experience with Docker containerization
* Familiarity with AWS cloud services and infrastructure
* Strong command of Linux and shell scriptin
**Desired Skills:**
* Experience working with embedded compute modules, particularly NVIDIA Jetson platforms and their associated toolchains
* Background in computer vision algorithms and techniques, with a focus on stereo vision
* Proficiency in OpenCV library for image processing and computer vision tasks
* Experience with CUDA programming for GPU acceleration
**Additional Benefits:**
 For this opportunity, you will also be eligible for benefits through Apex for the contract period, 401K, medical/health benefits options, a W2 hourly rate, weekly pay, and direct deposit!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140">
      <c r="A140" t="inlineStr">
        <is>
          <t>li-4369186894</t>
        </is>
      </c>
      <c r="B140" t="inlineStr">
        <is>
          <t>Senior Data Scientist - Applied AI</t>
        </is>
      </c>
      <c r="C140" t="inlineStr">
        <is>
          <t>Blackbaud</t>
        </is>
      </c>
      <c r="D140" t="inlineStr">
        <is>
          <t>linkedin</t>
        </is>
      </c>
      <c r="E140">
        <f>HYPERLINK("https://www.linkedin.com/jobs/view/4369186894", "https://www.linkedin.com/jobs/view/4369186894")</f>
        <v/>
      </c>
      <c r="F140">
        <f>HYPERLINK("https://careers.blackbaud.com/us/en/job/BLBBUSR0013767EXTERNALENUS/Senior-Data-Scientist-Applied-AI?utm_source=linkedin&amp;utm_medium=phenom-feeds&amp;urlHash=JRE-", "https://careers.blackbaud.com/us/en/job/BLBBUSR0013767EXTERNALENUS/Senior-Data-Scientist-Applied-AI?utm_source=linkedin&amp;utm_medium=phenom-feeds&amp;urlHash=JRE-")</f>
        <v/>
      </c>
      <c r="G140" t="inlineStr">
        <is>
          <t>Charleston, SC</t>
        </is>
      </c>
      <c r="H140" t="inlineStr"/>
      <c r="I140" t="inlineStr">
        <is>
          <t>**Senior Data Scientist – Applied AI**
 Blackbaud is seeking a high\-performing Senior Data Scientist to champion and accelerate AI innovation in product development. The senior data scientist will collaborate closely with the data science team, engineering teams, and product managers to design and evaluate next generation AI solutions that deliver measurable impact to customers while meeting high standards for trust, transparency, and responsibility.
 This role will solve complex problems, applying the right approach to each problem – ranging from machine learning to Retrieval\-Augmented\-Generation (RAG), selective fine\-tuning, or task\-specific small language models (SLMs), based on impact, risk, cost, and operational context.
**What You’ll Do**
* Frame business and customer problems into responsible data science and ML solutions.
* Design, train, and evaluate models across a range of techniques, selecting the appropriate fit (rules, classical ML, RAG, fine\-tuning, SLMs) based on problem fit.
* Design and curate high\-quality datasets for modeling and evaluation.
* Define success metrics and evaluation approaches, including human\-in\-the\-loop where appropriate.
* Clearly articulate tradeoffs between approaches (accuracy, explainability, cost, latency, risk).
* Perform error analysis to understand model behavior, bias, and failure modes.
* Partner with product management, AI platform engineering, engineering, and governance teams to operationalize solutions responsibly.
* Contribute to model documentation, transparency, artifacts, and ongoing risk management.
* Improve AI processes through iterative testing, monitoring, measurement, and automation.
* Present key findings and insights clearly to technical and non\-technical audiences at various levels of the organization.
* Mentor other team members in data science methodologies and participate in cross\-team trainings.
* Stay abreast of the latest advancements in data and AI technologies, suggesting new capabilities to incorporate into the AI platform.
* Actively contribute to thought leadership through research, articles, presentations, and collaboration with Blackbaud Institute partners.
**What You'll Bring**
* 5\+ years of experience in data science or applied machine learning, with experience in large\-language based systems (Microsoft and Databricks preferred).
* Strong grounding in statistics and ML foundations.
* Experience applying multiple modeling approaches to production problems.
* Ability to explain tradeoffs between accuracy, explainability, cost, risk.
* Clear communicator with technical and non\-technical partners.
* Experience with data analysis in Python, R or similar language.
* Proven experience influencing business decisions and driving business value.
* Ability to work independently and take initiative with little oversight.
* Demonstrated commitment to responsible AI.
* Strong bias to action demonstrated by proactively moving work forward, making timely decisions with incomplete information.
* Ability to deliver work that meets all minimum standards of quality, security, and operability.
 Stay up to date on everything Blackbaud, follow us on Linkedin, Twitter, Instagram, Facebook and YouTube
 Blackbaud is a remote\-first company which embraces a flexible remote work culture. Blackbaud supports hiring and career development for all roles from the location you are in today!
 Blackbaud is proud to be an equal opportunity employer and is committed to maintaining a diverse and inclusive work environment.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***To all recruitment agencies:** 
 We do not accept unsolicited agency resumes and are not responsible for any fees related to unsolicited resumes.*
***A notice to candidates: Recruitment Fraudulent Alert:** 
 Your personal information and online safety as a candidate mean a lot to us! At Blackbaud and our portfolio of companies, recruiters only direct candidates to apply through our official careers page at https://careers.blackbaud.com/us/en or our official LinkedIn page. Recruiters will never request payments, ask for financial account information or sensitive information like social security numbers, or conduct interviews via Skype. Anyone suggesting otherwise is not a representative of Blackbaud. If you are unsure if a message is from Blackbaud, please email blackbaudrecruiting@blackbaud.com.*
 The starting base pay is $101,900\.00 to $132,800\.00\. Blackbaud may pay more or less based on employee qualifications, market value, Company finances, and other operational considerations.
**Benefits Include**
* Medical, dental, and vision insurance
* Remote\-first workforce
* 401(k) program with employer match
* Flexible paid time off
* Generous Parental Leave
* Volunteer for vacation
* Opportunities to connect to build community and belonging
* Pet insurance, legal and identity protection
* Tuition reimbursement program</t>
        </is>
      </c>
    </row>
    <row r="141">
      <c r="A141" t="inlineStr">
        <is>
          <t>li-4369742090</t>
        </is>
      </c>
      <c r="B141" t="inlineStr">
        <is>
          <t>Sr Data Scientist, Vulnerability Management &amp; Remediation</t>
        </is>
      </c>
      <c r="C141" t="inlineStr">
        <is>
          <t>Amazon</t>
        </is>
      </c>
      <c r="D141" t="inlineStr">
        <is>
          <t>linkedin</t>
        </is>
      </c>
      <c r="E141">
        <f>HYPERLINK("https://www.linkedin.com/jobs/view/4369742090", "https://www.linkedin.com/jobs/view/4369742090")</f>
        <v/>
      </c>
      <c r="F141">
        <f>HYPERLINK("https://www.amazon.jobs/jobs/3175200/sr-data-scientist-vulnerability-management\u002d\u002dremediation?cmpid=SPLICX0248M&amp;utm_source=linkedin.com&amp;utm_campaign=cxro&amp;utm_medium=social_media&amp;utm_content=job_posting&amp;ss=paid&amp;urlHash=pjNq", "https://www.amazon.jobs/jobs/3175200/sr-data-scientist-vulnerability-management\u002d\u002dremediation?cmpid=SPLICX0248M&amp;utm_source=linkedin.com&amp;utm_campaign=cxro&amp;utm_medium=social_media&amp;utm_content=job_posting&amp;ss=paid&amp;urlHash=pjNq")</f>
        <v/>
      </c>
      <c r="G141" t="inlineStr">
        <is>
          <t>Austin, TX</t>
        </is>
      </c>
      <c r="H141" t="inlineStr"/>
      <c r="I141" t="inlineStr">
        <is>
          <t>**Description**
 As a Senior Data Scientist on our team, you will leverage advanced analytics and machine learning to provide insights and expose risk in our Vulnerability Management systems. You'll develop and deploy sophisticated anomaly detection models, predictive algorithms, and real\-time analysis systems that identify flaws in our findings pipeline. Your expertise in statistical analysis, machine learning, large language models, and big data processing will be crucial in building scalable security solutions.
 You'll collaborate with software engineers, security engineers, business intelligence engineers and managers to:
* Analyze large\-scale security data using statistical methods and data mining techniques
* Create automated systems for real\-time pattern recognition and risk assessment
* Build data pipelines and ETL processes to handle massive security datasets
* Translate complex analytical findings into actionable security insights
 We use the full power of AWS technologies, including Amazon SageMaker, EMR, and other ML/AI services to monitor, enhance, automate, and report on our security risks. Experience with Python and a strong background in statistical analysis, machine learning, and data mining are essential.
 We're looking for a new teammate who is enthusiastic, empathetic, curious, motivated, reliable, and able to work effectively with a diverse team of peers. We want someone who will help us amplify the positive \&amp; inclusive team culture we've been building.
 Key job responsibilities
* Advising and co\-architecting data warehouse solutions to optimize operations and reporting
* Building pipelines to automate the business
* Running experiments to identify and rectify data and system anomalies
* Expanding our existing LLM prompts to automate and baseline security review, and
* Analyzing out contextualization outputs to ensure continuous optimal severity assignments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\- 159,200\.00 \- 215,300\.00 USD annually
**Company** 
 \- Amazon.com Services LLC
 Job ID: A3175200</t>
        </is>
      </c>
    </row>
    <row r="142">
      <c r="A142" t="inlineStr">
        <is>
          <t>li-4292572918</t>
        </is>
      </c>
      <c r="B142" t="inlineStr">
        <is>
          <t>Sr. Applied Scientist - Privacy, Privacy Engineering</t>
        </is>
      </c>
      <c r="C142" t="inlineStr">
        <is>
          <t>Amazon</t>
        </is>
      </c>
      <c r="D142" t="inlineStr">
        <is>
          <t>linkedin</t>
        </is>
      </c>
      <c r="E142">
        <f>HYPERLINK("https://www.linkedin.com/jobs/view/4292572918", "https://www.linkedin.com/jobs/view/4292572918")</f>
        <v/>
      </c>
      <c r="F142" t="inlineStr"/>
      <c r="G142" t="inlineStr">
        <is>
          <t>Seattle, WA</t>
        </is>
      </c>
      <c r="H142" t="inlineStr"/>
      <c r="I142" t="inlineStr">
        <is>
          <t>**Description**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A2997657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2026-02-06T03:10:21Z</dcterms:created>
  <dcterms:modified xsi:type="dcterms:W3CDTF">2026-02-06T03:10:21Z</dcterms:modified>
</cp:coreProperties>
</file>