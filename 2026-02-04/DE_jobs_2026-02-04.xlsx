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in-ba244cf840c6a7fd</t>
        </is>
      </c>
      <c r="B2" t="inlineStr">
        <is>
          <t>Director Data Engineering - Bank Tech</t>
        </is>
      </c>
      <c r="C2" t="inlineStr">
        <is>
          <t>Capital One</t>
        </is>
      </c>
      <c r="D2" t="inlineStr">
        <is>
          <t>indeed</t>
        </is>
      </c>
      <c r="E2" t="inlineStr"/>
      <c r="F2" t="inlineStr"/>
      <c r="G2" t="inlineStr">
        <is>
          <t>Wilmington, DE, US</t>
        </is>
      </c>
      <c r="H2" s="2" t="n">
        <v>46054</v>
      </c>
      <c r="I2" t="inlineStr">
        <is>
          <t>Director Data Engineering \- Bank Tech
Capital One is seeking a Director, Data Engineering who is equal parts visionary technologist and inspirational leader. This is an exciting role which bridges the gap between legacy reliability and fintech\-speed innovation, leading a high\-caliber team of engineers to build a world\-class data ecosystem.
Bank data organization to accelerate data modernization across the bank by defining, building, and operating on a unified, resilient, and compliant Enterprise Data Platforms. Enable bank domains to produce and leverage modern data for a modern bank. The position focused on setting the technical vision, and driving the most complex data transformation for the banking domains. In addition, partner closely with enterprise teams to develop highly resilient data platforms.
This leader must have the ability to attract and recruit the industry’s best talent, and simultaneously have the technical chops to ensure that we build compelling, customer\-oriented solutions in an iterative methodology. Success in the role requires an innovative mind, a proven track record of delivering next generation software and data products, rigorous analytical skills, and a passion for delivering customer value through automation, machine learning and predictive analytics.
**Our Directors Are:**
* Technologists: Strong engineering and technology background with the ability to learn quickly and go deep into our product and engineering solutions \- will have a DevOps mindset
* Effective Communicators: Excellent listener; proven collaborator with senior leaders, peers and staff
* Partnership Attitude: Have the competencies to build very strong partnerships with other technology leaders that enable your team's ability to stay on the leading edge of industry solutions
* Curious: Hands\-on, "roll up your sleeves" collaborative style of working
* Passionate: Bring energy and enthusiasm to the job and organization
* Bold: History of taking smart, calculated risks and aggressively leading through change
* Achievers: Consistently attain/exceed individual and team goals
You Will:
* Lead, manage, and grow multiple teams of product focused software \&amp; data engineers
* Embrace and incubate emerging technology and open\-source products across all platforms
* Work to modernize our existing tech stacks and data platforms
* Collaborate with internal teams to find areas of opportunities for automation and machine learning
* Partner with architects, product owners, data professionals, and software \&amp; data engineers to drive the implementation of new applications
* Work within and across Agile teams to design, develop, test, implement and support technical solutions across full\-stack development tools and technologies
* Lead efforts to deploy new and existing applications into AWS environments and provide operational support for the applications
* Conduct design and code review to ensure compliance with standards
**Basic Qualifications:**
* Bachelor’s Degree
* At least 7 years of experience in software engineering or data engineering
* At least 5 years of people management experience
* At least 3 years of experience with Big Data and data streaming
* At least 3 years of experience with cloud\-based data platforms (Amazon Web Services, Microsoft Azure, Google Cloud Platform)
**Preferred Qualifications:**
* Master’s Degree
* 10\+ years of experience in software engineering or data engineering
* 5\+ years of experience in Data Transformation, Data Standardization, and Data Modeling
* 3\+ years experience creating and maturing a Data Architecture function
* 3\+ years of experience with Data Lake Infrastructure, Data Warehousing, and Data Analytics tools
* 3\+ years of experience with AWS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Director, Data Engineering  
Philadelphia, PA: $244,700 \- $279,200 for Director, Data Engineering  
Wilmington, DE: $244,700 \- $279,200 for Director,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
      <c r="A3" t="inlineStr">
        <is>
          <t>in-7b5eed0b0f640688</t>
        </is>
      </c>
      <c r="B3" t="inlineStr">
        <is>
          <t>Data Engineer</t>
        </is>
      </c>
      <c r="C3" t="inlineStr">
        <is>
          <t>Daikin Applied</t>
        </is>
      </c>
      <c r="D3" t="inlineStr">
        <is>
          <t>indeed</t>
        </is>
      </c>
      <c r="E3" t="inlineStr"/>
      <c r="F3" t="inlineStr"/>
      <c r="G3" t="inlineStr">
        <is>
          <t>Plymouth, MN, US</t>
        </is>
      </c>
      <c r="H3" s="2" t="n">
        <v>46056</v>
      </c>
      <c r="I3" t="inlineStr">
        <is>
          <t>*Join the world's largest HVAC company, named by Forbes as one of America's Best\-In\-State Employers 2025!*
*Make your mark at the world’s largest HVAC company*
Daikin Applied is seeking a highly skilled Databricks Data Engineer to join our Data \&amp; Analytics team. The ideal candidate will have deep expertise in building scalable data pipelines, optimizing Lakehouse architecture, and enabling advanced analytics and AI use cases on the Databricks platform. You will collaborate with cross\-functional teams to deliver solutions that support analytics, machine learning, and business intelligence across the organization. This role focuses on designing, building, and maintaining complex data pipelines that ingest and curate data from diverse sources, delivering well‑governed and high‑quality data products. Come be a part of an exciting journey at Daikin Applied, where innovation and excellence drive everything we do!
**Location:** Plymouth, MN \- Hybrid
**What you will do:**
* Design, build, and maintain ETL/ELT pipelines to ingest, transform, curate and store data from multiple sources
* Optimize data processing workflows for performance, reliability, and scalability
* Implement real\-time and batch data processing using technologies like Apache Spark, Kafka, and Databricks
* Work with structured and unstructured data
* Implement data validation, cleansing, and monitoring to ensure high\-quality datasets
* Implement data governance, security, and compliance policies (e.g., GDPR, CCPA)
* Maintain metadata management, data lineage, and documentation for data assets
* Deploy and manage data solutions on cloud platforms (Azure, Databricks)
* Develop and maintain documentation, data models, and technical standards
* Optimize query performance, cost efficiency, and storage utilization
* Monitor, troubleshoot, and resolve issues in production data pipelines and environments
* Stay current with the latest advancements in data engineering, cloud computing, and analytics technologies on the Databricks ecosystem
* Partner with data analysts, and software engineers to support analytics initiatives
**Minimum Qualifications:**
* Bachelor’s degree in Computer Science, Engineering, or a related field
* 8\+ years of Data Engineering, with a strong understanding of cloud\-based data solutions
* At least 3 years hands\-on experience building and delivering data products on Databricks
* Proven experience in data engineering and pipeline development on Databricks
* Hands\-on expertise across the data lifecycle: ingestion, transformation, modelling, governance, and consumption
* Deep expertise with the Databricks platform (SQL, Python and PySpark, Delta Lake, Unity Catalog, MLflow)
* Strong SQL and Python skills for data processing and data manipulation
* Strong problem\-solving skills and an analytical mindset
* Excellent verbal and written communication skills, with the ability to explain technical concepts to non\-technical audiences
* Extensive experience with data ingestion methodology including ADF
* Proficiency in Python, SQL, or Scala for data processing
* Experience with cloud data services (Azure Data Factory, Databricks)
* Hands\-on experience with big data frameworks (Databricks, Apache Spark)
* Strong knowledge of data modeling, database optimization, and API\-based data integration
* Proficiency in designing and implementing the Medallion Architecture on Databricks
* Experience with code repositories, CI/CD processes and release management
Work visa sponsorship is not available for this position  
* 
Daikin Applied offers the following benefits for this position, subject to applicable eligibility requirements:
* Multiple medical insurance plan options \+ dental and vision insurance
* 401K retirement plan with employer contributions matching 100% of the first 3% of employee contributions and 50% on the next 2% of employee contributions
* Company provided life insurance \+ optional employee paid voluntary life insurance, dependent life coverage and voluntary accident coverage
* Short term and long\-term disability
* 3 weeks of paid time off for new employees \+ 11 company paid holidays
* Vacation accrues on a monthly basis, unless applicable federal, state and local law requires a faster accrual
* Paid sick time in accordance of the federal, state and local law
* Paid parental leave and tuition reimbursement after 6 months of continuous service
The typical annual base salary for this position ranges from $90,000 \- $148,000 (\+ 10% bonus) in Minnesota. The range displayed represents the pay range for all positions in the job grade which this position falls. Individual base pay will depend on a wide range of factors including your skills, qualifications, experience, and location.  
\#LI\-RS1, \#LI\-hybrid
If you're looking for an engaging career with growth opportunities in a supportive environment, you'll love a career at Daikin Applied!</t>
        </is>
      </c>
    </row>
    <row r="4">
      <c r="A4" t="inlineStr">
        <is>
          <t>in-9b0d26a7e8ec57da</t>
        </is>
      </c>
      <c r="B4" t="inlineStr">
        <is>
          <t>Data Engineer</t>
        </is>
      </c>
      <c r="C4" t="inlineStr">
        <is>
          <t>Tata Consultancy Services (TCS)</t>
        </is>
      </c>
      <c r="D4" t="inlineStr">
        <is>
          <t>indeed</t>
        </is>
      </c>
      <c r="E4" t="inlineStr"/>
      <c r="F4" t="inlineStr"/>
      <c r="G4" t="inlineStr">
        <is>
          <t>Norwell, MA, US</t>
        </is>
      </c>
      <c r="H4" s="2" t="n">
        <v>46056</v>
      </c>
      <c r="I4" t="inlineStr">
        <is>
          <t>Must Have Technical/Functional Skills
 We are seeking a skilled Data Engineer to design, build, and maintain high\-quality, scalable data pipelines with a strong focus on Silver and Gold layer transformations, data quality automation, and CI/CD\-driven deployments. The ideal candidate will have hands\-on experience with Python, PySpark, Git\-based CI/CD pipelines, ARM templates, and data quality libraries such as Great Expectations.  
Roles \&amp; Responsibilities
 Design and implement Silver and Gold layer data models following medallion architecture best practices.
 Perform data cleansing, standardization, enrichment, and aggregation to support analytics and reporting.
 Build optimized PySpark\-based transformations for large\-scale data processing.
 Ensure data consistency, performance, and scalability across datasets.
 Build and maintain CI/CD pipelines using Git\-based workflows (Azure DevOps / GitHub).
 Use ARM templates (or IaC equivalents) for automated infrastructure provisioning.
 Enable automated deployment of data pipelines, notebooks, and configurations.
 Follow DevOps best practices for version control, branching, and release management.
 Develop reusable Python\-based automation scripts for pipeline orchestration, validation, and monitoring.
 Create modular, maintainable, and testable Python code.
 Support automation of metadata, logging, alerting, and operational tasks.
 Implement data quality libraries such as Great Expectations.
 Define and automate data quality rules (completeness, accuracy, freshness, consistency).
 Integrate data quality checks into data pipelines and CI/CD workflows.
 Monitor, log, and troubleshoot data quality issues proactively.
 Work closely with data architects, analysts, QA, and business stakeholders.
 Translate business and analytical requirements into robust data engineering solutions.
 Participate in Agile ceremonies and support sprint\-based delivery.
 Provide production support, performance tuning, and troubleshooting  
Salary Range $120,000\-$130,000 year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amp; Training Reimbursement.
Time Off: Vacation, Time Off, Sick Leave \&amp; Holidays.
Legal \&amp; Financial Assistance: Legal Assistance, 401K Plan, Performance Bonus, College Fund, Student Loan Refinancing.  
\#LI\-SP1  
**Location**
Norwell, MA
**Job Function**
TECHNOLOGY
**Role**
Engineer
**Job Id**
394834
**Desired Skills**
DevOps \| Python
**Salary Range**
$120,000\-$130,000 a year
Desired Candidate Profile
**Qualifications** : BACHELOR OF COMPUTER SCIENCE</t>
        </is>
      </c>
    </row>
    <row r="5">
      <c r="A5" t="inlineStr">
        <is>
          <t>in-23e2ce62076578b2</t>
        </is>
      </c>
      <c r="B5" t="inlineStr">
        <is>
          <t>Data Analytics Engineer</t>
        </is>
      </c>
      <c r="C5" t="inlineStr">
        <is>
          <t>Palmer Holland</t>
        </is>
      </c>
      <c r="D5" t="inlineStr">
        <is>
          <t>indeed</t>
        </is>
      </c>
      <c r="E5" t="inlineStr"/>
      <c r="F5" t="inlineStr"/>
      <c r="G5" t="inlineStr">
        <is>
          <t>Westlake, OH, US</t>
        </is>
      </c>
      <c r="H5" s="2" t="n">
        <v>46056</v>
      </c>
      <c r="I5" t="inlineStr">
        <is>
          <t>**Position Summary**
The Data Analytics Engineer is responsible for designing, developing, and delivering high\-impact data visualizations, dashboards, and analytical products that enable informed decision\-making across Palmer Holland. Positioned within the Information Technology Department, this role works horizontally across Business Analysis, FP\&amp;A, Commercial, and Executive teams to create a cohesive and trusted analytics experience.
This role combines strong business acumen, foundational data modeling knowledge, and exceptional visualization craft to translate complex data into clear, actionable insights. The Engineer plays a key role in unifying Palmer Holland’s analytics standards while supporting the organization’s evolving data, AI, and automation strategy.
The Data Analytics Engineer partners closely with the Data Solutions Administrator, IT Application \&amp; Development team, vertical Business Analysts, and strategic external partners as Palmer Holland builds its next\-generation data lakehouse and prepares for advanced analytics, generative AI, and agentic AI use cases.
**Essential tasks of the position**
* Lead the design and development of dashboards, visual analytics, and data products that enable fast, accurate decision\-making across all business units.
* Translate ambiguous business questions into clear analytical requirements and high\-value visual solutions.
* Create executive\-caliber dashboards that are both aesthetically refined and highly functional, including content used for principal\-facing applications and the Principal Portal.
* Iterate with Business Analysts, Commercial leaders, and the Executive team to ensure analytics products are intuitive, actionable, and aligned to business needs.
* Build semantic layers, data views, and analytical models in partnership with the Data Solutions Administrator and IT development teams.
* Write and maintain SQL queries, data extraction logic, and lightweight transformations needed to support visualizations.
* Ensure data definitions, filters, hierarchies, and calculations are consistent across dashboards.
* Establish and maintain visualization standards, UX patterns, naming conventions, and data storytelling best practices to ensure consistency and clarity.
* Act as a center\-of\-excellence partner who coaches Business Analysts in design quality, user experience, and dashboard performance.
* Support rationalization of dashboard/report sprawl and improve overall analytics adoption across the organization.
* Contribute to the design of analytics structures that support future GenAI use cases, including semantic models, governed datasets, and narrative insights.
**Qualifications:**
**Required**
* Advanced Knowledge of IT security best practices.
* Comfortable public speaking and effective communication skills.
* Ability to present complex information in a clear and concise manner, avoiding unnecessary jargon and technical terms.
* 5\+ years of experience designing and developing advanced dashboards and data visualizations in Tableau, Power BI, or similar BI platforms.
* Exceptional design, UX, and data storytelling skills with a portfolio of executive\-quality dashboards.
* Strong SQL skills for data extraction and semantic modeling.
* Experience working with data from complex enterprise systems.
* Proven ability to collaborate cross\-functionally and influence without authority.
* Ability to simplify complex analytical concepts into intuitive, consumable visual outputs.
* Comfort working in hybrid environments with SQL databases, cloud data platforms, and modern analytics tools.
**Preferred**
* Experience with Snowflake, Databricks, or other data lakehouse technologies.
* Understanding of LLMs, narrative insights, or AI\-assisted analytics (working knowledge is a plus but not required).
* Experience in B2B distribution, chemicals, ingredients, or manufacturing.
* Familiarity with dashboard migration and modernization projects.
**Education:**
Bachelor’s degree in Information Systems, Computer Science, Business Technology, or related field preferred.</t>
        </is>
      </c>
    </row>
    <row r="6">
      <c r="A6" t="inlineStr">
        <is>
          <t>in-0aaa077dd0813235</t>
        </is>
      </c>
      <c r="B6" t="inlineStr">
        <is>
          <t>Lead Analytics Engineer</t>
        </is>
      </c>
      <c r="C6" t="inlineStr">
        <is>
          <t>HighLevel</t>
        </is>
      </c>
      <c r="D6" t="inlineStr">
        <is>
          <t>indeed</t>
        </is>
      </c>
      <c r="E6" t="inlineStr"/>
      <c r="F6" t="inlineStr"/>
      <c r="G6" t="inlineStr">
        <is>
          <t>Remote, US</t>
        </is>
      </c>
      <c r="H6" s="2" t="n">
        <v>46056</v>
      </c>
      <c r="I6" t="inlineStr">
        <is>
          <t>**About HighLevel:**
HighLevel is an AI powered, all\-in\-one white\-label sales \&amp; marketing platform that empowers agencies, entrepreneurs, and businesses to elevate their digital presence and drive growth. We are proud to support a global and growing community of over 2 million businesses, comprised of agencies, consultants, and businesses of all sizes and industries. HighLevel empowers users with all the tools needed to capture, nurture, and close new leads into repeat customers. As of mid 2025, HighLevel processes over 4 billion API hits and handles more than 2\.5 billion message events every day. Our platform manages over 470 terabytes of data distributed across five databases, operates with a network of over 250 microservices, and supports over 1 million hostnames. **Our People**
With over 1,500 team members across 15\+ countries, we operate in a global, remote\-first environment. We are building more than software; we are building a global community rooted in creativity, collaboration, and impact. We take pride in cultivating a culture where innovation thrives, ideas are celebrated, and people come first, no matter where they call home. **Our Impact**
As of mid 2025, our platform powers over 1\.5 billion messages, helps generate over 200 million leads, and facilitates over 20 million conversations for the more than 2 million businesses we serve each month. Behind those numbers are real people growing their companies, connecting with customers, and making their mark \- and we get to help make that happen. **About the Role:**
As a Senior Analytics Engineer focused on Revenue \&amp; Financial Modeling, you will own the end\-to\-end modeling of subscription revenue and financial KPIs. You will work closely with Finance to translate business definitions into precise, testable logic, and you will be accountable for ensuring those outputs reconcile to source systems such as Stripe.  
You will operate within the architectural and governance standards defined by the Analytics Engineering team, while owning the Revenue domain as an execution and implementation leader. Your work will directly power ARR, MRR, NRR, churn, customer counts, and other metrics used in executive reporting and external disclosures.
### **Responsibilities:**
* Design and maintain the canonical revenue and subscription data model, centered on Stripe
* Model subscription lifecycles including upgrades, downgrades, renewals, cancellations, refunds, and disputes
* Implement ARR, MRR, NRR, churn, and customer/account counts as tested, versioned dbt models
* Partner with Finance to translate business definitions into precise, production\-grade SQL logic
* Build and maintain reconciliation logic between dbt models, Stripe, and Finance\-owned reports
* Investigate and resolve discrepancies surfaced during reconciliation and downstream use
* Own the technical correctness of revenue numbers used in executive and external reporting
* Own data quality for all revenue and financial models, including test coverage and issue investigation
* Ensure revenue models adhere to Analytics Engineering standards for documentation, lineage, ownership, and catalog synchronization
* Participate in governed change workflows for critical revenue assets, ensuring changes are reviewed, traceable, and auditable
* Apply sound engineering judgment when balancing correctness, reliability, and delivery speed
* Establish a durable revenue and KPI foundation in the near term
* As the foundation stabilizes, improve performance, maintainability, and usability of revenue models
* Over time, support forecasting, cohort analysis, and advanced revenue analytics, and contribute revenue\-domain expertise to broader Analytics Engineering initiatives
* Work closely with Finance as the technical owner of revenue modeling
* Coordinate with Data Engineering on ingestion, backfills, and schema changes across Stripe and other revenue\-related source systems
* Support BI and Analytics teams to ensure revenue models are usable and performant
### **Requirements:**
* 5\+ years of experience in analytics engineering, data engineering, or similar roles
* Hands\-on experience modeling subscription or usage\-based revenue, ideally using Stripe
* Proven ownership of financial or investor\-facing metrics implemented in code (not spreadsheets)
* Advanced SQL and dbt experience in a modern data warehouse such as Snowflake
* Experience reconciling modeled outputs to source systems and financial reports
* Comfortable partnering directly with Finance and owning the technical implementation of their definitions
* Strong discipline around testing, documentation, and maintainability
### **Success in this role looks like:**
* Stripe revenue data is modeled once and reused everywhere
* ARR, MRR, NRR, and churn are produced by tested dbt models that reconcile to source systems
* Revenue models are reliable, governed, and safe to evolve over time
* Finance and Analytics depend on the data platform as the single source of truth for revenue metrics
 **EEO Statement:**
The company is an Equal Opportunity Employer. As an employer subject to affirmative action regulations, we invite you to voluntarily provide the following demographic information. This information is used solely for compliance with government recordkeeping, reporting, and other legal requirements. Providing this information is voluntary and refusal to do so will not affect your application status. This data will be kept separate from your application and will not be used in the hiring decision.  
\#LI\-Remote \#LI\-NJ1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
      <c r="A7" t="inlineStr">
        <is>
          <t>in-8a0c9baa296142f7</t>
        </is>
      </c>
      <c r="B7" t="inlineStr">
        <is>
          <t>AWS Data Platform Engineer</t>
        </is>
      </c>
      <c r="C7" t="inlineStr">
        <is>
          <t>Kalpita Technologies</t>
        </is>
      </c>
      <c r="D7" t="inlineStr">
        <is>
          <t>indeed</t>
        </is>
      </c>
      <c r="E7" t="inlineStr"/>
      <c r="F7" t="inlineStr"/>
      <c r="G7" t="inlineStr">
        <is>
          <t>US</t>
        </is>
      </c>
      <c r="H7" s="2" t="n">
        <v>46056</v>
      </c>
      <c r="I7" t="inlineStr">
        <is>
          <t>**Posted on: 04\-02\-2026**
**Experience: 8\+ years**
**USA**
**Job ID \#1002186**
### **Role Requirements**
* Location: McLean VA (Onsite)
* Visa Status: USC/GC
* This role is W2
* Develop scripts and tools to automate system provisioning, deployment, upgrades, and scaling using Python.
* Design and build ETL processes to ingest data from various operational systems.
* Develop solutions based on cloud\-native architectures.
* Evangelize key strategic technologies, including Public APIs, Big Data, and Analytics.
* Possess 5\+ years of hands\-on experience with relational, dimensional, and/or analytical data systems using RDBMS, dimensional models, NoSQL data platforms, and ETL/data ingestion protocols.
* Have experience working with data warehouses, data lakes, and enterprise\-scale big data platforms.
* Demonstrate strong knowledge of metadata management, data modeling, and related tools.
* Exhibit experience in team management, effective communication, and advanced SQL skills.
* Have hands\-on experience with AWS CloudFormation and AWS Lambda.
* Be proficient with Terraform and GitLab, which are mandatory due to the client ecosystem.
* Possess advanced expertise in Python development.
* Demonstrate strong technical acumen in AWS environments for data\-driven projects.</t>
        </is>
      </c>
    </row>
    <row r="8">
      <c r="A8" t="inlineStr">
        <is>
          <t>in-4750e6a48da64e77</t>
        </is>
      </c>
      <c r="B8" t="inlineStr">
        <is>
          <t>Principal Data Platform Engineer</t>
        </is>
      </c>
      <c r="C8" t="inlineStr">
        <is>
          <t>STO Building Group</t>
        </is>
      </c>
      <c r="D8" t="inlineStr">
        <is>
          <t>indeed</t>
        </is>
      </c>
      <c r="E8" t="inlineStr"/>
      <c r="F8" t="inlineStr"/>
      <c r="G8" t="inlineStr">
        <is>
          <t>New York, NY, US</t>
        </is>
      </c>
      <c r="H8" s="2" t="n">
        <v>46056</v>
      </c>
      <c r="I8" t="inlineStr">
        <is>
          <t>STO Building Group Job Specification
**Principal Data Platform Engineer**
**Title:** Principal Data Platform Engineer \- Data \&amp; Analytics
**Company Overview:**
The STO Building Group is a family of construction companies with a global presence, encompassing over 4,000 employees across the US, Canada, UK, and Ireland. Our services span the entire construction lifecycle, from initial site analysis and design to new construction and infrastructure modernization. We are a team of builders dedicated to creating exceptional spaces for our clients.
**Data \&amp; Analytics Team Overview:**
The Data \&amp; Analytics team operates as an internal startup, tasked with revolutionizing the construction industry through data and technology. We are building a cutting\-edge data and analytics platform from the ground up, leveraging over five decades of our company's data and industry expertise. Our mission is to develop innovative KPIs, project metrics, and machine learning models that provide predictive insights to guide future projects.
**Role Description:**
We are seeking a Principal Data Platform Engineer to lead the technical direction and management of our data platform. This is a senior leadership role for a seasoned expert who is passionate about building and managing large\-scale data ecosystems. You will be instrumental in shaping the future of our data infrastructure, driving the technical vision, and leading a team of talented engineers. The ideal candidate will have extensive experience in data engineering, a deep understanding of cloud technologies, and a proven track record of managing high\-performing teams.
**Responsibilities** :
* **Data Platform Architecture:** Design, build, and maintain scalable and reliable databases, data models, and supporting infrastructure on Google Cloud Platform (GCP).
* **Team Leadership:** Manage and mentor a team of data engineers, fostering a culture of innovation and excellence.
* **Technical Vision:** Develop and execute the technical roadmap for the data platform, ensuring alignment with business objectives.
* **Automation:** Automate workflows, ETL (Extract, Transform, and Load) processes to streamline data operations.
* **DevOps and SecOps:** Implement and champion DevOps and SecOps best practices within the data team, including CI/CD, infrastructure as code, and automated testing.
* **Data Pipelines:** Oversee the development and optimization of ETL processes and data pipelines to handle large and complex datasets.
* **Technology Stack:** Leverage your expertise in Oracle, BigQuery, and other modern data technologies to build a robust and efficient data ecosystem.
* **Collaboration:** Work closely with data scientists, analysts, and product managers to deliver data\-driven solutions.
* **Innovation:** Stay at the forefront of new technologies and methodologies, and champion their adoption where they can provide a competitive advantage.
* **Support:** Participate platform support and leadership ensuring high availability and resilience.
* **Administration:** Enable self\-service data access, manage permissions, user and system access to the platform ensuring a high level of platform security and safety.
**Requirements:**
* **Experience:** A minimum of 15 years of experience in data engineering or a related field, with a significant portion in a leadership capacity.
* **Cloud Expertise:** Extensive experience with cloud platforms, preferably Google Cloud Platform (GCP). A demonstrated ability to rapidly learn and master new cloud environments is essential.
* **Planning:** Experience planning, executing, and managing technical projects from inception to completion.
* **Technical Skills:**
* **Databases:** Strong proficiency in SQL and extensive experience with Oracle.
* **Big Data:** Hands\-on experience with BigQuery and managing large\-scale data sets.
* **Python:** Experience developing and delivery production python applications.
* **DevOps:** Proven experience with CI/CD pipelines, test automation, and infrastructure as code (e.g., Terraform).
* **Version Control:** Proficiency with Git and GitHub.
* **ETL:** Deep understanding of ETL concepts and experience with modern ETL platforms.
* **Leadership:** Exceptional leadership and team management skills with the ability to inspire and motivate a team of engineers.
* **Communication:** Outstanding verbal and written communication skills, with the ability to articulate complex technical concepts to both technical and non\-technical audiences.
* **Problem\-Solving:** A strategic thinker with a passion for solving complex data challenges.
* **Education:** A Bachelor's or Master's degree in Computer Science, Engineering, or a related field is preferred.
\#LI\-CF1
**Salary:** $200K \- $230K
**Compensation:** In addition to base pay, eligible for discretionary bonus based on company and individual performance.
**Benefits**
The Company offers the following benefits for this position, subject to applicable eligibility requirements: \[Medical Insurance] \[Dental Insurance] \[Vision Insurance] \[Health Savings Account] \[Healthcare Flexible Spending Account] \[Dependent Care Flexible Spending Account] \[401(k) retirement plan with employer match] \[Life \&amp; AD\&amp;D Insurance] \[Long\-term Disability Insurance] \[Short\-term Disability Insurance] \[Critical Illness Insurance] \[Accident Insurance] \[Hospital Indemnity Insurance] \[Home \&amp; Auto Insurance] \[Family Support] \[Pre\-tax Paid Parking/Public Transportation] \[Paid time off: 2 Weeks for Non\-Exempt and Three Weeks for Exempt] \[Time Away Benefits] \[8 Paid Holidays] \[Group Legal] \[Employee Stock Purchase Plan] \[Identity Theft Protection] \[Group Legal] \[Pet Insurance] \[Employee Assistance Program]
**Disclaimer:** The salary, other compensation, and benefits information is accurate as of the date of this posting. The Company reserves the right to modify this information at any time, subject to applicable law.
**EEO Statement:**
The STO Building Group family of companies—Structure Tone, Structure Tone Southwest, Pavarini Construction Co., Pavarini McGovern, LF Driscoll, Govan Brown, Ajax Building Company, BCCI Construction, Layton Construction, Abbott Construction, and RC Andersen—includes over 4,000 employees located in offices throughout the US, Canada, UK, and Ireland. We provide a complete range of construction services, from site selection analysis, design constructability review and aesthetic enhancements to interior fit\-outs, new building construction, and building infrastructure upgrades and modernization. Learn more about how we partner with our clients to imagine, execute, and realize their vision at stobuildinggroup.com.
We are an equal opportunity employer. We evaluate qualified applicants without regard to race, color, religion, sex, sexual orientation, gender identity, national origin, disability, veteran status, and other legally protected characteristics.</t>
        </is>
      </c>
    </row>
    <row r="9">
      <c r="A9" t="inlineStr">
        <is>
          <t>in-38826c7a0b38da4e</t>
        </is>
      </c>
      <c r="B9" t="inlineStr">
        <is>
          <t>Senior Data Engineer</t>
        </is>
      </c>
      <c r="C9" t="inlineStr">
        <is>
          <t>Visa</t>
        </is>
      </c>
      <c r="D9" t="inlineStr">
        <is>
          <t>indeed</t>
        </is>
      </c>
      <c r="E9" t="inlineStr"/>
      <c r="F9" t="inlineStr"/>
      <c r="G9" t="inlineStr">
        <is>
          <t>Foster City, CA, US</t>
        </is>
      </c>
      <c r="H9" s="2" t="n">
        <v>46057</v>
      </c>
      <c r="I9"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Data and Artificial Intelligence Platform (DAP) group is a key component of Visa's Technology organization, providing the enabling technology and processes to handle Visa's data assets and deliver valuable information, products, and services to customers. Within DAP, the Data as a Service (DaaS) team consists of skilled data engineers focused on building data pipelines to meet Visa's data needs and delivers secure, high\-quality, and easy\-to\-use data assets.
As a Senior Data Engineer, you'll join our Data \&amp; AI Platform – Data as a Service organization in Foster City, California. You will help design, enhance, and build our data infrastructure and pipelines within an agile development environment, using Gen AI regularly, and collaborating with colleagues who will support and challenge you daily.
What We Offer:
* Exciting Challenges: We work at a scale rarely seen in the industry, solving complex data and AI problems across the entire stack, offering limitless opportunities to leverage and lead in this ever\-growing field.
* Teamwork and Fun: Each of us brings diverse and rich experiences to the team, enabling us to deliver much more than the sum of our parts and have fun at the same time.
* Fantastic People: With strong leadership, you will have the opportunity to learn, collaborate, and deliver together with some of the best and most creative minds in the industry.
Primary responsibilities:
As a Sr. Data Engineer, you will play a key role in the innovation, design, and development of comprehensive data pipeline solutions. Essential functions includes:
* Design, develop, and maintain robust and scalable data pipelines and ETL processes
* Design and develop conceptual, logical, and physical data models to map our data requirements into database structures
* Ensure data services are highly available, secure, scalable, and resilient.
* Improve and support production systems, ensuring that production issues are promptly resolved
* Collaborate with the agile team, user community, architects, and support teams to understand requirements and implement effective solutions
* Drive innovation to differentiate our data products and accelerate time\-to\-market delivery.
* Represent the team in various technical forums and build deep partnerships with product management.
* Adhere to established software development guidelines, security standards and responsible use of Gen AI tools and frameworks
* Help maintain atmosphere of mutual accountability
This is a hybrid position. Expectation of days in the office will be confirmed by your Hiring Manager.
 **Qualifications**  
Basic Qualifications:  
2 or more years of work experience with a Bachelor’s Degree or an Advanced Degree (e.g. Masters, MBA, JD, MD, or PhD)  
Preferred Qualifications:  
3 or more years of work experience with a Bachelor’s Degree or more than 2 years of work experience with an Advanced Degree (e.g. Masters, MBA, JD, MD)  
Strong programming skills in at least two of the following languages: Java, Python, Go, Scala  
Experience utilizing GenAI technologies in software development  
Hands\-on experience developing data processing pipeline, feature extraction, production deployment and monitoring.  
Expertise with Apache Spark, Kafka, Hadoop, Hive, Trino, Presto, Apache Airflow and NoSQL databases like Hbase working with PB level data volume.  
Hands on Experience in on\-prem (Hadoop) and cloud\-based data platforms (AWS, Azure, DataBricks) and related data storage (HDFS, S3\) and processing tools (Spark)  
Experience with GenAI or Agentic AI technologies (e.g., LLMs, NLP) and RAG\-based architecture and Vector DBs.  
Working experience in building solutions using MCP and A2A frameworks.  
Advanced proficiency and expertise in J2EE technologies, Microservices and REST APIs.  
Proven track record of building and deploying streaming and batch ETL pipelines using the latest Big Data technologies.  
Experience in an Agile environment, with a strong emphasis on best software development practices such as CI/CD, code reviews, and test automation, using tools like Jira and Jira Align  
Strong understanding of algorithms and data structures  
Excellent problem\-solving and troubleshooting abilities  
Excellent communication and interpersonal skills, and a strong team player.  
Should have key leadership behaviors like Positive attitude, Quick learner, Collaborative and Obsess with customer.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123,000\.00 to 190,900\.00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0">
      <c r="A10" t="inlineStr">
        <is>
          <t>in-200fbc0ec0e53e26</t>
        </is>
      </c>
      <c r="B10" t="inlineStr">
        <is>
          <t>Sr. Data Engineer</t>
        </is>
      </c>
      <c r="C10" t="inlineStr">
        <is>
          <t>Integrated HomeCare Services</t>
        </is>
      </c>
      <c r="D10" t="inlineStr">
        <is>
          <t>indeed</t>
        </is>
      </c>
      <c r="E10" t="inlineStr"/>
      <c r="F10" t="inlineStr"/>
      <c r="G10" t="inlineStr">
        <is>
          <t>Miramar, FL, US</t>
        </is>
      </c>
      <c r="H10" s="2" t="n">
        <v>46057</v>
      </c>
      <c r="I10" t="inlineStr">
        <is>
          <t>**Who we are:**
IHCS provides an Integrated Delivery System in the home setting, which includes, DME, Respiratory, Home Health and Home Infusion services. IHCS has a select network of Medicare and/or Medicaid Certified and Accredited providers to respond to the needs of our patients – 24/7\. We operate with the sole intent of providing the highest quality in\-home care services that improve and enhance the daily living for our patients, where our patients are \#1
Our delivery model is trusted by national Managed Care Organizations (MCOs), physicians and patients, positioned with over two decades of expertise as the market leader in value\-based Home Health, Durable Medical Equipment, and Home Infusion Services. We currently serve over 2 million lives throughout the nation and the Commonwealth of Puerto Rico.
As we continue expand our footprint throughout the United States, we are seeking a senior level big picture professional who is passionate about leading expansions through Medical Economics and Data Analytics.
Join our team as we strive for excellence through teamwork delivering high quality care to our patients through Exceptional Customer Service, Proven Outcomes, and Seamless Care.
Offering a competitive compensation package, including but not limited to;
* Medical, Vision, dental, Short\- and Long\-term insurance
* 6\+ Days of Holidays Pay
* 15\+ days of PTO
* Employer paid life insurance
* 401K with employer contribution
* Wellness program with reward incentives
* Employee recognition and reward programs
* Comprehensive paid training program
**What will you be doing?**
Data Architecture Strategy: Assist Director in defining and implementing a robust data architecture strategy that supports the company's strategic objectives and promotes a shift towards a data\-centric operational model.
Cross\-Functional Engagement: Act as a liaison between the data team and other business units to design and implement effective data solutions that enhance organizational performance and decision\-making capabilities.
**What will you come with:**
* Bachelor's or master’s degree in computer science, Engineering, or a related field with a focus on data engineering
* Minimum of 5 years of experience in a data engineering role with hands\-on experience with SQL DB systems. (MSSQL (required), MySQL, PostgreSQL (bonus))
* Expertise in data modeling, data warehousing, and building ETL pipelines.
* Excellent problem\-solving skills, with a keen analytical mindset.
* Excellent communication skills are required – both written and verbal.
* Excellent understanding of source control setup and maintenance (GIT)
* Expertise in process automation and or workflow management tools (PowerShell, Apache Airflow)
* Minimum of 2 years of experience working with a cloud data warehouse technology (Snowflake (required), BigQuery)
* Strong coding skills in languages such as Python or Java a plus
* Experience with cloud services (AWS, Azure, GCP), particularly in data\-related services
* Proven ability to work with business intelligence tools and data visualization software (Tableau, PowerBI)
**Join our team as we strive for excellence through teamwork, where our patients are \#1!**
IHCS is an equal opportunity employer. We celebrate diversity and are committed to creating an inclusive environment for all employees.</t>
        </is>
      </c>
    </row>
    <row r="11">
      <c r="A11" t="inlineStr">
        <is>
          <t>in-62cdb0130b68916b</t>
        </is>
      </c>
      <c r="B11" t="inlineStr">
        <is>
          <t>Data Engineer</t>
        </is>
      </c>
      <c r="C11" t="inlineStr">
        <is>
          <t>Guild Mortgage Company LLC</t>
        </is>
      </c>
      <c r="D11" t="inlineStr">
        <is>
          <t>indeed</t>
        </is>
      </c>
      <c r="E11" t="inlineStr"/>
      <c r="F11" t="inlineStr"/>
      <c r="G11" t="inlineStr">
        <is>
          <t>US</t>
        </is>
      </c>
      <c r="H11" s="2" t="n">
        <v>46057</v>
      </c>
      <c r="I11" t="inlineStr">
        <is>
          <t>**Guild Mortgage Company**, closing loans and opening doors since 1960\. As a mortgage banking firm we are dedicated to serving the home owner/buyer. Our goal is to provide affordable home financing for our customers, utilizing the best terms available while providing a level of professionalism and service unsurpassed in the lending industry.
**Position Summary**
The Data Engineer is a key technical position and plays an important role in the organization by performing several activities related to the company’s Information Technology functions. The role is primarily responsible, under limited supervision, for executing the data strategy and analysis efforts within the company’s enterprise data platform by expanding and optimizing data and data pipeline architecture, as well as optimizing data flow and collection from cross functional areas. Responsibilities include supporting software developer, database architects, data analysts and data scientists on various data initiatives as well as ensuring optimal data delivery architecture is maintained as needs grow.
**Compensation**
This role is an exempt position with a Targeted Salary Range of $92,000 \- $132,000 annually.
Compensation at Guild is influenced by a wide array of factors including but not limited to local and federal minimum wage requirements, education, level of experience, and applicant’s geographical location.
**Essential Functions**
* Collaborate with key stakeholders, including the business unit leaders, Product, Data \&amp; Technology teams, to assist with their data\-related technical issues and support their data infrastructure needs by collecting data from primary sources and optimizing the data architecture, improving quality of sourced data, and ensuring consistent delivery of data to key stakeholders in a timely manner.
* Extract, Load \&amp; Transform (ELT) data from various primary data sources (internal \&amp; 3rd party) into the data lake to create optimal data pipeline architecture utilizing Snowflake and Informatica tool suites.
* Assemble large, complex data sets that meet functional / non\-functional business requirements.
* Identify, design, and implement internal process improvements: automating manual processes, optimizing data delivery, re\-designing infrastructure for greater scalability, etc.
* Build the infrastructure required for optimal extraction, transformation, and loading of data from a wide variety of data sources using SQL and leading ELT tools. This will include set up and configure Informatica Intelligent Cloud Services Environment and Tools.
* Design and Implement Processes to govern usage of the tools and platform at enterprise level for performance, security and audit compliance.
* Build analytics tools that utilize the data pipeline to provide actionable insights into customer acquisition, operational efficiency and other key business performance metrics.
* Keep our Personally Identifiable Information (PII) data separated and secured through table splitting, data masking, access control restrictions and redundancy (high availability across multiple zones).
* Create data tools for data scientist and analytics team members that assist them in building and optimizing data analysis and reporting.
* Improve the quality of data used for analysis by assessing the accuracy of new data sources and the effectiveness of new data gathering techniques.
* Develop processes and tools to monitor and analyze data warehouse performance and data accuracy.
* Contribute to the team of data professionals by using expertise to answer questions and sharing repeatable design patterns with less experienced teammates, enhancing skillsets and competencies of team members, and sharing technical knowledge throughout the team.
* Participate in stakeholder reviews, and design sessions.
* Provide data, reports, and information to management as needed.
* Identify, track, and monitor trends and avoidable technology\-related errors; work across functions to develop complex solutions, improvements, and stop\-gaps.
* Focus on the continual improvement of policies, procedures, and processes falling under scope of authority.
* Stay abreast of latest technology trends and participate in high\-level decisions impacting the direction of Information Technology function.
* Consistently monitor and model platform usage, database sizes, compute resources and third\-party costs to ensure that the data teams spend is as cost\-efficient as possible.
* Champion data transformation to new ways of working and generating insights.
* Drive strong communications, partnerships, and stakeholder management with senior leaders, functional managers, and staff.
* Perform other duties as assigned.
**Qualifications**
* Bachelors Degree directly related to the position or equivalent, required. BS in Statistics, Computer Science, Data Science, or related quantitative field is required.
* Minimum three years' experience to five years' experience in Data Engineer related role(s).
* Proficient in building and optimizing Big Data pipelines, architecture, and data sets.
* Proficient with data loading, processing, and data warehouse design techniques: star or snowflake schema designs, etc.
* Well versed in Informatica Intelligent Cloud Services, Administration, Environment configuration and set up of various tool suite (Mass Ingestion, CDC, Data Catalog, Data Quality, Data Integration, API Management).
* Proven expertise in developing in Informatica Intelligent Cloud Services and various tools.
* Proven experience with data lake and warehouse best practices and leading products in the marketplace.
* Expert at creating data integrations using Extract, Transform and Load (ETL) tools and modern data pipes.
* Strong knowledge of Kafka, Sparks, ESB and/or other messaging queues, real\-time data integration \&amp; stream processing technologies.
* Proven experience with querying and analyzing data from SQL relational databases such as AuroraDB, IBM DB2, MemSQL, MS SQL Server, MySQL, Postgres, Redshift or Snowflake, and NoSQL Databases such as Cassandra, DynamoDB, Redis, or MongoDB
* Experience with data science languages such as R, and Python as well as general purpose languages such as Java, Scala, C\# or JavaScript.
* Experience collecting structured, semi\-structured and unstructured data in various popular formats and sourced from internal core systems as well as 3rd partner providers such as Google Analytics, Facebook Insights, Zillow, CoreLogic, MLS Data, Public Records, and Property Data
* Experience with data pipeline and workflow management tools: Azkaban, Luigi, Airflow, etc.
* Experience performing root cause analysis on internal and external data and processes to answer specific business questions and identify opportunities for improvement.
* Strong analytical skills to build processes supporting data transformation, data structures, metadata, dependency, and workload management.
* Strong data governance skills to ensure highest quality of data is made available for data analysis and accuracy in reporting.
* Problem solver with an ability to work as a team towards a solution.
* Ability to prioritize multiple tasks in a deadline\-driven environment, strong sense of urgency and responsiveness.
* Strong detail orientation and highly organized with proven ability to lead effectively and drive results in a matrixed management environment.
* Ability to think critically, including the ability to evaluate facts and data to draw conclusions, determine the downstream impact of decisions and associated risks.
* Excellent verbal and written communication skills plus demonstrate strong leadership capabilities.
* Strong interpersonal and team building skills.
* Self\-starter with the demonstrated ability to learn/adapt to new technologies and techniques.
* Highly organized and detail\-oriented; ability to work in a fast\-paced, metrics\-driven environment required.
* Proficiency in Microsoft Office Suite, Word, Excel, Wiki, collaborative cloud\-based programs, and third\-party software applications required.
* Commitment to company values.
* Customer Service \- Proactive attention to each person
* Integrity \- Do and say what's right
* Respect \- Treat others with dignity
* Collaboration \- Listen and work together
* Learning \- Seek knowledge and strive for improvement
* Excellence – Deliver the unexpected
**Supervision**
* Job Scope: Responsible for understanding the department/functional area objectives and goals and how own job contributes to achievement of these goals; may recommend changes and enhancements based on analysis and evaluation of circumstances.
* Complexity: General precedents may exist for most problems; conducts independent research/analysis to identify the appropriate approach.
* Impact: Decisions and actions primarily impact own work with limited impact on peers in their area, contributes as team member rather than leader.
* Interaction/Supervision: Acts as a mentor/guide to less experienced professional contributor staff in a similar role; works independently and only under general direction; guided by professional standards, desired outcomes, and project plan specifications.
**Requirements**
Physical: Work is primarily sedentary; mobility in an office setting.
Manual Dexterity: Frequent use of computer keyboard and mouse.
Audio/Visual: Ability to accurately interpret sounds and associated meanings at a volume consistent with interpersonal conversation. Regularly required to accurately perceive, distinguish and interpret information received visually and through audio, e.g., words, numbers and other data broadcasted aloud/viewed on a screen, as well as print and other media.
Environmental: Office environment – moderate noise, no substantial exposure to adverse environmental conditions.
Mental: Learn new tasks, remember processes, maintain focus, complete tasks independently, and make timely decisions in the context of a workflow. This role requires effective adaptation to workplace stressors, including customer service complaints, security responsibilities, and competing priorities. Must be able to adhere to process protocol. Must be able to apply established protocols in a timely manner.
Schedules: Work is primarily performed during the business week, Monday \- Friday.
Travel: 5% or less
Guild offers a pleasant work environment, competitive compensation and excellent benefits package; including medical, dental, vision, life insurance, AD\&amp;D, LTD and 401(k) with employer match.
Guild Mortgage Company is an Equal Opportunity Employer.
REQ\#: DATAE017824</t>
        </is>
      </c>
    </row>
    <row r="12">
      <c r="A12" t="inlineStr">
        <is>
          <t>in-bf31979bd87e195b</t>
        </is>
      </c>
      <c r="B12" t="inlineStr">
        <is>
          <t>Data Engineer - Remote</t>
        </is>
      </c>
      <c r="C12" t="inlineStr">
        <is>
          <t>Optum</t>
        </is>
      </c>
      <c r="D12" t="inlineStr">
        <is>
          <t>indeed</t>
        </is>
      </c>
      <c r="E12" t="inlineStr"/>
      <c r="F12" t="inlineStr"/>
      <c r="G12" t="inlineStr">
        <is>
          <t>Eden Prairie, MN, US</t>
        </is>
      </c>
      <c r="H12" s="2" t="n">
        <v>46056</v>
      </c>
      <c r="I12"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You'll enjoy the flexibility to work remotely\* from anywhere within the U.S. as you take on some tough challenges. For all hires in the Minneapolis or Washington, D.C. area, you will be required to work in the office a minimum of four days per week.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 Design, develop, and maintain data pipelines to ingest, transform, and store healthcare data from diverse enterprise sources
* Build and optimize scalable data workflows ensuring efficient data flow and seamless integration across multiple systems
* Ensure data quality and relevance by collaborating with data scientists and cross\-functional teams to support analytics and production
* Automate manual processes to streamline data delivery and reduce operational overhead
* Tune and optimize data processes for performance, scalability, and cost efficiency
* Design and implement automation frameworks for production release of data engineering, machine learning, and business intelligence solutions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Computer Science, Software Engineering, or a related field, or equivalent industry experience
* 2\+ years of hands\-on experience with Python
* Proficiency in SQL, including query optimization, performance tuning, and handling large datasets
* Experience in data migration, cross\-cloud integrations, and cloud networking (e.g., Snowflake)
* Solid experience with cloud platforms and tools
 **Preferred Qualifications:**
* Knowledge of the healthcare industry and experience with EDI, HIPAA, HL7, and FHIR integration standards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$72,800 to $130,000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3">
      <c r="A13" t="inlineStr">
        <is>
          <t>in-ea2484e02ac46b57</t>
        </is>
      </c>
      <c r="B13" t="inlineStr">
        <is>
          <t>Lead Azure Data Engineer</t>
        </is>
      </c>
      <c r="C13" t="inlineStr">
        <is>
          <t>MetLife</t>
        </is>
      </c>
      <c r="D13" t="inlineStr">
        <is>
          <t>indeed</t>
        </is>
      </c>
      <c r="E13" t="inlineStr"/>
      <c r="F13" t="inlineStr"/>
      <c r="G13" t="inlineStr">
        <is>
          <t>Cary, NC, US</t>
        </is>
      </c>
      <c r="H13" s="2" t="n">
        <v>46056</v>
      </c>
      <c r="I13" t="inlineStr">
        <is>
          <t>Location(s)
* Posting Location: Cary, North Carolina
* Posting Location: Bridgewater, New Jersey
City/Cities
Bridgewater, Cary
Country
United States
Working Schedule
Full\-Time
Work Arrangement
Hybrid
Travel Required
10%
Relocation Assistance Available
No
Posted Date
04\-Feb\-2026
Job ID
14726
### **Description and Requirements**
**Role Value Proposition:**  
 The position sits within the newly consolidated Data and Analytics (D\&amp;A) organization supporting the U.S. Business of MetLife. U.S. D\&amp;A assists all business lines of MetLife’s U.S. business (about 2/3 of MetLife Global by earnings) with everything related to data, analytics and data science, from data infrastructure, data governance, data engineering, data modeling, data analysis to business intelligence, data science, and AI.  
The Lead Data Engineer is crucial to DnA USB’s Engagement Strategy team for creating and optimizing data architecture, solutions, and operations, and for ensuring alignment with the data management and governance framework. The Lead Data Engineer serves as a big data development expert within the DnA Engagement Strategy organization.  
This position is responsible for leading, architecting, and building ETL, data warehousing, and reusable components using cutting\-edge big data and cloud technologies. The resource will collaborate with the architect, business systems analyst, technical leads, project managers, and business/operations teams in building data enablement solutions across different LOBs and use cases. **Key Responsibilities:*** Design and solution end\-to\-end data architecture for data hubs/data products, all the way from source systems to consumption
* Oversee the design and management of data solutions to ensure data is stored, processed, curated, and utilized effectively
* Own and build a reusable data pipeline utilizing Azure/Databricks for Engagement Program data products.
* Ingesting huge volumes of data from various platforms for Analytics needs and writing high\-performance, reliable, and maintainable ETL code.
* Leadership: Lead and mentor a team of data engineers, ensuring the efficient flow of data within the organization with the defined processes and tools.
* Collect, store, process, and analyze large datasets to build and implement extract, transfer, load (ETL) processes
* Develop reusable frameworks to reduce the development effort involved, thereby ensuring cost savings for the projects.
* Utilizing CI/CD Pipelines: Utilize and enhance CI/CD practices to automate the delivery of data solutions, ensuring reliability and scalability based on the defined tools.
* Utilize Cloud technologies (Azure Databricks) to enable data product solutions.
* Develop quality code through performance optimizations in place right at the development stage.
* Appetite to learn new technologies and be ready to work on new cutting\-edge cloud technologies.
* Partner with Marketing, Marketing Tech, Business, BI, and Data Science teams to create reusable data products
* Work with a team spread across the globe in driving the delivery of projects and recommend development and performance improvements.
* Track and report on KPIs for solution delivery and data quality.
* Communicate and present use cases, solutions, and impact to business stakeholders and mid/senior management.
* Optimize reusable frameworks, Spark jobs for performance and cost efficiency in large\-scale environments.
* Ability to interact with business analysts and functional analysts in getting the requirements and implementing ETL solutions.
 **Essential Business Experience and Technical Skills:****Required:*** 8\+ years of Data solutions, development, and delivery experience with 4\+ years of recent experience in Azure/Databricks environments.
* Proficiency and extensive experience with SQL, Spark \&amp;/or Scala/Python and performance tuning
* Hands\-on expertise in: Azure SQL Synapse, Azure Databricks, and/or Data Factory experience is a MUST.
* Strong experience in building/designing Data warehouses, data stores for analytics consumption on Cloud (real\-time as well as batch use cases)
* Building and implementing a data ingestion and curation process developed using Cloud data tools such as Azure SQL Synapse, Data Factory, Spark (Scala/Python), Data Bricks, Delta Lake, etc.
* Good scripting experience, primarily on shell/bash/ PowerShell.
* Strong SQL knowledge and data analysis skills for data anomaly detection and data quality assurance.
* Experience implementing data governance and data quality using the enterprise toolset.
* Databricks certifications and/ or Microsoft Azure Certifications
* Very good problem solver and excellent communication skills \- both written and verbal
 **Preferred:*** Expertise in Python and experience writing Azure functions using Python/Node.js.
* Experience using Event Hub for data integrations.
* Eagerness to learn new technologies on the fly and ship to production.
* Hive database management and Performance tuning \- Partitioning / Bucketing.
* Very good problem solver and excellent communication skills \- both written and verbal
 **At MetLife, we’re leading the global transformation of an industry we’ve long defined. United in purpose, diverse in perspective, we’re dedicated to making a difference in the lives of our customers.**
Location Expectation: This is a hybrid role **requiring a minimum of 3 days per week** in office.
The expected salary range for this position is $120,000 to $175,000\.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$120,000 to $175,000</t>
        </is>
      </c>
    </row>
    <row r="14">
      <c r="A14" t="inlineStr">
        <is>
          <t>in-ad43500c2cd0b752</t>
        </is>
      </c>
      <c r="B14" t="inlineStr">
        <is>
          <t>Senior Data Engineer</t>
        </is>
      </c>
      <c r="C14" t="inlineStr">
        <is>
          <t>Dentsu</t>
        </is>
      </c>
      <c r="D14" t="inlineStr">
        <is>
          <t>indeed</t>
        </is>
      </c>
      <c r="E14" t="inlineStr"/>
      <c r="F14" t="inlineStr"/>
      <c r="G14" t="inlineStr">
        <is>
          <t>Detroit, MI, US</t>
        </is>
      </c>
      <c r="H14" s="2" t="n">
        <v>46056</v>
      </c>
      <c r="I14" t="inlineStr">
        <is>
          <t>The purpose of this role is to execute the approach and strategies outlined by senior leadership, lead and manage day to day work, and manage the day\-to\-day communication with clients.
Job Description:
As the Senior Data Engineer, reporting to the Senior Manager of Global Data and AI, you will serve as a core architect and enabler of our evolving data ecosystem. You will help design and scale the foundational infrastructure for our global clients, transforming fragmented, reactive data processes into proactive, intelligent systems powered by AI and a robust semantic layer. You will work closely with Analytics, Media, Product, and Engineering teams to optimize data pipelines, automate complex transformations, embed trust and visibility into every stage of the data lifecycle, and enable AI\-driven insights that address "why" questions through enhanced reasoning and accuracy.
You are ideally based in the Greater Detroit, MI area, but we are considering candidates within the continental United States as well.
Responsibilities* Build, scale, and maintain robust data pipelines and models using DBT, Python, PySpark, Databricks, and SQL across cloud platforms, with a focus on integrating AI\-first foundations and semantic layers for consistent data interpretation.
* Design, develop, and manage semantic models, ontologies, taxonomies, knowledge graphs, and business glossaries using tools like DBT YAML, GitHub, Databricks Unity Catalog, Microsoft Fabric/OneLake, and Power BI to ensure unified data understanding, contextual responses, and enhanced AI reasoning.
* Utilize and manage low\-code/no\-code data transformation and visualization tools such as Trifacta (Alteryx), DBT, Power BI, Tableau, Microsoft Fabric/OneLake, and Copilot Studio to enable governed, scalable semantic layers that support natural language querying, vector search, and hybrid AI indexing.
* Help build the development of AI deployment pipelines, including containerized AI agents and workflow automation using Kubernetes, n8n, LangChain, Azure AI Foundry, and Microsoft Copilot Platform (MCP), to orchestrate multi\-step processes like retrieval, summarization, recommendations, and proactive notifications.
* Strengthen AI accuracy and governance by implementing metadata, sensitivity rules, access controls, and grounding mechanisms (e.g., combining vector databases, AI search indexes, and knowledge graphs) to enable reliable, compliant responses and address "why" questions through intelligent reasoning and source citation.
* Design modular, reusable, and documented data models in support of analytics, reporting, AI enablement, and agentic applications, including integration with LLMs for intent parsing, routing, retrieval, and synthesis.
* Develop and monitor mapping tables, validation rules, lineage tracking, automated error logging, and observability mechanisms for ETL/ELT job health, row\-level integrity checks, schema/version control, and real\-time data quality monitoring.
* Collaborate with analysts, engineers, and business leads to translate raw data into governed, insight\-ready datasets, leveraging tools like Adverity for multi\-source integration and normalization.
* Work to implement agentic AI and Copilot integrations into data processes to enhance accessibility, autonomous issue resolution, and dynamic.
* Drive innovation across our Data Quality Suite and our roadmap, including real\-time metrics monitoring, dynamic mapping interfaces, self\-serve correction tools, and AI\-enhanced features for scalability and ROI.
* Contribute to the medallion data architecture (bronze/silver/gold) and define best practices for reusable data components, semantic layer extension (e.g., indexing unstructured knowledge for RAG), and AI infrastructure across the organization.
* Integrate with and manage Databricks Unity Catalog, Databricks Workflows, SQL Analytics, Notebooks, and Jobs for governed analytics and ML workflows.
* Develop and manage data pipelines and tools with Microsoft Fabric, Power BI, Power Apps, Azure Data Lake, Azure Blob Storage, and Copilot Studio, ensuring seamless ties to GitHub, n8n, and Kubernetes for orchestration.
* Leverage GitHub and GitHub Copilot for version control, workflow automation, CI/CD deployments, code suggestions, and collaboration on SQL, Python, YAML, and agent development.
* Utilize Java or Scala to support custom processing scripts, scalable ingestion frameworks, and advanced AI actions like code execution or vector search.
Qualifications* 8\+ years of experience as a Data Engineer or in a similar role building scalable data infrastructure, with at least 2\-3 years focused on AI\-integrated systems, semantic layers, or agentic AI deployments.
* Bachelor's Degree in Computer Science, Engineering, Information Systems, or related field required. Graduate or Doctorate degree preferred.
* Advanced expertise in SQL, Python, DBT; strong experience with PySpark, Databricks, and semantic layer tools like DBT YAML, Unity Catalog, and knowledge graphs required.
* Hands\-on experience with ETL/ELT design tools like Trifacta (Alteryx), Adverity, Azure Data Factory, Power BI DAX, or similar, including data normalization and workflow automation.
* Proven experience building and extending semantic layers for AI applications, including ontologies, taxonomies, vector databases, and integration with LLMs for enhanced reasoning, accuracy, and "why" question resolution.
* Deep experience in the Microsoft Tech Data Stack, including Power BI, Power Apps, Fabric/OneLake, Azure Data Lakes (ADLS Gen2\), Azure Blob Storage, Copilot Studio, and Azure AI Foundry for ModelOps and intelligent actions.
* Experience with AI deployment and orchestration tools such as Kubernetes (via AKS), n8n, LangChain, and Microsoft Copilot Platform (MCP) for containerized agents, multi\-step workflows, and governance.
* Strong experience in developing and managing API endpoints, integrating with external systems, and supporting LLM access for conversational AI and automation.
* Proficiency in Java or Scala for large\-scale data processing, ingestion workflows, and custom AI integrations.
* Experience supporting data observability, quality frameworks (e.g., unit tests, reconciliation logic, job monitoring), and AI governance (e.g., metadata embedding, compliance rules).
* Strong familiarity with Git\-based development, GitHub Copilot for AI\-assisted coding, and structured code collaboration in environments like DBT Cloud and GitHub Actions.
* Act quickly and independently, demonstrating a self\-starter mindset with a proven ability to learn new tools and technologies on the fly, while delivering scalable solutions using any combination of tools in our tech stack to drive continuous improvement and impact.
* Bonus: Exposure to building tools in Microsoft Power Apps or other low\-code platforms, including Copilot integrations for monitoring and workflows.
* Bonus: Experience in advertising, marketing, or digital media environments, particularly with use cases like performance reporting, reconciliation automation, or brand visibility optimization.
*At dentsu, we believe great work happens when we’re connected. Our way of working combines flexibility with in\-person collaboration to spark ideas and strengthen our teams. Employees who live within a commutable distance of one of our hub offices, currently located in Chicago, metro Detroit, Los Angeles, and New York City, are required and expected to work from the office three days per week (two days per week for employees based in Los Angeles). Dentsu may designate other Hub offices at any time. Those who live outside a commutable range may be designated as remote, depending on the role and business needs. Regardless of your work location, we expect our employees to be flexible to meet the needs of our Company and clients, which may include attendance in an office.*
The annual salary range for this position is $99,500\-$166,000\. Placement within the salary range is based on a variety of factors, including relevant experience, knowledge, skills, and other factors permitted by law.
Benefits available with this position include:* Medical, vision, and dental insurance,
* Life insurance,
* Short\-term and long\-term disability insurance,
* 401k,
* Flexible paid time off,
* At least 15 paid holidays per year,
* Paid sick and safe leave, and
* Paid parental leave.
Dentsu also complies with applicable state and local laws regarding employee leave benefits, including, but not limited to providing time off pursuant to the Colorado Healthy Families and Workplaces Act, in accordance with its plans and policies. For further details regarding Dentsu benefits, please visit www.dentsubenefitsplus.com.
To begin the application process, please click on the “Apply” button at the top of this job posting. Applications will be reviewed on an ongoing basis, and qualified candidates will be contacted for next steps.*\#LI\-Hybrid \#LI\-MS3*
Location:
Detroit
Brand:
Carat
Time Type:
Full time
Contract Type:
Permanent
Dentsu is committed to providing equal employment opportunities to all applicants and employees. We do this without regard to race, color, national origin, sex , sexual orientation, gender identity, age, pregnancy, childbirth or related medical conditions, ancestry, physical or mental disability, marital status, political affiliation, religious practices and observances, citizenship status, genetic information, veteran status, or any other basis protected under applicable federal, state, or local law.  
Dentsu is committed to providing reasonable accommodation to, among others, individuals with disabilities and disabled veterans. If you need an accommodation because of a disability to search and apply for a career opportunity with us, please send an e\-mail to ApplicantAccommodations@dentsu.com by clicking on the link to let us know the nature of your accommodation request and your contact information. We are here to support you.</t>
        </is>
      </c>
    </row>
    <row r="15">
      <c r="A15" t="inlineStr">
        <is>
          <t>in-a07f24baaadf8db6</t>
        </is>
      </c>
      <c r="B15" t="inlineStr">
        <is>
          <t>IT Data Engineer</t>
        </is>
      </c>
      <c r="C15" t="inlineStr">
        <is>
          <t>Hemlock Semiconductor</t>
        </is>
      </c>
      <c r="D15" t="inlineStr">
        <is>
          <t>indeed</t>
        </is>
      </c>
      <c r="E15" t="inlineStr"/>
      <c r="F15" t="inlineStr"/>
      <c r="G15" t="inlineStr">
        <is>
          <t>Hemlock, MI, US</t>
        </is>
      </c>
      <c r="H15" s="2" t="n">
        <v>46056</v>
      </c>
      <c r="I15" t="inlineStr">
        <is>
          <t>At Hemlock Semiconductor (HSC), we transform people’s lives by energizing and connecting our world through silicon technology. Since 1961, HSC has been a leading global provider of hyper\-pure polysilicon, and is the only polysilicon manufacturer headquartered in the United States. HSC plays an essential role in the semiconductor and solar industries, with the vision of becoming the preferred supplier of silicon\-enabled technologies to the low\-carbon, digital world.
Our polysilicon is used to make computer chips – the “brains” behind the electronic devices we rely on to make our lives easier, safer and more enjoyable. HSC is just one of six major manufacturers in the world that makes polysilicon used to create semiconductor wafers. In fact, nearly all electronic devices in the world contain HSC polysilicon.
We’re also moving the world toward a greener future by supplying the rapidly growing solar power industry. HSC is committed to doing good for our local Michigan and global communities, relentlessly improving our operations to remove supply chain carbon emissions. The low embodied greenhouse gas emissions in our polysilicon materials facilitates the production of ultra low\-carbon solar panels. These panels allow solar project developers and owners to lower the embodied carbon of their projects by up to 50 percent.
To achieve our goals, we draw on the talents of more than 1,500 employees and contractors. Our employees thrive in a culture that values teamwork, excellence, responsibility and customer focus. We recognize and value the diverse backgrounds and experiences of all of our people working together as One Team. At HSC, you belong to a team that is transforming our world.
 **High level summary of job**
The **Data Engineer** is responsible for designing, building, and maintaining scalable data pipelines and infrastructure to support enterprise\-wide analytics and operational reporting. This role ensures the reliability, performance, and security of data platforms and contributes to the standardization and integration of data across systems. The Data Engineer collaborates with application developers, analysts, and business stakeholders to deliver high\-quality data solutions aligned with business needs.
 **Essential functions of the job**
* Develop and maintain ETL/ELT pipelines across SAP S/4HANA and Microsoft Azure environments.
* Integrate data from SAP modules (FICO, MM, PP, SD, QM, PM) using SAP SLT, SAP CPI, and SAP Cloud Connector.
* Engineer data flows into SAP HANA Datamarts and Calculation Views using SAP HANA XS Advanced and Web IDE.
* Build and optimize data ingestion pipelines using Microsoft Data Fabric components such as MS Purview, Event Hub, Service Bus, and IoT Hub.
* Collaborate with business and IT stakeholders to define data requirements, understand usage patterns, and implement solutions using MS SQL Server, Databricks, and Azure Synapse.
* Ensure data quality, lineage, and governance across platforms using MS Purview and SAP GRC.
* Support manufacturing data historians (OSI PI, Sigmafine) and integrate with MES systems (Critical Manufacturing).
* Monitor and troubleshoot data pipeline performance using SAP HANA Cockpit, Azure Monitor, and Log Analytics.
 **Additional Duties/Responsibilities**
* Participate in the deployment of next\-generation analytics platforms including SAP Analytics Cloud and Microsoft Fabric.
* Support the delivery of certified analytics and data catalogs via MS Purview.
* Collaborate with cross\-functional teams on Manufacturing 4\.0 initiatives and MES integrations.
* Contribute to the continuous improvement of data architecture and analytics capabilities
* Maintain documentation of data flows, integration points, and system configurations.
 **Skills**
* Proficiency in SAP HANA, SAP S/4HANA, SAP SLT, SAP CPI, and SAP BTP.
* Experience with Microsoft Azure services including MS Fabric, MS Purview, Azure Data Factory, and Azure Synapse.
* Strong SQL development skills (MS SQL Server 2019/2022\).
* Knowledge of data visualization tools such as SAP Analytics Cloud, Power BI, and Spotfire.
* Experience with data historians (OSI PI, Sigmafine) and manufacturing data integration.
* Understanding of data governance, security, and compliance frameworks.
 **Behaviors**
* **Curious:** Explores the interconnection between data and business functions to develop optimal approaches and solutions.
* **Tech Savvy:** Embraces emerging technologies and applies them to solve complex data challenges.
* **Collaborates:** Works effectively across IT, OT, and business teams to deliver integrated solutions.
* **Manages Complexity:** Navigates large\-scale enterprise systems and data environments with precision.
* **Plans and Aligns**: Organizes work to meet strategic data architecture goals.
* **Action Oriented:** Takes initiative to resolve data issues and improve pipeline performance.
* **Ensures Accountability**: Delivers reliable and auditable data solutions.
* **Strategic Mindset:** Aligns data engineering efforts with enterprise analytics and business objectives.
 **Work Experience**
* 3\+ years in data engineering, with experience in SAP and/or Microsoft Azure ecosystems
 **Minimum Required Education/Certification**
* Bachelor’s Degree in Computer Science, Information Systems, or related field or equivalent
 *The range for this position is $86,800\.00 \- $119,350\.00 assuming full time status. Starting pay for the successful applicant is dependent on a variety of job\-related factors, including but not limited to market demands, experience, training, and education. The benefits available for this position are dependent on hours worked and may include medical, dental, vision, 401(k) plan, variable bonus, life insurance coverage, disability benefits, and PTO.*
 *HSC is an equal employment opportunity employer and all qualified applicants will receive consideration for employment without regard to race, color, religion, sex, national origin, age, protected veteran status, status as a qualified individual with a disability, marital status, pregnancy, sexual orientation, ancestry, genetic information, or any other characteristic protected by law.*
 *If you are an individual with a disability and you need an accommodation or other assistance during the application process, please call our Human Resources department at:*
 *989\.301\.5333*  
*or email your request to*  
*G1HSC\-HR@hscpoly.com*  
*All qualified applicants are encouraged to apply.*
*Req No. 1173*</t>
        </is>
      </c>
    </row>
    <row r="16">
      <c r="A16" t="inlineStr">
        <is>
          <t>in-cdb3803657a4179e</t>
        </is>
      </c>
      <c r="B16" t="inlineStr">
        <is>
          <t>Data Engineer</t>
        </is>
      </c>
      <c r="C16" t="inlineStr">
        <is>
          <t>Mass General Brigham</t>
        </is>
      </c>
      <c r="D16" t="inlineStr">
        <is>
          <t>indeed</t>
        </is>
      </c>
      <c r="E16" t="inlineStr"/>
      <c r="F16" t="inlineStr"/>
      <c r="G16" t="inlineStr">
        <is>
          <t>Somerville, MA, US</t>
        </is>
      </c>
      <c r="H16" s="2" t="n">
        <v>46056</v>
      </c>
      <c r="I16" t="inlineStr">
        <is>
          <t>Site: Mass General Brigham Incorporated  
Mass General Brigham relies on a wide range of professionals, including doctors, nurses, business people, tech experts, researchers, and systems analysts to advance our mission. As a not\-for\-profit, we support patient care, research, teaching, and community service, striving to provide exceptional care. We believe that high\-performing teams drive groundbreaking medical discoveries and invite all applicants to join us and experience what it means to be part of Mass General Brigham.  
Mass General Brigham Digital, in partnership with the Office of the Chief Medical Officer (OCMO), is seeking an experienced Data Engineer who has a passion for healthcare data and will thrive as a member of an experienced, high performing and highly motivated team. This person will have a desire to learn and a flexibility to adjust to the fast\-changing analytic and reporting demands of our system. The best candidate has solid analytical and communication skills, and experience working with health care data.  
**Job Summary**
Reporting to the Data Engineering Manager, the Data Engineer will be a member of a cross\-functional team responsible for developing new clinical data products. The areas of focus include Quality, Safety, Health Equity, Community Health, Patient Experience, Provider Wellbeing, Credentialing, and Pharmacy and Formulary.
The ideal candidate will collaborate with a multidisciplinary team to define and achieve strategic objectives. They will be responsible for developing the Quality Data Hub within our cloud\-based data warehouse. They will collaborate closely with solutions architects, analytics engineers, and visualization developers to understand requirements, establish robust change management practices, and implement rigorous quality assurance measures. Additionally, the role involves proactive performance monitoring, troubleshooting data issues, and adhering to MGB Digital’s standards and practices.  
**Qualifications**
**Principal Duties and Responsibilities**
* Design, build, test and maintain data models within the ‘Quality Data Hub’ of our cloud\-based enterprise data warehouse.
* Partners with solutions architects, analytics engineers, and data visualization developers to fully understand our data transformation needs and final model design to competently implement said design.
* In collaboration with analytic staff, performs thorough quality assurance, testing and peer review procedures to ensure the accuracy, reliability, and validity of end products.
* Adheres to the processes and tooling through which our enterprise curated data models are built and maintained. Participates in related process improvement efforts.
* Adheres to established change management and versioning processes for code promotion. Participates in related process improvement efforts as well.
* Collaborates on ingestion design for OCMO related data and handle related monitoring and support duties.
* Accrues advanced knowledge of the OCMO product domains and can quickly apply development strategies to meet the stakeholder requirements for the data products.
* Helps identify potential bottlenecks within the development lifecycle and propose high\-level strategies to overcome them.
* Triage, troubleshoot and resolve data issues from end users and internal team members.
* Follows MGB Digital guidelines and standard practices to leverage existing tools and methods to efficiently develop modeling solutions, ensure that work is not duplicated, and is appropriately transitioned between teams.
* Uses the Mass General Brigham values to govern decisions, actions, and behaviors. These values guide how we get our work done: Patients, Affordability, Accountability \&amp; Service Commitment, Decisiveness, Innovation \&amp; Thoughtful Risk; and how we treat each other: Diversity \&amp; Inclusion, Integrity \&amp; Respect, Learning, Continuous Improvement \&amp; Personal Growth, Teamwork \&amp; Collaboration.
Other duties and responsibilities as assigned.  
* 
**Additional Job Details (if applicable)**
**Qualifications**
* Bachelor’s or master’s degree in computer science, informatics, statistics, or related field and an interest in healthcare and the use of technology to support clinical care.
* 1\-3 years of experience as an Analytics Engineer, Data Engineer, or similar role.
* 1\-3 years of experience in business intelligence/analytics, preferably working with healthcare data.
* Proficiency in querying complex data structures using SQL is required.
* Experience with transforming and modeling workflow tools, such as DBT or Informatica.
* Experience working with cloud data platforms such as Snowflake, Azure Synapse, Amazon Redshift, etc.
* Experience with general source control principles and implementing CI/CD pipelines.
* Experience with implementing scalable ETL/ELT pipelines.
* Working knowledge of traditional data warehousing and cloud data warehousing concepts.
* Strong programming skills and proficient in other programming languages (e.g., SAS, R, and Python)
* Experience developing/configuring agentic AI a plus.
* Working knowledge of data visualization (Tableau) software a plus.
* Proficiency or Certification in Epic Clarity / Caboodle data model a plus.
**Skills/Abilities/Competencies**
* Ability to function effectively and independently in a fast\-paced environment, organize and prioritize work independently, and meet tight deadlines.
* Ability to manage multiple projects simultaneously, set priorities, and collaborate with team members and others throughout the organization.
* Possess strong interpersonal skills to effectively communicate with cross functional teams including staff at all levels of the organization.
* Willing to contribute to and foster a team player culture where all are encouraged and willing to share information accurately.
* Able and motivated to mentor/train junior staff members.
* Knowledge of agile principles and experience working within an agile team is preferred.
* Practical problem\-solving abilities, i.e. the ability to formulate hypotheses, test options and move forward in a fast\-paced environment.
* Excellent interpersonal skills, including strong customer service orientation and the ability to translate complex technical concepts to non\-technical audiences.
* Advanced SQL DML skills required, with comparable experience in writing data functions (e.g. TSQL procs, Snowflake UDFs, etc.).
**Working Conditions**
* Hybrid with onsite work required in office, candidate must be flexible for weekly or monthly business needs
* M\-F Eastern business hours required
On remote workdays, employees must use a stable, secure, and compliant workstation in a quiet environment. Teams video is required and must be accessed using MGB\-provided equipment  
* 
**Remote Type**
Hybrid  
**Work Location**
399 Revolution Drive  
**Scheduled Weekly Hours**
40  
**Employee Type**
Regular  
**Work Shift**
Day (United States of America)  
**Pay Range**
$75,275\.20 \- $109,553\.60/Annual  
**Grade**
6  
At Mass General Brigham, we believe in recognizing and rewarding the unique value each team member brings to our organization. Our approach to determining base pay is comprehensive, and any offer extended will take into account your skills, relevant experience if applicable, education, certifications and other essential factors. The base pay information provided offers an estimate based on the minimum job qualifications; however, it does not encompass all elements contributing to your total compensation package. In addition to competitive base pay, we offer comprehensive benefits, career advancement opportunities, differentials, premiums and bonuses as applicable and recognition programs designed to celebrate your contributions and support your professional growth. We invite you to apply, and our Talent Acquisition team will provide an overview of your potential compensation and benefits package.  
**EEO Statement:**
0100 Mass General Brigham Incorporated is an Equal Opportunity Employer. All qualified applicants will receive consideration for employment without regard to race, color, religious creed, national origin, sex, age, gender identity, disability, sexual orientation, military service, genetic information, and/or other status protected under law. We will ensure that all individuals with a disability are provided a reasonable accommodation to participate in the job application or interview process, to perform essential job functions, and to receive other benefits and privileges of employment. To ensure reasonable accommodation for individuals protected by Section 503 of the Rehabilitation Act of 1973, the Vietnam Veteran’s Readjustment Act of 1974, and Title I of the Americans with Disabilities Act of 1990, applicants who require accommodation in the job application process may contact Human Resources at (857\)\-282\-7642\.  
**Mass General Brigham Competency Framework**
---------------------------------------------
At Mass General Brigham, our competency framework defines what effective leadership “looks like” by specifying which behaviors are most critical for successful performance at each job level. The framework is comprised of ten competencies (half People\-Focused, half Performance\-Focused) and are defined by observable and measurable skills and behaviors that contribute to workplace effectiveness and career success. These competencies are used to evaluate performance, make hiring decisions, identify development needs, mobilize employees across our system, and establish a strong talent pipeline.</t>
        </is>
      </c>
    </row>
    <row r="17">
      <c r="A17" t="inlineStr">
        <is>
          <t>in-dfefd6c81a2ce22a</t>
        </is>
      </c>
      <c r="B17" t="inlineStr">
        <is>
          <t>Manufacturing Data Engineer Co-Op</t>
        </is>
      </c>
      <c r="C17" t="inlineStr">
        <is>
          <t>Freudenberg Group</t>
        </is>
      </c>
      <c r="D17" t="inlineStr">
        <is>
          <t>indeed</t>
        </is>
      </c>
      <c r="E17" t="inlineStr"/>
      <c r="F17" t="inlineStr"/>
      <c r="G17" t="inlineStr">
        <is>
          <t>Plymouth, MI, US</t>
        </is>
      </c>
      <c r="H17" s="2" t="n">
        <v>46056</v>
      </c>
      <c r="I17" t="inlineStr">
        <is>
          <t>Some of your Benefits
401K Match
Health Insurance
Vacation
Sustainability \&amp; Social Commitment
Paid Holidays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Sustainability \&amp; Social Commitment
Paid Holidays
Plymouth, MI
On\-Site
Freudenberg\-NOK General Partnership
MANUFACTURING DATA ENGINEER CO\-OP
Responsibilities
* Assist with extracting, cleaning, and transforming datasets from Excel, CSV, SQL databases, and JSON‑based APIs.
Support Databricks Bronze* Silver data pipeline development (i.e. Moving data from local sources to cloud storage)
* Perform basic data modeling tasks such as identifying keys and schema understanding. (i.e. Structuring Data)
* Write Python scripts for transformation, automation, and API interaction (i.e. connecting local to cloud software).
* Use SQL for querying operational and analytical data systems (i.e. searching through structured data)
* Assist with unit tests and simple system validation scripts (i.e. robust code development \&amp; testing)
* Perform validation checks such as nulls, duplicates, schema mismatches (i.e. making sure data recovered is clean \&amp; usable)
* Maintain data dictionaries and transformation notes (i.e. maintaining thorough documentation \&amp; handover)
Qualifications
* Currently pursuing a degree in Computer Science, Data Science, Engineering, Information Systems, or a related field
* Must be available full\-time during summer; part\-time during semester
* Python experience, including writing scripts for data processing or analysis. SQL fundamentals, including basic queries, joins, and aggregations
* Familiarity with CSV and JSON data formats
* Experience using Git for version control (coursework or projects acceptable)
* Strong Excel skills, including formulas, pivot tables, and data validation
* Basic understanding of data concepts such as schemas, transformations, and data quality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row>
    <row r="18">
      <c r="A18" t="inlineStr">
        <is>
          <t>in-1509415f7fd583a1</t>
        </is>
      </c>
      <c r="B18" t="inlineStr">
        <is>
          <t>Commercial &amp; Land Data Engineer</t>
        </is>
      </c>
      <c r="C18" t="inlineStr">
        <is>
          <t>ExxonMobil</t>
        </is>
      </c>
      <c r="D18" t="inlineStr">
        <is>
          <t>indeed</t>
        </is>
      </c>
      <c r="E18" t="inlineStr"/>
      <c r="F18" t="inlineStr"/>
      <c r="G18" t="inlineStr">
        <is>
          <t>Houston, TX, US</t>
        </is>
      </c>
      <c r="H18" s="2" t="n">
        <v>46056</v>
      </c>
      <c r="I18"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canwork **together**.
**About Houston**
-----------------
ExxonMobil's state\-of\-the\-art campus north of Houston serves as home to its Upstream, Product Solutions and Low Carbon Solutions businesses and their associated service groups. The facility opened in 2014 and accommodates more than 10,000 employees and visitors.
By bringing many global functional groups together, the campus provides employees with the tools and capabilities needed today, and in the future, to achieve business objectives and accelerate the discovery of new resources, technologies and products. It was designed to foster improved collaboration, creativity and innovation and enhance the company’s ability to attract, develop and retain the top talent in the industry.
The campus is located in Spring, Texas, on 385 wooded acres immediately to the west of Interstate Highway 45 (I\-45\), at the intersection of I\-45 and the Hardy Toll Road, approximately 25 miles from the cultural vibrancy of downtown Houston.
The campus was constructed to the highest standards of energy efficiency and environmental stewardship. Its design incorporates extensive research into best practices in building and workplace design through extensive benchmarking of the world’s top academic, research, and corporate facilities.
 **Learn more about what we do in Houston** **here.**
**What role you will play in our team**
---------------------------------------
As a Commercial \&amp; Land Data Engineer working at ExxonMobil, you will be a part of world class team and gain hands\-on experience and skills working on projects that create an impact.
**What you will do**
--------------------
* Analyze the value and cost of innovation opportunities, and leverage internal resources, such as Land department personnel, IT department personnel, and members of other cross\-functional departments to capture those opportunities.
* Work with internal resources throughout Land to validate ideas; design business processes and procedures around these innovation opportunities.
* Work with IT department personnel to design, test, implement, deploy and train new Land systems, tools, and enhancements to existing technologies.
* Work with the Business Transformation team as Land’s Functional Lead to aid IT in the allocation of resources, planning, and budgeting of corporate projects.
* Participate with other business units in the establishment and continued engagement of a community of continuous improvement.
* Manage existing processes/technologies that enable innovation and automate ownership calculations.
* Assist Business Development to analyze incoming opportunities.
**About you**
-------------
 **Skills and Qualifications:**
* ExxonMobil is seeking applicants with Upstream oil and gas knowledge and 3\+ years of in\-house land/commercial experience with a Bachelors in Data Management and/or Business Administration.
* Applicants must have excellent collaboration, communication and interpersonal skills, and have the ability to deliver results in a performance\-driven and team\-oriented environment.
* Significant experience and interest in land and data management
 **Preferred Qualifications/Experience:**
* Strong critical thinking skills; ability to exercise business judgement/make sound decisions
* Detail\-oriented and capable of producing results in time constrained situations involving complex oil and gas ownership calculations
* Adaptable to changing business needs and requests
* Experience with land transactions
* Proficiency with Land Systems, ESRI, Alteryx, PowerBI
**Your Benefits**
-----------------
 **An ExxonMobil career is one designed to last. Our commitment to you runs deep: our employees grow personally and professionally, with benefits built on our core categories of health, security, finance, and life. We offer you:**
* Pension Plan: Enrollment is automatic and at no cost to you. The basic benefit is a monthly annuity to be paid to you in retirement for the rest of your life.
* Savings Plan: You can contribute between 6% and 20% of your pay and are encouraged to enroll right away. If you contribute at least 6% to your savings plan, the Company will contribute a 7% match.
* Workplace Flexibility: We have several programs such as “Flex your Day”, providing ad\-hoc flexibility around when and where you work, as well as longer\-term programs such as leaves of absence and part\-time work.
* Comprehensive medical, dental, and vision plans.
* Culture of Health: Programs and resources to support your wellbeing.
* Employee Health Advisory Program: Provides confidential professional counseling for you and your family, including tools and resources promoting mental health and resiliency at no additional cost to you.
* Disability Plan: Income replacement for when you cannot work due to illness or injury occurring on or off the job. Enrollment is automatic and at no cost to you.
More information on our Company’s benefits can be found at www.exxonmobilfamily.com.
Please note benefits may be changed from time to time without notice, subject to applicable law.
**Stay connected with us**
--------------------------
Learn more at our **website**  
Follow us on **LinkedIN** **and** **Instagram**  
Like us on **Facebook**  
Subscribe our channel at **YouTube**
**Equal Opportunity Employer**
------------------------------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**Job ID: 83133**</t>
        </is>
      </c>
    </row>
    <row r="19">
      <c r="A19" t="inlineStr">
        <is>
          <t>in-0515b2b4843f9d9e</t>
        </is>
      </c>
      <c r="B19" t="inlineStr">
        <is>
          <t>Full-Stack Data Engineer</t>
        </is>
      </c>
      <c r="C19" t="inlineStr">
        <is>
          <t>Quiet Professionals LLC</t>
        </is>
      </c>
      <c r="D19" t="inlineStr">
        <is>
          <t>indeed</t>
        </is>
      </c>
      <c r="E19" t="inlineStr"/>
      <c r="F19" t="inlineStr"/>
      <c r="G19" t="inlineStr">
        <is>
          <t>Doral, FL, US</t>
        </is>
      </c>
      <c r="H19" s="2" t="n">
        <v>46056</v>
      </c>
      <c r="I19" t="inlineStr">
        <is>
          <t>Position Description: **Position Summary**The Full\-Stack Data Engineer supports mission\-critical objectives under the referenced work order by developing, maintaining, and optimizing data integration pipelines, API services, and front\-end interfaces for accessing and visualizing geospatial and structured data. This role ensures scalable, secure, and metadata\-driven data applications across enterprise and cloud environments.  
This future opportunity is contingent upon award.  
**Job Description*** The Full\-Stack Data Engineer is responsible for designing and deploying full\-stack applications that enable data visualization, dashboarding, and analytics for ESRI\-based GIS platforms, Unity Catalog, and cloud\-based databases.
* The role involves implementing RESTful and GraphQL APIs to support seamless data integration between Data Lake environments, ESRI ArcGIS platforms, and external sources.
* Additional responsibilities include managing CI/CD pipelines, containerized deployments in Kubernetes, implementing API authentication and access controls, and optimizing database queries and indexing strategies for large\-scale geospatial and structured datasets. The engineer will collaborate closely with data governance, DevOps, and research teams to ensure interoperability, security, and performance of data applications.
**Required Qualifications and Experience**The contractor shall provide personnel who meet one of the following requirements:
* Bachelors degree in Computer Science, Data Engineering, or a related discipline; **or**
* A minimum of five (5\) years of equivalent professional experience in full\-stack development and data engineering.
**Candidates must have demonstrated experience in the following areas:*** Developing and deploying full\-stack applications for data visualization and analytics within ESRI GIS platforms, Unity Catalog, and cloud databases.
* Implementing RESTful and GraphQL APIs for seamless data retrieval and integration.
* Managing CI/CD pipelines and containerized deployments in Kubernetes.
* Ensuring secure access through API authentication and authorization mechanisms.
* Optimizing database queries, indexing, and performance for geospatial and structured datasets.
**Required Skills and Competencies*** Strong knowledge of full\-stack development, data engineering, and cloud\-native platforms.
* Experience with Databricks, Kubernetes, ESRI ArcGIS, and cloud\-based data environments.
* Expertise in metadata\-driven search, retrieval, and data interoperability.
* Strong analytical, problem\-solving, and collaboration skills.
* Ability to translate research and governance requirements into functional, secure applications.
**Education*** Bachelors degree in a related field, or an equivalent combination of education and relevant experience.
* AWS Certified Data Analytics Specialty (Preferred, Not Required).
* Microsoft Certified: Azure Data Engineer Associate (Preferred, Not Required).
* ESRI ArcGIS Developer Certification (Preferred, Not Required).
**Clearance Requirement*** An active security clearance at the level specified by the program is required, or the ability to obtain and maintain the required clearance.
Quiet Professionals is located in the Greater Tampa Bay Area. We provide innovative and sustainable solutions that enhance the operational effectiveness of our clients and partners.  
QP is proud to be an equal opportunity, disability, and veteran employer. Our team of Quiet Professionals is highly driven, innovative, and results oriented. We empower our teams creativity, knowledge, and expertise to support client needs by fostering a diverse, inclusive, and supportive workplace. We understand that diversity fuels innovation and drives our success. We offer comprehensive benefits designed to serve the needs of our workforce.</t>
        </is>
      </c>
    </row>
    <row r="20">
      <c r="A20" t="inlineStr">
        <is>
          <t>in-db7236e22567e574</t>
        </is>
      </c>
      <c r="B20" t="inlineStr">
        <is>
          <t>Business Systems Sr Data Engineer</t>
        </is>
      </c>
      <c r="C20" t="inlineStr">
        <is>
          <t>BNH</t>
        </is>
      </c>
      <c r="D20" t="inlineStr">
        <is>
          <t>indeed</t>
        </is>
      </c>
      <c r="E20" t="inlineStr"/>
      <c r="F20" t="inlineStr"/>
      <c r="G20" t="inlineStr">
        <is>
          <t>Arnold AFB, TN, US</t>
        </is>
      </c>
      <c r="H20" s="2" t="n">
        <v>46056</v>
      </c>
      <c r="I20" t="inlineStr">
        <is>
          <t>**Overview**
------------
**Job Title:** Business Systems Sr Data Engineer
**Location:** Arnold AFB, TN
**Job Family Code:** N – Databases \&amp; Data Warehousing
**Function/Branch:** IS\&amp;T/Business Systems Branch
**Directorate:** Engineering \&amp; Tech Support
**Position Type:** Regular, Full\-Time
**Pay Type:** Exempt
**Grade****:** L08 (NA0807\) – L09 (NA0907\)
**Salary Range or Starting Hourly Rate** **(provided by HR):** $95,000 \- $150,000 / year
 **Overview**
Beyond New Horizons, LLC (BNH) has an exciting opportunity for a Business Systems Sr Data Engineer, supporting TOS II, at Arnold Air Force Base, TN in Tullahoma, TN. The Business Systems Sr Data Engineer will work as a member of the Business Systems Branch to lead implementation of data\-centered projects to improve the AEDC business systems. The person selected for this role will work closely with multidisciplinary work teams throughout the Beyond New Horizons (BNH) organization to identify opportunities for leveraging data to drive decisions and will help design and implement a data architecture while working with the Business Systems team.
 ***Open to internal and external candidates.*** The selected candidate for this requisition may be required to occasionally (e.g. application upgrades) work outside normal business hours.
 **Job Summary**
Beyond New Horizons, LLC (BNH) is the team selected by the U.S. Air Force to conduct Test and Operations Sustainment at the Arnold Engineering Development Complex (AEDC) at Arnold Air Force Base in Tennessee. AEDC operates more than 55 aerodynamic and propulsion wind tunnels, rocket and turbine engine test cells, space environmental chambers, arc heaters, ballistic ranges and other specialized units located in six states. Many of the complex's test units have capabilities unmatched elsewhere in the United States; some are unique in the world. AEDC is one of three installations which are part of the Air Force Test Center (AFTC), one of six subordinate commands of the Air Force Materiel Command organization, and an important national resource.
AEDC’s mission is to conduct developmental tests and evaluation for the Nation through modeling, simulation, and ground and flight tests. Execution of the mission requires a large team of highly qualified and dedicated professionals from multiple technical disciplines to effectively accomplish the objectives of our test customers.
**Job Duties:**
* Development and implement data\-engineering strategies and programs.
* Utilize various data sources to optimize data analytics for the AEDC Business systems.
* Automate manual processes, optimizing data delivery, re\-designing infrastructure for greater scalability.
* Responsible for defining \&amp; developing approaches and demonstrate abilities to mine and analyze data from Business System databases to drive optimization and improvement of data collected.
* Migrate existing Oracle Business Intelligence reporting to newer Oracle Analytic Server
* Maintain Oracle Analytics server or other alternatives for existing standard reporting
* Maintain Power BI reporting for dynamic interactive reporting
* Identify and assess the effectiveness of data engineering, data sources and data gathering techniques.
* Responsible for leading data governance efforts within the Business Systems branch
* Responsible for developing the Data quality standards and controls for the data warehouse/lake
* Coordinate with different multidisciplinary teams to implement models and monitor outcomes.
* Define \&amp; develop processes and tools to monitor and analyze model performance and data accuracy.
* Responsible for defining \&amp; developing the infrastructure required for optimal extraction, transformation, and loading (ETL) of data from a wide variety of data sources using Oracle PL/SQL and/or MS SQL.
* Identify and complete projects associated with data\-engineering.
* Responsible for developing custom financial analytics, reports and dashboards using various tools.
* It is a condition of employment to wear PPE (Personal Protective Equipment) in accordance with supervisory direction and company policy.
* Perform other duties as required.
**Basic Qualifications:**
* BS degree in Computer Engineering, Science or BSBA in Management Information Systems with 7\-10 years of progressive and relevant experience or any equivalent combination of education and progressive and relevant experience.
* Skilled with Oracle and MS SQL databases
* Experienced in software development/engineering and web development
* Must be able to obtain and maintain security clearance and the AEDC local area network.
* Current U. S. Citizenship required.
 **Preferred Qualifications**
* Skilled with Oracle PL/SQL and MS SQL T\-SQL, triggers, indexing, procedures, replication, views, etc.
* Experience with the following:
	+ Oracle: RMAN, Toad for Oracle, Oracle OEM, Oracle DB 19c, Oracle Business Intelligence/Oracle Analytics server
	+ Microsoft: MS SQL Server 2019 or higher, SQL Server Management Studio, SSIS, SSRS, PowerBI
	+ Operating Systems: Windows 11, Windows 2019 Server OS or higher, RHEL 8 OS or higher
	+ Office products: Visio, Microsoft Office, etc.
* Knowledge of Cloud platforms and data management in cloud platforms
* Experienced with API’s
* Skilled in oral and written communication
* Skilled at building and maintaining personnel and customer relationships.
* Ability to effectively manage multiple priorities.
* Obtain and maintain Security\+ certification
* Active DoD secret security clearance or able to obtain an Active DoD secret security clearance.
 **What We Offer*** Competitive salaries
* Continuing education assistance
* Multiple healthcare benefits packages
* 401K with employer matching
* Paid time off (PTO) along with a federally recognized holiday schedule
 **Who We Are*****U.S. Citizenship is required.*** *At this time BNH will* ***not*** *sponsor any applicants for employment authorization or offer any immigration related support for this position (i.e. H1b, F1 OPT, F\-1 STEM OPT, F\-1 CPT, J\-1, E\-2, E\-3, L\-1,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BNH is willing to pay at the time of this posting. Salaries for part\-time jobs will be adjusted based upon the number of hours agreed to work.*
 *Arnold Airforce Base* **$****9****5,000 \- $1****50****,000/year**
 *BNH is an Equal Employment Opportunity Employer. We provide equal employment opportunities to all employees and applicants for employment and prohibit discrimination and harassment of any type without regard to race, color, religion, age, sex, national origin, veteran status, and any other grounds for discrimination prohibited by applicable law.**This policy applies to all terms and conditions of employment, including recruiting, hiring, placement, promotion, termination, layoff, recall, transfer, leaves of absence, compensation, and training.* **Join our Team!**
*BNH is an Equal Employment Opportunity Employer. We provide equal employment opportunities to all employees and applicants for employment and prohibit discrimination and harassment of any type without regard to race, color, religion, age, sex, national origin, veteran status, and any other grounds for discrimination prohibited by applicable law.**This policy applies to all terms and conditions of employment, including recruiting, hiring, placement, promotion, termination, layoff, recall, transfer, leaves of absence, compensation, and training.*</t>
        </is>
      </c>
    </row>
    <row r="21">
      <c r="A21" t="inlineStr">
        <is>
          <t>in-f228435eb82139bf</t>
        </is>
      </c>
      <c r="B21" t="inlineStr">
        <is>
          <t>Senior Data Engineer</t>
        </is>
      </c>
      <c r="C21" t="inlineStr">
        <is>
          <t>Bitfarms</t>
        </is>
      </c>
      <c r="D21" t="inlineStr">
        <is>
          <t>indeed</t>
        </is>
      </c>
      <c r="E21" t="inlineStr"/>
      <c r="F21" t="inlineStr"/>
      <c r="G21" t="inlineStr">
        <is>
          <t>New York, NY, US</t>
        </is>
      </c>
      <c r="H21" s="2" t="n">
        <v>46056</v>
      </c>
      <c r="I21" t="inlineStr">
        <is>
          <t>**The Future Runs on Bitfarms**
As demand for AI and high\-performance computing (HPC) accelerates, Bitfarms is building the infrastructure to meet the moment. Our US expansion and global operations are laying the foundation for scalable, energy\-optimized compute designed to support next generation workloads and long\-term growth.
**Who We Are**  
Bitfarms (NASDAQ/TSX: BITF) is a global energy and compute infrastructure company that develops, owns, and operates high\-performance data centers.
With data centers across North and South America, we manage every stage of development from securing energy, producing power, and designing facilities to running world class operations. This vertically integrated approach allows us to innovate faster, operate more efficiently, and deliver infrastructure that can scale with the future of compute.
**Why Join Our Team**  
At Bitfarms, voted a Great Place to Work, you will be part of a team shaping the next generation of digital infrastructure. We are at the intersection of energy and technology, two industries undergoing massive transformation. Here, your work will have real impact, powering advanced workloads that are driving AI, machine learning, and the digital economy forward.
We value people who are curious, collaborative, and committed to building solutions that last. With offices in New York City, Pittsburgh, Montreal and Buenos Aires, Bitfarms offers the chance to grow your career while helping power AI and shape the future of high\-performance computing.
**What You Can Expect at Bitfarms**
* A fast\-moving environment where innovation and execution go hand in hand.
* Opportunities to work on cutting edge projects in HPC, AI, and energy infrastructure.
* A collaborative, cross border team that thrives on solving complex challenges.
* A commitment to efficiency, operational excellence, and long\-term value creation.
Bitfarms continues to seek operational and financial improvements through decentralization and diversification, and using ethical and innovative initiatives to unlock value for both our clients and employees.
**What We Offer**
* Competitive salary and bonus opportunities along with career advancement
* Top tier group insurance plan with employer cost sharing
* Group retirement savings with employer contribution
* Employee referral program
* Telemedicine \&amp; employee assistance program (EAP)
* An inclusive, safe and diverse work environment
We are currently looking for a **Senior Data Engineer** to join our team.
**Compensation:**
Expected Salary: $120,000 \- $170,000 USD
**What You Can Expect from This Role**
The Senior Data Engineer will play a critical role in designing, building, and operating Bitfarms' next\-generation data platform. This role is responsible for architecting and implementing a modern Data Lakehouse, establishing a data classification program aligned with a new Data Loss Prevention (DLP) initiative, and partnering closely with business and technical stakeholders to understand, classify, and govern data across the organization.
This position requires strong technical depth in data engineering and architecture, combined with the ability to translate business needs, compliance requirements, and security objectives into scalable and well\-governed data solutions.
**Key Responsibilities**
**Data Platform \&amp; Lakehouse Architecture**
* Design, implement, and maintain a scalable Data Lakehouse architecture supporting analytics, reporting, and advanced workloads.
* Define data ingestion, transformation, and storage patterns for structured, semi\-structured, and unstructured data.
* Establish best practices for data modeling, partitioning, performance optimization, and cost efficiency.
* Ensure high availability, reliability, and data quality across the data platform.
**Data Classification \&amp; DLP Enablement**
* Lead the design and implementation of a data classification framework aligned with Bitfarms' security, compliance, and business requirements.
* Partner with Cybersecurity and Compliance teams to support the rollout of a Data Loss Prevention (DLP) program.
* Identify, tag, and manage sensitive data (e.g., financial, operational, personal, or regulated data) throughout the data lifecycle.
* Ensure data classification is embedded into ingestion pipelines, storage layers, and access controls.
**Stakeholder Engagement \&amp; Data Assessment**
* Work closely with business stakeholders, IT, Security, and Compliance teams to:
* Assess existing and new data sources.
* Understand data usage, criticality, and sensitivity.
* Define classification levels, retention rules, and access requirements.
* Translate stakeholder needs into technical data models, pipelines, and governance controls.
* Act as a trusted advisor on data architecture, data governance, and data protection topics.
**Data Governance \&amp; Security**
* Implement data access controls, lineage, and auditability in alignment with internal policies and regulatory requirements.
* Support SOX, ITGC, and other compliance\-driven data controls as applicable.
* Contribute to the definition of data standards, naming conventions, and documentation.
**Operations \&amp; Continuous Improvement**
* Monitor and optimize data pipelines for performance, reliability, and cost.
* Troubleshoot and resolve complex data\-related issues across environments.
* Continuously evaluate new tools, technologies, and patterns to improve the data ecosystem.
* Mentor junior engineers and contribute to internal knowledge sharing.
**What We Are Looking For**
* 7\+ years of experience in data engineering or data platform roles.
* Proven experience designing and implementing data lake and/or lakehouse architectures.
* Strong experience with data ingestion, ETL/ELT pipelines, and large\-scale data processing.
* Solid understanding of data classification, data governance, and data security concepts.
* Experience collaborating with security or compliance teams on data protection initiatives (e.g., DLP, data privacy).
* Ability to communicate complex technical concepts clearly to non\-technical stakeholders.
**More Details**
* Work schedule: Monday\-Friday, New York City office, 4 days on\-site, 1 WFH
* Job type: Full Time, Permanent
Bitfarms is more than a workplace. It is where people come together to power the future.</t>
        </is>
      </c>
    </row>
    <row r="22">
      <c r="A22" t="inlineStr">
        <is>
          <t>in-97ff5ad3b2312091</t>
        </is>
      </c>
      <c r="B22" t="inlineStr">
        <is>
          <t>Senior Data Engineer</t>
        </is>
      </c>
      <c r="C22" t="inlineStr">
        <is>
          <t>CERTIFID</t>
        </is>
      </c>
      <c r="D22" t="inlineStr">
        <is>
          <t>indeed</t>
        </is>
      </c>
      <c r="E22" t="inlineStr"/>
      <c r="F22" t="inlineStr"/>
      <c r="G22" t="inlineStr">
        <is>
          <t>Austin, TX, US</t>
        </is>
      </c>
      <c r="H22" s="2" t="n">
        <v>46056</v>
      </c>
      <c r="I22" t="inlineStr">
        <is>
          <t>Cybercrime is rising, reaching record highs in 2024\. According to the FBI's IC3 report total losses exceeded $16 billion. With investment fraud and BEC scams at the forefront, the message is clear: the real estate sector remains a lucrative target for cybercriminals. At CertifID, we take this threat seriously and provide a secure platform that verifies the identities of parties involved in transactions, authenticates wire transfer instructions, and detects potential fraud attempts. Our technology is designed to mitigate risks and ensure that every transaction is conducted with confidence and peace of mind.  
We know we couldn’t take on this challenge without our incredible team. We have been recognized as one of the Best Startups to Work for in Austin, made the Inc. 5000 list, and won Best Culture by Purpose Jobs two years in a row. We are guided by our core values and our vision of a world without wire fraud. We offer a dynamic work environment where you can contribute to meaningful impact and be part of a team dedicated to enhancing security and fighting fraud.  
As a Senior Data Engineer, you’ll own the systems that turn raw data into trusted insights across the company. You’ll partner closely with Product, Finance, Sales, and Customer Success to ensure our data platform scales with the business and directly supports decision\-making.
### **Responsibilities**
* Design, build, and maintain trusted, scalable data models that power reporting, analytics, and product insights
* Own the evolution of our data platform, unifying analytics tooling and fully replacing legacy admin and ad\-hoc reporting
* Develop and maintain robust ELT pipelines, transformations, and data stores that serve as the source of truth for billing, revenue, usage, and customer success workflows
* Apply strong data modeling and warehousing principles to create analytics\-optimized tables that are well\-documented and easy to use
* Partner with stakeholders to understand business questions, translate them into data models, and educate teams on how to operationalize analytics effectively
* Proactively identify opportunities to improve reporting or data reliability and build proof\-of\-concepts to validate solutions with the business
* Write high\-quality, secure, maintainable, and testable production code, following best practices and thoughtful tradeoffs
* Contribute to a culture of craftsmanship through code reviews, documentation, and continuous improvement
* Balance speed and quality, delivering quickly while building systems that scale with the company
* Adapt to a wide range of challenges, learning new tools and skills as needed in a fast\-moving environment
### **What we are looking for**
* 3\+ years of professional experience in data engineering, analytics engineering, business intelligence, or a closely related role
* Strong SQL skills and hands\-on experience with data modeling for analytics use cases
* Experience building and maintaining production data pipelines, transformations, and warehouses in a cloud\-based environment
* Comfort working with self\-service BI and analytics tools, enabling non\-technical stakeholders to answer their own questions
* A hybrid mindset: you can think like a software engineer while deeply understanding analytical and business requirements
* Experience supporting SaaS metrics such as revenue, usage, billing, or customer health reporting
* Strong understanding of data warehousing concepts (fact/dimension modeling, performance optimization, data quality)
* Proven ability to deliver quickly without compromising technical quality
### **What sets you apart**
* You take ownership and accountability for outcomes, not just implementations
* You care deeply about data correctness, clarity, and trust
* You enjoy collaborating cross\-functionally and explaining complex concepts in plain language
* You’re energized by building systems from imperfect inputs and evolving them as the business grows
Not sure if you check all the boxes? Apply anyway!  
We know that great talent comes in many forms, and we value potential just as much as experience. If you're excited about this role and believe you can grow into it, we’d love to hear from you. We’re looking for people who are eager to learn, adapt, and solve challenges—so if that sounds like you, don’t let a checklist hold you back!  
Change doesn't happen overnight, and the same goes for us here at CertifID. We PROGRESS collectively and individually as we grow, abiding by our core values. Protect the Customer, Raise the Bar, Operate with Urgency, Grow with Grit, Ride the Wave, Enthusiasm Spreads, Stay Connected, Send It.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3">
      <c r="A23" t="inlineStr">
        <is>
          <t>in-402f184f541f266c</t>
        </is>
      </c>
      <c r="B23" t="inlineStr">
        <is>
          <t>Senior Data Engineer</t>
        </is>
      </c>
      <c r="C23" t="inlineStr">
        <is>
          <t>CERTIFID</t>
        </is>
      </c>
      <c r="D23" t="inlineStr">
        <is>
          <t>indeed</t>
        </is>
      </c>
      <c r="E23" t="inlineStr"/>
      <c r="F23" t="inlineStr"/>
      <c r="G23" t="inlineStr">
        <is>
          <t>Grand Rapids, MI, US</t>
        </is>
      </c>
      <c r="H23" s="2" t="n">
        <v>46056</v>
      </c>
      <c r="I23" t="inlineStr">
        <is>
          <t>Cybercrime is rising, reaching record highs in 2024\. According to the FBI's IC3 report total losses exceeded $16 billion. With investment fraud and BEC scams at the forefront, the message is clear: the real estate sector remains a lucrative target for cybercriminals. At CertifID, we take this threat seriously and provide a secure platform that verifies the identities of parties involved in transactions, authenticates wire transfer instructions, and detects potential fraud attempts. Our technology is designed to mitigate risks and ensure that every transaction is conducted with confidence and peace of mind.  
We know we couldn’t take on this challenge without our incredible team. We have been recognized as one of the Best Startups to Work for in Austin, made the Inc. 5000 list, and won Best Culture by Purpose Jobs two years in a row. We are guided by our core values and our vision of a world without wire fraud. We offer a dynamic work environment where you can contribute to meaningful impact and be part of a team dedicated to enhancing security and fighting fraud.  
As a Senior Data Engineer, you’ll own the systems that turn raw data into trusted insights across the company. You’ll partner closely with Product, Finance, Sales, and Customer Success to ensure our data platform scales with the business and directly supports decision\-making.
### **Responsibilities**
* Design, build, and maintain trusted, scalable data models that power reporting, analytics, and product insights
* Own the evolution of our data platform, unifying analytics tooling and fully replacing legacy admin and ad\-hoc reporting
* Develop and maintain robust ELT pipelines, transformations, and data stores that serve as the source of truth for billing, revenue, usage, and customer success workflows
* Apply strong data modeling and warehousing principles to create analytics\-optimized tables that are well\-documented and easy to use
* Partner with stakeholders to understand business questions, translate them into data models, and educate teams on how to operationalize analytics effectively
* Proactively identify opportunities to improve reporting or data reliability and build proof\-of\-concepts to validate solutions with the business
* Write high\-quality, secure, maintainable, and testable production code, following best practices and thoughtful tradeoffs
* Contribute to a culture of craftsmanship through code reviews, documentation, and continuous improvement
* Balance speed and quality, delivering quickly while building systems that scale with the company
* Adapt to a wide range of challenges, learning new tools and skills as needed in a fast\-moving environment
### **What we are looking for**
* 3\+ years of professional experience in data engineering, analytics engineering, business intelligence, or a closely related role
* Strong SQL skills and hands\-on experience with data modeling for analytics use cases
* Experience building and maintaining production data pipelines, transformations, and warehouses in a cloud\-based environment
* Comfort working with self\-service BI and analytics tools, enabling non\-technical stakeholders to answer their own questions
* A hybrid mindset: you can think like a software engineer while deeply understanding analytical and business requirements
* Experience supporting SaaS metrics such as revenue, usage, billing, or customer health reporting
* Strong understanding of data warehousing concepts (fact/dimension modeling, performance optimization, data quality)
* Proven ability to deliver quickly without compromising technical quality
### **What sets you apart**
* You take ownership and accountability for outcomes, not just implementations
* You care deeply about data correctness, clarity, and trust
* You enjoy collaborating cross\-functionally and explaining complex concepts in plain language
* You’re energized by building systems from imperfect inputs and evolving them as the business grows
Not sure if you check all the boxes? Apply anyway!  
We know that great talent comes in many forms, and we value potential just as much as experience. If you're excited about this role and believe you can grow into it, we’d love to hear from you. We’re looking for people who are eager to learn, adapt, and solve challenges—so if that sounds like you, don’t let a checklist hold you back!  
Change doesn't happen overnight, and the same goes for us here at CertifID. We PROGRESS collectively and individually as we grow, abiding by our core values. Protect the Customer, Raise the Bar, Operate with Urgency, Grow with Grit, Ride the Wave, Enthusiasm Spreads, Stay Connected, Send It.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4">
      <c r="A24" t="inlineStr">
        <is>
          <t>in-e5ec750f32a09898</t>
        </is>
      </c>
      <c r="B24" t="inlineStr">
        <is>
          <t>Data Engineer with Mongo DB-1</t>
        </is>
      </c>
      <c r="C24" t="inlineStr">
        <is>
          <t>Realign</t>
        </is>
      </c>
      <c r="D24" t="inlineStr">
        <is>
          <t>indeed</t>
        </is>
      </c>
      <c r="E24" t="inlineStr"/>
      <c r="F24" t="inlineStr"/>
      <c r="G24" t="inlineStr">
        <is>
          <t>Charlotte, NC, US</t>
        </is>
      </c>
      <c r="H24" s="2" t="n">
        <v>46056</v>
      </c>
      <c r="I24" t="inlineStr">
        <is>
          <t>Charlotte, North Carolina 28105 Posted February 4th, 2026
 Looking for more job opportunities? Click here!
Job Type: Full Time
Job Category: IT
Job Description
**Job Title : Data Engineer with Mongo DB****Location : Charlotte, NC/Plano, TX** **Must Have Technical/Functional Skills****Primary Skill: Data Engineer****Secondary: Mongo DB****Experience: Minimum 10 years** **Key Responsibilities:*** MongoDB Database Management:
Designing, implementing, and managing MongoDB database architectures, including schema design, indexing, replication, sharding, and performance optimization for large\-scale data.
Data Pipeline Development:
Building and maintaining robust ETL/ELT (Extract, Transform, Load) pipelines for ingesting, transforming, and loading structured and unstructured data from diverse sources into MongoDB and other data platforms.* Performance Optimization:
Optimizing MongoDB queries, aggregation pipelines, and overall database performance to ensure efficient data processing and retrieval.* Data Integrity and Security:
Ensuring data integrity, quality, and security by implementing appropriate validation, monitoring, access controls, and encryption measures within MongoDB and related systems.* Collaboration and Integration:
Working closely with application developers, data scientists, data analysts, and DevOps teams to understand data requirements, integrate MongoDB with other systems and cloud services (e.g., GCP, AWS, Azure), and support data\-driven applications.* Troubleshooting and Monitoring:
Monitoring data pipeline performance, troubleshooting issues, and implementing solutions to ensure data reliability and availability.* Documentation:
Creating and maintaining documentation for data pipelines, database schemas, and data engineering processes.
Required Skills and Qualifications:* Strong MongoDB Expertise:
In\-depth knowledge of MongoDB's features, including document modeling, aggregation framework, indexing, sharding, and administration.* Programming Proficiency:
Strong programming skills in languages like Python, Java, or Node.js, particularly with MongoDB drivers and related libraries.* Data Pipeline Tools:
Experience with data pipeline tools and technologies such as Apache Spark, Airflow, Kafka, or cloud\-native data services.* Cloud Platform Experience:
Familiarity with cloud platforms (e.g., Google Cloud Platform, AWS, Azure) and their data\-related services.* Data Modeling and Design:
Ability to design efficient and scalable data models for NoSQL databases.* Problem\-Solving and Analytical Skills:
Strong aptitude for troubleshooting data\-related issues and optimizing data systems.* Communication and Teamwork:
Excellent communication and collaboration skills to work effectively with cross\-functional teams.
Domain Knowledge: Banking and Payments  
Required Skills
DEVOPS ENGINEER
 SENIOR EMAIL SECURITY ENGINEER</t>
        </is>
      </c>
    </row>
    <row r="25">
      <c r="A25" t="inlineStr">
        <is>
          <t>in-b7ba41e158ea03cf</t>
        </is>
      </c>
      <c r="B25" t="inlineStr">
        <is>
          <t>Data Engineer with Mongo DB-1</t>
        </is>
      </c>
      <c r="C25" t="inlineStr">
        <is>
          <t>Realign</t>
        </is>
      </c>
      <c r="D25" t="inlineStr">
        <is>
          <t>indeed</t>
        </is>
      </c>
      <c r="E25" t="inlineStr"/>
      <c r="F25" t="inlineStr"/>
      <c r="G25" t="inlineStr">
        <is>
          <t>Plano, TX, US</t>
        </is>
      </c>
      <c r="H25" s="2" t="n">
        <v>46056</v>
      </c>
      <c r="I25" t="inlineStr">
        <is>
          <t>Plano, Texas 75023 Posted February 4th, 2026
 Looking for more job opportunities? Click here!
Job Type: Full Time
Job Category: IT
Job Description
**Job Title : Data Engineer with Mongo DB****Location : Charlotte, NC/Plano, TX** **Must Have Technical/Functional Skills****Primary Skill: Data Engineer****Secondary: Mongo DB****Experience: Minimum 10 years** **Key Responsibilities:*** MongoDB Database Management:
Designing, implementing, and managing MongoDB database architectures, including schema design, indexing, replication, sharding, and performance optimization for large\-scale data.
Data Pipeline Development:
Building and maintaining robust ETL/ELT (Extract, Transform, Load) pipelines for ingesting, transforming, and loading structured and unstructured data from diverse sources into MongoDB and other data platforms.* Performance Optimization:
Optimizing MongoDB queries, aggregation pipelines, and overall database performance to ensure efficient data processing and retrieval.* Data Integrity and Security:
Ensuring data integrity, quality, and security by implementing appropriate validation, monitoring, access controls, and encryption measures within MongoDB and related systems.* Collaboration and Integration:
Working closely with application developers, data scientists, data analysts, and DevOps teams to understand data requirements, integrate MongoDB with other systems and cloud services (e.g., GCP, AWS, Azure), and support data\-driven applications.* Troubleshooting and Monitoring:
Monitoring data pipeline performance, troubleshooting issues, and implementing solutions to ensure data reliability and availability.* Documentation:
Creating and maintaining documentation for data pipelines, database schemas, and data engineering processes.
Required Skills and Qualifications:* Strong MongoDB Expertise:
In\-depth knowledge of MongoDB's features, including document modeling, aggregation framework, indexing, sharding, and administration.* Programming Proficiency:
Strong programming skills in languages like Python, Java, or Node.js, particularly with MongoDB drivers and related libraries.* Data Pipeline Tools:
Experience with data pipeline tools and technologies such as Apache Spark, Airflow, Kafka, or cloud\-native data services.* Cloud Platform Experience:
Familiarity with cloud platforms (e.g., Google Cloud Platform, AWS, Azure) and their data\-related services.* Data Modeling and Design:
Ability to design efficient and scalable data models for NoSQL databases.* Problem\-Solving and Analytical Skills:
Strong aptitude for troubleshooting data\-related issues and optimizing data systems.* Communication and Teamwork:
Excellent communication and collaboration skills to work effectively with cross\-functional teams.
Domain Knowledge: Banking and Payments  
Required Skills
DEVOPS ENGINEER
 SENIOR EMAIL SECURITY ENGINEER</t>
        </is>
      </c>
    </row>
    <row r="26">
      <c r="A26" t="inlineStr">
        <is>
          <t>in-47a77261cba21c3a</t>
        </is>
      </c>
      <c r="B26" t="inlineStr">
        <is>
          <t>Data Engineer</t>
        </is>
      </c>
      <c r="C26" t="inlineStr">
        <is>
          <t>Imperative Chemical Partners</t>
        </is>
      </c>
      <c r="D26" t="inlineStr">
        <is>
          <t>indeed</t>
        </is>
      </c>
      <c r="E26" t="inlineStr"/>
      <c r="F26" t="inlineStr"/>
      <c r="G26" t="inlineStr">
        <is>
          <t>Houston, TX, US</t>
        </is>
      </c>
      <c r="H26" s="2" t="n">
        <v>46056</v>
      </c>
      <c r="I26" t="inlineStr">
        <is>
          <t>**SUMMARY**
The Data Engineer will work to deliver high\-performing data solutions on the Microsoft Azure platform, including Azure SQL Database, Azure Data Lake, Azure Data Factory, and Azure Cosmos DB. This role requires proficiency in data modeling, structuring data environments, and optimizing data workflows to support the organization's needs, while ensuring data integrity, accessibility, and security. The Data Engineer will also work in service of other teams to provide technical guidance on data related projects, perform any necessary data\-related tasks, and serve as the escalation point, providing technical support and troubleshooting, for any tier III data\-related support issues.
**ESSENTIAL DUTIES AND RESPONSIBILITIES:**
* Implement scalable, secure, and high\-performance data solutions on the Microsoft Azure platform, including Azure SQL Database, Azure Data Lake, Azure Data Factory, and Azure Cosmos DB.
* Create and maintain data pipelines that facilitate the extraction, transformation, and loading (ETL) of data from various sources.
* Optimize ETL processes, ensuring data integrity and accessibility.
* Work with databases, data warehousing solutions, and big data technologies to support the organization's data strategy.
* Monitor data systems for efficiency and performance.
* Collaborate with cross\-functional teams to gather requirements, assess current data systems, and recommend improvements or innovations.
* Analyze and optimize existing data models and practices to ensure efficient data storage and retrieval.
* Conduct data modeling and design reviews, ensuring alignment with best practices and organizational standards.
**REQUIRED SKILLS, EDUCATION \&amp; KNOWLEDGE:**
* Exceptional communication and interpersonal skills, with the ability to collaborate with a variety of stakeholders and cross\-functional teams
* Proficient in Azure data services, including Azure SQL Database, Azure Data Lake Storage, Azure Data Factory, and Azure Cosmos DB.
* Solid understanding of data modeling techniques, ETL processes, data warehousing, and data governance best practices.
* Bachelor’s degree in Computer Science, Computer Engineering, MIS, Business Administration, or a related field, or equivalent experience.
* Minimum of 5 years of experience in data engineering, or similar data roles, with a strong focus on Microsoft Azure technologies.
* Familiarity with Agile methodologies.
* Knowledge of Artificial Intelligence, Machine Learning, or other Advanced Analytics techniques, preferred.
**PRE\-EMPLOYMENT REQUIREMENTS**
* Must complete and pass all required pre\-employment screenings.
This description reflects management’s assignment of essential functions, it does not exclude or restrict the tasks that may be assigned or re\-assigned. This job description is subject to change at any time.</t>
        </is>
      </c>
    </row>
    <row r="27">
      <c r="A27" t="inlineStr">
        <is>
          <t>in-4859933424899ae1</t>
        </is>
      </c>
      <c r="B27" t="inlineStr">
        <is>
          <t>Analytics Engineer (Hybrid)</t>
        </is>
      </c>
      <c r="C27" t="inlineStr">
        <is>
          <t>Weedmaps</t>
        </is>
      </c>
      <c r="D27" t="inlineStr">
        <is>
          <t>indeed</t>
        </is>
      </c>
      <c r="E27" t="inlineStr"/>
      <c r="F27" t="inlineStr"/>
      <c r="G27" t="inlineStr">
        <is>
          <t>New York, NY, US</t>
        </is>
      </c>
      <c r="H27" s="2" t="n">
        <v>46056</v>
      </c>
      <c r="I27" t="inlineStr">
        <is>
          <t>Analytics Engineer (Hybrid)
**Overview:**
The **Analytics Engineer** at Weedmaps will be a key technical contributor within our Data organization, supporting various aspects of the business. In this role, you will build and maintain data pipelines and analytics frameworks to answer business questions and enable root cause problem solving. You will collaborate extensively with business, engineering, product, and data science teams to drive data\-informed decision making across our customer acquisition and retention strategies. The ideal candidate combines strong technical skills with e\-commerce domain knowledge and can translate business requirements into scalable data solutions that deliver measurable impact on our growth metrics.
As part of our Data organization, you will develop robust analytics systems that address unique challenges in our marketplace, including user journey exploration, customer and product analytics. The explosive growth of the cannabis industry requires increasingly sophisticated analytics solutions that can scale with our business and comply with complex regulatory requirements.
**The impact you'll make:**
* Design fault\-tolerant dbt models to synthesize data from multiple sources into mart tables
* Design and implement Sigma dashboards and Streamplit apps to provide clear insights into performance
* Automate regular reporting workflows to reduce manual effort and increase data consistency
* Create self\-service tools that empower business teams to access insights independently
* Analyze experiment results to identify opportunities for improving ROI
* Develop and maintain data pipelines using SQL within modern data stack tools (Snowflake, DBT, Metaplane)
* Create and document data models that transform raw data into reliable, business\-ready datasets with accompanying dictionaries and testing
* Implement data quality checks and testing frameworks to ensure the accuracy and reliability of analytics
**What you've accomplished:**
* 4\+ years of experience in data engineering, or similar technical role
* 2\+ years of experience in analytics engineering
* Experience with modern data warehouse platforms, preferably Snowflake
* Expertise in SQL and data modeling with dbt
* Proficiency in Python
**Bonus points:**
* Experience with business intelligence tools, preferably Sigma
* E\-commerce or marketplace business experience preferred
* Regulated industry experience \- nice to have
*The base pay range for this position is $172,000\- $193,363 per year*
**2026 US Benefits for Full Time, Regular Employees:**
* Physical Health (Medical, Dental \&amp; Vision)
* + 100% employer\-paid premium for employees
	+ Up to 80% coverage for dependents
	+ Company HSA contribution with the High Deductible Health Plan
* 401(k) Retirement Plan (employer will match contribution up to 3\.5% of employee contribution)
* Basic Life, Voluntary Life and AD\&amp;D Insurance options
* Supplemental, voluntary benefits
* + Student Loan Repayment/529 Education Savings with a monthly company contribution
	+ FSA (Medical, Dependent, Transit and Parking)
	+ Voluntary Life and AD\&amp;D Insurance
	+ Critical Illness Insurance
	+ Accident Insurance
	+ Short\- and Long\-term Disability Insurance
	+ Pet Insurance
	+ Identity theft protection
	+ Legal access to a network of attorneys
* PTO, paid sick leave, and company holidays (including a 2026 holiday shutdown)
* Paid parental leave
**Why Work at Weedmaps?**
Life at Weedmaps means innovation and heart. Come join us if you care about the plant, the people who love it, and are ready to let your talent shine. We foster a bustling and collaborative culture that revolves around an environment that focuses on the benefits of weed, and the community that supports it.
You too can have a hand in shaping the industry's future; ready to roll with us?
See how we've grown—our journey, leadership team, and what's next atWeedmaps.com/corporate
**About Weedmaps:**
Founded in 2008, we've grown from a small startup to a global leader in the cannabis industry. Our dedication to transparency, education, and community has set us apart, and today, we proudly serve cannabis to consumers and businesses in the U.S. and worldwide.
"Freedom to choose. Freedom to access. Freedom to enjoy."
**Notice to prospective Weedmaps job applicants:**
Our team has been made aware of incidents involving LinkedIn, Telegram, and Facebook accounts impersonating Weedmaps recruiters. These individuals are attempting to use our company name to solicit payment from prospective candidates interested in applying for jobs at our company. Our team is actively working to combat these attempts, but in the meantime, please be mindful of the following:
* Our recruiters will always communicate with candidates through an @weedmaps.com email address.
* CORRECT: jlebowski@weedmaps.com
* INCORRECT: jlebowski@gmail.com
* Our recruiters will NEVER ask for or attempt to solicit payment from applicants in order to apply, interview, or work for Weedmaps.
* If you are interested in a role at Weedmaps, please apply through our established channels.
* Weedmaps Careers Page or LinkedIn
If you are unsure if a communication is legitimate, please contact our recruitment team at talentops@weedmaps.com and they will happily confirm for you. Thank you for your vigilance and we appreciate your interest in working with us!
Weedmaps is an equal opportunity employer and makes employment decisions on the basis of merit. The Company prohibits unlawful discrimination against employees or applicants based on race (including traits historically associated with race, such as hair texture and protective hairstyles), religion and religious creed, color, national origin, ancestry, physical disability, mental disability, medical condition, genetic information, marital status, sex, gender, gender identity, gender expression, age, military status, veteran status, uniformed service member status, sexual orientation, transgender identity, citizenship status, pregnancy, or any other consideration made unlawful by federal, state, or local laws. The Company also prohibits unlawful discrimination based on the perception that anyone has any of those characteristics, or is associated with a person who has or is perceived as having any of those characteristics. Our company uses E\-Verify to confirm the employment eligibility of all newly hired employees. To learn more about E\-Verify, including your rights and responsibilities, please visit www.dhs.gov/E\-Verify.
Applicants are entitled to reasonable accommodations under the terms of the Americans with Disabilities Act and applicable state/local laws, unless the accommodation presents undue hardship. Please email us at peopleoperations at weedmaps.com if you would like to confidentially discuss a potential accommodation during the interview process.</t>
        </is>
      </c>
    </row>
    <row r="28">
      <c r="A28" t="inlineStr">
        <is>
          <t>in-31d8ce64934ed5c2</t>
        </is>
      </c>
      <c r="B28" t="inlineStr">
        <is>
          <t>Principal Data Engineer</t>
        </is>
      </c>
      <c r="C28" t="inlineStr">
        <is>
          <t>HCA Healthcare</t>
        </is>
      </c>
      <c r="D28" t="inlineStr">
        <is>
          <t>indeed</t>
        </is>
      </c>
      <c r="E28" t="inlineStr"/>
      <c r="F28" t="inlineStr"/>
      <c r="G28" t="inlineStr">
        <is>
          <t>Nashville, TN, US</t>
        </is>
      </c>
      <c r="H28" s="2" t="n">
        <v>46056</v>
      </c>
      <c r="I28" t="inlineStr">
        <is>
          <t>##### **Introduction**
Are you passionate about the patient experience? At HCA Healthcare, we are committed to caring for patients with purpose and integrity. We care like family! Jump\-start your career as a(an) Principal Data Engineer today with HCA Healthcare.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Come join our team as a(an) Principal Data Engineer. We care for our community! Just last year, HCA Healthcare and our colleagues donated $13\.8 million dollars to charitable organizations. Apply Today!
##### **Job Summary and Qualifications**
This role requires working closely with others, frequently in a matrixed environment, and with little supervision. As a Principal Data Engineer/Architect level, the role requires 'self\-starters' who are proficient in problem solving and capable of bringing clarity to complex situations. It requires contributing to strategic technical direction and system architecture approaches for individual projects and platform migrations. The culture of the organization places an emphasis on teamwork, so social and interpersonal skills are equally important as technical capability. Due to the emerging and fast\-evolving nature of Google Cloud Platform (GCP) technology and practice, the position requires that one stay well\-informed of technological advancements and be proficient at putting new innovations into effective practice.  
Responsible for leading development efforts, driving adoption and appropriate use of technology and consulting on internal and external development efforts to ensure code quality and sound architecture. This position assumes the responsibility for project success and the upward development of team members’ technical skills. They are the development team's point of contact that must interface with business partners of varying roles ranging from technical staff to executive leadership. In addition, this candidate will have a history of increasing responsibility in a small multi\-role team. This position requires a candidate who can analyze business requirements, perform design tasks, construct, test, and implement cutting\-edge technical data solutions with minimal supervision.  
As a Principal Data Engineer/Architect, you will work closely with all team members to create a modular, scalable solution that addresses current needs, but will also serve as a foundation for future success. The position will be critical in building the team’s engineering practices in test driven development, continuous integration, and automated deployment and is a hands\-on team member who actively coaches the team to solve complex problems. She / he will be responsible for the design, development, performance, and support of the GCP Platform components.  
This candidate will have a record of accomplishment of participation in successful projects in a fast\-paced, mixed team (consultant and employee) environment. In addition, the applicant must be willing to train and mentor other developers to prepare them for assuming their responsibilities.  
As the Principal Engineer, you will be responsible for architecting and delivering next\-generation GenAI/LLM\-based solutions that will revolutionize the software development lifecycle. You will dive into the development process, from writing code using common developer tools, through the build, test, deploy process, and iterating with CI/CD systems. You will build the technical vision and roadmap for how we can evolve these tools and accelerate software development and delivery for all Google Cloud Platform users.  
In addition, the Principal Data Engineer will be expected to leverage AI\-native workflows to accelerate solution delivery. This includes the ability to use AI\-assisted development tools for rapid software engineering, apply modern AI building blocks such as prompting, retrieval\-augmented generation (RAG), evaluation frameworks, agentic workflows, and machine learning, and to rapidly prototype and iterate on data\-driven applications.  
Applied to this position, your skills will help transform healthcare through technology and solutions that dramatically improve patient care and business operations.
**Core Competencies**
The following are highlighted entrepreneurial competencies and core expectations for the job/role:
* Communication and interpersonal skills
* Problem\-solving and critical thinking skills.
* Understand strategic imperatives.
* Technology \&amp; business knowledge
At HCA DT\&amp;I, your deliverables will influence patient care. Every process, technology, and decision matters. This role will provide deep technical expertise in all aspects of solution design and application development for specific business environments. Focus on setting technical direction on groups of applications and similar technologies as well as taking responsibility for technically robust solutions encompassing all business, architecture, and technology constraints.
**What you will do:**
* Responsible for designing, building, and supporting GCP based ecosystems designed for enterprise\-wide analysis of structured, semi\-structured, and unstructured data.
* Bring new data sources into GCP, transform and load to databases.
* Provide technical leadership across Google Cloud Platform (GCP) teams to lead the design and delivery of next\-generation GenAI/LLM\-based solutions.
* Identify, design, and implement internal process improvements, automate manual processes, optimize data delivery, and re\-design infrastructure for greater scalability.
* Develop and review data management plans, architecture plans, data transfer plans, and data security and privacy plans, including event monitoring and auditing guidelines, to ensure that systems meet security and technical requirements.
* Develop and review standard operating procedures to meet high standards for data organization, quality, and security.
* Provide leadership in developing standards and best practices.
* Build analytics tools to provide actionable insights into operational efficiency, service delivery, and policy evaluation.
* Deliver consistent and reliable processes and high\-quality output on independent and team projects.
* Closely collaborates with team members to successfully execute development initiatives using Agile practices and principles.
* Participates in large\-scale development projects involving multiple areas outside of core team.
* Designs fit\-for\-purpose products to ensure products align to the customer's strategic plans and technology road maps.
* Shares knowledge and experience to contribute to growth of overall team capabilities.
* Participates in the deployment, change, configuration, management, administration and maintenance of deployment process and systems.
* Work closely with management, architects, and other teams to develop and implement the projects.
* Actively participate in technical group discussions and adopt any innovative technologies to improve the development and operations.
* Rapidly prototypes and deliver just\-in\-time solutions.
* Gather requirements, designs, constructs, and deliver solutions with minimal team interaction.
* Works in an environment with rapidly changing business requirements and priorities
* Demonstrates deep understanding and acts as a leader in the team’s continuous integration and continuous delivery automation pipeline.
* Work collaboratively with Data Scientists, business, and IT leaders throughout the company to understand Cloud/Big Data needs and use cases.
* A technical expert leading a high\-performing team to develop, construct, test and maintain sound, secure data architectures that meet business needs.
* A team\-oriented specialist who works collaboratively with business leaders, project managers, and across technical teams to build the right thing.
* A strategic thinker who improves the functionality and value of the clinical systems
* Apply AI\-native engineering practices to design, implement, and optimize data and software systems, accelerating time\-to\-value.
* Incorporate prompt engineering, RAG pipelines, and automated evaluation techniques into data solutions and workflows.
* Prototype, test, and iterate rapidly using AI\-assisted development approaches, ensuring scalable and reliable production systems.
* Explore and integrate agentic workflows and emerging AI/ML capabilities to enhance automation and decision\-making across platforms.
###### **What qualifications you will need:**
* Bachelor's degree in computer science or related field required
* Master's degree in computer science or related field preferred
* 5\+ years of experience in Data Engineering required
* 1\+ year(s) of experience in Healthcare preferred
* 10\+ years of experience in Information Technology required
* Strong understanding of best practices and standards for GCP application design and implementation.
* Two\+ Year of hands\-on experience with GCP platform and experience with many of the following components:
* GCS, Cloud Run, Cloud Functions
* Bigtable, Cloud SQL
* Kafka, Pub/Sub
* Python, Golang, Spark, Scala or Java
* BigQuery, Dataflow, Data Fusion
* GKE, CI/CD and Logging \&amp; Monitoring
* Understanding of Lambda Design Architectures and Real\-Time Streaming
* Experience with Unstructured Data, Real\-Time Streaming with GCP
* Ability to multitask and to balance competing priorities.
* Requires strong practical experience in agile application development, file systems management, and DevOps discipline and practice using short\-cycle iterations to deliver continuous business value.
* Knowledge of all facets of GCP ecosystem development including ideation, design, implementation, tuning, and operational support.
* Ability to define and utilize best practice techniques and to impose order in a fast\-changing environment. Must have strong critical thinking skills.
* Strong verbal, written, and interpersonal skills, including a desire to work within a highly matrixed, collaborative environment.
A successful candidate may have:
* Experience in Healthcare Domain
* Experience in Patient Data
* Experience with Natural Language Processing (NLP)
* Hardware/Operating Systems:
* Linux, UNIX
* GCP
* Distributed, highly scalable processing environments.
* Databases: NoSQL, Hbase, Cassandra, MongoDB, Cosmos, In\-memory, Columnar, other emerging technologies
* Other Languages – Java, Python, Scala, R
* Build Systems – TFS, Github
* Ability to integrate tools outside of the core GCP ecosystem.
* AI\-native Workflows
18\+ months of hands\-on experience with many of the following components:
* Hands\-on experience with AI\-assisted development tools (e.g., Copilot, ChatGPT, or equivalent) to accelerate engineering tasks.
* Familiarity with modern AI application patterns such as prompting strategies, RAG, evals, and agent\-based systems.
* Demonstrated ability to rapidly prototype and iterate with AI/ML technologies to deliver practical, production\-ready solutions.
* A growth mindset with curiosity to experiment with emerging AI frameworks and incorporate them into engineering practices.
Certifications (a plus, but not required):
* GCP Cloud Professional Data Engineer
* GCP Cloud Professional Data Architect
PHYSICAL DEMANDS/WORKING CONDITIONS (Specific statements of physical effort required and description of work environment; e.g., prolonged sitting at CRT. required travel %)
Prolonged sitting or standing at computer workstations including use of mouse, keyboard, and monitor.
Requires the ability to provide after\-hours support.
"The great hospitals will always put the patient and the patient's family first, and the really great institutions will provide care with warmth, compassion, and dignity for the individual."\- Dr. Thomas Frist, Sr.  
HCA Healthcare Co\-Founder
If you are looking for an opportunity that provides satisfaction and personal growth, we encourage you to apply for our Principal Data Engineer opening. We promptly review all applications. Highly qualified candidates will be contacted for interviews. **Unlock the possibilities and apply today!**
*We are an equal opportunity employer. We do not discriminate on the basis of race, religion, color, national origin, gender, sexual orientation, age, marital status, veteran status, or disability status.*</t>
        </is>
      </c>
    </row>
    <row r="29">
      <c r="A29" t="inlineStr">
        <is>
          <t>in-aa486639dca277c0</t>
        </is>
      </c>
      <c r="B29" t="inlineStr">
        <is>
          <t>Data Engineer</t>
        </is>
      </c>
      <c r="C29" t="inlineStr">
        <is>
          <t>Dallas College</t>
        </is>
      </c>
      <c r="D29" t="inlineStr">
        <is>
          <t>indeed</t>
        </is>
      </c>
      <c r="E29" t="inlineStr"/>
      <c r="F29" t="inlineStr"/>
      <c r="G29" t="inlineStr">
        <is>
          <t>Dallas, TX, US</t>
        </is>
      </c>
      <c r="H29" s="2" t="n">
        <v>46056</v>
      </c>
      <c r="I29" t="inlineStr">
        <is>
          <t>All Job Postings will close at 12:01 a.m. CT on the specified Closing Date.
Weekly Work Hours
40
Compensation Range
Staff Range N06
Salary Minimum
$66,900\.00 Annually
FLSA
United States of America (Exempt)
Position Type
Staff
Job Summary
This role will help maintain and improve data pipelines, Lakehouse tables, and quality checks that feed HR dashboards and reporting. The Data Engineer I will work with the People Analytics team, HRIS, and IT to ensure that HR data is accurate, reliable, and ready for analysis.
This is a hands\-on learning role ideal for someone early in their data engineering or analytics career who wants experience with cloud data platforms, HR workflows, and enterprise\-scale reporting. The Data Engineer I will assist senior staff with pipeline development, data modeling, and data governance activities while gaining exposure to advanced tools such as Microsoft Fabric, Delta Lake, and Workday RaaS integrations.
Required Qualifications for Role (necessary or mandatory)*Technical Knowledge** Foundational understanding of data pipelines, ETL/ELT, and data modeling.
* Ability to write Python/R scripts and SQL queries.
* Willingness to learn Delta Lake, distributed computing, and cloud analytics architecture.
* Exposure to API concepts and structured data formats (JSON, CSV, XML).
* Ability to quickly learn HR business logic and translate it into structured data.
*Analytical and Architectural Skills** Ability to document logic, follow modeling patterns, and understand existing data flows.
* Skill in building clean, reproducible datasets with clear lineage.
* Ability to think through upstream/downstream impacts when modifying logic.
*Operational and Engineering Skills** Ability to test and validate data pipelines and identify root causes of errors.
* Willingness to work with version control, CI/CD concepts, and notebook\-based workflows.
* Ability to produce maintainable, well\-documented code.
*Collaboration and Communication** Clear communication with partners who have varying levels of technical expertise.
* Ability to translate technical steps into meaningful explanations.
* Reliability in meeting deadlines and coordinating with HR, IT, and People Analytics teams.
*Professional Attributes** High attention to detail and a strong sense of responsibility for data quality.
* Desire to grow technical skills and take on progressively complex engineering work.
Adaptability in a fast\-evolving analytics environment with new tools and technologies.
Physical Requirements
Normal physical job functions performed within a standard office environment. Reasonable accommodation(s) may be made to individuals with physical challenges to perform the essential duties and responsibilities
Minimum Requirements for Position (necessary or mandatory)* 0–2 years of experience in data engineering, data analytics, or related technical work (internship or project experience acceptable).
* Foundational knowledge of Python or R and SQL.
* Familiarity with cloud data tools (e.g., Microsoft Fabric, Databricks, Snowflake, Azure, or similar) preferred.
* Understanding of basic ETL/ELT concepts, data cleaning, and data transformation.
* Ability to learn REST APIs, JSON parsing, and automated ingestion patterns.
* Basic understanding of data modeling concepts such as tables, joins, relational structure, and time\-series data.
* Familiarity with Git/GitHub or willingness to learn.
* Bachelor’s degree in Computer Science, Information Systems, Data Analytics, Statistics, or related field.
* Equivalent experience or technical certifications (e.g., Azure, Databricks, Python) also considered.
Other Preferred Qualifications for Role (not mandatory, but advantageous)* Exposure to HRIS or enterprise systems (e.g., Workday, PeopleSoft, SAP).
* Experience with Power BI, semantic models, or dashboard development.
* Coursework or project experience with Delta Lake or distributed computing.
* Some knowledge of DAX, R, PySpark/SparkR, or statistical modeling.
* Exposure to data governance concepts (data quality, metadata, lineage).
\*\*\* Will be subject to a criminal background check. Some positions may be subject to a fingerprint check. \*\*\*
Key Responsibilities
Data Engineering \&amp; Pipeline Support (50%)* Assist in maintaining automated data ingestion from HR source systems (e.g., Workday RaaS, Qualtrics, ServiceNow) using REST APIs and scheduled notebooks.
* Help build and troubleshoot ETL/ELT processes using Python, PySpark/SparkR, SQL, and Microsoft Fabric notebooks.
* Support the creation and maintenance of Delta Lake/Lakehouse tables, including basic schema updates and monthly snapshots.
* Monitor pipeline executions and assist with logging, error handling, and basic performance improvements.
* Contribute to data quality checks to ensure timely and accurate HR datasets.
Data Modeling \&amp; Data Preparation (25%)* Help transform raw HR data into structured, analysis\-ready datasets for headcount, turnover, recruitment, learning, compensation, and other domains.
* Support development of semantic layers, shared dimensions, and metric definitions used by Power BI dashboards.
* Follow established data governance practices, including naming conventions, documentation, and metadata capture.
Analytics Enablement (15%)* Assist analysts by preparing clean datasets, writing optimized queries, and supporting reproducible analytics workflows.
* Help maintain trended metrics, time\-series tables, and other recurring data structures needed for enterprise reporting.
* Ensure that models are structured to support Power BI dashboard needs and self\-service analytics.
Collaboration \&amp; Learning (10%)* Work with People Analytics team, HRIS, and IT to support Dallas College’s People Analytics roadmap.
* Participate in data governance efforts, security reviews, and documentation updates.
* Contribute to knowledge transfer by writing clear notes, process guides, and pipeline documentation.
* Engage in professional development to learn best practices in data engineering, cloud analytics, and HR data structures.
* *This position requires regular on\-site presence to fulfill essential duties that cannot be performed remotely. Duties must be executed in\-person to ensure effective collaboration, supervision, and service delivery, in accordance with Texas SB 2615\.*
* *If physical presence is not essential:*
* *This position may be eligible for remote work only under conditions permitted by Texas SB 2615, including temporary illness, disability accommodations, or assignment to approved remote instruction programs.*
	+ Required Dallas College Professional Development Hours per Academic Year.
	+ All employees are required to complete a minimum of 19 hours.
*The intent of this job description is to provide a representative summary of the major duties and responsibilities performed by incumbents of this job and shall not be construed as a declaration of the total of the specific duties and responsibilities of any particular position. Incumbents may be directed to perform job\-related tasks other than those specifically presented in this description. Position requires regular and predictable attendance.*
About Us
Since 1965, Dallas College, formerly Dallas County Community College District, has served more than three (3\) million students. Comprising seven campuses located around the Dallas/Fort Worth area, we are one of the largest community college systems in the state of Texas. We strive to be a leader in the community college space, placing students at the center of everything we do.
Dallas College is committed to cultivating an environment of opportunity and belonging for all students and employees. We recognize that the Dallas College workforce, and the diverse talent that stems from it, is directly linked to our success. We are part of an equal opportunity system that provides education and employment opportunities without discrimination on the basis of any protected attribute, including race, color, religion, national origin, sex, disability, age, sexual orientation, gender identity or gender expression, veteran status, pregnancy or any other basis protected under applicable law. In accordance with applicable law, Dallas College will make reasonable accommodations for applicants and employees’ religious practices and beliefs, as well as any mental health or physical disability needs.
Applications Deadline
February 20, 2026</t>
        </is>
      </c>
    </row>
    <row r="30">
      <c r="A30" t="inlineStr">
        <is>
          <t>in-33f3f203257172b5</t>
        </is>
      </c>
      <c r="B30" t="inlineStr">
        <is>
          <t>Senior Robotics Data Engineer</t>
        </is>
      </c>
      <c r="C30" t="inlineStr">
        <is>
          <t>Optimal Inc.</t>
        </is>
      </c>
      <c r="D30" t="inlineStr">
        <is>
          <t>indeed</t>
        </is>
      </c>
      <c r="E30" t="inlineStr"/>
      <c r="F30" t="inlineStr"/>
      <c r="G30" t="inlineStr">
        <is>
          <t>Warren, MI, US</t>
        </is>
      </c>
      <c r="H30" s="2" t="n">
        <v>46056</v>
      </c>
      <c r="I30" t="inlineStr">
        <is>
          <t>**Senior Robotics Data Engineer**
We are seeking a Senior Robotics Data Engineer to join the Autonomous Robotics Center (ARC) Advanced Development team. This role is foundational to company's large\-scale robotics initiative, enabling generalized and scalable AI perception and grasping solutions across thousands of manufacturing parts.  
You will architect and work on end\-to\-end robotic data systems, spanning real\-world capture, simulation\-generated data, annotation, curation, and lifecycle management. Your work will directly power perception, grasping, and manipulation AI models, enabling rapid scaling across diverse part geometries and manufacturing contexts.
**Job Responsibilities:**  
Design and implement scalable data pipelines for large\-scale robotic datasets (vision, depth, tactile, force/torque).  
Build infrastructure to support high\-throughput data capture from real robots and simulation environments.  
Develop and deploy semi\-supervised / self\-supervised data labeling workflows to reduce manual annotation cost.  
Enable simulation\-to\-real (Sim2Real) data workflows, including domain randomization and synthetic data generation.  
Own data versioning, metadata, and dataset governance to support model training, evaluation, and regression testing.  
Partner closely with Robotics Perception, Grasping AI, and Simulation teams to define data requirements and KPIs.  
Establish data quality metrics that directly correlate with perception and grasping performance.
**Required Qualifications**  
3\+ years of experience in data engineering, machine learning systems, robotics, or related fields.  
Master's degree in Engineering, Computer Science, Data Science, or equivalent practical experience.  
Proven experience building production\-grade data pipelines for ML/AI systems.  
Strong hands\-on experience with Python\-based data tooling.  
Experience working with large, complex, multimodal datasets.  
Systems thinking mindset with strong cross\-functional collaboration skills.
**Preferred Qualifications (Competitive Edge)**  
Direct experience supporting robotics perception, grasping, or manipulation AI.  
Familiarity with robotics simulation platforms such as Isaac Sim and synthetic data generation.  
Experience with data labeling tools and annotation workflows at scale.  
Hands\-on knowledge of TensorFlow and/or PyTorch from a data systems perspective.
Experience with Microsoft data ecosystems (e.g., Power BI, Azure data services).  
Exposure to self\-supervised or weakly supervised learning techniques.</t>
        </is>
      </c>
    </row>
    <row r="31">
      <c r="A31" t="inlineStr">
        <is>
          <t>in-0b9af935da1a4f83</t>
        </is>
      </c>
      <c r="B31" t="inlineStr">
        <is>
          <t>Data Engineer - Entry Level</t>
        </is>
      </c>
      <c r="C31" t="inlineStr">
        <is>
          <t>Interworks</t>
        </is>
      </c>
      <c r="D31" t="inlineStr">
        <is>
          <t>indeed</t>
        </is>
      </c>
      <c r="E31" t="inlineStr"/>
      <c r="F31" t="inlineStr"/>
      <c r="G31" t="inlineStr">
        <is>
          <t>Stillwater, OK, US</t>
        </is>
      </c>
      <c r="H31" s="2" t="n">
        <v>46056</v>
      </c>
      <c r="I31" t="inlineStr">
        <is>
          <t>Do you love solving puzzles, getting messy data to behave, or figuring out how things fit together? Do you want to sharpen your skills in data pipelines and cloud platforms while collaborating with kind, curious teammates who love doing great work together? You might be a great fit for our Data Engineering team.
At InterWorks, we help clients turn data into something powerful, useful, and even beautiful. As a Junior Data Engineer, you'll be learning right in the middle of that mission—helping design and build data systems, wrangle messy sources, and create pipelines that power insights. You'll work under the guidance of experienced engineers and consultants, growing your technical toolkit while making a real impact on client projects. Want to work somewhere where smart people care deeply, help each other grow, and get things done with a little style? You've come to the right place.
**Location Preferences:**  
We'd love for you to join us from one of our offices in Portland, OKC, Tulsa, or Stillwater. Remote work may be possible depending on the situation, let's chat.
**Salary Range:** $65,000–90,000, depending on experience and qualifications
**What You'll Do**
* Support the design and development of modern, scalable data pipelines
* Work with all kinds of data sources—SQL, spreadsheets, APIs, and more—to help unify client data
* Learn to apply data modeling principles that support everything from dashboards to data science
* Assist with ETL/ELT processes and frameworks that improve quality and reliability
* Document your work clearly and communicate ideas to both technical and non\-technical audiences
* Collaborate with teammates and clients to understand what's needed—and then help deliver it
* Bring curiosity, adaptability, and a problem\-solving mindset to each project
**What You'll Need**
Must\-Haves
* Basic SQL skills (and the drive to get better)
* Familiarity with ETL/ELT workflows (GUI tools or code\-based)
* Understanding of data modeling concepts and data formats
* Strong communication skills—you can explain clearly and ask good questions
* A detail\-oriented, problem\-solving approach
* Adaptability in changing situations
* A willingness to learn from senior engineers and invest in your own growth
Nice\-to\-Haves
* Exposure to cloud platforms (AWS, Azure, GCP)
* Experience with ETL tools like Matillion, Fivetran, or dbt
* Familiarity with modern data warehouses: Snowflake, Databricks, BigQuery, Redshift, etc.
* Basic scripting knowledge (Python or similar)
* Interest in software engineering or integration work
* Curiosity about AI and how it's shaping the future of data engineering
 **Why InterWorks**
InterWorks is a people\-focused tech consultancy that empowers clients with customized, collaborative solutions, and we love pursuing innovation alongside people who inspire us. Our approach to work and community is unique and unconventional—just like us—and that's the way we want it. The only thing missing is you. At InterWorks, we value unique contributions, our people are the glue that holds our business together. We're always looking for the right people, and we could be your perfect fit.</t>
        </is>
      </c>
    </row>
    <row r="32">
      <c r="A32" t="inlineStr">
        <is>
          <t>in-9d5f4fee1bcd0679</t>
        </is>
      </c>
      <c r="B32" t="inlineStr">
        <is>
          <t>Data Engineer</t>
        </is>
      </c>
      <c r="C32" t="inlineStr">
        <is>
          <t>Wondr Health</t>
        </is>
      </c>
      <c r="D32" t="inlineStr">
        <is>
          <t>indeed</t>
        </is>
      </c>
      <c r="E32" t="inlineStr"/>
      <c r="F32" t="inlineStr"/>
      <c r="G32" t="inlineStr">
        <is>
          <t>Remote, US</t>
        </is>
      </c>
      <c r="H32" s="2" t="n">
        <v>46055</v>
      </c>
      <c r="I32" t="inlineStr">
        <is>
          <t>**DEPARTMENT:**  
Product: Engineering  
**POSITION:**  
Data Engineer
**REPORTS TO:**  
Director, Engineering  
**SUPERVISES:**  
None  
**JOB CLASS:**  
Exempt
**Purpose****:**
----------------
Data Engineer II will take a lead position in designing and implementing scalable data solutions. You will collaborate closely with stakeholders to understand business requirements and translate them into technical solutions, leveraging your expertise in data engineering, analytics, and software development. Collaborating with other engineers to create high quality data pipelines and supporting software.
**Essential Functions****:**
----------------------------
* Lead the design, development, and implementation of complex data pipelines and ELT processes to support business objectives.
* Collaborate with cross\-functional teams to gather requirements, define data architectures, and drive data\-driven decision\-making.
* Lead troubleshooting efforts and provide technical support to resolve data\-related issues and challenges.
* Analyze new data sets and generate data from internal pipelines for business requirements.
* Expertise across warehouse, data lake, and serverless.
* Provide feedback to other engineers through code reviews and pair programming on best practices to create high quality code and systems.
**Knowledge, Skills and Abilities****:**
----------------------------------------
* Initiative\-taker who can manage several work items independently.
* Eagerness to learn new technologies and technology tools.
* Results\-driven/detail\-oriented
* Strong analytical, quantitative, and problem\-solving abilities
* Working knowledge of message queuing, stream processing, and highly scalable ‘big data’ data stores
* Ability to implement ETL using SSIS.
* Knowledge of multiple types of analytical software (Power BI, Python, SAS, JMP)
* Thorough knowledge of relational database theory and practice as well as familiarity with a variety of databases
* Ability to work both independently and collaboratively with cross\-functional teams.
* Excellent oral and written communication skills
* Basic knowledge of business practices
* Ability to integrate several different computer software programs to perform advanced tasks, for example, transferring data from one program to another, complex formulas, using graphics and charts.
* Basic programming and troubleshooting experience.
* Ability to calculate figures and amounts such as discounts, interest, commissions, proportions, percentages, area, circumference, and volume.
* Ability to apply basic concepts of algebra and geometry.
* Ability to solve practical problems and deal with a variety of concrete variables in situations where only limited standardization exists.
* Able to interpret a variety of instructions furnished in written, oral, diagram or schedule form.
* Must be knowledgeable of and comply with Wondr Health’s Client Privacy Policy, HIPAA regulations and E\&amp;O procedures and policies.
**Qualifications****:**
-----------------------
**Education:**  
Bachelor’s degree in computer science, analytics, information systems or a related field preferred  
**Experience:**  
2 \- 5 years of experience as a Data Engineer. Experience with SQL and NoSQL databases, data pipeline and workflow management tools, AWS cloud services, and object\-oriented/object function scripting languages. Amazon Redshift, IaC, DB2 experience desirable.
**General Working Conditions****:**
-----------------------------------
General office working conditions can be remote work from home or in the office. Each department head determines if the position is work from home or hybrid meaning works from home and in the office as needed. Work schedules vary. When working in the office pod workstation area there is little or no privacy. Involves extended periods of sitting at a workstation performing computer duties. Constant flow of interruptions by personnel, visitors to area and telephone calls. Private workstations are available as needed. Certain positions are assigned to an office.
**Disclaimer****:**
-------------------
This description is intended to be sufficient merely to identify the classification and be illustrative of the duties that may be assigned. It should not be interpreted to describe all the duties an employee assigned to this classification may be required to perform.
Wondr Health is an equal opportunity employer and values diversity. All applicants will be considered for employment without attention to race, color, religion, sex, sexual orientation, gender identity, national origin, veteran, or disability status. All employment is decided based on qualifications, merit, and business need.</t>
        </is>
      </c>
    </row>
    <row r="33">
      <c r="A33" t="inlineStr">
        <is>
          <t>in-158a9ca6f1389c95</t>
        </is>
      </c>
      <c r="B33" t="inlineStr">
        <is>
          <t>Cloud Data Engineer III - BIDP</t>
        </is>
      </c>
      <c r="C33" t="inlineStr">
        <is>
          <t>Utah Valley University</t>
        </is>
      </c>
      <c r="D33" t="inlineStr">
        <is>
          <t>indeed</t>
        </is>
      </c>
      <c r="E33" t="inlineStr"/>
      <c r="F33" t="inlineStr"/>
      <c r="G33" t="inlineStr">
        <is>
          <t>Orem, UT, US</t>
        </is>
      </c>
      <c r="H33" s="2" t="n">
        <v>46055</v>
      </c>
      <c r="I33" t="inlineStr">
        <is>
          <t>**Position Announcement**
-------------------------
This role offers a unique opportunity to shape the future of data management and analytics at Utah Valley University. As a Data Engineer, you will lead the modernization of UVU’s Data Platform, working across on\-premises, cloud, and API\-based systems to securely move and manage governed data throughout the institution. Your work will be foundational to meeting the university's growing demands by handling the volume, variety, and velocity of data from multiple sources and delivering actionable insights to support decision\-making across campus. This position combines technical expertise with strategic design, giving you the chance to implement scalable, next\-generation solutions in advanced analytics that truly make an impact.  
Applicants will join a collaborative, mission\-driven team dedicated to building robust, user\-focused data models that empower faculty, staff, and administrators to engage effectively with data. This role offers the chance to contribute to high\-profile projects, influence the future of institutional data systems, and help UVU “run the software that runs the business.” Ideal candidates are experienced in both on\-premises and cloud\-based technologies, skilled at integrating structured and unstructured data, and passionate about creating transparent, reliable solutions that support the university community’s evolving data needs.
**Summary of Responsibilities**
-------------------------------
* Development and Design: Design, build, implement, and maintain data processing pipelines for the movement of data between various source systems/processes and the UVU Data Lake. Ensure the data integrations are accurate, consistent, and timely. Develop robust and scalable solutions that transform data into a useful format for analysis, enhance data flow, and enable end users to consume and analyze data faster and easier. Design API connections, write complex SQL queries to support integration and analytics needs. Lead in the development, design, and maintenance of data marts, data cubes, queries, and data warehouses. Design and build scalable data integration ELT/ETL pipelines using SQL, Python, Synapse, Oracle Data Integrator, Fivetran, Informatica, Pentaho Data Integrator, or other similar tools. Experience blending relational, non\-relational, and API data.
* Design/Engineer/Advise: Own API Management space at UVU. Define and document standards and scalable processes enabling broader API development and democratization of API development within Dx. Collaborate with engineers, data scientists, data analysts, product teams, and other stakeholders to translate business requirements to technical specifications and coded data pipelines. Evaluate and recommend tools and technologies for data infrastructure and processing.
* Troubleshooting/Management: Monitor ETL processes, systems, and databases, and ensure optimal performance. Ensure consistent, accurate delivery of data as well as troubleshooting any data anomalies in a timely manner. Create and implement effective metrics and monitoring processes.
* Define Dx Data Engineering Standards. Coach, train, and guide other team members to apply these standards
* Professional Development: Contribute to a robust culture of professionalism and personal development. In this position, it is expected that you will spend time keeping up with current trends in the BI space and help UVU prepare to adjust and lead in those trends.
* Other duties as assigned.
**Qualifications / Licenses / Certifications**
----------------------------------------------
Graduation from an accredited institution with a bachelor’s degree in Computer Science or a related field, plus four years of experience related to the summary of duties; OR a combination of education and relevant work experience totaling eight years.
**Knowledge / Skills / Abilities**
----------------------------------
**Knowledge**
* ETL Best practices in a blended on\-prem/cloud hybrid environment
* Experience with a language used to build APIs, including Java, .NET Core, Node, or Python.
* Knowledge of data processing flowcharting techniques.
* Knowledge of Microservices Architecture and API Strategy development.
* Knowledge of data privacy practices and laws.
* Knowledge of PaaS infrastructure.
* Knowledge of data processing frameworks and databases (e.g., Oracle, TSQL, SQL, Azure SQL Database,  
Azure Synapse).
* Experience with a team\-oriented, collaborative environment with limited supervision.
* Knowledge of deploying APIs using API Management solutions (e.g., Azure API Management, MuleSoft)
**Skills**  
* Proven skills at scalable API Design \&amp; Development
* Experienced with implementing solutions using Java \&amp; J2EE technologies, REST, and Web Services.
* Strong problem\-solving skills.
* Skilled at agile project management.
* Strong analytic skills.
* Strong aptitude and willingness to learn and master new technologies.
* Skills with technical documentation.
* Good interpersonal and customer service skills.
* Experience building APIs to share data.
* Experience with generating complex queries using SQL.
* Experience calling APIs within applications or software.
* Experience with JavaScript Object Notation (JSON).
* Experience building APIs to share data.
* Experience in optimizing the code for high data throughput and low latency.
* Experience working with the Microsoft Azure Cloud.
**Abilities**  
* Ability to work with structured and unstructured data from a variety of data stores, such as data lakes,  
relational database management systems, and/or data warehouses.
* Ability to manage competing priorities with limited direct management.
* Ability to organize and plan effectively in a maturing agile environment.
* Ability to provide excellent written and verbal communication with strong personal skills.
* Ability to adapt to changing requirements and priorities.
* Ability to problem\-solve critical issues and be proficient at troubleshooting production issues.
* Ability to prioritize and execute tasks in a high\-pressure environment.
**EEO Statement:**
UVU employment decisions are made on the basis of an applicant’s qualifications and ability to perform the job without regard to race, color, religion, national origin, sex, sexual orientation, gender identity, gender expression, age (40 and over), disability, veteran status, pregnancy, childbirth, or pregnancy\-related conditions, genetic information, or other bases protected by applicable federal, state, or local law.</t>
        </is>
      </c>
    </row>
    <row r="34">
      <c r="A34" t="inlineStr">
        <is>
          <t>in-4fe12a731c0d92e7</t>
        </is>
      </c>
      <c r="B34" t="inlineStr">
        <is>
          <t>Senior Data Engineer-4</t>
        </is>
      </c>
      <c r="C34" t="inlineStr">
        <is>
          <t>Realign</t>
        </is>
      </c>
      <c r="D34" t="inlineStr">
        <is>
          <t>indeed</t>
        </is>
      </c>
      <c r="E34" t="inlineStr"/>
      <c r="F34" t="inlineStr"/>
      <c r="G34" t="inlineStr">
        <is>
          <t>Bellevue, WA, US</t>
        </is>
      </c>
      <c r="H34" s="2" t="n">
        <v>46055</v>
      </c>
      <c r="I34" t="inlineStr">
        <is>
          <t>Bellevue, Washington 98004 Posted February 3rd, 2026
 Looking for more job opportunities? Click here!
Job Type: Full Time
Job Category: IT
Job Description
**Title : Senior Data Engineer****Location : Bellevue, WA****6 \- 8 years of experience** **Primary Skills:** PowerShell; ADF; Kusto; PL/SQL; Azure; Azure VM **Roles \&amp; Responsibilities:**
Run the various template\-based campaign on regular basis on various VMs/VMSS to emulate real\-world attacker behaviours using automated bot
Analyse the campaign logs that includes all the actions logging, and analyse the detection coverage limitations and plans for improvement
Troubleshooting the issue if any campaign fails
Go through the various logs generated by campaign
Analyse the data stored in the Kusto, write the KQL, handle complex KQL to extract meaningful data
Generate various report and dashboard
 **Skills:**
Experience in PowerShell (5\.1 and later), JSON
Kusto and ADX report
Hands on writing/handling complex KQL, knowledge of SQL
Data orchestration using ADF, lens reporting
Good in Microsoft Azure technologies like Azure VM, VMSS, Runbook, Azure PS
Programming Techniques and Concepts; RDBMS Concepts; Good written/oral communication skills; Good Analytical and Troubleshooting skills
 **Good to Have:**
Knowledge of Azure Security engineering
Azure security monitoring, S360  
Required Skills
DEVOPS ENGINEER
 SENIOR EMAIL SECURITY ENGINEER</t>
        </is>
      </c>
    </row>
    <row r="35">
      <c r="A35" t="inlineStr">
        <is>
          <t>in-05d89add439dbaca</t>
        </is>
      </c>
      <c r="B35" t="inlineStr">
        <is>
          <t>Data Engineer</t>
        </is>
      </c>
      <c r="C35" t="inlineStr">
        <is>
          <t>Northwestern Medicine</t>
        </is>
      </c>
      <c r="D35" t="inlineStr">
        <is>
          <t>indeed</t>
        </is>
      </c>
      <c r="E35" t="inlineStr"/>
      <c r="F35" t="inlineStr"/>
      <c r="G35" t="inlineStr">
        <is>
          <t>Chicago, IL, US</t>
        </is>
      </c>
      <c r="H35" s="2" t="n">
        <v>46055</v>
      </c>
      <c r="I35" t="inlineStr">
        <is>
          <t>The salary range for this position is $56\.00 \- $78\.40 (Hourly Rate)  
Placement within the salary range is dependent on several factors such as relevant work experience and internal equity. For positions represented by a labor union, placement within the salary range is guided by the rules outlined in the collective bargaining agreement.  
We offer a wide range of benefits that provide employees with tools and resources to improve their physical, emotional, and financial well\-being while providing protection for unexpected life events. Please visit our Benefits section located at jobs.nm.org/benefits to learn more.  
Northwestern Medicine is powered by a community of colleagues who are purpose\-driven and committed to our mission to deliver world\-class care. Here, you'll work alongside some of the best clinical talent in the nation leading the way in medical innovation and breakthrough research with Northwestern University Feinberg School of Medicine.  
We recognize where you've been, and we support where you're headed. We celebrate diverse perspectives and experiences, which fuel our commitment to equity and culture of service.  
Grow your career with comprehensive training and development opportunities, mentorship programs, educational support and student loan repayment.  
Create the life you envision for yourself with flexible work options, a Reimbursable Well\-Being Fund and a Total Rewards package that support your physical, mental, emotional, and financial well\-being.  
Make a difference through volunteer opportunities we offer in local communities and drive inclusive change through our workforce\-led resource groups.  
From discovery to delivery, come help us shape the future of medicine.  
**Benefits:**
* $10,000 Tuition Reimbursement per year ($5,700 part\-time)
* $10,000 Student Loan Repayment ($5,000 part\-time)
* $1,000 Professional Development per year ($500 part\-time)
* $250 Wellbeing Fund per year ($125 for part\-time)
* Matching 401(k)
* Excellent medical, dental and vision coverage
* Life insurance
* Annual Employee Salary Increase and Incentive Bonus
* Paid time off and Holiday pay
**Remote work from Illinois, Wisconsin, Indiana, Missouri, Iowa, or Ohio**
**Description**
The **Data Engineer**, reflects the mission, vision, and values of NM, adheres to the organization’s Code of Ethics and Corporate Compliance Program, and complies with all relevant policies, procedures, guidelines and all other regulatory and accreditation standards.
Northwestern Medicine Information Services drives innovative, high\-value solutions to transform health care.
We are committed to supporting the relentless pursuit of better medicine by providing exceptional service to our patients and guests as well as internal clients across the organization. To ensure excellence, our team goes to extraordinary lengths to ensure that our systems work together seamlessly.
Northwestern Medicine understands that technology plays an integral role in shaping the future of health care. Information Services strategically supports the organization by:
* Leveraging AI, automation and rollout of advanced cyber controls that support digital transformation strategies
* Implementing advanced technologies in clinical and administrative areas
* Furthering development of the end user support model to help enhance modern infrastructure
 **Responsibilities:**
* The Data Engineer is responsible for delivering data warehouse and analytic solutions by ingesting, integrating, and curating data, building analytical solutions, and administering systems to deliver information to the health system.
* Serves as a functional and content expert of the data warehouse to synthesize raw data into actionable information to be used in analytical solutions.
* Applies knowledge of relational database skills including advanced SQL knowledge and the ability to create complex queries and stored procedures.
* Collaborates with the Architecture team in the design and execution of solutions.
* Ensures that new and existing data models and databases are consistent with approved data architecture standards.
* Provide facilitation, analysis, design, and execution of architecture solutions and ensure solutions are leveraged. Create, document, and communicate the integration approach of all the components of the solution.
* Define key solutions and ensure they are managed for consumption by users and across teams. Research, analyze, determine capabilities and propose solution alternatives to address specific business needs and product/service strategies.
* Maintain knowledge of current trends and development in the field. Actively explores emerging technologies.
* Independently work with business users to gather and scope requirements and recommend analytical solutions to meet business needs.
* Assists with ETL design and development including data analysis, source\-target mapping, quality profiling, change data capture, code performance.
* Evaluate data quality and interpret results in a clear, concise manner.
* Document all programming changes and design, system modifications and their associated maintenance.
* Own analytics projects and be accountable for collaborating with the business to gather requirements, execute to provide analytical solutions, which exceed customer expectations.
* Work collaboratively with and support multi\-departments efforts and projects.
* Mentor staff by sharing skills, experience, knowledge, and expertise on analytic tools and solutions.
* Serve as subject matter expert within the department.
* Provide training and support through the organization on the use of analytics tools. Performs other duties and functions as assigned.
**Qualifications**
**Required:**
* Bachelor’s degree or four additional years of experience
* Five or more years of experience in a role querying, analyzing data, and/or data modeling/architecture
* Experience working with a variety of data warehousing models and design fundamentals (e.g., Inmom Kimball)
* Experience with developing and maintaining ETL / data pipeline (e.g., Microsoft SSIS, Azure Data Factory)
* Experience with OLAP or Tabular cube software
* Experience using SQL for data extraction, manipulation, and reporting
* Previous experience working in an Agile environment
* Strong knowledge of relational database skills including advanced SQL knowledge and the ability to create complex queries and stored procedures
* Experience with report writing and data visualization tools such as: Microsoft Power BI, Tableau, Crystal Reports, SSRS, etc.
* 1\-2 yrs Advanced proficiency in Python, with demonstrated work experience developing data solutions using Python
**Preferred:**
* Experience developing, designing and supporting applications and relational databases
* Experience using a software package for statistical analysis (R, Python, etc)
* Previous experience working with Epic Clarity data
* Previous healthcare experience, ideally with a health system
**Equal Opportunity**
Northwestern Medicine is an equal opportunity employer (disability, VETS) and does not discriminate in hiring or employment on the basis of age, sex, race, color, religion, national origin, gender identity, veteran status, disability, sexual orientation or any other protected status.
**Background Check**
Northwestern Medicine conducts a background check that includes criminal history on newly hired team members and, at times, internal transfers. If you are offered a position with us, you will be required to complete an authorization and disclosure form that gives Northwestern Medicine permission to run the background check. Results are evaluated on a case\-by\-case basis, and we follow all local, state, and federal laws, including the Illinois Health Care Worker Background Check Act.
**Artificial Intelligence Disclosure**
Artificial Intelligence (AI) tools may be used in some portions of the candidate review process for this position, however, all employment decisions will be made by a person.
**Benefits**
We offer a wide range of benefits that provide employees with tools and resources to improve their physical, emotional, and financial well\-being while providing protection for unexpected life events. Please visit our Benefits section to learn more.
**Sign\-on Bonus Eligibility:** Internal employees and rehires who left Northwestern Medicine within 1 year are not eligible for the sign on bonus. Exception: New graduate internal employees seeking their first licensed clinical position at NM may be eligible depending upon the job family.</t>
        </is>
      </c>
    </row>
    <row r="36">
      <c r="A36" t="inlineStr">
        <is>
          <t>in-8a371da85fb0b391</t>
        </is>
      </c>
      <c r="B36" t="inlineStr">
        <is>
          <t>Data Engineer, Global Planning, Amazon Leo</t>
        </is>
      </c>
      <c r="C36" t="inlineStr">
        <is>
          <t>Amazon.com</t>
        </is>
      </c>
      <c r="D36" t="inlineStr">
        <is>
          <t>indeed</t>
        </is>
      </c>
      <c r="E36" t="inlineStr"/>
      <c r="F36" t="inlineStr"/>
      <c r="G36" t="inlineStr">
        <is>
          <t>Arlington, VA, US</t>
        </is>
      </c>
      <c r="H36" s="2" t="n">
        <v>46037</v>
      </c>
      <c r="I36" t="inlineStr">
        <is>
          <t>**DESCRIPTION**
---------------
Amazon Leo is an initiative to increase global broadband access through a constellation of 3,236 satellites in low Earth orbit.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We are looking for a Data Engineer in Leo's Global Planning team to build enterprise\-grade data infrastructure and data assets that will support Leo's Demand Science \&amp; Forecasting models and capacity planning \&amp; simulation systems. You will be responsible to design and implement Data Architecture, using latest AWS services and to develop production level ETL pipelines from external and internal sources / APIs. This role will be instrumental in helping Leo execute on its business plans globally and requires high level of operational excellence with a relentless focus on delivering results.  
Key job responsibilities  
In this role, you will:  
* Develop Leo data products, infrastructure and ETL pipelines to ingest, parse and transform Geospatial datasets from external \&amp; internal APIs using AWS big data technologies (Glue, S3, Redshift, MWAA, EMR, Data Zone, Lambda, etc.)
* Work alongside Data Scientists, Applied Scientists, Software Engineers and Simulation Engineers to develop appropriate data assets for statistical modeling, system integration and capacity simulations
* Improve existing solutions and come up with next generation Leo's Data Architecture to improve scale, quality and performance
* Implement data governance best practices to ensure data accuracy, consistency, and compliance with security and privacy regulations.
* Develop and maintain scripts to automate processes to generate structured datasets for forecasting POR and system inputs, with focus on efficiency and scalability
* Build data dictionary, catalog and governance plan and manage and audit all of the registered data via internal mechanisms
* Provide technical guidance and support to data consumers to leverage Global Planning data assets
Export Control Requirement:  
Due to applicable export control laws and regulations, candidates must be a U.S. citizen or national, U.S. permanent resident (i.e., current Green Card holder), or lawfully admitted into the U.S. as a refugee or granted asylum.  
About the team  
Amazon Leo Global Planning team designs and builds systems that support forecasting, management and optimization of Leo's demand, bandwidth capacity and physical inventory across customer segments and channels, worldwide.**BASIC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\- 132,100\.00 \- 178,800\.00 USD annually  
USA, WA, Bellevue \- 132,100\.00 \- 178,800\.00 USD annually</t>
        </is>
      </c>
    </row>
    <row r="37">
      <c r="A37" t="inlineStr">
        <is>
          <t>in-cb088f505d86f03a</t>
        </is>
      </c>
      <c r="B37" t="inlineStr">
        <is>
          <t>Data Engineer, Global Planning, Amazon Leo</t>
        </is>
      </c>
      <c r="C37" t="inlineStr">
        <is>
          <t>Amazon.com</t>
        </is>
      </c>
      <c r="D37" t="inlineStr">
        <is>
          <t>indeed</t>
        </is>
      </c>
      <c r="E37" t="inlineStr"/>
      <c r="F37" t="inlineStr"/>
      <c r="G37" t="inlineStr">
        <is>
          <t>Bellevue, WA, US</t>
        </is>
      </c>
      <c r="H37" s="2" t="n">
        <v>46037</v>
      </c>
      <c r="I37" t="inlineStr">
        <is>
          <t>**DESCRIPTION**
---------------
Amazon Leo is an initiative to increase global broadband access through a constellation of 3,236 satellites in low Earth orbit.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We are looking for a Data Engineer in Leo's Global Planning team to build enterprise\-grade data infrastructure and data assets that will support Leo's Demand Science \&amp; Forecasting models and capacity planning \&amp; simulation systems. You will be responsible to design and implement Data Architecture, using latest AWS services and to develop production level ETL pipelines from external and internal sources / APIs. This role will be instrumental in helping Leo execute on its business plans globally and requires high level of operational excellence with a relentless focus on delivering results.  
Key job responsibilities  
In this role, you will:  
* Develop Leo data products, infrastructure and ETL pipelines to ingest, parse and transform Geospatial datasets from external \&amp; internal APIs using AWS big data technologies (Glue, S3, Redshift, MWAA, EMR, Data Zone, Lambda, etc.)
* Work alongside Data Scientists, Applied Scientists, Software Engineers and Simulation Engineers to develop appropriate data assets for statistical modeling, system integration and capacity simulations
* Improve existing solutions and come up with next generation Leo's Data Architecture to improve scale, quality and performance
* Implement data governance best practices to ensure data accuracy, consistency, and compliance with security and privacy regulations.
* Develop and maintain scripts to automate processes to generate structured datasets for forecasting POR and system inputs, with focus on efficiency and scalability
* Build data dictionary, catalog and governance plan and manage and audit all of the registered data via internal mechanisms
* Provide technical guidance and support to data consumers to leverage Global Planning data assets
Export Control Requirement:  
Due to applicable export control laws and regulations, candidates must be a U.S. citizen or national, U.S. permanent resident (i.e., current Green Card holder), or lawfully admitted into the U.S. as a refugee or granted asylum.  
About the team  
Amazon Leo Global Planning team designs and builds systems that support forecasting, management and optimization of Leo's demand, bandwidth capacity and physical inventory across customer segments and channels, worldwide.**BASIC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\- 132,100\.00 \- 178,800\.00 USD annually  
USA, WA, Bellevue \- 132,100\.00 \- 178,800\.00 USD annually</t>
        </is>
      </c>
    </row>
    <row r="38">
      <c r="A38" t="inlineStr">
        <is>
          <t>in-ad7079961f14f2e9</t>
        </is>
      </c>
      <c r="B38" t="inlineStr">
        <is>
          <t>Data Engineer, Denied Party Screening, AWS Compliance &amp; Security Assurance</t>
        </is>
      </c>
      <c r="C38" t="inlineStr">
        <is>
          <t>Amazon.com</t>
        </is>
      </c>
      <c r="D38" t="inlineStr">
        <is>
          <t>indeed</t>
        </is>
      </c>
      <c r="E38" t="inlineStr"/>
      <c r="F38" t="inlineStr"/>
      <c r="G38" t="inlineStr">
        <is>
          <t>Seattle, WA, US</t>
        </is>
      </c>
      <c r="H38" s="2" t="n">
        <v>46029</v>
      </c>
      <c r="I38"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39">
      <c r="A39" t="inlineStr">
        <is>
          <t>in-f7ca39d98cd51621</t>
        </is>
      </c>
      <c r="B39" t="inlineStr">
        <is>
          <t>Data Engineer, Denied Party Screening, AWS Compliance &amp; Security Assurance</t>
        </is>
      </c>
      <c r="C39" t="inlineStr">
        <is>
          <t>Amazon.com</t>
        </is>
      </c>
      <c r="D39" t="inlineStr">
        <is>
          <t>indeed</t>
        </is>
      </c>
      <c r="E39" t="inlineStr"/>
      <c r="F39" t="inlineStr"/>
      <c r="G39" t="inlineStr">
        <is>
          <t>Dallas, TX, US</t>
        </is>
      </c>
      <c r="H39" s="2" t="n">
        <v>46029</v>
      </c>
      <c r="I39"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40">
      <c r="A40" t="inlineStr">
        <is>
          <t>in-170e2d2aa5233ce4</t>
        </is>
      </c>
      <c r="B40" t="inlineStr">
        <is>
          <t>Data Engineer</t>
        </is>
      </c>
      <c r="C40" t="inlineStr">
        <is>
          <t>Amazon.com</t>
        </is>
      </c>
      <c r="D40" t="inlineStr">
        <is>
          <t>indeed</t>
        </is>
      </c>
      <c r="E40" t="inlineStr"/>
      <c r="F40" t="inlineStr"/>
      <c r="G40" t="inlineStr">
        <is>
          <t>San Francisco, CA, US</t>
        </is>
      </c>
      <c r="H40" s="2" t="n">
        <v>46001</v>
      </c>
      <c r="I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in-474a0c15b3802d43</t>
        </is>
      </c>
      <c r="B41" t="inlineStr">
        <is>
          <t>Data Engineer</t>
        </is>
      </c>
      <c r="C41" t="inlineStr">
        <is>
          <t>Amazon.com</t>
        </is>
      </c>
      <c r="D41" t="inlineStr">
        <is>
          <t>indeed</t>
        </is>
      </c>
      <c r="E41" t="inlineStr"/>
      <c r="F41" t="inlineStr"/>
      <c r="G41" t="inlineStr">
        <is>
          <t>Seattle, WA, US</t>
        </is>
      </c>
      <c r="H41" s="2" t="n">
        <v>46001</v>
      </c>
      <c r="I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in-02362c1b1cd863a0</t>
        </is>
      </c>
      <c r="B42" t="inlineStr">
        <is>
          <t>Delivery Consultant - Data Engineer, Data and Machine Learning, WWPS US Federal</t>
        </is>
      </c>
      <c r="C42" t="inlineStr">
        <is>
          <t>Amazon Web Services</t>
        </is>
      </c>
      <c r="D42" t="inlineStr">
        <is>
          <t>indeed</t>
        </is>
      </c>
      <c r="E42" t="inlineStr"/>
      <c r="F42" t="inlineStr"/>
      <c r="G42" t="inlineStr">
        <is>
          <t>Herndon, VA, US</t>
        </is>
      </c>
      <c r="H42" s="2" t="n">
        <v>45991</v>
      </c>
      <c r="I42"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in-a18c0f989cdc19b1</t>
        </is>
      </c>
      <c r="B43" t="inlineStr">
        <is>
          <t>Delivery Consultant - Data Engineer, Data and Machine Learning, WWPS US Federal</t>
        </is>
      </c>
      <c r="C43" t="inlineStr">
        <is>
          <t>Amazon Web Services</t>
        </is>
      </c>
      <c r="D43" t="inlineStr">
        <is>
          <t>indeed</t>
        </is>
      </c>
      <c r="E43" t="inlineStr"/>
      <c r="F43" t="inlineStr"/>
      <c r="G43" t="inlineStr">
        <is>
          <t>Arlington, VA, US</t>
        </is>
      </c>
      <c r="H43" s="2" t="n">
        <v>45991</v>
      </c>
      <c r="I43"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in-4750e6a48da64e77</t>
        </is>
      </c>
      <c r="B44" t="inlineStr">
        <is>
          <t>Principal Data Platform Engineer</t>
        </is>
      </c>
      <c r="C44" t="inlineStr">
        <is>
          <t>STO Building Group</t>
        </is>
      </c>
      <c r="D44" t="inlineStr">
        <is>
          <t>indeed</t>
        </is>
      </c>
      <c r="E44">
        <f>HYPERLINK("https://www.indeed.com/viewjob?jk=4750e6a48da64e77", "https://www.indeed.com/viewjob?jk=4750e6a48da64e77")</f>
        <v/>
      </c>
      <c r="F44">
        <f>HYPERLINK("https://fa-exrr-saasfaprod1.fa.ocs.oraclecloud.com/hcmUI/CandidateExperience/en/sites/CX_1/requisitions/preview/52361", "https://fa-exrr-saasfaprod1.fa.ocs.oraclecloud.com/hcmUI/CandidateExperience/en/sites/CX_1/requisitions/preview/52361")</f>
        <v/>
      </c>
      <c r="G44" t="inlineStr">
        <is>
          <t>New York, NY, US</t>
        </is>
      </c>
      <c r="H44" s="3" t="n">
        <v>46056</v>
      </c>
      <c r="I44" t="inlineStr">
        <is>
          <t>STO Building Group Job Specification
**Principal Data Platform Engineer**
**Title:** Principal Data Platform Engineer \- Data \&amp; Analytics
**Company Overview:**
The STO Building Group is a family of construction companies with a global presence, encompassing over 4,000 employees across the US, Canada, UK, and Ireland. Our services span the entire construction lifecycle, from initial site analysis and design to new construction and infrastructure modernization. We are a team of builders dedicated to creating exceptional spaces for our clients.
**Data \&amp; Analytics Team Overview:**
The Data \&amp; Analytics team operates as an internal startup, tasked with revolutionizing the construction industry through data and technology. We are building a cutting\-edge data and analytics platform from the ground up, leveraging over five decades of our company's data and industry expertise. Our mission is to develop innovative KPIs, project metrics, and machine learning models that provide predictive insights to guide future projects.
**Role Description:**
We are seeking a Principal Data Platform Engineer to lead the technical direction and management of our data platform. This is a senior leadership role for a seasoned expert who is passionate about building and managing large\-scale data ecosystems. You will be instrumental in shaping the future of our data infrastructure, driving the technical vision, and leading a team of talented engineers. The ideal candidate will have extensive experience in data engineering, a deep understanding of cloud technologies, and a proven track record of managing high\-performing teams.
**Responsibilities** :
* **Data Platform Architecture:** Design, build, and maintain scalable and reliable databases, data models, and supporting infrastructure on Google Cloud Platform (GCP).
* **Team Leadership:** Manage and mentor a team of data engineers, fostering a culture of innovation and excellence.
* **Technical Vision:** Develop and execute the technical roadmap for the data platform, ensuring alignment with business objectives.
* **Automation:** Automate workflows, ETL (Extract, Transform, and Load) processes to streamline data operations.
* **DevOps and SecOps:** Implement and champion DevOps and SecOps best practices within the data team, including CI/CD, infrastructure as code, and automated testing.
* **Data Pipelines:** Oversee the development and optimization of ETL processes and data pipelines to handle large and complex datasets.
* **Technology Stack:** Leverage your expertise in Oracle, BigQuery, and other modern data technologies to build a robust and efficient data ecosystem.
* **Collaboration:** Work closely with data scientists, analysts, and product managers to deliver data\-driven solutions.
* **Innovation:** Stay at the forefront of new technologies and methodologies, and champion their adoption where they can provide a competitive advantage.
* **Support:** Participate platform support and leadership ensuring high availability and resilience.
* **Administration:** Enable self\-service data access, manage permissions, user and system access to the platform ensuring a high level of platform security and safety.
**Requirements:**
* **Experience:** A minimum of 15 years of experience in data engineering or a related field, with a significant portion in a leadership capacity.
* **Cloud Expertise:** Extensive experience with cloud platforms, preferably Google Cloud Platform (GCP). A demonstrated ability to rapidly learn and master new cloud environments is essential.
* **Planning:** Experience planning, executing, and managing technical projects from inception to completion.
* **Technical Skills:**
* **Databases:** Strong proficiency in SQL and extensive experience with Oracle.
* **Big Data:** Hands\-on experience with BigQuery and managing large\-scale data sets.
* **Python:** Experience developing and delivery production python applications.
* **DevOps:** Proven experience with CI/CD pipelines, test automation, and infrastructure as code (e.g., Terraform).
* **Version Control:** Proficiency with Git and GitHub.
* **ETL:** Deep understanding of ETL concepts and experience with modern ETL platforms.
* **Leadership:** Exceptional leadership and team management skills with the ability to inspire and motivate a team of engineers.
* **Communication:** Outstanding verbal and written communication skills, with the ability to articulate complex technical concepts to both technical and non\-technical audiences.
* **Problem\-Solving:** A strategic thinker with a passion for solving complex data challenges.
* **Education:** A Bachelor's or Master's degree in Computer Science, Engineering, or a related field is preferred.
\#LI\-CF1
**Salary:** $200K \- $230K
**Compensation:** In addition to base pay, eligible for discretionary bonus based on company and individual performance.
**Benefits**
The Company offers the following benefits for this position, subject to applicable eligibility requirements: \[Medical Insurance] \[Dental Insurance] \[Vision Insurance] \[Health Savings Account] \[Healthcare Flexible Spending Account] \[Dependent Care Flexible Spending Account] \[401(k) retirement plan with employer match] \[Life \&amp; AD\&amp;D Insurance] \[Long\-term Disability Insurance] \[Short\-term Disability Insurance] \[Critical Illness Insurance] \[Accident Insurance] \[Hospital Indemnity Insurance] \[Home \&amp; Auto Insurance] \[Family Support] \[Pre\-tax Paid Parking/Public Transportation] \[Paid time off: 2 Weeks for Non\-Exempt and Three Weeks for Exempt] \[Time Away Benefits] \[8 Paid Holidays] \[Group Legal] \[Employee Stock Purchase Plan] \[Identity Theft Protection] \[Group Legal] \[Pet Insurance] \[Employee Assistance Program]
**Disclaimer:** The salary, other compensation, and benefits information is accurate as of the date of this posting. The Company reserves the right to modify this information at any time, subject to applicable law.
**EEO Statement:**
The STO Building Group family of companies—Structure Tone, Structure Tone Southwest, Pavarini Construction Co., Pavarini McGovern, LF Driscoll, Govan Brown, Ajax Building Company, BCCI Construction, Layton Construction, Abbott Construction, and RC Andersen—includes over 4,000 employees located in offices throughout the US, Canada, UK, and Ireland. We provide a complete range of construction services, from site selection analysis, design constructability review and aesthetic enhancements to interior fit\-outs, new building construction, and building infrastructure upgrades and modernization. Learn more about how we partner with our clients to imagine, execute, and realize their vision at stobuildinggroup.com.
We are an equal opportunity employer. We evaluate qualified applicants without regard to race, color, religion, sex, sexual orientation, gender identity, national origin, disability, veteran status, and other legally protected characteristics.</t>
        </is>
      </c>
    </row>
    <row r="45">
      <c r="A45" t="inlineStr">
        <is>
          <t>in-e7268b7f8ddcf880</t>
        </is>
      </c>
      <c r="B45" t="inlineStr">
        <is>
          <t>Senior Data Engineer</t>
        </is>
      </c>
      <c r="C45" t="inlineStr">
        <is>
          <t>M1 Finance</t>
        </is>
      </c>
      <c r="D45" t="inlineStr">
        <is>
          <t>indeed</t>
        </is>
      </c>
      <c r="E45">
        <f>HYPERLINK("https://www.indeed.com/viewjob?jk=e7268b7f8ddcf880", "https://www.indeed.com/viewjob?jk=e7268b7f8ddcf880")</f>
        <v/>
      </c>
      <c r="F45">
        <f>HYPERLINK("https://jobs.smartrecruiters.com/M1Finance/3743990011526255-senior-data-engineer", "https://jobs.smartrecruiters.com/M1Finance/3743990011526255-senior-data-engineer")</f>
        <v/>
      </c>
      <c r="G45" t="inlineStr">
        <is>
          <t>Chicago, IL, US</t>
        </is>
      </c>
      <c r="H45" s="3" t="n">
        <v>46057</v>
      </c>
      <c r="I45" t="inlineStr">
        <is>
          <t>**Company Description**  
M1 Finance has created a personal wealth\-building platform made for the modern era, uniting personal perspective and automated ease. We seamlessly combine free investing and low cost borrowing all in one intuitive, automated Finance Super App, and we’re driven by a mission to empower personal financial well\-being. We believe that financial well\-being is fundamental to overall well\-being, and we strive to deliver products that are simpler, smarter, and stronger than those created by our boring, entrenched, and slow\-moving competitors in the personal finance industry.
Our clients have already trusted us with over $12 billion of assets, we’re currently helping hundreds of thousands of people grow and manage their wealth with our industry\-leading automation and tools, and we’re adding thousands of new clients every day.
We’re looking for passionate people who want to improve and build on what we’ve created and take responsibility to help others build something meaningful and sustainable for their futures.
We mean it when we say, “M1 is yours to build.”
If this sounds interesting to you, read on!
 **Job Description**  
Data is at the heart of decision\-making for every team at M1, and that makes data engineering a uniquely impactful and fast\-paced role. As engineers, we bring passion and craftsmanship to our work, and we hold data and analytics engineering to the same high standard of technical excellence as the rest of M1\.
Our culture is built on Extreme Ownership. We work through complex technical problems together, and everyone on the team is empowered to make architectural decisions and take end\-to\-end responsibility for their outcomes. We are looking for a Senior Engineer who thrives in this environment—someone who is not just a high\-level individual contributor, but a technical leader who elevates the entire team.
**The Role**
A competitive applicant for this role will be a versatile generalist with deep expertise in SQL, Python, and data warehousing. However, technical proficiency is only half the equation; success in this role requires a high degree of systems\-level curiosity. We are looking for an engineer who is unafraid to venture into undocumented territory and who seeks to understand the systems that live "outside the walls" of the data platform. Whether it’s diving into the source code of our banking core or collaborating with brokerage operatives to understand financial mechanics, you should be driven to understand the how and why behind the data you manage.
Our data ecosystem is built on a mature, cloud\-native architecture designed for scale and reliability. We leverage AWS and Kubernetes for our infrastructure, with S3 and Redshift forming the foundation of our data lake and warehouse. Our modeling and orchestration are powered by dbt and Airflow, with Superset driving our business intelligence. While these tools are our current foundation, we are a team of builders who are constantly evaluating the right tools for the next phase of M1’s growth.
**What You’ll Do**
* **Drive Architectural Strategy:** Help lead the design and implementation of scalable, cloud\-native data pipelines and architectural blueprints using Python and Kubernetes.
* **Exercise Extreme Ownership:** Take full accountability for the data lifecycle, from initial design and implementation to long\-term maintenance and optimization.
* **Build Self\-Service Platforms:** Create and maintain the infrastructure that enables stakeholders across M1 to solve real\-world problems independently.
* **Mentor and Lead:** Grow alongside a committed team of engineers by leading design sessions, performing rigorous code reviews, and setting engineering standards.
* **Collaborate Across Functions:** Partner with brokerage, banking, and product teams to translate complex business needs into automated, high\-integrity data processes.
* **Ensure Data Excellence:** Identify and integrate new data sources into our lake and warehouse, ensuring high levels of data quality, observability, and security.
* **Continuous Improvement:** Proactively identify technical debt and execute on opportunities to improve the performance and reliability of existing systems.
 **Qualifications**  
* 5\+ years of experience in data engineering, backend software engineering, or a related field.
* **Expert\-level SQL and Python:** Experience building production\-grade ETL/ELT pipelines.
* **Innate Curiosity:** A proven track record of stretching beyond a standard job description to understand the broader technical ecosystem and business context.
* **Modern Engineering Mindset:** An interest in leveraging AI to amplify your personal productivity and a willingness to contribute to the team’s adoption of AI tooling.
* **Hands\-on Experience with our Core Stack:** Proven experience with dbt, Apache Airflow, and AWS (or a similar cloud environment).
* **Architectural Mindse**t: Ability to design systems that are scalable, maintainable, and adhere to industry best practices.
* **Extreme Ownership:** A self\-motivated, entrepreneurial spirit with a desire to run with projects from conception to completion.
* **Excellent Communicator:** Ability to explain complex technical trade\-offs to both engineers and non\-technical stakeholders.
**Preferred Qualifications**
* **Practical AI Experience:** Experience building or deploying infrastructure to support LLMs, vector databases, or machine learning models in a production environment.
* **Fintech Expertise:** Experience in the securities, banking, or broader financial services industries.
* **Infrastructure as Code:** Experience with Terraform and managing cloud infrastructure.
* **Big Data Ecosystems:** Experience with S3, Redshift, Snowflake, Presto, or similar systems.
* **Streaming Data:** Experience with real\-time, event\-driven data systems (e.g., Kafka, Kinesis).
* **Data Governance:** Knowledge of data privacy, security, and quality frameworks in a regulated environment.
* **Domain Passion:** A general knowledge of investing and personal finance or a strong desire to learn the industry.
*Salary Band: $170,000 \- $200,000*
 **Additional Information** **Our Values**
Our team embodies our ten core principles and if these principles speak to you – we’d love to talk with you.
* **Mission driven** Wealth expands what life can be. We exist to help people build it, optimizing with intelligence and precision so their resources become fuel for possibility. This is work worth doing.
* **Extreme ownership** We own outcomes, not just tasks. When something affects our clients, teammates, or shareholders, we take full responsibility. No excuses, no finger\-pointing, no waiting for someone else to act.
* **Boldness** Thinking small is a self\-fulfilling prophecy. We set ambitious goals because they inspire ambitious results. We would rather fail at something meaningful than succeed at something trivial.
* **Ruthless prioritization** Our ambition will always exceed our capacity. We say no to good ideas so we can pursue great ones, and we use time as a constraint that forces the choice. Generous timelines don't prevent delays; they invite sprawl.
* **Integrity** We tell the truth: to clients, to each other, to ourselves. We are direct about trade\-offs, honest about risks, and unapologetic about what we believe. Trust is earned through clarity, not comfort.
* **Effectiveness** Intelligence and leverage are how we do more with less. We care about results, not activity. Whatever it takes to deliver, whether that demands disciplined process or resourcefulness.
* **Team over self** We achieve more together than alone. We hire people who elevate others, we share credit generously, and we treat a teammate's problem as our own.
* **Transparency** We share information openly, communicate simply, and provide the context people need to make good decisions fast. No hoarding, no politics, no spin.
* **Momentum** Perfection is a direction, not a destination. Crawl, walk, run, sprint. We make consistent progress with the speed and precision a financial institution demands.
* **Resilience** Big goals come with setbacks. Markets turn, plans break, timelines slip. We adapt without losing resolve, treating obstacles as problems to solve rather than reasons to quit.
**Our Perks**
* Competitive Pay and Stock Options
* Comprehensive health, dental, vision, disability, and life insurance
* Retirement benefit with employer match
* Unlimited PTO
* Transparent and open communication with leadership
M1 is an equal opportunity employer and values diversity across the company. M1 does not discriminate on the basis of race, religion, color, national origin, gender, sexual orientation, age, marital status, veteran status, or disability status.</t>
        </is>
      </c>
    </row>
    <row r="46">
      <c r="A46" t="inlineStr">
        <is>
          <t>in-e44a2fab954344f4</t>
        </is>
      </c>
      <c r="B46" t="inlineStr">
        <is>
          <t>Senior Data Engineer</t>
        </is>
      </c>
      <c r="C46" t="inlineStr">
        <is>
          <t>Capitaltechsolutions</t>
        </is>
      </c>
      <c r="D46" t="inlineStr">
        <is>
          <t>indeed</t>
        </is>
      </c>
      <c r="E46">
        <f>HYPERLINK("https://www.indeed.com/viewjob?jk=e44a2fab954344f4", "https://www.indeed.com/viewjob?jk=e44a2fab954344f4")</f>
        <v/>
      </c>
      <c r="F46">
        <f>HYPERLINK("http://www.indeed.com/job/senior-data-engineer-e44a2fab954344f4", "http://www.indeed.com/job/senior-data-engineer-e44a2fab954344f4")</f>
        <v/>
      </c>
      <c r="G46" t="inlineStr">
        <is>
          <t>Washington, DC, US</t>
        </is>
      </c>
      <c r="H46" s="3" t="n">
        <v>46057</v>
      </c>
      <c r="I46" t="inlineStr">
        <is>
          <t>**TITLE:** Senior Data Engineer
**LOCATION:** Washington, DC/ Hybrid
**MINIMUM EDUCATION:** Bachelor’s degree in IT, related field, or equivalent experience.
**REQUIRED EXPERIENCE:** 10 years
**INTERVIEWS:** Webcam Only
**Job Description:** 
The client is looking for a senior data engineer for its data modernization efforts associated with its Medicaid data ecosystem.
**Complete Description:** 
The Senior Data Engineer serves as the primary technical engine for the agency's Medicaid data ecosystem. This role is unique: it requires a high\-level mastery of our current legacy environment—characterized by SSIS ETL processes managed via Team Foundation Server (TFS)—while actively spearheading the execution of our cloud modernization roadmap. Under the direction of the Lead Data Warehouse Solution Architect, you will ensure the stability of current Medicaid reporting while building the future\-state Azure Synapse and Databricks Lakehouse.
**Duties \&amp; Responsibilities:** 
**A. Legacy Maintenance \&amp; Operational Excellence (Current State)**
* ETL Management: Maintain, troubleshoot, and modify complex SSIS packages handling high\-volume Medicaid claims, provider, and member data.
* Version Control: Manage code deployments and branching strategies within TFS, ensuring continuous integration of legacy SQL assets.
* Legacy Reporting Support: Support and optimize SSRS report queries and SSAS tabular/multidimensional models to ensure federal and state compliance reporting remains uninterrupted.
**B. Modernization \&amp; Migration Execution (Future State)**
* Cloud Development: Implement "Medallion Architecture" (Bronze/Silver/Gold) using Azure Databricks (PySpark/SQL) as designed by the Lead Architect.
* Pipeline Refactoring: Lead the transition of legacy SSIS logic into Azure Data Factory (ADF) and Databricks notebooks.
* DevOps Transformation: Facilitate the migration of source control and CI/CD pipelines from TFS to Azure DevOps (Git).
* Synapse Integration: Build and tune Dedicated and Serverless SQL Pools within Azure Synapse to facilitate advanced analytics and AI\-readiness.
**C. Data Governance \&amp; Security**
* Medicaid Compliance: Implement Row\-Level Security (RLS) and automated data masking for PHI/PII in accordance with HIPAA, CMS MARS\-E, and NIST standards.
* Data Quality: Develop automated data validation frameworks to ensure data parity between legacy SQL systems and the new Cloud Lakehouse.
**3\. Competencies for Success**
* Technical Agility: The ability to pivot between a 10\-year\-old SSIS package and a modern Databricks Spark job in the same day.
* Collaboration: Ability to take high\-level architectural blueprints from the Lead Architect and translate them into high\-performance, production\-ready code.
· Attention to Detail: Absolute precision in Medicaid data handling, where an error in logic can impact member benefits or federal funding.
**Skills:**
· Maintaining SQL Server (SSIS/SSAS/SSRS) while concurrently deploying Azure cloud solutions. **Required 7 Years**
· Expert\-level proficiency in SSIS and T\-SQL. Advanced proficiency in Azure Databricks (Unity Catalog, Delta Lake) and Azure Synapse. **Required 7 Years**
· Deep experience with TFS (Team Foundation Server) and a strong desire to migrate workflows to Git/Azure DevOps. **Required 7 Years**
· Mastery of SQL and Python (PySpark). **Required 7 Years**
· 6\-10 yrs. leading advanced technology projects or service projects. **Required 7 Years**
· 6\-10 yrs. full system engineering lifecycle. **Required 7 Years**
· Bachelor’s degree. **Required**
· Experience with Microsoft Purview for data cataloging. **Highly desired 3 Years**
· Extensive experience with Medicaid/Medicare data structures (e.g., MMIS, EDI 837/835, claims processing). **Highly desired 3 Years**
· Microsoft Certified: Azure Data Engineer Associate or Databricks Certified Professional Data Engineer. **Highly desired**
· Experience in a government or highly regulated environment. **Highly desired 7 Years** 
Job Type: Contract
Pay: $90\.43 \- $100\.18 per hour
Expected hours: 45 per week
Work Location: In person</t>
        </is>
      </c>
    </row>
    <row r="47">
      <c r="A47" t="inlineStr">
        <is>
          <t>in-3e1e94c3a189199e</t>
        </is>
      </c>
      <c r="B47" t="inlineStr">
        <is>
          <t>Data and BI Engineer</t>
        </is>
      </c>
      <c r="C47" t="inlineStr">
        <is>
          <t>Air Wisconsin Airlines</t>
        </is>
      </c>
      <c r="D47" t="inlineStr">
        <is>
          <t>indeed</t>
        </is>
      </c>
      <c r="E47">
        <f>HYPERLINK("https://www.indeed.com/viewjob?jk=3e1e94c3a189199e", "https://www.indeed.com/viewjob?jk=3e1e94c3a189199e")</f>
        <v/>
      </c>
      <c r="F47">
        <f>HYPERLINK("https://recruiting2.ultipro.com/AIR1002AIRWI/JobBoard/74c69cd1-e0aa-4364-8c31-c93dc910998d/OpportunityDetail?opportunityId=1d704415-264f-44dd-86a6-a8b3a717acdf&amp;postingId=7e2d51f8-4486-40c5-adcd-2fc088a64555", "https://recruiting2.ultipro.com/AIR1002AIRWI/JobBoard/74c69cd1-e0aa-4364-8c31-c93dc910998d/OpportunityDetail?opportunityId=1d704415-264f-44dd-86a6-a8b3a717acdf&amp;postingId=7e2d51f8-4486-40c5-adcd-2fc088a64555")</f>
        <v/>
      </c>
      <c r="G47" t="inlineStr">
        <is>
          <t>Appleton, WI, US</t>
        </is>
      </c>
      <c r="H47" s="3" t="n">
        <v>46057</v>
      </c>
      <c r="I47" t="inlineStr">
        <is>
          <t>**Key Responsibilities**
**Business Collaboration**
* Work closely with business and technical groups to analyze needs, make recommendations, and design solutions that are reliable, flexible, scalable, and cost‑
* Drive new technology assessments and adoption to deliver business value.
**Data Engineering \&amp; Integration**
* Design, build, and run ETL pipelines (SSIS/T‑SQL) to ingest, transform, and deliver data from enterprise systems.
* Design and deliver data integration solutions between internal applications and external partner platforms (REST APIs, SFTP and file exchanges, change data capture (CDC)).
* Engineer data marts and staging layers using dimensional modeling (star/snowflake, conformed dimensions) to feed semantic models.
* Drive data quality, including data quality rules, data cleansing, and exception handling.
* Use Azure DevOps for version control, pull‑request reviews, work‑item tracking, and CI/CD of database/SSIS/SSAS artifacts.
**Semantic Modeling with SSAS**
* Design, build, and maintain SSAS semantic models—Multidimensional cubes and Tabular models, MDX/DAX.
* Implement partitions, aggregations, and processing strategies (full/incremental) and caching to achieve consistent performance.
**BI Delivery**
* Deliver Excel solutions over SSAS using PivotTables/PivotCharts and cube functions; manage connections/parameters and refresh governance.
* Publish, version, and distribute Excel templates in Microsoft 365/SharePoint.
* Deliver SSRS and Power BI solutions as needed
**Support, Performance \&amp; Reliability**
* Own run health for pipelines and refreshes: monitoring, alerting, incident response, and post‑incident RCAs with corrective/preventive actions.
* Partner with Infrastructure/DBA to tune SQL Server (indexing, partitioning, Query Store), plan capacity, and execute backup/restore and DR.
* Performance optimization (scheduling, dependencies, concurrency) for on‑time data availability and predictable runtimes.
* Assist contract DBA in database administration including general maintenance, security management and auditing, upgrades, and patch management.
**Security, Compliance \&amp; Risk Management**
* Implement secure‑by‑design practices (least‑privilege access, secrets management, encryption) across pipelines, databases, and SSAS.
* Collaborate with Cybersecurity on remediation and follow incident‑response practices.
**Data Governance \&amp; Documentation**
* Keep technical specs, data dictionaries, semantic definitions, refresh cadences, and owners current.
* Maintain comprehensive lineage and dependency mapping across pipelines, SSAS models, and downstream Excel/reporting assets.
* Standardize naming conventions, folder structures, and modeling patterns to drive consistency and reuse.
**Leadership, Mentoring \&amp; Cross‑Team Support**
* Provide guidance to application development teams on database design and performance optimization of application databases.
* Provide project leadership through scoping, estimating, design reviews, and code reviews; mentor teammates in T‑SQL, SSIS, MDX/DAX, and operational best practices.
**Qualifications**
**Required**
* Associate’s or Bachelor’s degree in Computer Science, Management Information Systems, Data Management, or related field; or equivalent experience.
* 5\+ years in data‑warehouse development, data integration, and/or BI delivery using Microsoft technology stack (SSIS, SSAS, SSRS).
* Dimensional modeling (star/snowflake) and delivery of conformed data marts used across business domains.
* Hands‑on SQL Server and T‑SQL expertise.
* Multidimensional and tabular SSAS experience.
* Excel‑centric BI over SSAS.
* Proven data integration work with internal systems and external.
* Operational mindset: monitoring/alerting, troubleshooting, incident response, and performance tuning.
* Understanding of secure‑by‑design practices and data handling aligned to internal cybersecurity expectations.
* Experience documenting requirements into technical specifications and data contracts, with clear lineage and ownership.
* Practical planning skills: estimating, sequencing, and incremental delivery using agile methodology.
* Effective communication with both technical and non‑technical stakeholders; collaborative approach with Infrastructure/DBA teams.
**Preferred**
* Airline industry experience.
* Power BI and Microsoft Fabric.
* SQL Server administration.
* Formal training in data modeling (3NF and Star Schema).
* Experience with predictive/advanced analytics.
* Understanding of network infrastructure, storage, and virtualization as they pertain to BI/data platforms.
* Scripting for ETL/automation in .NET (C\#) and/or Python.</t>
        </is>
      </c>
    </row>
    <row r="48">
      <c r="A48" t="inlineStr">
        <is>
          <t>in-3742184cab6cdc79</t>
        </is>
      </c>
      <c r="B48" t="inlineStr">
        <is>
          <t>Senior Engineer, Technology II (Data Engineer)</t>
        </is>
      </c>
      <c r="C48" t="inlineStr">
        <is>
          <t>AbbVie</t>
        </is>
      </c>
      <c r="D48" t="inlineStr">
        <is>
          <t>indeed</t>
        </is>
      </c>
      <c r="E48">
        <f>HYPERLINK("https://www.indeed.com/viewjob?jk=3742184cab6cdc79", "https://www.indeed.com/viewjob?jk=3742184cab6cdc79")</f>
        <v/>
      </c>
      <c r="F48">
        <f>HYPERLINK("https://jobs.smartrecruiters.com/AbbVie/3743990011522915-senior-engineer-technology-ii-data-engineer-", "https://jobs.smartrecruiters.com/AbbVie/3743990011522915-senior-engineer-technology-ii-data-engineer-")</f>
        <v/>
      </c>
      <c r="G48" t="inlineStr">
        <is>
          <t>North Chicago, IL, US</t>
        </is>
      </c>
      <c r="H48" s="3" t="n">
        <v>46057</v>
      </c>
      <c r="I48"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Instagram, YouTube, LinkedIn and Tik Tok.
 **Job Description**  
Conceive, design, engineer and implement robust data pipelines, products and technology solutions…. Act as a lead engineer in data and related technology solutions leveraging modern data engineering platforms; blending traditional data engineering with emerging AI solutions for advanced data profiling, discovery and transformation.
Responsibilities
* Conceive, design, engineer, and implement software and technology solutions by studying information needs; conferring with users; studying systems flow, data usage, and work processes; investigating problem areas; Demonstrate the ability to resolve key project hurdles and assumptions by effectively utilizing available information and technical expertise.
* Demonstrate high proficiency across a wide range of technologies and platforms related to software design and development, programming languages, data integration, data warehousing, data analysis and visualization tools, data storage, network connectivity, and virtualization/cloud environments.
* Demonstrate knowledge of the pharmaceutical and healthcare business, and utilize this knowledge in the rapid advancement of agile, impactful, and cost\-effective solutions.
* Highly autonomous and productive in performing activities, requiring only minimal direction from or interaction with supervisor. Keeps key stakeholders informed through effective verbal and written communication.
* Matures and leverages relationships with affiliates, subsidiaries, vendors, and industry peers in accordance with Abbvie Values, Vendor Management Office, and Purchasing to further the mission, vision and goals of the organization.
* May mentor/supervise a team of one or more and guide and evaluate the performance of those individuals; is accountable for the effective performance of the team/individuals.
* Understand and adhere to corporate standards regarding applicable Corporate and Divisional Policies, including code of conduct, safety, GxP compliance, data security, and the software development lifecycle.
. **Qualifications**  
* Bachelor's Degree with 7 years experience; Master's Degree with 6 years experience; PhD with 2 years experience in the pharmaceutical industry preferred.
* 3 years’ experience with one or more Business Intelligence solutions (PowerBI, Dataiku, Python, Databricks, AMR, Fabric, etc.) and SQL language.
* 3 years’ experience with data analysis or statistics for data science plus experience with software development and quality assurance/SDLC and IT system compliance.
* Possess thorough theoretical and practical understanding of own discipline.
* Proven implementation of creative technology solutions that advanced the business.
* Excellent written and oral English communication skills.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postingbased on the job grade for this position. Individual compensation paid within this range will depend on many factors including geographic location, and we may ultimately paymore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Note: No amount of pay is considered to be wages or compensation until such amount is earned, vested, and determinable. The amount and availability of any bonus, commission,incentive, benefits, or any other form of compensation and benefits that are allocable to a particular employee remains in the Company's sole and absolute discretion unless and untilpaid and may be modified at the Company’s sole and absolute discretion, consistent with applicable law.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row>
    <row r="49">
      <c r="A49" t="inlineStr">
        <is>
          <t>in-38826c7a0b38da4e</t>
        </is>
      </c>
      <c r="B49" t="inlineStr">
        <is>
          <t>Senior Data Engineer</t>
        </is>
      </c>
      <c r="C49" t="inlineStr">
        <is>
          <t>Visa</t>
        </is>
      </c>
      <c r="D49" t="inlineStr">
        <is>
          <t>indeed</t>
        </is>
      </c>
      <c r="E49">
        <f>HYPERLINK("https://www.indeed.com/viewjob?jk=38826c7a0b38da4e", "https://www.indeed.com/viewjob?jk=38826c7a0b38da4e")</f>
        <v/>
      </c>
      <c r="F49">
        <f>HYPERLINK("https://jobs.smartrecruiters.com/Visa/744000107376532-senior-data-engineer", "https://jobs.smartrecruiters.com/Visa/744000107376532-senior-data-engineer")</f>
        <v/>
      </c>
      <c r="G49" t="inlineStr">
        <is>
          <t>Foster City, CA, US</t>
        </is>
      </c>
      <c r="H49" s="3" t="n">
        <v>46057</v>
      </c>
      <c r="I49"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Data and Artificial Intelligence Platform (DAP) group is a key component of Visa's Technology organization, providing the enabling technology and processes to handle Visa's data assets and deliver valuable information, products, and services to customers. Within DAP, the Data as a Service (DaaS) team consists of skilled data engineers focused on building data pipelines to meet Visa's data needs and delivers secure, high\-quality, and easy\-to\-use data assets.
As a Senior Data Engineer, you'll join our Data \&amp; AI Platform – Data as a Service organization in Foster City, California. You will help design, enhance, and build our data infrastructure and pipelines within an agile development environment, using Gen AI regularly, and collaborating with colleagues who will support and challenge you daily.
What We Offer:
* Exciting Challenges: We work at a scale rarely seen in the industry, solving complex data and AI problems across the entire stack, offering limitless opportunities to leverage and lead in this ever\-growing field.
* Teamwork and Fun: Each of us brings diverse and rich experiences to the team, enabling us to deliver much more than the sum of our parts and have fun at the same time.
* Fantastic People: With strong leadership, you will have the opportunity to learn, collaborate, and deliver together with some of the best and most creative minds in the industry.
Primary responsibilities:
As a Sr. Data Engineer, you will play a key role in the innovation, design, and development of comprehensive data pipeline solutions. Essential functions includes:
* Design, develop, and maintain robust and scalable data pipelines and ETL processes
* Design and develop conceptual, logical, and physical data models to map our data requirements into database structures
* Ensure data services are highly available, secure, scalable, and resilient.
* Improve and support production systems, ensuring that production issues are promptly resolved
* Collaborate with the agile team, user community, architects, and support teams to understand requirements and implement effective solutions
* Drive innovation to differentiate our data products and accelerate time\-to\-market delivery.
* Represent the team in various technical forums and build deep partnerships with product management.
* Adhere to established software development guidelines, security standards and responsible use of Gen AI tools and frameworks
* Help maintain atmosphere of mutual accountability
This is a hybrid position. Expectation of days in the office will be confirmed by your Hiring Manager.
 **Qualifications**  
Basic Qualifications:  
2 or more years of work experience with a Bachelor’s Degree or an Advanced Degree (e.g. Masters, MBA, JD, MD, or PhD)  
Preferred Qualifications:  
3 or more years of work experience with a Bachelor’s Degree or more than 2 years of work experience with an Advanced Degree (e.g. Masters, MBA, JD, MD)  
Strong programming skills in at least two of the following languages: Java, Python, Go, Scala  
Experience utilizing GenAI technologies in software development  
Hands\-on experience developing data processing pipeline, feature extraction, production deployment and monitoring.  
Expertise with Apache Spark, Kafka, Hadoop, Hive, Trino, Presto, Apache Airflow and NoSQL databases like Hbase working with PB level data volume.  
Hands on Experience in on\-prem (Hadoop) and cloud\-based data platforms (AWS, Azure, DataBricks) and related data storage (HDFS, S3\) and processing tools (Spark)  
Experience with GenAI or Agentic AI technologies (e.g., LLMs, NLP) and RAG\-based architecture and Vector DBs.  
Working experience in building solutions using MCP and A2A frameworks.  
Advanced proficiency and expertise in J2EE technologies, Microservices and REST APIs.  
Proven track record of building and deploying streaming and batch ETL pipelines using the latest Big Data technologies.  
Experience in an Agile environment, with a strong emphasis on best software development practices such as CI/CD, code reviews, and test automation, using tools like Jira and Jira Align  
Strong understanding of algorithms and data structures  
Excellent problem\-solving and troubleshooting abilities  
Excellent communication and interpersonal skills, and a strong team player.  
Should have key leadership behaviors like Positive attitude, Quick learner, Collaborative and Obsess with customer.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123,000\.00 to 190,900\.00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50">
      <c r="A50" t="inlineStr">
        <is>
          <t>in-713dd72ccad476b9</t>
        </is>
      </c>
      <c r="B50" t="inlineStr">
        <is>
          <t>Senior Data Engineer</t>
        </is>
      </c>
      <c r="C50" t="inlineStr">
        <is>
          <t>CliftonLarsonAllen</t>
        </is>
      </c>
      <c r="D50" t="inlineStr">
        <is>
          <t>indeed</t>
        </is>
      </c>
      <c r="E50">
        <f>HYPERLINK("https://www.indeed.com/viewjob?jk=713dd72ccad476b9", "https://www.indeed.com/viewjob?jk=713dd72ccad476b9")</f>
        <v/>
      </c>
      <c r="F50">
        <f>HYPERLINK("https://cliftonlarsonallen.wd1.myworkdayjobs.com/en-US/CLA/job/Milwaukee-WI/Senior-Data-Engineer_R16890", "https://cliftonlarsonallen.wd1.myworkdayjobs.com/en-US/CLA/job/Milwaukee-WI/Senior-Data-Engineer_R16890")</f>
        <v/>
      </c>
      <c r="G50" t="inlineStr">
        <is>
          <t>Milwaukee, WI, US</t>
        </is>
      </c>
      <c r="H50" s="3" t="n">
        <v>46056</v>
      </c>
      <c r="I50" t="inlineStr">
        <is>
          <t>CLA is a top 10 national professional services firm where our purpose is to *create opportunities* every day, for our clients, our people, and our communities through industry\-focused wealth advisory, digital, audit, tax, consulting, and outsourcing services. Even with more than 8,500 people, 130 U.S. locations, and a global reach, we promise to know you and help you.
CLA is dedicated to building a culture that invites different beliefs and perspectives to the table, so we can truly know and help our clients, communities, and each other.
Our Perks:* Flexible PTO (designed to offer flexible time away for you!)
* Up to 12 weeks paid parental leave
* Paid Volunteer Time Off
* Mental health coverage
* Quarterly Wellness stipend
* Fertility benefits
* Complete list of benefits here
CLA is growing and seeking to hire an experienced Senior Data Engineer to join our talented Information Technology team. The position offers growth, flexibility and a collaborative work environment.
In this position you should have the following; excellent interpersonal skills with the ability to communicate at all levels. Strong problem solving and creative skills and the ability to exercise sound judgment. Most important, demonstrate a high level of integrity and dependability with a strong sense of urgency and results\-orientation.
This role is responsible for designing and implementing scalable, secure, and high\-performance data solutions.
How you’ll *create opportunities* in this Senior Data Engineer role:* Design and implement scalable data pipelines using Azure Databricks and Azure Data Factory.
* Ensure performance, reliability, security, and compliance in all data engineering solutions.
* Collaborate across teams to define technical direction and support platform\-level decisions.
* Deliver high\-quality, timely releases aligned with business goals, technical standards, and data governance policies.
* Drive improvements in system reliability, scalability, and maintainability through refactoring and documentation.
* Mentor and coach team members.
* Partner with leaders to align priorities, maintain standards, and support team growth.
* Actively participate in agile processes and recruitment efforts to strengthen the engineering team.
What you will need:* 4 years of relevant experience required.
* Cloud Engineering across Azure or AWS and Databricks experience required.
* Experience designing and building enterprise data pipelines, databases/data warehouses, and system integrations (APIs, ETL, or middleware).
* Bachelor's degree or a combination of relevant experience and training may be considered in lieu of a degree.
Certifications / Licenses* None required.
* One or more of the following preferred:
* Databricks Certified Data Engineer Associate
* Databricks Certified Data Engineer Professional
* AWS Certified Data Engineer – Associate
* Google Certified Professional Data Engineer
* Microsoft Certified: Azure Data Engineer Associate
Technical Competencies* Proficiency in Microsoft Outlook and Office products (Teams, Word, Excel, PowerPoint, etc.) Advanced proficiency in programming, such as Python, R, Scala, Java, , Snowflake, GitHub, and SQL required.
* Skilled in addressing technical debt, optimizing performance, and producing enterprise\-grade code.
\#LI\-DJ1
Equal Opportunity Employer/Protected Veterans/Individuals with Disabilities  
Wellness at CLA
To support our CLA family members, we focus on their physical, financial, social, and emotional well\-being and offer comprehensive benefit options that include health, dental, vision, 401k and much more.
To view a complete list of benefits click here.</t>
        </is>
      </c>
    </row>
    <row r="51">
      <c r="A51" t="inlineStr">
        <is>
          <t>in-851b53516c4ee53d</t>
        </is>
      </c>
      <c r="B51" t="inlineStr">
        <is>
          <t>Senior Analytics Engineer, Revenue Operations</t>
        </is>
      </c>
      <c r="C51" t="inlineStr">
        <is>
          <t>DNSFilter</t>
        </is>
      </c>
      <c r="D51" t="inlineStr">
        <is>
          <t>indeed</t>
        </is>
      </c>
      <c r="E51">
        <f>HYPERLINK("https://www.indeed.com/viewjob?jk=851b53516c4ee53d", "https://www.indeed.com/viewjob?jk=851b53516c4ee53d")</f>
        <v/>
      </c>
      <c r="F51">
        <f>HYPERLINK("https://grnh.se/p4iym9kj7us", "https://grnh.se/p4iym9kj7us")</f>
        <v/>
      </c>
      <c r="G51" t="inlineStr">
        <is>
          <t>Remote, US</t>
        </is>
      </c>
      <c r="H51" s="3" t="n">
        <v>46056</v>
      </c>
      <c r="I51" t="inlineStr">
        <is>
          <t>DNSFilter's mission is to protect our customers and partners with products they love to use! We are revolutionizing network security by providing fast, accurate, and reliable threat protection and content filtering. We're a rapidly growing company dedicated to creating a safer internet for businesses and organizations worldwide. Leveraging AI\-driven threat intelligence, DNSFilter empowers our customers to proactively block threats before they impact their networks. We foster a collaborative, innovative, and results\-oriented culture where every team member contributes to our mission of making the internet safer.
As we continue our product\-fueled growth by adding new features and broadening our solution to meet the needs of the global market, it's clear there's a missing piece. That's where you come in!
We're seeking a Senior Analytics Engineer, Revenue Operations, to own and scale the RevOps data domain. This role sits on the Revenue Operations team, will report to the Senior Director, RevOps, and partners closely with Sales, Marketing, Customer Support, Customer Success, Finance, Product, and the Data Platform team to deliver trusted, analytics\-ready data that powers GTM systems, reporting, and decision\-making.
This is a senior individual contributor role with deep ownership. You'll treat the RevOps data domain as a product, not a collection of dashboards—balancing rigor, scalability, and stakeholder alignment in a fast\-moving environment.
Eligible candidates have and can work successfully in a small to mid\-sized fast\-paced, hyper\-growth, SaaS start\-up or scale\-up. This is a full\-time role open to candidates in the United States and Canada.
We recognize that people come with a wealth of experience and talent beyond just the technical requirements of a job. If you feel like this job is for you, please apply. We believe diversity of experience and skills, including transferable skills, combined with passion, is a key to innovation and excellence; therefore, we encourage people from all backgrounds to apply to our positions!
**At DNSFilter, You Will:**
**Own the RevOps Data Domain**
* Architect and own the RevOps / BizOps data zone within our Data Mesh, treating it as a product that is high\-quality, discoverable, well\-documented, and the authoritative source of truth for revenue data
* Establish clear ownership, documentation, and governance for core RevOps datasets and metrics
**Build \&amp; Scale Analytics Foundations**
* Own the end\-to\-end design, development, and maintenance of analytics solutions that power downstream GTM systems, reporting, and decision\-making
* Partner with the Data Platform (Data Engineering) team to transform data landed from internal databases, third\-party APIs, and Airflow\-managed pipelines into analytics\-ready models
* Develop, optimize, and maintain ELT pipelines using dbt Cloud, transforming PostgreSQL and other source data into analytics\-ready datasets in Amazon Athena
* Ensure reliable data availability, performance, and quality within our Athena\-based analytics data zone
**Own Data State, History, and Performance**
* Lead our approach to capturing data evolution and history, making heavy use of dbt snapshots and incremental models to support point\-in\-time and trend analysis
* Write performant, cost\-aware SQL optimized for distributed query engines (Amazon Athena), including queries operating over tens of billions of rows
* Design models with scalability and maintainability in mind, prioritizing long\-term clarity over clever but fragile solutions
**Define, Govern \&amp; Operationalize Metrics**
* Design, implement, and maintain a semantic layer (e.g., dbt semantic models/metrics) that serves as the authoritative source for business definitions and revenue metrics
* Introduce and steward a centralized data dictionary and metric catalog, ensuring consistent definitions across dashboards, reports, and GTM systems
* Partner closely with RevOps, Finance, Product, and GTM stakeholders to define, govern, and evolve shared metrics—aligning on "what is what" as the business grows
* Act as a trusted arbiter for metric definitions, managing versioning, documentation, and change communication
**Model Revenue Data for Downstream GTM Systems**
* Design data models that are consumable by the GTM Systems team for use in downstream operational tools such as Salesforce, Hubspot, and Zendesk
* Expose clean, well\-documented datasets and metrics that can be reliably reused across reporting, automation, and operational workflows
* Partner with the GTM Systems team to ensure data models meet operational needs, performance requirements, and system constraints
* Ensure consistency between analytical models and operational system logic, minimizing metric drift between analytics and GTM tooling
**Own BI Reporting \&amp; Visualization**
* Own the design, development, and ongoing maintenance of RevOps dashboards, reports, and visualizations in our BI tool
* Ensure all reporting is powered by governed, well\-modeled, and tested datasets—avoiding one\-off queries and metric drift
* Partner with GTM, RevOps, and executive stakeholders to translate business needs into scalable, self\-service dashboards
* Continuously audit and improve existing dashboards for accuracy, performance, usability, and clarity
* Define standards and best practices for dashboard design, metric presentation, and reporting governance
**Drive Accuracy, Simplicity \&amp; Trust**
* Get "down in the weeds" to validate data end\-to\-end, using SQL, spreadsheets, and source\-system analysis to trace and resolve discrepancies
* Uphold a "simplicity at scale" philosophy—choosing readable, maintainable SQL over over\-engineered abstractions that accrue technical debt
* Maintain logic at the appropriate layer: when metrics require new or corrected product data, partner with upstream owners rather than introducing brittle downstream workarounds
* Review, audit, and refactor existing dbt models, ELT jobs, and dashboards to improve accuracy, performance, and maintainability
**Enable the Business \&amp; Look Forward**
* Design, build, and maintain dashboards and reports powered by well\-modeled, tested data—avoiding one\-off queries and metric drift
* Support the GTM Systems team by ensuring analytics and reporting dependencies are reliable and well\-documented
* Leverage AI\-assisted development tools to accelerate SQL development, dbt modeling, testing, documentation, and refactoring
* Explore and pilot AI\-enabled approaches to improve data quality, observability, and operational efficiency with sound judgment around accuracy and governance
* Establish and promote best practices for data modeling, testing, documentation, and dashboard governance
**To Qualify for this Role, You Have:**
* 5\+ years of experience in analytics engineering or data engineering, specifically supporting GTM, RevOps, or BizOps functions
* Expert dbt knowledge, including advanced use of incremental strategies, snapshotting, and modular project structure—you know when to use a macro and when not to
* Deep proficiency in SQL with experience optimizing queries for modern distributed warehouses (e.g., Amazon Athena, BigQuery, Snowflake), including partitioning and cost optimization
* Hands\-on experience designing and maintaining analytics\-ready data models and ELT pipelines from application and operational data sources
* Experience implementing or working with semantic layers or governed metrics frameworks (e.g., dbt semantic layer or equivalent)
* A meticulous, almost obsessive approach to data accuracy—you aren't satisfied until the numbers tie out 1:1 and you can prove it
* Demonstrated ability to reconcile complex datasets across systems and identify root causes of discrepancies
* A strong "do it right" mindset, including the ability to push back on unscalable requests and prioritize durable solutions over short\-term fixes
* Understanding of data mesh principles, domain ownership, and the discipline required to maintain a standalone analytics data zone
* Strong communication skills and comfort level in influencing both technical and non\-technical stakeholders
**Bonus points for:**
* Direct experience working on a Revenue Operations team
* Experience supporting Sales, Marketing, Customer Support, and Customer Success analytics
* Experience introducing or maturing a centralized data dictionary and driving organizational adoption of governed metrics
* Exposure to data mesh or domain\-oriented data ownership models in production environments
* Experience applying AI\-assisted development tools to analytics engineering workflows (SQL, dbt, testing, documentation, refactoring)
* Familiarity with revenue lifecycle metrics (pipeline, conversion rates, ARR/MRR, churn, expansion, forecasting)
**We Offer:**
* Pathway to promotion to additional organizational positions and responsibilities based upon results and performance, not just time in the chair. You help us grow, and we will help you grow.
* Passionate and intelligent colleagues who work hard and have a good time doing it
* Paid company\-wide week off at the end of each year
* Flexible Vacation Policy
* Awesome company swag
* Full medical, dental, and vision benefits for US, UK, and Canada\-based employees
* Full short\-term disability and life benefits; available long\-term disability
* Retirement savings account options with vested company matching for qualifying employees
* In\-person annual gatherings. Last time we all spent a week on a beach in Cancun!
*DNSFilter is a pay\-for\-performance organization, which means there is an opportunity to advance your compensation based on performance over time. The hiring base pay is dependent on several factors, including level, function, training, transferable skills, work experience, business needs, and geographic location. As a hybrid company, our compensation reflects the cost of labor across several U.S. and global geographic markets. We pay differently based on those defined markets. Our Talent Team can share more about the specific salary range for the job location during the hiring process.*
*DNSFilter participates in the E\-Verify program.*
*At DNSFilter, we utilize sophisticated software and tools to identify and eliminate Deepfake candidates. This approach helps us maintain the integrity of our hiring process, ensuring that we select the most qualified and genuine individuals to join our team.*</t>
        </is>
      </c>
    </row>
    <row r="52">
      <c r="A52" t="inlineStr">
        <is>
          <t>in-2788472d3845f477</t>
        </is>
      </c>
      <c r="B52" t="inlineStr">
        <is>
          <t>Data Engineering Manager</t>
        </is>
      </c>
      <c r="C52" t="inlineStr">
        <is>
          <t>PrizePicks</t>
        </is>
      </c>
      <c r="D52" t="inlineStr">
        <is>
          <t>indeed</t>
        </is>
      </c>
      <c r="E52">
        <f>HYPERLINK("https://www.indeed.com/viewjob?jk=2788472d3845f477", "https://www.indeed.com/viewjob?jk=2788472d3845f477")</f>
        <v/>
      </c>
      <c r="F52">
        <f>HYPERLINK("https://grnh.se/1xoiignb3us", "https://grnh.se/1xoiignb3us")</f>
        <v/>
      </c>
      <c r="G52" t="inlineStr">
        <is>
          <t>Remote, US</t>
        </is>
      </c>
      <c r="H52" s="3" t="n">
        <v>46056</v>
      </c>
      <c r="I52" t="inlineStr">
        <is>
          <t>At PrizePicks, we are the fastest\-growing sports company in North America, as recognized by Inc. 5000\. As the leading platform for Daily Fantasy Sports, we cover a diverse range of sports leagues, including the NFL, NBA, and Esports titles like League of Legends and Counter\-Strike. Our team of over 450 employees thrives in an inclusive culture that values individuals from diverse backgrounds, regardless of their level of sports fandom. Ready to reimagine the DFS industry together?
We are looking for a Data Engineering Manager to lead a team responsible for building and operating scalable, reliable, and high\-quality data engineering pipelines. This role blends people leadership, technical stewardship, and cross\-functional collaboration to ensure data is trusted, accessible, and delivered in support of analytics, AI, and business decision\-making.
**What you'll do:**
===================
You will manage a team of data engineers, set technical direction, and partner closely with Product, Analytics, Infrastructure, and Business stakeholders to deliver high\-impact data solutions.
**People \&amp; Team Leadership**
* Lead, mentor, and develop a team of Data Engineers through regular 1:1s, coaching, and performance feedback
* Own hiring, onboarding, career development, and performance management for the team
* Foster a culture of accountability, ownership, collaboration, and continuous improvement
* Balance delivery expectations with sustainable team practices
**Technical \&amp; Delivery Ownership**
* Own the design, development, and operation of data ingestion, transformation, and storage pipelines (batch and streaming)
* Ensure reliability, scalability, performance, and cost efficiency of data systems
* Drive best practices in data modeling, data quality, observability, and operational excellence
* Review and guide technical designs, architecture decisions, and code quality
* Partner with platform and infrastructure teams on tooling, security, and scalability
**Execution \&amp; Stakeholder Collaboration**
* Translate business and analytics requirements into scalable technical solutions
* Partner with Product, Analytics Engineering, Data Science, and Business teams to deliver trusted datasets and metrics
* Own sprint planning, prioritization, and delivery commitments
* Communicate progress, risks, and tradeoffs clearly to stakeholders and leadership
**Governance \&amp; Standards**
* Establish and enforce data engineering standards, patterns, and documentation
* Support data governance, data contracts, and schema management
* Ensure compliance with security, privacy, and data retention requirements
**What you have:**
==================
* A graduate degree in Computer Science, Mathematics, or a related quantitative field.
* 8\+ years of experience in Data Engineering or related roles
* 3\+ years leading engineers (hiring, coaching, delivery accountability).
* Strong distributed systems fundamentals (scaling, reliability, data correctness).
* Hands\-on ability in Python and/or Java (can dive into code and unblock delivery).
* Experience with cloud data ecosystems (GCP \- Preferred, AWS, or Azure)
* Proficiency with SQL and at least one programming language (Python, Java, or Scala)
* Experience with orchestration tools (Airflow, Argo, etc.)
* Solid understanding of data modeling, ETL/ELT patterns, and data reliability
* Experience with streaming technologies (Kafka, Flink, Spark Streaming)
* Experience with modern data warehouses / lakehouses (BigQuery, Snowflake, Redshift, Iceberg)
* Familiarity with analytics engineering tools (dbt, semantic layers)
* Exposure to data governance, observability, and data quality tooling
* Self\-starter \+ ownership: drives ambiguous problems to durable solutions.
* Builds and grows teams: mentors, raises the bar, and develops talent.
**Where you'll live:**
======================
* While we prefer candidates based in Atlanta, we are open to qualified applicants from anywhere in the U.S. and are willing to consider remote candidates. \#LI\-Remote
**Working at PrizePicks:**
==========================
The typical salary range for this position is $150,000 to $220,000\. At PrizePicks, we consider your role, level, and where you'll be working when determining our salary ranges. The compensation info you see on our job postings gives you an idea of the starting pay range for the position. Your actual pay within that range will depend on your specific work location, as well as your skills, experience, and education. Your recruiter will be happy to chat more about the specific pay range for your location and how we arrived at it during the hiring process.
This application period will remain open for 30 days. We're committed to finding the best candidate, so this date may be adjusted, and any changes will be reflected in this posting.
Date Posted: 2/4/2026
**Benefits you'll receive:**
============================
In addition to your great compensation package, full\-time employees will be eligible for the following perks:
* Company\-subsidized medical, dental, \&amp; vision plans
* 401(k) plan with company match
* Annual bonus
* Flexible PTO to encourage a healthy work/life balance (2 weeks STRONGLY encouraged!)
* Generous paid leave programs, including 16\-week paid parental leave and disability benefits
* Workplace flexibility and modern work schedules focused on getting the job done, not hours clocked
* Company\-wide in\-person events and team outings
* Lifestyle enhancement program
* Company equipment provided (Windows \&amp; Mac options)
* Annual performance reviews with opportunities for growth and career development
**You must be authorized to work for any employer in the U.S. We are unable to sponsor or take over sponsorship of an employment Visa at this time.**
*PrizePicks is an Equal Opportunity Employer. All applicants will be considered for employment without attention to race, color, religion, sex, sexual orientation, gender identity, national origin, veteran or disability status.*</t>
        </is>
      </c>
    </row>
    <row r="53">
      <c r="A53" t="inlineStr">
        <is>
          <t>in-d4bdc435e4d32822</t>
        </is>
      </c>
      <c r="B53" t="inlineStr">
        <is>
          <t>Data Engineer</t>
        </is>
      </c>
      <c r="C53" t="inlineStr">
        <is>
          <t>Abarca Health</t>
        </is>
      </c>
      <c r="D53" t="inlineStr">
        <is>
          <t>indeed</t>
        </is>
      </c>
      <c r="E53">
        <f>HYPERLINK("https://www.indeed.com/viewjob?jk=d4bdc435e4d32822", "https://www.indeed.com/viewjob?jk=d4bdc435e4d32822")</f>
        <v/>
      </c>
      <c r="F53">
        <f>HYPERLINK("https://grnh.se/cr8h64dy3us", "https://grnh.se/cr8h64dy3us")</f>
        <v/>
      </c>
      <c r="G53" t="inlineStr">
        <is>
          <t>San Juan, PR, US</t>
        </is>
      </c>
      <c r="H53" s="3" t="n">
        <v>46056</v>
      </c>
      <c r="I53" t="inlineStr">
        <is>
          <t>**What** **you'll** **do**
*In a few words…*
*Abarca is igniting a revolution in healthcare. We built our company on the belief that with smarter technology we are redefining pharmacy benefits, but this is just the beginning…*
As Data Engineer you'll design and implement enterprise\-level data solutions that serve a dynamic community of internal and external clients. You will work with product owners, software engineers, quality assurance teams and technology leaders to provide design guidelines that offer technical solutions and support complex decision making. You will be part of our EDI and Data Warehouse transformation designing and developing new solutions using cloud native technologies.
*The fundamentals for the job…*
* Provide technical coaching, guidance and support in the development and deployment of complex backend processes and APIs.
* Collaborate with Software Engineers and end users to understand business and client needs; then, create optimal software / technology solutions to address those needs.
* Define product requirements for creating high\-level architectural specifications, ensuring feasibility, functionality, and integration with existing systems and services.
* Lead the way within classifying and documenting development of best practices, processes, and methodologies.
* Develop scalable and maintainable designs supports loosely\-coupled enterprise components and fosters reuse of software.
* Make high\-level design choices and instruct on technical standards, including software coding, tools, and platforms.
* Develop and define frameworks for new applications.
* Lead data engineers from existing to future software architectures.
* Cultivate and disseminate knowledge of application development best practices, as well as take an active role in cross‐departmental projects when needed.
**What we expect of you**
*The bold requirements…*
* Bachelor's or Master's Degree in Computer Engineering, Computer Science, or related field. (In lieu of a degree, equivalent relevant experience may be considered.)
* 3\+ years of work experience as a Programmer, Technical or Systems Analyst, or in roles emphasizing Programming, Relational Database Programming or Relational Database Administration.
* Experience working with Microsoft's .NET Framework, Java, Angular, Object\-Oriented languages, and Design Patterns.
* Experience with any major database (MS SQL Server, Oracle, MySQL, Postgres, etc.), Database Design, Database Optimization.
* Excellent oral and written communication skills.
* We are proud to offer a flexible hybrid work model which will require certain on\-site workdays (Puerto Rico Location Only)
* This position requires availability to work in a specified time zone or working schedule, accommodating the business needs of our clients and team members.
* This position may require availability for on\-call hours, including evenings, weekends, and holidays, to promptly address emergent issues or provide necessary support as dictated by operational demands (if applicable).
*Nice to haves…*
* Microsoft Certified Application or Professional Developer.
* Experience with X12, NCPDP, and/or EDI standards.
Physical requirements…
* Must be able to access and navigate each department at the organization's facilities.
* Sedentary work that primarily involves sitting/standing.
***At Abarca we value and celebrate diversity. Diversity, equity, inclusion, and belonging are guiding principles of Abarca and ensure Abarca's workforce reflects the communities it serves******.*** ***We are proud to provide equal employment opportunities to all employees and applicants for employment and prohibit discrimination and harassment of any type without regard to race, color, religion, age, sex, national origin, disability status, medical condition, genetic information, protected veteran status, sexual orientation, gender identity or expression, or any other characteristic protected by federal, state, or local laws.***
***Abarca Health LLC is an equal employment opportunity employer and*** ***participates*** ***in E\-Verify******.*** ***"Abarca Health LLC does not sponsor employment visas at this time"***
***The above description is not intended to limit the scope of the job or to exclude other duties not mentioned. It is not a final set of specifications for the position.*** ***It's*** ***simply meant to give readers an idea of what the role entails.***
\#LI\-HYBRID \#LI\-MH1</t>
        </is>
      </c>
    </row>
    <row r="54">
      <c r="A54" t="inlineStr">
        <is>
          <t>in-b629b2a476a2a1cc</t>
        </is>
      </c>
      <c r="B54" t="inlineStr">
        <is>
          <t>Senior Data Engineer</t>
        </is>
      </c>
      <c r="C54" t="inlineStr">
        <is>
          <t>Chenega Corporation</t>
        </is>
      </c>
      <c r="D54" t="inlineStr">
        <is>
          <t>indeed</t>
        </is>
      </c>
      <c r="E54">
        <f>HYPERLINK("https://www.indeed.com/viewjob?jk=b629b2a476a2a1cc", "https://www.indeed.com/viewjob?jk=b629b2a476a2a1cc")</f>
        <v/>
      </c>
      <c r="F54">
        <f>HYPERLINK("https://rr.jobsyn.org/AF80B64C195B4369AD611D67406076281554", "https://rr.jobsyn.org/AF80B64C195B4369AD611D67406076281554")</f>
        <v/>
      </c>
      <c r="G54" t="inlineStr">
        <is>
          <t>Arlington, VA, US</t>
        </is>
      </c>
      <c r="H54" s="3" t="n">
        <v>46056</v>
      </c>
      <c r="I54" t="inlineStr">
        <is>
          <t>**Req ID:** 39164
**Summary**
**Senior Data Engineer**
**Arlington, VA**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level!
The **Senior Data Engineer** will serve as a senior technical expert responsible for architecting and implementing the data infrastructure that powers critical DARPA operational missions. This role requires translating complex data requirements from end\-users, data scientists, and mission operators into secure, scalable, and high\-performance data solutions. You will be responsible for the full lifecycle of data engineeringfrom building robust ETL/ELT pipelines and managing data warehouses in GovCloud environments to ensuring data integrity and compliance with stringent DoD security protocols. The position involves direct engagement with mission stakeholders to ensure the data ecosystem is optimized for advanced analytics, machine learning, and timely decision\-making in high\-stakes environments.
**Responsibilities**
* Design, build, and maintain secure, scalable, and reliable data pipelines within DoD\-compliant environments.
* Develop robust ETL/ELT processes to ingest, transform, and load data from diverse and often classified sources, ensuring data integrity and proper handling.
* Implement data quality checks and monitoring to guarantee the accuracy and availability of mission\-critical data.
* Build and manage data infrastructure in DoD cloud environments (e.g., AWS GovCloud, Azure Government) and on\-premises classified networks.
* Design and implement data warehousing, data lakes, and data models that are optimized for performance and security in a high\-stakes environment.
* Implement security controls, data governance, and access management compliant with DoD policies, STIGs (Security Technical Implementation Guides), and data classification levels.
* Collaborate with intelligence analysts, data scientists, and mission stakeholders to understand their data requirements and deliver effective solutions.
* Create and maintain comprehensive technical documentation for data architectures, pipelines, and processes in accordance with DoD standards.
* Automate manual processes and optimize data delivery to improve the efficiency and effectiveness of mission support operations.
* Other duties as assigned.
**Qualifications**
* Bachelors degree in computer science, Engineering, Information Systems, or a related technical field. A masters degree is a plus.
* 7\+ years of progressive experience in data engineering, with a significant portion of that time spent in a DoD, IC, or other federal agency environment.
* Demonstrated experience leading the design and architecture of complex, large\-scale data solutions from requirements gathering to deployment.
* Proven track record of mentoring junior engineers and providing technical guidance to the team.
* Extensive hands\-on experience building and optimizing data pipelines in government cloud environments (AWS GovCloud, Azure Government) and on\-premises classified networks.
* Deep experience handling, processing, and securing data across various classification levels (CUI, Secret, TS/SCI).
* IAT/IAM Level II or III Certification.
* Active Top Secret with the ability to obtain TS/SCI clearance
**Knowledge, Skills, and Abilities:**
* Strong proficiency in programming languages such as Python, Java, or Scala.
* Expertise with big data technologies such as Spark, Hadoop, and Kafka.
* Knowledge of data pipeline and workflow management tools like Airflow.
* Deep understanding of database systems (SQL and NoSQL), data warehousing concepts, and data modeling in a secure context.
**How youll grow**
At Chenega MIOS, our professional development plan focuses on helping our team members at every level of their careers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Chenegas impact on the world.
Chenega MIOS News\- https://chenegamios.com/news/
**Tips from your Talent Acquisition Team**
We want job seekers exploring opportunities at Chenega MIOS to feel prepared and confident. To help you with your research, we suggest you review the following links:
Chenega MIOS web site \- www.chenegamios.com
Glassdoor \- https://www.glassdoor.com/Overview/Working\-at\-Chenega\-MIOS\-EI\\\_IE369514\.11,23\.htm
LinkedIn \- https://www.linkedin.com/company/1472684/
Facebook \- https://www.facebook.com/chenegamios/
Chenega Corporation and family of companies is an EOE.
Equal Opportunity Employer/Veterans/Disabled
Native preference under PL 93\-638\.
We participate in the E\-Verify Employment Verification Program</t>
        </is>
      </c>
    </row>
    <row r="55">
      <c r="A55" t="inlineStr">
        <is>
          <t>in-828b667c25e78bbd</t>
        </is>
      </c>
      <c r="B55" t="inlineStr">
        <is>
          <t>Data Engineer Prin</t>
        </is>
      </c>
      <c r="C55" t="inlineStr">
        <is>
          <t>American Electric Power</t>
        </is>
      </c>
      <c r="D55" t="inlineStr">
        <is>
          <t>indeed</t>
        </is>
      </c>
      <c r="E55">
        <f>HYPERLINK("https://www.indeed.com/viewjob?jk=828b667c25e78bbd", "https://www.indeed.com/viewjob?jk=828b667c25e78bbd")</f>
        <v/>
      </c>
      <c r="F55">
        <f>HYPERLINK("https://aep.wd1.myworkdayjobs.com/AEPCareerSite/job/Columbus-OH/Data-Engineer-Prin_R13686", "https://aep.wd1.myworkdayjobs.com/AEPCareerSite/job/Columbus-OH/Data-Engineer-Prin_R13686")</f>
        <v/>
      </c>
      <c r="G55" t="inlineStr">
        <is>
          <t>Columbus, OH, US</t>
        </is>
      </c>
      <c r="H55" s="3" t="n">
        <v>46056</v>
      </c>
      <c r="I55" t="inlineStr">
        <is>
          <t>**Job Posting End Date**
02\-16\-2026
Please note the job posting will close on the day before the posting end date.
**Job Summary**
At AEP, we’re more than just an energy company!  
We’re a team of dedicated professionals committed to delivering safe, reliable, and innovative energy solutions. Guided by our mission to put the customer first, we strive to exceed expectations by listening, responding, and continuously improving the way we serve our communities. If you're passionate about making a meaningful impact and being part of a forward\-thinking organization, this is the company for you!**Job Description**
Part of a larger team delivering high quality technology solutions to the business. Design, develop and installs advanced software solutions. Build high\-quality, innovative and fully performing software in compliance with internal architecture, development \&amp; design standards \&amp; best practices. Design, modify, develop, write, implement and troubleshoot software programming applications. Support and/or install software applications. Participate in the testing process through test review and analysis, test witnessing and certification of software. Works within a Waterfall or Agile methodology/framework based team. Collaborates heavily with Project Management, Business Analyst and Infrastructure Job Families.
**What You'll Do:**
* Participate in analysis sessions and support data analysts to document data mapping and ETL requirements.
* Lead the Design, Development, and Implementation of data models, ETL solutions to integrate functional data into Process Intelligence and Mining tool, Celonis.
* Ensure connections to source systems via JDBC and Kafka are reliable and secure.
* Maintain and provide operational support to Celonis production platform.
* Govern access rights for the Celonis processes.
* Optimize Celonis data models, ETL processes for performance and scalability.
* Design, Develop, implement audit processes to ensure data integrity from application platforms to Celonis.
* Provide ongoing support to business and technology teams to ensure continuous improvement in the areas of Process Intelligence and Automation.
* Facilitate and lead the establishment of governance and best practices in the Process Intelligence and Automation space.
* Assist management with setting strategic, tactical goals for the team and plans to execute them.
* Experience with Agile Scrum Framework, Kanban.
**What We're Looking For:**
Education: Bachelor's degree in computer science, engineering, or related technical field is required.
Experience: 7 years relevant work experience is required.
An equivalent combination of education and related experience may be considered.
**Qualifications:**
* Bachelor’s degree in engineering, Computer Science, Information Technology, or a related field.
* Strong SQL, PL/SQL skills are a MUST.
* Proven experience with data analysis, modeling, building ETL solutions, Celonis process mining tools.
* Solid analytical skills with an ability to interpret complex data sets.
* Excellent communication and interpersonal skills with a strong collaboration mindset.
**Preferred Skill:**
* Experience with Celonis HIGHLY PERFERRED.
* Celonis certification will be a plus.
* Experience with KAFKA desirable.
* Knowledge of Python and other programming languages for automation.
* Solid understanding of ERP systems (Maximo, PeopleSoft, Oracle) and related databases
**What You'll Get:**
$98,993 \- $128,689
**In addition to a competitive compensation, AEP offers a unique comprehensive benefits package that aims to support and enhance the overall well\-being of our employees.**
**Compensation Data**
**Compensation Grade:**
SP20\-008**Compensation Range:**
$98,993\.00 \- $128,688\.00
The Physical Demand Level for this job is: S – Sedentary Work: Exerting up to 10 pounds of force occasionally (Occasionally: activity or condition exists up to 1/3 of the time) and/or a negligible amount of force frequently. (Frequently: activity or condition exists from 1/3 to 2/3 of the time) to lift, carry, push, pull or otherwise move objects, including the human body. Sedentary work involves sitting most of the time but may involve walking or standing for brief periods of time. Jobs are sedentary if walking and standing are required only occasionally, and all other sedentary criteria are met.
**Hear about it first!** Get job alerts by email. Log in to your Candidate Home Account today! If you don't have an account, you can create one.
It is hereby reaffirmed that it is the policy of American Electric Power (AEP) to provide Equal Employment Opportunity in all respects of the employer\-employee relationship including recruiting, hiring, upgrading and promotion, conditions and privileges of employment, company sponsored training programs, educational assistance, social and recreational programs, compensation, benefits, transfers, discipline, layoffs and termination of employment to all employees and applicants without discrimination because of race, color, religion, sex (including pregnancy, gender identity, and sexual orientation), national origin, age, veteran or military status, disability, genetic information, or any other basis prohibited by applicable law. When required by law, we might record certain information or applicants for employment may be invited to voluntarily disclose protected characteristics.</t>
        </is>
      </c>
    </row>
    <row r="56">
      <c r="A56" t="inlineStr">
        <is>
          <t>in-7fb032b871515cdc</t>
        </is>
      </c>
      <c r="B56" t="inlineStr">
        <is>
          <t>Data Engineer II (AWS, Python, SQL)</t>
        </is>
      </c>
      <c r="C56" t="inlineStr">
        <is>
          <t>Travelers</t>
        </is>
      </c>
      <c r="D56" t="inlineStr">
        <is>
          <t>indeed</t>
        </is>
      </c>
      <c r="E56">
        <f>HYPERLINK("https://www.indeed.com/viewjob?jk=7fb032b871515cdc", "https://www.indeed.com/viewjob?jk=7fb032b871515cdc")</f>
        <v/>
      </c>
      <c r="F56">
        <f>HYPERLINK("https://travelersindex.contacthr.com/150912636", "https://travelersindex.contacthr.com/150912636")</f>
        <v/>
      </c>
      <c r="G56" t="inlineStr">
        <is>
          <t>Hartford, CT, US</t>
        </is>
      </c>
      <c r="H56" s="3" t="n">
        <v>46056</v>
      </c>
      <c r="I56"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$126,500\.00 \- $208,700\.00**Target Openings**
1**What Is the Opportunity?**
As a Data Engineer II at Travelers, you’ll play a meaningful role in how Business Insurance Property and General Liability pricing decisions are powered by data. Working alongside Actuarial and Data Science partners, you’ll help turn analytical ideas into trusted, production\-grade assets that directly influence pricing outcomes across core insurance products.  
You’ll build deep domain expertise in Property and GL while contributing to modernization efforts and future\-facing pricing capabilities. Through complex, high\-visibility initiatives, your work will strengthen data reliability, model readiness, and long\-term scalability across pricing platforms.  
The ideal candidate is motivated by solving complex data engineering problems and collaborating across functions. Your contributions will help advance Travelers’ pricing strategies in a dynamic and evolving insurance marketplace.**What Will You Do?**
* Own and deliver data pipeline development and ongoing support for Property and GL pricing use cases
* Lead model implementation for Property and GL pricing models in partnership with Data Science and Actuarial teams
* Build and serve as the GL data subject matter expert to support benchmarks, modernization initiatives, and future enhancements
* Provide project leadership, planning, and execution across Property and GL data engineering initiatives
* Execute complex data preparation activities, including exploration, cleansing, and transformation, with awareness of enterprise architecture, platforms, and downstream consumption patterns
* Translate actuarial and data science requirements into scalable, production\-ready data solutions
* Adopt and embed MLOps practices across the model development and implementation lifecycle
* Establish data quality controls, profiling, and monitoring for model implementation and ongoing performance
* Present analysis and technical recommendations to influence data architecture and implementation decisions
* Provide technical leadership through code reviews, design guidance, and mentoring within the team
* Apply agile methodologies to plan, prioritize, and deliver work across concurrent initiatives
* Perform other duties as assigned
**What Will Our Ideal Candidate Have?**
* Bachelor’s Degree in STEM related field or equivalent.
* Eight years of related experience.
* Experience with building, maintaining, and scaling data pipelines.
* Strong interest in understanding business context and translating business needs into technical solutions.
* Proficiency in SQL and Python programming languages.
* Experience with AWS Cloud Platform.
* Preferred qualifications include experience with model implementation in cloud environments, experience with Infrastructure as Code (IaC), particularly with Terraform, and a balanced skill\-set with focus beyond traditional ETL processes.
* Highly proficient use of tools, techniques, and manipulation including Cloud platforms, programming languages, and a full understanding of modern software engineering practices.
* The ability to deliver work at a steady, predictable pace to achieve commitments, deliver complete solutions but release them in small batches, and identify and negotiate important tradeoffs.
* Demonstrated track record of domain expertise including understanding technical concepts necessary and industry trends, and possess in\-depth knowledge of immediate systems worked on and some knowledge of adjacent systems.
* Strong problem solver who ensures systems are built with longevity and creates innovate ways to resolve issues.
* Strong written and verbal communication skills with the ability to work collaborate well with team members and business partners.
* Ability to lead team members and help create a safe environment for others to learn and grow as engineers. and a proven track record of self\-motivation in identifying opportunities and tracking team efforts.
**What is a Must Have?**
* Bachelor’s degree in computer science, related STEM field, or its equivalent in education and/or work experience.
* 4 additional years of data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57">
      <c r="A57" t="inlineStr">
        <is>
          <t>in-2ee164832db4d71c</t>
        </is>
      </c>
      <c r="B57" t="inlineStr">
        <is>
          <t>Data Engineer Sr</t>
        </is>
      </c>
      <c r="C57" t="inlineStr">
        <is>
          <t>Sundt</t>
        </is>
      </c>
      <c r="D57" t="inlineStr">
        <is>
          <t>indeed</t>
        </is>
      </c>
      <c r="E57">
        <f>HYPERLINK("https://www.indeed.com/viewjob?jk=2ee164832db4d71c", "https://www.indeed.com/viewjob?jk=2ee164832db4d71c")</f>
        <v/>
      </c>
      <c r="F57">
        <f>HYPERLINK("https://eewl.fa.us6.oraclecloud.com/hcmUI/CandidateExperience/en/sites/CX/requisitions/preview/9463", "https://eewl.fa.us6.oraclecloud.com/hcmUI/CandidateExperience/en/sites/CX/requisitions/preview/9463")</f>
        <v/>
      </c>
      <c r="G57" t="inlineStr">
        <is>
          <t>Phoenix, AZ, US</t>
        </is>
      </c>
      <c r="H57" s="3" t="n">
        <v>46056</v>
      </c>
      <c r="I57" t="inlineStr">
        <is>
          <t>As a 100% employee\-owned contractor, when you work at Sundt, you’re not just hiring on at a company, you’re joining a culture. Because everyone at Sundt is part owner, you’ll join a team of people who are deeply invested in their work. From apprentices to managers, we’re passionate about the details and deliberate in everything we do.
Job Summary
The Senior Data Engineer leads the design, implementation, and optimization of enterprise\-scale data solutions that enable analytics, reporting, and data\-driven decision\-making across the organization. This role provides technical leadership in building robust data architectures, pipelines, and data models while ensuring high standards for data quality, performance, security, and governance. Senior Data Engineers partner closely with business leaders, architects, and development teams to translate complex requirements into scalable solutions, mentor junior engineers, and drive the adoption of best practices and emerging data technologies that advance the organization's data strategy.
Key Responsibilities
1\. Architect, build, and govern scalable data pipelines to ensure reliability, performance, and data quality.
2\. Define and enforce standards for data modeling, documentation, and data quality validation.
3\. Lead development of Power Bl semantic models, optimized datasets, dashboards, and complex DAX measures.
4\. Lead the design and optimization of databases and data solutions supporting enterprise integrations and applications.
5\. Mentor junior engineers and drive adoption of best practices and emerging data technologies.
6\. Oversee and optimize data platforms, including Azure cloud\-native solutions and Azure Data Factory pipelines, with a focus on scalability, reliability, and cost optimization.
7\. Own and evolve data warehouse architectures to support advanced analytics and reporting.
8\. Partner with business and technical leaders to translate complex requirements into secure, scalable data solutions.
Minimum Job Requirements
1\. 5\+ years of professional experience using SQL to design, optimize, and support complex data models, queries, and transformations in production data environments.
2\. Advanced experience with modern data and analytics tools such as Databricks/Spark, Power Bl, Git, Python, Azure data services, and Cl/CD pipelines.
3\. Bachelor's Degree in Computer Science, Information Systems, Data Analytics, or a related field OR an equivalent combination of education and significant relevant experience.
4\. Proven ability to independently lead and deliver complex data engineering solutions, manage competing priorities, and troubleshoot high\-impact data issues.
5\. Strong verbal and written communication skills, with the ability to influence technical decisions, collaborate with business leaders, and mentor junior engineers.
**Note:** Job Description is subject to change at any time and may include other duties as assigned.
Physical Requirements
1\. May stoop, kneel, or bend, on an occasional basis
2\. Must be able to comply with all safety standards and procedures
3\. Required to use hands to grasp, lift, handle, carry or feel objects on a frequent basis
4\. Will interact with people and technology frequently during a shift/work day
5\. Will lift, push or pull objects up to 501bs on an occasional basis.
6\. Will sit, stand or walk short distances for up to the entire duration of a shift/work day.
7\. Will use telephone, computer system, email, and other electronic devices on a frequent basis to communicate with internal and external customers or vendors
**Equal Opportunity Employer Statement:**  
Sundt is committed to the equal treatment of all employees, and/or applicants for employment, and prohibits discrimination based on race, religion, sex (including pregnancy), sexual orientation, gender identity, color, age, disability, national origin, covered veteran status, genetic information; or any other classification protected by applicable Federal, state, or local laws.
**Benefit list:**  
Market Competitive Salary (paid weekly)
Bonus Eligibility based on company, group, and individual performance
Employee Stock Ownership Plan \&amp; 401K
Industry Leading Health Coverage Starting Your First Day
Flexible Time Off (FTO)
Medical, Health Savings, and Wellness credits
Flexible Spending Accounts
Employee Assistance Program
Workplace Wellness Programs
Mental Health Program
Life and Disability Insurance
Employee\-Owner Perks
Educational Assistance
Sundt Foundation \- Charitable Employee\-Owner's program
\#LI\-IF1
As a 100% employee\-owned contractor, when you work at Sundt, you’re not just hiring on at a company, you’re joining a culture. Because everyone at Sundt is part owner, you’ll join a team of people who are deeply invested in their work. From apprentices to managers, we’re passionate about the details and deliberate in everything we do.
At Sundt we focus on building long\-term prosperity for our clients, communities and employee\-owners. We offer competitive pay, industry\-leading benefits including a 401k and employee stock ownership plan, incentive programs for craft and administrative employees as well as training that focuses on your personal and professional growth. We’re driven by skill, grit and purpose. Join us as we strive to be the most skilled builder in America.
**Equal Opportunity Employer Statement:**  
Sundt is committed to the equal treatment of all employees, and/or applicants for employment, and prohibits discrimination based on race, religion, sex (including pregnancy), sexual orientation, gender identity, color, age, disability, national origin, covered veteran status, genetic information; or any other classification protected by applicable Federal, state, or local laws.
**Benefit list:**  
Market Competitive Salary (paid weekly)
Bonus Eligibility based on company, group, and individual performance
Employee Stock Ownership Plan \&amp; 401K
Industry Leading Health Coverage Starting Your First Day
Flexible Time Off (FTO)
Medical, Health Savings, and Wellness credits
Flexible Spending Accounts
Employee Assistance Program
Workplace Wellness Programs
Mental Health Program
Life and Disability Insurance
Employee\-Owner Perks
Educational Assistance
Sundt Foundation \- Charitable Employee\-Owner's program</t>
        </is>
      </c>
    </row>
    <row r="58">
      <c r="A58" t="inlineStr">
        <is>
          <t>in-d8fc1fc5442fddcf</t>
        </is>
      </c>
      <c r="B58" t="inlineStr">
        <is>
          <t>Lead Data Engineer</t>
        </is>
      </c>
      <c r="C58" t="inlineStr">
        <is>
          <t>New Relic</t>
        </is>
      </c>
      <c r="D58" t="inlineStr">
        <is>
          <t>indeed</t>
        </is>
      </c>
      <c r="E58">
        <f>HYPERLINK("https://www.indeed.com/viewjob?jk=d8fc1fc5442fddcf", "https://www.indeed.com/viewjob?jk=d8fc1fc5442fddcf")</f>
        <v/>
      </c>
      <c r="F58">
        <f>HYPERLINK("https://job-boards.greenhouse.io/newrelic/jobs/5103771008", "https://job-boards.greenhouse.io/newrelic/jobs/5103771008")</f>
        <v/>
      </c>
      <c r="G58" t="inlineStr">
        <is>
          <t>San Francisco, CA, US</t>
        </is>
      </c>
      <c r="H58" s="3" t="n">
        <v>46056</v>
      </c>
      <c r="I58" t="inlineStr">
        <is>
          <t>We are a global team of innovators and pioneers dedicated to shaping the future of observability. At New Relic, we build an intelligent platform that empowers companies to thrive in an AI\-first world by giving them unparalleled insight into their complex systems. As we continue to expand our global footprint, we're looking for passionate people to join our mission. If you're ready to help the world's best companies optimize their digital applications, we invite you to explore a career with us!
**Your opportunity**  
We're looking for a Lead Data Engineer to drive deep business understanding and leverage data to identify critical business checks, anomalies, and define key business rules. You will play a pivotal role in bridging the gap between business needs and technical execution, working closely with ML and Data teams to translate insights into robust data solutions and define compelling project definitions. This role is crucial for enabling both internal teams and New Relic customers to gain trusted and actionable insights from data, driving strategic business outcomes.
**What you'll do**
* Deeply understand business processes, objectives, and challenges to identify key business metrics and opportunities for data\-driven improvement.
* Proactively identify and analyze business anomalies, conducting root cause analysis and recommending corrective actions.
* Define and document clear, actionable business rules to ensure data quality, consistency, and integrity across systems.
* Collaborate closely with ML and Data Engineering teams to translate business requirements into technical specifications for data pipelines, models, and analytical solutions.
* Lead the definition and scoping of data\-driven projects, including business use cases, success criteria, and key deliverables.
* Develop and implement robust data validation and quality checks to ensure the accuracy and reliability of business\-critical data.
* Design and build insightful dashboards and reports that provide business stakeholders with actionable insights and monitor key performance indicators.
* Contribute to internal and customer\-facing data product strategy, focusing on business value and user adoption.
* Lead incident response for data quality or business rule issues, conducting root cause analysis and implementing preventative measures.
**This role requires**
* 7\+ years of experience in data analysis, with a strong emphasis on business analysis and defining business rules.
* Proven ability to deeply understand business processes and translate complex business problems into data analysis requirements.
* Strong analytical skills with experience in identifying anomalies, trends, and patterns in large datasets.
* Proficiency in SQL for data extraction, manipulation, and analysis.
* Experience with data visualization tools (e.g., Tableau, Looker, Power BI) for creating impactful dashboards and reports.
* Excellent communication and interpersonal skills, with the ability to effectively collaborate with business stakeholders, ML engineers, and data engineers.
* Ability to think productively and partner with business and AI teams to drive data\-driven solutions.
* Familiarity with data governance principles and best practices.
**Bonus points if you have**
* Experience working with ML/AI teams on defining data requirements for model development and deployment.
* Understanding of data pipeline concepts and ETL/ELT processes.
* Exposure to cloud data platforms (e.g., Snowflake, BigQuery, Redshift).
* Experience with statistical analysis or data modeling techniques.
Please note that visa sponsorship is not available for this position.
*\#LI\-MM4 \#LI\-Remote*
The pay range below represents a reasonable estimate of the salary for the listed position. This role is eligible for a corporate bonus plan. Pay within this range varies by work location and may also depend on job\-related factors such as an applicant’s skills, qualifications, and experience.
New Relic provides a variety of benefits for this role, including healthcare, dental, vision, parental leave and planning, and mental health benefits, a 401(k) plan and match, flex time\-off, 11 paid holidays, volunteer time\-off, and other competitive benefits designed to improve the lives of our employees.
**Estimated Base Pay Range**
$169,000 \- $211,000 USD
Fostering a diverse, welcoming and inclusive environment is important to us. We work hard to make everyone feel comfortable bringing their best, most authentic selves to work every day. We celebrate our talented Relics’ different backgrounds and abilities, and recognize the different paths they took to reach us – including nontraditional ones. Their experiences and perspectives inspire us to make our products and company the best they can be. We’re looking for people who feel connected to our mission and values, not just candidates who check off all the boxes.
If you require a reasonable accommodation to complete any part of the application or recruiting process, please reach out to resume@newrelic.com.
We believe in empowering all Relics to achieve professional and business success through a flexible workforce model. This model allows us to work in a variety of workplaces that best support our success, including fully office\-based, fully remote, or hybrid.
**Our hiring process**  
In compliance with applicable law, all persons hired will be required to verify identity and eligibility to work and to complete employment eligibility verification. Note: Our stewardship of the data of thousands of customers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develops and distributes encryption software and technology that complies with U.S. export controls and licensing requirements. Certain New Relic roles require candidates to pass an export compliance assessment as a condition of employment in any global location. If relevant, we will provide more information later in the application process.
Candidates are evaluated based on qualifications, regardless of race, religion, ethnicity, national origin, sex, sexual orientation, gender expression or identity, age, disability, neurodiversity, veteran or marital status, political viewpoint, or other legally protected characteristics.
Review our Applicant Privacy Notice at https://newrelic.com/termsandconditions/applicant\-privacy\-policy</t>
        </is>
      </c>
    </row>
    <row r="59">
      <c r="A59" t="inlineStr">
        <is>
          <t>in-cfe9c39501faedf2</t>
        </is>
      </c>
      <c r="B59" t="inlineStr">
        <is>
          <t>6032, DIRECTOR, DATA ENGINEERING</t>
        </is>
      </c>
      <c r="C59" t="inlineStr">
        <is>
          <t>Memorial Health</t>
        </is>
      </c>
      <c r="D59" t="inlineStr">
        <is>
          <t>indeed</t>
        </is>
      </c>
      <c r="E59">
        <f>HYPERLINK("https://www.indeed.com/viewjob?jk=cfe9c39501faedf2", "https://www.indeed.com/viewjob?jk=cfe9c39501faedf2")</f>
        <v/>
      </c>
      <c r="F59">
        <f>HYPERLINK("https://jobs.memorial.health/job/2026-32132/", "https://jobs.memorial.health/job/2026-32132/")</f>
        <v/>
      </c>
      <c r="G59" t="inlineStr">
        <is>
          <t>Springfield, IL, US</t>
        </is>
      </c>
      <c r="H59" s="3" t="n">
        <v>46056</v>
      </c>
      <c r="I59" t="inlineStr">
        <is>
          <t>Posted Today
Tracking Code 2026\-32132
**Position Summary**
--------------------
Full\-Time
Day Shift
$63\.32 \- $101\.32
The Director of Data Engineering leads the strategy, design, and execution of the organization’s data architecture, pipelines, and platforms. This role oversees the development, optimization, and governance of enterprise data assets to ensure reliability, scalability, security, and performance. The Director partners closely with analytics, application development, data science, and operational leaders to deliver high\-quality data products that enable advanced analytics, operational efficiency, and strategic decision\-making. The role manages a high\-performing team of data engineers and architects, drives adoption of modern cloud and data engineering standards, and ensures compliance with regulatory and organizational data governance requirements.
Please note this position is onsite in Springfield, IL.
### **Highlights \&amp; Benefits**
* Paid Time Off (PTO)
* Memorial Childcare
* Mental Health Services
* Growth Opportunities
* Continuing Education
* Local and National Discounts
* Pet Insurance
* Medical, Dental, Vision
* Flexible Spending Account
* 401(k)
* Life Insurance and Voluntary Benefits
* Employee Assistance Program and Colleague Wellness
* Adoption Assistance
#### **Required Skills**
Principle Duties \&amp; Responsibilities:  
1\. Develop and lead the enterprise data engineering strategy, ensuring alignment with organizational priorities, analytics needs, and digital transformation goals.  
2\. Provide leadership to a team of data engineers, architects, and integration specialists, cultivating a high\-performance culture focused on reliability, innovation, and continuous improvement.  
3\. Partner with executive stakeholders to define the long\-term roadmap for data platforms, infrastructure modernization, and emerging capabilities such as real\-time analytics, interoperability, and AI/ML enablement.  
4\. Architect, implement, and maintain scalable data platforms including data lakes, data warehouses, and streaming data environments.  
5\. Oversee the design and execution of robust ETL/ELT pipelines and integration frameworks that ensure timely, accurate, and governed data across the enterprise.  
6\. Evaluate and implement modern cloud\-native technologies to strengthen system performance, resiliency, and scalability.  
7\. Establish and enforce data quality standards, metadata management practices, and enterprise data governance policies in partnership with Information Services and data governance committees.  
8\. Ensure data architecture complies with security and regulatory requirements (e.g., HIPAA, HITECH, CMS, SOC2\).  
9\. Monitor data reliability, integrity, and lineage, implementing processes to prevent data drift, inconsistencies, and quality degradation.  
10\. Lead the development and maintenance of production\-grade data integrations, pipelines, and workflows that support operational reporting, analytics, and regulatory submissions.  
11\. Implement engineering best practices including version control, CI/CD automation, testing frameworks, and infrastructure\-as\-code.  
12\. Manage workload prioritization, capacity planning, and service\-level expectations to ensure timely delivery of data products and system enhancements.  
13\. Partner with analytics, quality, clinical operations, finance, and digital teams to understand data needs and design solutions that enable actionable insights.  
14\. Serve as the technical authority for data engineering, providing consultative support on architectural decisions, data modeling, and integration strategies.  
15\. Collaborate with cybersecurity, architecture, and application teams to ensure secure, reliable, and efficient data operations across environments.  
16\. Oversee data engineering operating and capital budgets, ensuring efficient use of resources and alignment with system priorities.  
17\. Manage vendor relationships involving cloud platforms, data engineering tools, integration technologies, and consulting partners.  
18\. Follows all Health System, Divisional and Departmental policies at all times including but not limited to change management, helpdesk applications, and project management practices  
19\. Embodies the Memorial Health System Performance Excellence Standards of Safety, Courtesy, Quality, and Efficiency that support our mission, vision and values  
20\. Participates in development opportunities including but not limited to quality and leadership classes as determined by manager and employee. (MHS, vendor, or scholastic provider; member of professional society).  
21\. Performs other related work as required or requested
The intent of this job description is to provide a representative summary of the major duties and responsibilities performed by incumbents of this job. Incumbents may be requested to perform tasks other than those specifically presented in this description.
#### **Required Experience**
Minimum Qualifications:  
Education:  
* Master’s degree or higher in the studies of Computer Science, Information Systems, Software Engineering, Data Engineering, or other related field.
Licensure/Certification/Registry:  
* Certification in relevant cloud\-based data platform technologies preferred
Experience:  
* 7–10\+ years of progressive experience in data engineering, data architecture, or enterprise data management, with at least 3–5 years in a formal leadership or managerial role.
* Experience with cloud data platform technologies (Databricks or Microsoft Fabric) preferred.
Other Knowledge/Skills/Abilities:  
* Proven experience designing, building, and optimizing enterprise\-scale data pipelines, ETL/ELT workflows, and data integration architectures.
* Demonstrated leadership in cloud\-based data ecosystems (e.g., AWS, Azure, GCP), including data lakes, data warehouses, and streaming data services.
* Experience establishing data quality, metadata management, data lineage, and governance frameworks.
* Successful track record leading cross\-functional teams and collaborating with Information Services, analytics, and business stakeholders.
* Expertise in managing staff across the department to ensure timely delivery of services, and productive usage of staff and resources.
* Ability to execute projects from start to finish including the development, measurement and reporting of key performance indicators and commitment to continuous quality improvement required.
* Strong written and verbal communications skills, in order to explain to stakeholders, the insights drawn from analysis
* Possesses a working knowledge of the enterprise application system and database portfolio, including development technologies, application design strategies, access methods, naming standards, performance tuning, and integration strategies necessary to maintain information integrity, security and physical storage requirements.
* Possesses an expert knowledge of logical and physical data modeling, and leverages these skills to ensure consistent and efficient application of technologies.
Springfield, IL</t>
        </is>
      </c>
    </row>
    <row r="60">
      <c r="A60" t="inlineStr">
        <is>
          <t>in-66cb1e3a1782c503</t>
        </is>
      </c>
      <c r="B60" t="inlineStr">
        <is>
          <t>Data Engineer</t>
        </is>
      </c>
      <c r="C60" t="inlineStr">
        <is>
          <t>Premier Lacrosse League</t>
        </is>
      </c>
      <c r="D60" t="inlineStr">
        <is>
          <t>indeed</t>
        </is>
      </c>
      <c r="E60">
        <f>HYPERLINK("https://www.indeed.com/viewjob?jk=66cb1e3a1782c503", "https://www.indeed.com/viewjob?jk=66cb1e3a1782c503")</f>
        <v/>
      </c>
      <c r="F60">
        <f>HYPERLINK("https://www.teamworkonline.com/other-sports-jobs/premier-lacrosse-jobs/premier-lacrosse-league-careers/data-engineer-2155713?source=Indeed", "https://www.teamworkonline.com/other-sports-jobs/premier-lacrosse-jobs/premier-lacrosse-league-careers/data-engineer-2155713?source=Indeed")</f>
        <v/>
      </c>
      <c r="G60" t="inlineStr">
        <is>
          <t>El Segundo, CA, US</t>
        </is>
      </c>
      <c r="H60" s="3" t="n">
        <v>46056</v>
      </c>
      <c r="I60" t="inlineStr">
        <is>
          <t>**Position:** Data Engineer**Position Location:** Los Angeles or New York (Onsite)**Start Date:** Immediate **About:** The Premier Lacrosse League (PLL) is a professional lacrosse league in North America, composed of 8 teams rostered with the best players in the world. Co\-founded by lacrosse superstar Paul Rabil and his brother, serial entrepreneur and investor, Mike Rabil, the Premier Lacrosse League is backed by an investment group composed of Joe Tsai Sports, The Raine Group, Creative Artists Agency (CAA), and other top investors in sports and media. The PLL is distributed through an exclusive media rights agreement with ABC, ESPN, ESPN2, and ESPN\+. For more information, visit www.premierlacrosseleague.com and follow on social media: Instagram (@PLL), Twitter (@PremierLacrosse), Facebook (@PremierLacrosseLeague) and YouTube (YouTube.com/PLL). **Company Values:*** Stay Grounded
* Think Critically
* Be Helpful
* Encourage Creativity
* Persevere Through the Noise
* Operate Like an Owner
 **Position Overview**
The Premier Lacrosse League is seeking a Data Engineer who is passionate about turning raw data into actionable insights that drive business decisions and elevate the sport of lacrosse. You will own our business intelligence infrastructure and lacrosse statistics pipelines, partnering with Marketing, Product, and Engineering teams to measure campaign effectiveness, analyze product features, and surface insights that inform strategy. This role sits at the intersection of sports analytics and business intelligence, giving you the opportunity to shape how data is collected, modeled, and consumed across the organization.  
**Qualifications*** Business Intelligence: Create and maintain dashboards and reports in Looker (or similar BI platforms) that enable Marketing, Product, and leadership to make data\-driven decisions.
* Data Pipeline Ownership: Design, build, and maintain robust ETL/ELT pipelines that power business intelligence dashboards, lacrosse statistics platforms, and cross\-functional reporting needs.
* SQL Mastery: Write complex, performant SQL queries against BigQuery to answer ad\-hoc business questions, build data models, and support self\-serve analytics across teams.
* Cross\-Functional Partnership: Collaborate with Marketing to measure campaign performance, with Product to analyze feature adoption and user behavior, and with Engineering to ensure data quality and accessibility.
* Lacrosse Statistics: Build and maintain data pipelines for player and team statistics, supporting broadcast integrations, fantasy products, and fan\-facing experiences.
* AI\-Native Workflow: Leverage AI coding tools like Cursor or Claude Code to accelerate development, automate repetitive tasks, and prototype solutions rapidly.
Data Modeling: Design clean, scalable data models that balance performance with usability for downstream consumers.  
* 
**Requirements*** 3\+ years of experience in data engineering, analytics engineering, or a related role
* Expert\-level SQL skills with hands\-on experience querying and optimizing BigQuery (or comparable cloud data warehouses like Snowflake or Redshift)
* Production experience with Looker or similar BI platforms (Tableau, Mode, Metabase)
* Demonstrated fluency with AI coding assistants (Cursor, Claude Code, Codex) as part of your daily workflow
* Python experience for data transformation, scripting, and pipeline development (preferred)
* Experience building and maintaining ETL/ELT pipelines using tools like Fivetran, dbt, Airflow, or similar
* Strong communication skills with the ability to translate technical findings into business insights for non\-technical stakeholders
* Curiosity about sports, fan behavior, and the unique data challenges in live entertainment
Experience with sports statistics or media/entertainment data is a plus  
* 
**Compensation:*** $80K \- $95K
* Based on the candidate’s experience, seniority, and location
* The total compensation package includes Annual Bonus, Health, Life, Dental, and Vision Insurance, 401(k) plan, Equity Sharing, Mental Health Stipend, Unlimited PTO, and Paid Parental Leave
We are an equal opportunity employer and all qualified applicants will receive consideration for employment without regard to race, color, religion, national origin, sex, sexual orientation, age, disability, gender identity, marital or veteran status, or any other protected class.</t>
        </is>
      </c>
    </row>
    <row r="61">
      <c r="A61" t="inlineStr">
        <is>
          <t>in-0c3c3ef532d8e91e</t>
        </is>
      </c>
      <c r="B61" t="inlineStr">
        <is>
          <t>Data Engineer II</t>
        </is>
      </c>
      <c r="C61" t="inlineStr">
        <is>
          <t>Whoop</t>
        </is>
      </c>
      <c r="D61" t="inlineStr">
        <is>
          <t>indeed</t>
        </is>
      </c>
      <c r="E61">
        <f>HYPERLINK("https://www.indeed.com/viewjob?jk=0c3c3ef532d8e91e", "https://www.indeed.com/viewjob?jk=0c3c3ef532d8e91e")</f>
        <v/>
      </c>
      <c r="F61">
        <f>HYPERLINK("https://jobs.lever.co/whoop/9571ef34-38db-450f-af38-2ef76d661950", "https://jobs.lever.co/whoop/9571ef34-38db-450f-af38-2ef76d661950")</f>
        <v/>
      </c>
      <c r="G61" t="inlineStr">
        <is>
          <t>Boston, MA, US</t>
        </is>
      </c>
      <c r="H61" s="3" t="n">
        <v>46056</v>
      </c>
      <c r="I61" t="inlineStr">
        <is>
          <t>At WHOOP, we are on a mission to unlock human performance. WHOOP empowers members to perform at a higher level through a deeper understanding of their bodies and daily lives.  
WHOOP is seeking an experienced Data Engineer who thrives on innovation and takes ownership of building and evolving data systems at scale. In this role, you will design, build, and optimize scalable data pipelines and platforms that power our data driven insights. You will play a key role in shaping robust ELT architectures, improving reliability and performance, and influencing technical direction across the data platform. With a strong focus on modern AWS infrastructure and tooling such as Snowflake, DBT, Kafka, and Spark, you will help elevate our analytical and operational capabilities. If you are excited about using AI to improve developer productivity and drive meaningful impact, we want you to join our team.### **RESPONSIBILITIES:**
+ Design, build, and operate scalable ELT pipelines using Python and PySpark, with a focus on reliability, performance, and maintainability
+ Own and improve batch and streaming data systems using Spark and Kafka, including monitoring and resolving production data issues
+ Develop and optimize Snowflake data models and DBT transformations to support analytics, experimentation, and trusted metrics
+ Partner with data scientists, analysts, and product teams to translate business requirements into well\-designed data solutions
+ Contribute to the evolution of the data platform by improving observability, data quality, and engineering best practices
+ Leverage AI tools to accelerate development, improve code quality, and automate repetitive data engineering workflows
### **QUALIFICATIONS:**
+ Bachelor’s degree in Computer Science, Engineering, or a related field, or equivalent practical experience
+ 3\-5 years of professional experience building and operating ETL/ELT pipelines in production environments
+ Strong proficiency in SQL and hands\-on experience with modern data warehousing concepts and dimensional modeling
+ Professional experience using Python for data engineering, including writing clean, testable, and reusable code
+ Experience with DBT for data modeling, testing, and documentation is preferred
+ Experience with Spark and Kafka for batch or streaming data processing is preferred
+ Strong problem\-solving skills, clear communication, and the ability to work independently while collaborating in an agile environment
+ Comfort using AI tools such as Copilot or ChatGPT to improve efficiency throughout the software development lifecycle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eligibilityThe WHOOP compensation philosophy is designed to attract, motivate, and retain exceptional talent by offering competitive base salaries, meaningful equity, and consistent pay practices that reflect our mission and core values.*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$125,000 \- $175,000\.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is>
      </c>
    </row>
    <row r="62">
      <c r="A62" t="inlineStr">
        <is>
          <t>in-e50d0c1051ee6b16</t>
        </is>
      </c>
      <c r="B62" t="inlineStr">
        <is>
          <t>Sr. Big Data Engineer</t>
        </is>
      </c>
      <c r="C62" t="inlineStr">
        <is>
          <t>RedCloud Consulting</t>
        </is>
      </c>
      <c r="D62" t="inlineStr">
        <is>
          <t>indeed</t>
        </is>
      </c>
      <c r="E62">
        <f>HYPERLINK("https://www.indeed.com/viewjob?jk=e50d0c1051ee6b16", "https://www.indeed.com/viewjob?jk=e50d0c1051ee6b16")</f>
        <v/>
      </c>
      <c r="F62">
        <f>HYPERLINK("https://careerportal.redcloudconsulting.com/#/jobs/1973?source=Indeed", "https://careerportal.redcloudconsulting.com/#/jobs/1973?source=Indeed")</f>
        <v/>
      </c>
      <c r="G62" t="inlineStr">
        <is>
          <t>Seattle, WA, US</t>
        </is>
      </c>
      <c r="H62" s="3" t="n">
        <v>46056</v>
      </c>
      <c r="I62" t="inlineStr">
        <is>
          <t>RedCloud Consulting is a global business and technology consulting firm supporting clients across North America, Europe, Asia\-Pacific, and the Middle East. For more than two decades, RedCloud has partnered with high\-growth mid\-market companies and global enterprises to solve complex business and operational challenges—leveraging modern data platforms, artificial intelligence, and secure digital and physical infrastructure to drive smarter decisions and scalable outcomes.  
Anchored in a foundation of *integrity\-based consulting*, RedCloud brings senior\-level experts together with client teams to deliver durable, high\-impact solutions across **Data \&amp; AI, Delivery Excellence, Digital Solutions, Marketing \&amp; Sales, Privacy, Security, Data Center and Critical Infrastructure Security, and Strategy \&amp; Transformation**. Recognized for both performance and culture, RedCloud has been named a top place to work and a fast\-growing firm, and was recognized by Consulting Magazine as a 2024 Leader in Technology Consulting.  
RedCloud seeks a **Senior** **Big Data Engineer** to support immediate client operations.  
**Overview:**  
The Senior Big Data Engineer will support core data platform delivery while driving engineering productivity through the development of internal accelerators and reusable tooling. This role is focused on real production impact rather than conceptual or research work. Ideal candidates are hands on engineers who thrive in high scale environments, care deeply about reliability, and enjoy building systems and tools that make other engineers more effective.  
**Responsibilities include but are not limited to:**  
*Core Delivery Work*
* Execute scoped data engineering workstreams across areas such as
	+ Technology migrations and consolidations across fragmented systems
	+ Security remediation for platforms and pipelines
	+ Data pipeline optimization to improve performance and reliability
*Engineering Productivity Accelerators*
* Design and build internal tools and automation that improve engineering velocity, including
	+ Tools for DDL creation and schema definition
	+ Airflow DAG scaffolding and workflow templates
	+ Spark configuration helpers and optimization utilities
	+ Standardized templates, generators, and reusable patterns to reduce repetitive work
*Production Engineering*
* Build and maintain high volume batch and streaming data pipelines
* Ensure reliability through monitoring, retries, and adherence to SLAs
* Operate effectively within enterprise environments with strong controls and security standards
**Required Knowledge, Skills, and Abilities:**
* Clear examples of building production grade ETL or ELT pipelines end to end
* Deep knowledge of Spark tuning including partitions, shuffle, joins, caching, executor sizing, and skew mitigation
* Strong understanding of streaming fundamentals including ordering, backpressure, idempotency, replay handling, and schema evolution
* Operational excellence in Airflow including operators, sensors, dependencies, SLAs, and backfills
* Strong DevOps hygiene including Git workflows, CI CD exposure, and code review participation
* Candidates should have experience creating tools used across engineering teams such as:
	+ Pipeline scaffolding generators or starter kits
	+ Standardized repository templates and recommended workflow patterns
	+ Automated DDL or schema generation tooling
	+ Configuration or Spark tuning automation frameworks
	+ Developer tools that eliminate repetitive tasks and increase throughput
	+ Candidates should be prepared to speak to what they automated, who used it, and what measurable impact it had.
* Core Technologies:
	+ Apache Spark including batch processing and performance tuning
	+ Apache Kafka including streaming and event driven pipeline patterns
	+ Apache Airflow including DAG authoring and orchestration best practices
* Programming Languages:
	+ Strong proficiency with Scala
	+ Experience with Java is also valuable
* Production and Systems Experience:
	+ High throughput data pipelines and distributed systems engineering
	+ Production grade reliability practices
	+ Strong understanding of data modeling, schema evolution, and workflow orchestration
* Cloud Environment:
	+ Ability to work confidently in cloud platforms outside of Azure such as AWS or GCP
Compensation range for position is $ 156,000 – 250,000 DOE.
Benefits and bonus information can be found at https://www.redcloudconsulting.com/careers
**About Us:**  
RedCloud Consulting is a global business and technology consulting firm supporting clients across North America, Europe, Asia\-Pacific, and the Middle East. For more than two decades, RedCloud has partnered with organizations ranging from high\-growth mid\-market companies to global enterprises, helping them solve complex business and operational challenges—leveraging modern data platforms, artificial intelligence, and secure digital foundations to drive smarter decisions and scalable outcomes.  
Anchored in a foundation of *integrity\-based consulting*, RedCloud brings together senior\-level experts who work side by side with client teams to design and implement durable, high\-impact solutions. Our approach emphasizes trust, accountability, and long\-term value—balancing stability, growth, and innovation to help organizations operate securely and confidently in an increasingly complex global environment.  
RedCloud delivers a comprehensive range of services across its core practices: **Data \&amp; AI, Delivery Excellence, Digital Solutions, Marketing \&amp; Sales, Privacy, Security, Data Center and Critical Infrastructure Security, and Strategy \&amp; Transformation**. As our clients expand globally, so do we—providing consistent, expert support across regions while remaining agile, collaborative, and deeply invested in client success.  
Recognized for both performance and culture, RedCloud has been named \#1 Best Company to Work For in Washington (Mid\-Sized Businesses) by *Seattle Business Magazine*, a “Fastest Growing Company” multiple times on the *Inc. 500/5000* list, and recognized by Consulting Magazine as a Leader in Technology Consulting.  
Visit http://www.redcloudconsulting.com/ for more info.
\#LI\-Remote</t>
        </is>
      </c>
    </row>
    <row r="63">
      <c r="A63" t="inlineStr">
        <is>
          <t>in-655fc565733785cc</t>
        </is>
      </c>
      <c r="B63" t="inlineStr">
        <is>
          <t>Senior Data Engineer</t>
        </is>
      </c>
      <c r="C63" t="inlineStr">
        <is>
          <t>Kharon</t>
        </is>
      </c>
      <c r="D63" t="inlineStr">
        <is>
          <t>indeed</t>
        </is>
      </c>
      <c r="E63">
        <f>HYPERLINK("https://www.indeed.com/viewjob?jk=655fc565733785cc", "https://www.indeed.com/viewjob?jk=655fc565733785cc")</f>
        <v/>
      </c>
      <c r="F63">
        <f>HYPERLINK("https://www.kharon.com/careers?jobId=job_20260204175356_JUC5QADKAYKT5FZO", "https://www.kharon.com/careers?jobId=job_20260204175356_JUC5QADKAYKT5FZO")</f>
        <v/>
      </c>
      <c r="G63" t="inlineStr">
        <is>
          <t>Denver, CO, US</t>
        </is>
      </c>
      <c r="H63" s="3" t="n">
        <v>46056</v>
      </c>
      <c r="I63" t="inlineStr">
        <is>
          <t>**TL;DR** Kharon is seeking a full\-time **Senior Data Engineer** based in **Denver, Colorado.** This role requires in\-office attendance 3 days a week.
**RESPONSIBILITIES:**
* Help build large\-scale distributed automated data processing systems and data lakes, while optimizing for both computational and storage efficiency on AWS Databricks.
* Create data pipelines, infrastructure, and overall workflow orchestration to pull data from a diverse set of data sources into the Kharon Data Lake.
* Build systems to track, monitor and validate the quality of data coming into or going out of Kharon Data Lake.
* Collaborate with engineers, architects, and data scientists to implement scalable solutions to solve complex problems.
* Interact and develop with internal and external APIs.
* Work with product and business teams to define novel and critical metrics for the business.
* Follow good engineering practices like documentation, diagrams, and unit/validation tests
* Take full responsibilities for the development, deployment, adoption monitoring and maintenance of the data systems and services you build.
**QUALIFICATIONS:**
* 5\+ years of experience in software or data engineering and a BS/MS in Computer Science, Engineering, or a related field preferred.
* Experience in Python, Pandas, PySpark, and Notebooks.
* SQL knowledge and experience working with relational databases including schema design, access patterns, query performance optimization, etc.
* Experience setting up infrastructure and using data pipeline technologies like AWS Glue, Airflow, Kafka, or other cloud based equivalence.
* Experience with ETL and data warehousing like Databricks, Snowflake, or equivalent.
* Container\-based deployment experience using Docker and Kubernetes.
* Experience taking a project from inception and design to production.
* Strong verbal and written communication skills.
**NICE TO HAVE:**
* Experience working with or data modeling for graph databases like Neo4J, Neptune, etc.
* API experience using FastAPI, Flask, Spring Boot or equivalent.
* Understanding of Elasticsearch data and query modeling.
* Interests or experience in Geopolitics, Sanction Compliance, or Financial Risk.
Kharon is a highly disruptive and incredibly innovative organization that navigates risk at the intersection of global security threats \+ international commerce.
What does that mean? Great question.
Operating at the nexus of global security, Kharon is on a mission to revolutionize the current landscape. We take really complex data as it relates to global security and empower our clients to not only understand the risk associated with their potential business relationships but to operationalize that data so that they can make the best and most informed decisions possible. From financial crimes and sanctions to export controls and threat identifications, our tools optimize protection against the types of risks that could otherwise be incredibly dangerous and excessively costly to any business. Serving many of today’s leading global financial and multinational institutions, Kharon products are the most powerful in the space with a precision and depth that is absolutely unparalleled.
When you look at any major global crisis event, we’re providing intelligence that’s at the heart of those circumstances. We connect the dots in a way that’s meaningful. Now, we’re experiencing unprecedented growth. As the world continues to evolve in complexity, so too does the demand for our products. Given the significance of our work and the increasing global reliance on our insights, we are looking for a Senior Data Engineer to join us as we work to shape the way businesses perceive and navigate global risks.
Reporting to the **Associate Director of Data Engineering**, this role is critical to driving the evolution of the data infrastructure that underpins our intelligence platform. In this senior engineering role, you will help lead in the design and implementation of scalable systems and resilient ETL pipelines that support a suite of analytic products. You’ll contribute to the architecture, tooling, and best practices that ensure structured and unstructured data is ingested, transformed, and delivered reliably, securely, and at scale. This position is ideal for an experienced data engineer who thrives on solving foundational engineering challenges, shaping data strategy and infrastructure, and mentoring engineers in building systems that are precise, performant, and built for the future.
To the right person, this will be the perfect kind of challenge. Our mission is compelling, our product is powerful, and we’re growing at a rate that makes us unstoppable. If you’re looking to be surrounded by people who will inspire you to think and challenge you to grow then look no further. Our team is made up of some of the most visionary and uncompromising individuals you will ever encounter. We don’t take ourselves seriously but we’re serious about the work we do and there is absolutely no slowing us down.
To keep that momentum going, we do our very best to make sure that each and every team member is completely taken care of. We’re nothing without our people and we strive to offer a package that reflects that. As a Kharon team member, you can expect:
* Fully sponsored medical, dental, and vision
* FSA program for both medical and dependent care
* 401k \+ Roth with matching and immediate vesting
* Paid time off \+ 11 paid holidays
The base salary range at Kharon is set between $160,000 \- $200,000\. Please note that this figure does not necessarily include potential bonuses, commissions, benefits, or equity that may be part of the overall compensation package.
If interested in pursuing this position, please visit www.kharon.com to apply.
Kharon is committed to cultivating and maintaining a workplace that is free from harassment and discrimination. All qualified applicants will receive consideration for employment without regard to race, religion, color, national origin, ethnicity, gender, gender identity or expression, sexual orientation or identity, neurodiversity, appearances, age, protected veteran status, or status as a qualified individual with disability.</t>
        </is>
      </c>
    </row>
    <row r="64">
      <c r="A64" t="inlineStr">
        <is>
          <t>in-8b7f1bcac637096b</t>
        </is>
      </c>
      <c r="B64" t="inlineStr">
        <is>
          <t>Data Engineer</t>
        </is>
      </c>
      <c r="C64" t="inlineStr">
        <is>
          <t>Bonafide Health</t>
        </is>
      </c>
      <c r="D64" t="inlineStr">
        <is>
          <t>indeed</t>
        </is>
      </c>
      <c r="E64">
        <f>HYPERLINK("https://www.indeed.com/viewjob?jk=8b7f1bcac637096b", "https://www.indeed.com/viewjob?jk=8b7f1bcac637096b")</f>
        <v/>
      </c>
      <c r="F64">
        <f>HYPERLINK("https://vhr-otsuka.wd1.myworkdayjobs.com/en-US/Bonafide/job/New-York/Data-Engineer_R10926-1", "https://vhr-otsuka.wd1.myworkdayjobs.com/en-US/Bonafide/job/New-York/Data-Engineer_R10926-1")</f>
        <v/>
      </c>
      <c r="G64" t="inlineStr">
        <is>
          <t>New York, NY, US</t>
        </is>
      </c>
      <c r="H64" s="3" t="n">
        <v>46056</v>
      </c>
      <c r="I64" t="inlineStr">
        <is>
          <t>About Women’s Health
Bonafide, Uqora and Equelle comprise Pharmavite's Women's Health portfolio. Collectively, these brands are driven by their promise to champion women's health and joy at every age.
Our People
Our Women’s Health team is composed of highly experienced professionals dedicated to making a meaningful impact. Bring your whole self to our Women’s Health brands — you’ll be welcomed by a team that shares your passion, purpose, and pride in our products while embracing your unique talents, creativity, and collaborative spirit.
This role is not available for sponsorship, including I\-983 participation.
JOB SUMMARY
The Data Engineer is responsible for designing, building, and maintaining scalable, reliable data models and transformation pipelines that support analytics, reporting, and advanced analytical use cases across the organization. This role focuses primarily on SQL\-based transformation and modeling using dbt within a modern cloud data stack. The Data Engineer partners closely with analytics and business stakeholders to ensure data is accurate, well\-structured, and accessible, and supports advanced analytics and machine learning initiatives through high\-quality data foundations. The Data Engineer reports to a Senior Data Engineer.
KEY RESPONSIBILITIES
Critical contributions this role is counted on to deliver include:* Design, develop, and maintain scalable analytics\-ready data models using dbt
* Write, optimize, and maintain SQL transformations that convert raw data into clean, reliable datasets
* Collaborate with analysts and business stakeholders to gather requirements and translate business needs into data models
* Ensure data reliability, accuracy, and freshness through testing, monitoring, and troubleshooting data pipelines
* Support advanced analytics and machine learning initiatives by preparing well\-structured, high\-quality datasets
* Implement and maintain best practices for version control, testing, and documentation within dbt
* Contribute to the ongoing evolution of the data platform to support scalability and future growth
WHAT SUCCESS LOOKS LIKE IN THE ROLE* Delivers trusted, high\-quality datasets used across analytics and advanced analytical workflows
* Builds data models that are performant, maintainable, and aligned with downstream use cases
* Proactively identifies and resolves data quality or modeling issues
* Collaborates effectively with analysts and business partners
* Strengthens the organization’s ability to make data\-driven and model\-informed decisions
REQUIRED QUALIFICATIONS
In order to take on these challenges, you’ll need to have:* Bachelor’s degree in Computer Science, Information Systems, Data Science, or equivalent practical experience
* 2\+ years of professional experience writing and maintaining SQL
* 1\+ years of experience using dbt to build and manage data models
* Strong understanding of data warehousing concepts and analytical data modeling
* Experience working with cloud data warehouses such as Snowflake, Redshift, or BigQuery
* Familiarity with data requirements for advanced analytics or machine learning use cases
* Experience using Git or other version control systems
* Strong problem\-solving skills, attention to detail, and ability to work cross\-functionally
OUR OFFER
Here, career paths aren't predefined, and bureaucratic limitations don't exist \- you have the opportunity to grow, learn from industry pioneers, and develop the way you want to. Our Women's Health brands are investing more in the development of our team \- to help us deliver on our purpose and help you achieve your career aspirations. Our environment is geared to fuel curiosity, encourage experimentation, and generate learning as this is the way we develop ourselves and our organization. We are committed to meeting the needs of our employees and their families with a Total Rewards package that's as comprehensive as the vitamins and supplements we deliver to consumers. With competitive compensation programs and standout benefits, we provide employees with optimal health and well\-being \- as well as peace of mind. These rewards \- plus our new recognition program \- ensure employees feel supported both at work and home.
SALARY RANGE
National Target Base Pay Range: $94,000\.00 \- $156,000\.00\. The salary range for this position is based on national standards. For candidates in California and New York metro the Target Base Pay Range is $104,000 \- $173,000, to reflect the cost of living and market conditions in those areas.
Actual compensation will take into account a wide range of factors that are unique to each candidate, including but not limited to geographic location, education, experience, qualifications and job\-related skills. It is not typical for an individual to be hired above the midpoint of the range for their role and compensation decisions depend on the facts and circumstances of each case. This information is provided to applicants in accordance with state and local laws.
Base pay is only one component of our total rewards offerings, and we will take the full offering into consideration when presenting an offer of employment. Our total rewards package for this position may also include an annual performance bonus, Medical, dental and vision benefits, 401K match, and other wellness benefits.
This represents the minimum and maximum base salary range for this role, plus annual incentive. Various elements are used to determine a candidate’s starting salary such as job experience, specific skills, and comparison to internal incumbents currently in the role. This information is provided to applicants in accordance with state and local laws.
Bonafide is an equal opportunity employer. We prohibit employment discrimination and harassment based on race, color, religion, age, sex, sexual orientation, gender, national origin, and any other basis protected by state and federal law. Bonafide recruits, hires, employs, trains, promotes, and compensates individuals solely based on job\-related qualifications and abilities.
Bonafide also provides reasonable accommodation to qualified individuals with disabilities or based on a sincerely held religious belief, in accordance with applicable laws. If you need to inquire about an accommodation to complete the application process, please email recruiter@pharmavite.com. *Disclaimer*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of employees assigned to this job.
CALIFORNIA FAIR CHANCE ACT:
Qualified Applicants with arrest or conviction records will be considered for Employment in accordance with the Los Angeles County Fair Chance Ordinance for Employers and the California Fair Chance Act.
JOB ALERT FRAUD:
We have become aware of scams from individuals, organizations, and internet sites claiming to represent Bonafide in recruitment activities in return for disclosing financial information.
Our hiring process does not include text\-based conversations or interviews and never requires payment or fees from job applicants. All of our career opportunities are regularly published and updated on Bonafide’s Careers section.
If you have already provided your personal information, please report it to your local authorities. Any fraudulent activity should be reported to: recruiter@pharmavite.com.</t>
        </is>
      </c>
    </row>
    <row r="65">
      <c r="A65" t="inlineStr">
        <is>
          <t>in-8eabad7912397e73</t>
        </is>
      </c>
      <c r="B65" t="inlineStr">
        <is>
          <t>Network Data Engineer</t>
        </is>
      </c>
      <c r="C65" t="inlineStr">
        <is>
          <t>Tata Consultancy Services (TCS)</t>
        </is>
      </c>
      <c r="D65" t="inlineStr">
        <is>
          <t>indeed</t>
        </is>
      </c>
      <c r="E65">
        <f>HYPERLINK("https://www.indeed.com/viewjob?jk=8eabad7912397e73", "https://www.indeed.com/viewjob?jk=8eabad7912397e73")</f>
        <v/>
      </c>
      <c r="F65">
        <f>HYPERLINK("https://ibegin.tcsapps.com/candidate/jobs/shared-job/Mzk0OTUzSg==", "https://ibegin.tcsapps.com/candidate/jobs/shared-job/Mzk0OTUzSg==")</f>
        <v/>
      </c>
      <c r="G65" t="inlineStr">
        <is>
          <t>Raleigh, NC, US</t>
        </is>
      </c>
      <c r="H65" s="3" t="n">
        <v>46056</v>
      </c>
      <c r="I65" t="inlineStr">
        <is>
          <t>Network Data Engineer  
Strong knowledge and Hands\-on experience on below technologies.
Cisco ISE,
Forescout – NAC,
Infoblox\- DNS DHCP IPAM
Cisco ACI,
IBM NS1,
NTP \- Microchip (time),
Ixia \- platform
Gluware \- Network tool
Ansible \- automation platform,
F5 LTM , GTM , BIGIQ  
Must have Below knowledge
1\. Cisco ISE \-
Clear understanding of Cisco ISE Architecture (Pan, PSN, MNT, etc.).
Cisco ISE configuration and troubleshooting hands on experience.
Cisco ISE policy configuration used for Wireless, Wired, VPN, and Network  
2\. Forescout’s \-
Configures, and manages Forescout's network configuration and troubleshooting hands on experience  
3\. Infoblox \-
manages, maintains, and optimizes an organization's core network services (DNS, DHCP, IPAM), troubleshooting hands on experience.  
4\. F5 (LTM \-GTM, BIGiQ \-
Hands on experience configuration and troubleshooting on F5 architecture on LTM, GTM, BIGiQ.  
5\. Cisco ACI \-
Design and deploy Cisco ACI fabrics (Leaf–Spine architecture). Configuration troubleshooting hands on experience
Configure Tenants, VRFs, Bridge Domains, EPGs, Contracts, and Filters
Implement Multi Pod, Multi Site, and Remote Leaf architectures
Knowledge/experience about high availability and disaster recovery setups  
6\.IBM NS1 \-
Hands\-on experience with the IBM NS1 Connect platform or comparable DNS automation and network performance solutions is often required.  
7\. NTP\- Microchip (time) \-
Familiarity with Microchip NTP equipment
Microchip NTP monitoring and troubleshooting tools.  
8\. Ixia \-
Understanding Ixia platform for network testing and topology testing
Using Ixia platform network troubleshooting for L2/L3 design  
9\. Gluware \-
Gluware configuration and troubleshooting
Gluware configuration using automation  
10\.Ansible automation platform \-
Ansible automation scripting language configuration management and troubleshooting.  
Salary Range\- $100,000\-$110,000 a year
\#LI\-SP3
\#LI\-VX1
**Location**
Raleigh, NC
**Job Function**
TECHNOLOGY
**Role**
Engineer
**Job Id**
394953
**Desired Skills**
Network Engineer
**Salary Range**
$100,000\-$110,000 a year
Desired Candidate Profile
**Qualifications** : BACHELOR OF COMPUTER SCIENCE</t>
        </is>
      </c>
    </row>
    <row r="66">
      <c r="A66" t="inlineStr">
        <is>
          <t>in-2e323066f901f939</t>
        </is>
      </c>
      <c r="B66" t="inlineStr">
        <is>
          <t>AI Software Data Engineer US</t>
        </is>
      </c>
      <c r="C66" t="inlineStr">
        <is>
          <t>Techtorch</t>
        </is>
      </c>
      <c r="D66" t="inlineStr">
        <is>
          <t>indeed</t>
        </is>
      </c>
      <c r="E66">
        <f>HYPERLINK("https://www.indeed.com/viewjob?jk=2e323066f901f939", "https://www.indeed.com/viewjob?jk=2e323066f901f939")</f>
        <v/>
      </c>
      <c r="F66">
        <f>HYPERLINK("https://jobs.ashbyhq.com/techtorch/3fa949c7-40da-41bf-993f-10b7f8e85ef3?utm_source=w6YNDpprOA", "https://jobs.ashbyhq.com/techtorch/3fa949c7-40da-41bf-993f-10b7f8e85ef3?utm_source=w6YNDpprOA")</f>
        <v/>
      </c>
      <c r="G66" t="inlineStr">
        <is>
          <t>US</t>
        </is>
      </c>
      <c r="H66" s="3" t="n">
        <v>46056</v>
      </c>
      <c r="I66" t="inlineStr">
        <is>
          <t>**About TechTorch**
TechTorch is a high\-growth enterprise technology consultancy that partners with the world’s leading private equity\-backed businesses. We deliver **AI\-powered solutions, accelerators, and data\-driven transformation initiatives** that drive measurable value at speed and scale.
Our mission is to redefine enterprise technology consulting for private equity. We combine the agility of a scale\-up with the discipline and rigor demanded by the most sophisticated investors and operators.
TechTorch was founded by seasoned leaders — including former Bain consultants, CIOs, and tech executives — with deep expertise in technology, transformation, and value creation. We are not a typical startup. We were built to succeed and to deliver results that matter.
**About the Team**
TechTorch teams work at the intersection of **custom software engineering, modern data platforms, and applied AI**. We help private equity\-backed companies modernize core systems, build new digital products, and deploy AI solutions that create measurable operational and commercial impact.
Our engineers collaborate across backend, frontend, data, and AI disciplines to deliver **production\-grade, scalable solutions** — not demos or slideware.
**About the Role**
As an **AI Software \&amp; Data Engineer**, you will design and build **full\-stack software systems**, **data platforms**, and **AI\-powered MVPs** for TechTorch clients.
This role is ideal for someone who **started in software engineering**, developed strong **full\-stack capabilities**, moved into **data engineering and analytics**, and now applies **AI tools and techniques** to solve real enterprise problems.
You will work end\-to\-end — from **React/Next.js frontends**, through **backend development in Python and data pipelines**, to **AI model integration and deployment** — owning solutions from concept through production.
**What You’ll Do**
**Full\-Stack Software Engineering**
* Design and build **full\-stack applications**, including:
* Frontend interfaces using **React and Next.js**
* Backend services and APIs using **Python and cloud\-native patterns**
* Develop secure, scalable application logic that integrates with data platforms and enterprise systems
* Implement CI/CD pipelines, testing, and production\-readiness standards
* Collaborate closely with product, data, and AI teams to deliver cohesive user experiences
**Data Engineering**
* Design, build, and maintain scalable **data pipelines and ELT workflows**
* Model and manage data in modern data platforms (e.g., **Snowflake, Redshift, BigQuery, lakehouse architectures**)
* Ensure data quality, performance, and lineage across structured and semi\-structured data
* Enable analytics, reporting, and downstream AI use cases through well\-designed data foundations
**Applied AI \&amp; Prototyping**
* Build **AI prototypes and MVPs end\-to\-end** for clients — from data ingestion to user\-facing experience
* Integrate AI/ML capabilities into software and data workflows (e.g., NLP, document intelligence, classification, anomaly detection)
* Leverage modern AI platforms and services such as **AWS Bedrock, SageMaker, Snowflake Cortex, OpenAI**
* Support feature engineering, inference pipelines, and AI\-enabled automation
* Ensure AI solutions are observable, explainable, and suitable for enterprise and regulated environments
**Who You Are**
We’re looking for high\-caliber professionals who meet the minimum requirements for the role and share our values and mindset.
* 5\+ years of experience across **full\-stack software engineering and data engineering**
* Strong foundation in **custom software development**, including:
* Frontend: **React, Next.js**
* Backend: **Python**, strong API and service design
* Solid hands\-on experience with **data engineering**: pipelines, modeling, warehouses, ELT/ETL
* Practical experience building and deploying **AI\-powered prototypes or MVPs**, not just experimentation
* Proficient in **Python**, SQL, and modern cloud\-native development practices
* Experience with **cloud platforms** (AWS preferred; Azure or GCP acceptable)
* Comfortable operating across software, data, and AI — able to wear multiple hats
* Strong problem\-solving skills and ability to translate business needs into technical solutions
* Consulting or client\-facing experience is a strong plus
**Nice to have**
* Snowflake (including **Cortex AI**), dbt, Airflow, Spark
* AWS services: Lambda, Step Functions, Bedrock, SageMaker
* Exposure to MLOps, model lifecycle management, or AI governance
* Experience in regulated or data\-sensitive environments
**Our Values**
Client First — We focus relentlessly on delivering outcomes that create value for our clients
We, Not Me — We win together. Collaboration drives transformation at scale
Get Stuff Done — We execute with speed and precision — because in PE, time matters
AI First — We embed AI at the core, enabling scalable, high\-leverage solutions
Own It — We take accountability for results, delivering on what we promise
Agile Mindset — We adapt quickly and proactively seek better ways to move forward
**What We Offer**
* A role at the intersection of **full\-stack software, data engineering, and applied AI**
* Ownership of **end\-to\-end AI prototypes and production systems**
* High\-impact projects with **private equity firms and their portfolio companies**
* A global, senior team focused on delivery excellence
* Flexible, remote\-first working environment with high autonomy</t>
        </is>
      </c>
    </row>
    <row r="67">
      <c r="A67" t="inlineStr">
        <is>
          <t>in-bf31979bd87e195b</t>
        </is>
      </c>
      <c r="B67" t="inlineStr">
        <is>
          <t>Data Engineer - Remote</t>
        </is>
      </c>
      <c r="C67" t="inlineStr">
        <is>
          <t>Optum</t>
        </is>
      </c>
      <c r="D67" t="inlineStr">
        <is>
          <t>indeed</t>
        </is>
      </c>
      <c r="E67">
        <f>HYPERLINK("https://www.indeed.com/viewjob?jk=bf31979bd87e195b", "https://www.indeed.com/viewjob?jk=bf31979bd87e195b")</f>
        <v/>
      </c>
      <c r="F67">
        <f>HYPERLINK("https://uhg.taleo.net/careersection/10000/jobdetail.ftl?job=2332417&amp;lang=en", "https://uhg.taleo.net/careersection/10000/jobdetail.ftl?job=2332417&amp;lang=en")</f>
        <v/>
      </c>
      <c r="G67" t="inlineStr">
        <is>
          <t>Eden Prairie, MN, US</t>
        </is>
      </c>
      <c r="H67" s="3" t="n">
        <v>46056</v>
      </c>
      <c r="I67"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You'll enjoy the flexibility to work remotely\* from anywhere within the U.S. as you take on some tough challenges. For all hires in the Minneapolis or Washington, D.C. area, you will be required to work in the office a minimum of four days per week.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 Design, develop, and maintain data pipelines to ingest, transform, and store healthcare data from diverse enterprise sources
* Build and optimize scalable data workflows ensuring efficient data flow and seamless integration across multiple systems
* Ensure data quality and relevance by collaborating with data scientists and cross\-functional teams to support analytics and production
* Automate manual processes to streamline data delivery and reduce operational overhead
* Tune and optimize data processes for performance, scalability, and cost efficiency
* Design and implement automation frameworks for production release of data engineering, machine learning, and business intelligence solutions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Computer Science, Software Engineering, or a related field, or equivalent industry experience
* 2\+ years of hands\-on experience with Python
* Proficiency in SQL, including query optimization, performance tuning, and handling large datasets
* Experience in data migration, cross\-cloud integrations, and cloud networking (e.g., Snowflake)
* Solid experience with cloud platforms and tools
 **Preferred Qualifications:**
* Knowledge of the healthcare industry and experience with EDI, HIPAA, HL7, and FHIR integration standards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$72,800 to $130,000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68">
      <c r="A68" t="inlineStr">
        <is>
          <t>in-ea2484e02ac46b57</t>
        </is>
      </c>
      <c r="B68" t="inlineStr">
        <is>
          <t>Lead Azure Data Engineer</t>
        </is>
      </c>
      <c r="C68" t="inlineStr">
        <is>
          <t>MetLife</t>
        </is>
      </c>
      <c r="D68" t="inlineStr">
        <is>
          <t>indeed</t>
        </is>
      </c>
      <c r="E68">
        <f>HYPERLINK("https://www.indeed.com/viewjob?jk=ea2484e02ac46b57", "https://www.indeed.com/viewjob?jk=ea2484e02ac46b57")</f>
        <v/>
      </c>
      <c r="F68">
        <f>HYPERLINK("https://www.metlifecareers.com/en_US/ml/JobDetail/Lead-Azure-Data-Engineer/14726", "https://www.metlifecareers.com/en_US/ml/JobDetail/Lead-Azure-Data-Engineer/14726")</f>
        <v/>
      </c>
      <c r="G68" t="inlineStr">
        <is>
          <t>Cary, NC, US</t>
        </is>
      </c>
      <c r="H68" s="3" t="n">
        <v>46056</v>
      </c>
      <c r="I68" t="inlineStr">
        <is>
          <t>Location(s)
* Posting Location: Cary, North Carolina
* Posting Location: Bridgewater, New Jersey
City/Cities
Bridgewater, Cary
Country
United States
Working Schedule
Full\-Time
Work Arrangement
Hybrid
Travel Required
10%
Relocation Assistance Available
No
Posted Date
04\-Feb\-2026
Job ID
14726
### **Description and Requirements**
**Role Value Proposition:**  
 The position sits within the newly consolidated Data and Analytics (D\&amp;A) organization supporting the U.S. Business of MetLife. U.S. D\&amp;A assists all business lines of MetLife’s U.S. business (about 2/3 of MetLife Global by earnings) with everything related to data, analytics and data science, from data infrastructure, data governance, data engineering, data modeling, data analysis to business intelligence, data science, and AI.  
The Lead Data Engineer is crucial to DnA USB’s Engagement Strategy team for creating and optimizing data architecture, solutions, and operations, and for ensuring alignment with the data management and governance framework. The Lead Data Engineer serves as a big data development expert within the DnA Engagement Strategy organization.  
This position is responsible for leading, architecting, and building ETL, data warehousing, and reusable components using cutting\-edge big data and cloud technologies. The resource will collaborate with the architect, business systems analyst, technical leads, project managers, and business/operations teams in building data enablement solutions across different LOBs and use cases. **Key Responsibilities:*** Design and solution end\-to\-end data architecture for data hubs/data products, all the way from source systems to consumption
* Oversee the design and management of data solutions to ensure data is stored, processed, curated, and utilized effectively
* Own and build a reusable data pipeline utilizing Azure/Databricks for Engagement Program data products.
* Ingesting huge volumes of data from various platforms for Analytics needs and writing high\-performance, reliable, and maintainable ETL code.
* Leadership: Lead and mentor a team of data engineers, ensuring the efficient flow of data within the organization with the defined processes and tools.
* Collect, store, process, and analyze large datasets to build and implement extract, transfer, load (ETL) processes
* Develop reusable frameworks to reduce the development effort involved, thereby ensuring cost savings for the projects.
* Utilizing CI/CD Pipelines: Utilize and enhance CI/CD practices to automate the delivery of data solutions, ensuring reliability and scalability based on the defined tools.
* Utilize Cloud technologies (Azure Databricks) to enable data product solutions.
* Develop quality code through performance optimizations in place right at the development stage.
* Appetite to learn new technologies and be ready to work on new cutting\-edge cloud technologies.
* Partner with Marketing, Marketing Tech, Business, BI, and Data Science teams to create reusable data products
* Work with a team spread across the globe in driving the delivery of projects and recommend development and performance improvements.
* Track and report on KPIs for solution delivery and data quality.
* Communicate and present use cases, solutions, and impact to business stakeholders and mid/senior management.
* Optimize reusable frameworks, Spark jobs for performance and cost efficiency in large\-scale environments.
* Ability to interact with business analysts and functional analysts in getting the requirements and implementing ETL solutions.
 **Essential Business Experience and Technical Skills:****Required:*** 8\+ years of Data solutions, development, and delivery experience with 4\+ years of recent experience in Azure/Databricks environments.
* Proficiency and extensive experience with SQL, Spark \&amp;/or Scala/Python and performance tuning
* Hands\-on expertise in: Azure SQL Synapse, Azure Databricks, and/or Data Factory experience is a MUST.
* Strong experience in building/designing Data warehouses, data stores for analytics consumption on Cloud (real\-time as well as batch use cases)
* Building and implementing a data ingestion and curation process developed using Cloud data tools such as Azure SQL Synapse, Data Factory, Spark (Scala/Python), Data Bricks, Delta Lake, etc.
* Good scripting experience, primarily on shell/bash/ PowerShell.
* Strong SQL knowledge and data analysis skills for data anomaly detection and data quality assurance.
* Experience implementing data governance and data quality using the enterprise toolset.
* Databricks certifications and/ or Microsoft Azure Certifications
* Very good problem solver and excellent communication skills \- both written and verbal
 **Preferred:*** Expertise in Python and experience writing Azure functions using Python/Node.js.
* Experience using Event Hub for data integrations.
* Eagerness to learn new technologies on the fly and ship to production.
* Hive database management and Performance tuning \- Partitioning / Bucketing.
* Very good problem solver and excellent communication skills \- both written and verbal
 **At MetLife, we’re leading the global transformation of an industry we’ve long defined. United in purpose, diverse in perspective, we’re dedicated to making a difference in the lives of our customers.**
Location Expectation: This is a hybrid role **requiring a minimum of 3 days per week** in office.
The expected salary range for this position is $120,000 to $175,000\.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$120,000 to $175,000</t>
        </is>
      </c>
    </row>
    <row r="69">
      <c r="A69" t="inlineStr">
        <is>
          <t>in-ad43500c2cd0b752</t>
        </is>
      </c>
      <c r="B69" t="inlineStr">
        <is>
          <t>Senior Data Engineer</t>
        </is>
      </c>
      <c r="C69" t="inlineStr">
        <is>
          <t>Dentsu</t>
        </is>
      </c>
      <c r="D69" t="inlineStr">
        <is>
          <t>indeed</t>
        </is>
      </c>
      <c r="E69">
        <f>HYPERLINK("https://www.indeed.com/viewjob?jk=ad43500c2cd0b752", "https://www.indeed.com/viewjob?jk=ad43500c2cd0b752")</f>
        <v/>
      </c>
      <c r="F69">
        <f>HYPERLINK("https://dentsuaegis.wd3.myworkdayjobs.com/en-US/DAN_GLOBAL/job/Detroit/Senior-Data-Engineer_R1114566", "https://dentsuaegis.wd3.myworkdayjobs.com/en-US/DAN_GLOBAL/job/Detroit/Senior-Data-Engineer_R1114566")</f>
        <v/>
      </c>
      <c r="G69" t="inlineStr">
        <is>
          <t>Detroit, MI, US</t>
        </is>
      </c>
      <c r="H69" s="3" t="n">
        <v>46056</v>
      </c>
      <c r="I69" t="inlineStr">
        <is>
          <t>The purpose of this role is to execute the approach and strategies outlined by senior leadership, lead and manage day to day work, and manage the day\-to\-day communication with clients.
Job Description:
As the Senior Data Engineer, reporting to the Senior Manager of Global Data and AI, you will serve as a core architect and enabler of our evolving data ecosystem. You will help design and scale the foundational infrastructure for our global clients, transforming fragmented, reactive data processes into proactive, intelligent systems powered by AI and a robust semantic layer. You will work closely with Analytics, Media, Product, and Engineering teams to optimize data pipelines, automate complex transformations, embed trust and visibility into every stage of the data lifecycle, and enable AI\-driven insights that address "why" questions through enhanced reasoning and accuracy.
You are ideally based in the Greater Detroit, MI area, but we are considering candidates within the continental United States as well.
Responsibilities* Build, scale, and maintain robust data pipelines and models using DBT, Python, PySpark, Databricks, and SQL across cloud platforms, with a focus on integrating AI\-first foundations and semantic layers for consistent data interpretation.
* Design, develop, and manage semantic models, ontologies, taxonomies, knowledge graphs, and business glossaries using tools like DBT YAML, GitHub, Databricks Unity Catalog, Microsoft Fabric/OneLake, and Power BI to ensure unified data understanding, contextual responses, and enhanced AI reasoning.
* Utilize and manage low\-code/no\-code data transformation and visualization tools such as Trifacta (Alteryx), DBT, Power BI, Tableau, Microsoft Fabric/OneLake, and Copilot Studio to enable governed, scalable semantic layers that support natural language querying, vector search, and hybrid AI indexing.
* Help build the development of AI deployment pipelines, including containerized AI agents and workflow automation using Kubernetes, n8n, LangChain, Azure AI Foundry, and Microsoft Copilot Platform (MCP), to orchestrate multi\-step processes like retrieval, summarization, recommendations, and proactive notifications.
* Strengthen AI accuracy and governance by implementing metadata, sensitivity rules, access controls, and grounding mechanisms (e.g., combining vector databases, AI search indexes, and knowledge graphs) to enable reliable, compliant responses and address "why" questions through intelligent reasoning and source citation.
* Design modular, reusable, and documented data models in support of analytics, reporting, AI enablement, and agentic applications, including integration with LLMs for intent parsing, routing, retrieval, and synthesis.
* Develop and monitor mapping tables, validation rules, lineage tracking, automated error logging, and observability mechanisms for ETL/ELT job health, row\-level integrity checks, schema/version control, and real\-time data quality monitoring.
* Collaborate with analysts, engineers, and business leads to translate raw data into governed, insight\-ready datasets, leveraging tools like Adverity for multi\-source integration and normalization.
* Work to implement agentic AI and Copilot integrations into data processes to enhance accessibility, autonomous issue resolution, and dynamic.
* Drive innovation across our Data Quality Suite and our roadmap, including real\-time metrics monitoring, dynamic mapping interfaces, self\-serve correction tools, and AI\-enhanced features for scalability and ROI.
* Contribute to the medallion data architecture (bronze/silver/gold) and define best practices for reusable data components, semantic layer extension (e.g., indexing unstructured knowledge for RAG), and AI infrastructure across the organization.
* Integrate with and manage Databricks Unity Catalog, Databricks Workflows, SQL Analytics, Notebooks, and Jobs for governed analytics and ML workflows.
* Develop and manage data pipelines and tools with Microsoft Fabric, Power BI, Power Apps, Azure Data Lake, Azure Blob Storage, and Copilot Studio, ensuring seamless ties to GitHub, n8n, and Kubernetes for orchestration.
* Leverage GitHub and GitHub Copilot for version control, workflow automation, CI/CD deployments, code suggestions, and collaboration on SQL, Python, YAML, and agent development.
* Utilize Java or Scala to support custom processing scripts, scalable ingestion frameworks, and advanced AI actions like code execution or vector search.
Qualifications* 8\+ years of experience as a Data Engineer or in a similar role building scalable data infrastructure, with at least 2\-3 years focused on AI\-integrated systems, semantic layers, or agentic AI deployments.
* Bachelor's Degree in Computer Science, Engineering, Information Systems, or related field required. Graduate or Doctorate degree preferred.
* Advanced expertise in SQL, Python, DBT; strong experience with PySpark, Databricks, and semantic layer tools like DBT YAML, Unity Catalog, and knowledge graphs required.
* Hands\-on experience with ETL/ELT design tools like Trifacta (Alteryx), Adverity, Azure Data Factory, Power BI DAX, or similar, including data normalization and workflow automation.
* Proven experience building and extending semantic layers for AI applications, including ontologies, taxonomies, vector databases, and integration with LLMs for enhanced reasoning, accuracy, and "why" question resolution.
* Deep experience in the Microsoft Tech Data Stack, including Power BI, Power Apps, Fabric/OneLake, Azure Data Lakes (ADLS Gen2\), Azure Blob Storage, Copilot Studio, and Azure AI Foundry for ModelOps and intelligent actions.
* Experience with AI deployment and orchestration tools such as Kubernetes (via AKS), n8n, LangChain, and Microsoft Copilot Platform (MCP) for containerized agents, multi\-step workflows, and governance.
* Strong experience in developing and managing API endpoints, integrating with external systems, and supporting LLM access for conversational AI and automation.
* Proficiency in Java or Scala for large\-scale data processing, ingestion workflows, and custom AI integrations.
* Experience supporting data observability, quality frameworks (e.g., unit tests, reconciliation logic, job monitoring), and AI governance (e.g., metadata embedding, compliance rules).
* Strong familiarity with Git\-based development, GitHub Copilot for AI\-assisted coding, and structured code collaboration in environments like DBT Cloud and GitHub Actions.
* Act quickly and independently, demonstrating a self\-starter mindset with a proven ability to learn new tools and technologies on the fly, while delivering scalable solutions using any combination of tools in our tech stack to drive continuous improvement and impact.
* Bonus: Exposure to building tools in Microsoft Power Apps or other low\-code platforms, including Copilot integrations for monitoring and workflows.
* Bonus: Experience in advertising, marketing, or digital media environments, particularly with use cases like performance reporting, reconciliation automation, or brand visibility optimization.
*At dentsu, we believe great work happens when we’re connected. Our way of working combines flexibility with in\-person collaboration to spark ideas and strengthen our teams. Employees who live within a commutable distance of one of our hub offices, currently located in Chicago, metro Detroit, Los Angeles, and New York City, are required and expected to work from the office three days per week (two days per week for employees based in Los Angeles). Dentsu may designate other Hub offices at any time. Those who live outside a commutable range may be designated as remote, depending on the role and business needs. Regardless of your work location, we expect our employees to be flexible to meet the needs of our Company and clients, which may include attendance in an office.*
The annual salary range for this position is $99,500\-$166,000\. Placement within the salary range is based on a variety of factors, including relevant experience, knowledge, skills, and other factors permitted by law.
Benefits available with this position include:* Medical, vision, and dental insurance,
* Life insurance,
* Short\-term and long\-term disability insurance,
* 401k,
* Flexible paid time off,
* At least 15 paid holidays per year,
* Paid sick and safe leave, and
* Paid parental leave.
Dentsu also complies with applicable state and local laws regarding employee leave benefits, including, but not limited to providing time off pursuant to the Colorado Healthy Families and Workplaces Act, in accordance with its plans and policies. For further details regarding Dentsu benefits, please visit www.dentsubenefitsplus.com.
To begin the application process, please click on the “Apply” button at the top of this job posting. Applications will be reviewed on an ongoing basis, and qualified candidates will be contacted for next steps.*\#LI\-Hybrid \#LI\-MS3*
Location:
Detroit
Brand:
Carat
Time Type:
Full time
Contract Type:
Permanent
Dentsu is committed to providing equal employment opportunities to all applicants and employees. We do this without regard to race, color, national origin, sex , sexual orientation, gender identity, age, pregnancy, childbirth or related medical conditions, ancestry, physical or mental disability, marital status, political affiliation, religious practices and observances, citizenship status, genetic information, veteran status, or any other basis protected under applicable federal, state, or local law.  
Dentsu is committed to providing reasonable accommodation to, among others, individuals with disabilities and disabled veterans. If you need an accommodation because of a disability to search and apply for a career opportunity with us, please send an e\-mail to ApplicantAccommodations@dentsu.com by clicking on the link to let us know the nature of your accommodation request and your contact information. We are here to support you.</t>
        </is>
      </c>
    </row>
    <row r="70">
      <c r="A70" t="inlineStr">
        <is>
          <t>in-a07f24baaadf8db6</t>
        </is>
      </c>
      <c r="B70" t="inlineStr">
        <is>
          <t>IT Data Engineer</t>
        </is>
      </c>
      <c r="C70" t="inlineStr">
        <is>
          <t>Hemlock Semiconductor</t>
        </is>
      </c>
      <c r="D70" t="inlineStr">
        <is>
          <t>indeed</t>
        </is>
      </c>
      <c r="E70">
        <f>HYPERLINK("https://www.indeed.com/viewjob?jk=a07f24baaadf8db6", "https://www.indeed.com/viewjob?jk=a07f24baaadf8db6")</f>
        <v/>
      </c>
      <c r="F70">
        <f>HYPERLINK("https://careers.hscpoly.com/job/Hemlock-IT-Data-Engineer-MI-48626/1361986200/?feedId=416500&amp;utm_source=Indeed&amp;utm_campaign=HSC_Indeed", "https://careers.hscpoly.com/job/Hemlock-IT-Data-Engineer-MI-48626/1361986200/?feedId=416500&amp;utm_source=Indeed&amp;utm_campaign=HSC_Indeed")</f>
        <v/>
      </c>
      <c r="G70" t="inlineStr">
        <is>
          <t>Hemlock, MI, US</t>
        </is>
      </c>
      <c r="H70" s="3" t="n">
        <v>46056</v>
      </c>
      <c r="I70" t="inlineStr">
        <is>
          <t>At Hemlock Semiconductor (HSC), we transform people’s lives by energizing and connecting our world through silicon technology. Since 1961, HSC has been a leading global provider of hyper\-pure polysilicon, and is the only polysilicon manufacturer headquartered in the United States. HSC plays an essential role in the semiconductor and solar industries, with the vision of becoming the preferred supplier of silicon\-enabled technologies to the low\-carbon, digital world.
Our polysilicon is used to make computer chips – the “brains” behind the electronic devices we rely on to make our lives easier, safer and more enjoyable. HSC is just one of six major manufacturers in the world that makes polysilicon used to create semiconductor wafers. In fact, nearly all electronic devices in the world contain HSC polysilicon.
We’re also moving the world toward a greener future by supplying the rapidly growing solar power industry. HSC is committed to doing good for our local Michigan and global communities, relentlessly improving our operations to remove supply chain carbon emissions. The low embodied greenhouse gas emissions in our polysilicon materials facilitates the production of ultra low\-carbon solar panels. These panels allow solar project developers and owners to lower the embodied carbon of their projects by up to 50 percent.
To achieve our goals, we draw on the talents of more than 1,500 employees and contractors. Our employees thrive in a culture that values teamwork, excellence, responsibility and customer focus. We recognize and value the diverse backgrounds and experiences of all of our people working together as One Team. At HSC, you belong to a team that is transforming our world.
 **High level summary of job**
The **Data Engineer** is responsible for designing, building, and maintaining scalable data pipelines and infrastructure to support enterprise\-wide analytics and operational reporting. This role ensures the reliability, performance, and security of data platforms and contributes to the standardization and integration of data across systems. The Data Engineer collaborates with application developers, analysts, and business stakeholders to deliver high\-quality data solutions aligned with business needs.
 **Essential functions of the job**
* Develop and maintain ETL/ELT pipelines across SAP S/4HANA and Microsoft Azure environments.
* Integrate data from SAP modules (FICO, MM, PP, SD, QM, PM) using SAP SLT, SAP CPI, and SAP Cloud Connector.
* Engineer data flows into SAP HANA Datamarts and Calculation Views using SAP HANA XS Advanced and Web IDE.
* Build and optimize data ingestion pipelines using Microsoft Data Fabric components such as MS Purview, Event Hub, Service Bus, and IoT Hub.
* Collaborate with business and IT stakeholders to define data requirements, understand usage patterns, and implement solutions using MS SQL Server, Databricks, and Azure Synapse.
* Ensure data quality, lineage, and governance across platforms using MS Purview and SAP GRC.
* Support manufacturing data historians (OSI PI, Sigmafine) and integrate with MES systems (Critical Manufacturing).
* Monitor and troubleshoot data pipeline performance using SAP HANA Cockpit, Azure Monitor, and Log Analytics.
 **Additional Duties/Responsibilities**
* Participate in the deployment of next\-generation analytics platforms including SAP Analytics Cloud and Microsoft Fabric.
* Support the delivery of certified analytics and data catalogs via MS Purview.
* Collaborate with cross\-functional teams on Manufacturing 4\.0 initiatives and MES integrations.
* Contribute to the continuous improvement of data architecture and analytics capabilities
* Maintain documentation of data flows, integration points, and system configurations.
 **Skills**
* Proficiency in SAP HANA, SAP S/4HANA, SAP SLT, SAP CPI, and SAP BTP.
* Experience with Microsoft Azure services including MS Fabric, MS Purview, Azure Data Factory, and Azure Synapse.
* Strong SQL development skills (MS SQL Server 2019/2022\).
* Knowledge of data visualization tools such as SAP Analytics Cloud, Power BI, and Spotfire.
* Experience with data historians (OSI PI, Sigmafine) and manufacturing data integration.
* Understanding of data governance, security, and compliance frameworks.
 **Behaviors**
* **Curious:** Explores the interconnection between data and business functions to develop optimal approaches and solutions.
* **Tech Savvy:** Embraces emerging technologies and applies them to solve complex data challenges.
* **Collaborates:** Works effectively across IT, OT, and business teams to deliver integrated solutions.
* **Manages Complexity:** Navigates large\-scale enterprise systems and data environments with precision.
* **Plans and Aligns**: Organizes work to meet strategic data architecture goals.
* **Action Oriented:** Takes initiative to resolve data issues and improve pipeline performance.
* **Ensures Accountability**: Delivers reliable and auditable data solutions.
* **Strategic Mindset:** Aligns data engineering efforts with enterprise analytics and business objectives.
 **Work Experience**
* 3\+ years in data engineering, with experience in SAP and/or Microsoft Azure ecosystems
 **Minimum Required Education/Certification**
* Bachelor’s Degree in Computer Science, Information Systems, or related field or equivalent
 *The range for this position is $86,800\.00 \- $119,350\.00 assuming full time status. Starting pay for the successful applicant is dependent on a variety of job\-related factors, including but not limited to market demands, experience, training, and education. The benefits available for this position are dependent on hours worked and may include medical, dental, vision, 401(k) plan, variable bonus, life insurance coverage, disability benefits, and PTO.*
 *HSC is an equal employment opportunity employer and all qualified applicants will receive consideration for employment without regard to race, color, religion, sex, national origin, age, protected veteran status, status as a qualified individual with a disability, marital status, pregnancy, sexual orientation, ancestry, genetic information, or any other characteristic protected by law.*
 *If you are an individual with a disability and you need an accommodation or other assistance during the application process, please call our Human Resources department at:*
 *989\.301\.5333*  
*or email your request to*  
*G1HSC\-HR@hscpoly.com*  
*All qualified applicants are encouraged to apply.*
*Req No. 1173*</t>
        </is>
      </c>
    </row>
    <row r="71">
      <c r="A71" t="inlineStr">
        <is>
          <t>in-cdb3803657a4179e</t>
        </is>
      </c>
      <c r="B71" t="inlineStr">
        <is>
          <t>Data Engineer</t>
        </is>
      </c>
      <c r="C71" t="inlineStr">
        <is>
          <t>Mass General Brigham</t>
        </is>
      </c>
      <c r="D71" t="inlineStr">
        <is>
          <t>indeed</t>
        </is>
      </c>
      <c r="E71">
        <f>HYPERLINK("https://www.indeed.com/viewjob?jk=cdb3803657a4179e", "https://www.indeed.com/viewjob?jk=cdb3803657a4179e")</f>
        <v/>
      </c>
      <c r="F71">
        <f>HYPERLINK("https://massgeneralbrigham.wd1.myworkdayjobs.com/en-US/MGBExternal/job/Somerville-MA/Data-Engineer_RQ4049979", "https://massgeneralbrigham.wd1.myworkdayjobs.com/en-US/MGBExternal/job/Somerville-MA/Data-Engineer_RQ4049979")</f>
        <v/>
      </c>
      <c r="G71" t="inlineStr">
        <is>
          <t>Somerville, MA, US</t>
        </is>
      </c>
      <c r="H71" s="3" t="n">
        <v>46056</v>
      </c>
      <c r="I71" t="inlineStr">
        <is>
          <t>Site: Mass General Brigham Incorporated  
Mass General Brigham relies on a wide range of professionals, including doctors, nurses, business people, tech experts, researchers, and systems analysts to advance our mission. As a not\-for\-profit, we support patient care, research, teaching, and community service, striving to provide exceptional care. We believe that high\-performing teams drive groundbreaking medical discoveries and invite all applicants to join us and experience what it means to be part of Mass General Brigham.  
Mass General Brigham Digital, in partnership with the Office of the Chief Medical Officer (OCMO), is seeking an experienced Data Engineer who has a passion for healthcare data and will thrive as a member of an experienced, high performing and highly motivated team. This person will have a desire to learn and a flexibility to adjust to the fast\-changing analytic and reporting demands of our system. The best candidate has solid analytical and communication skills, and experience working with health care data.  
**Job Summary**
Reporting to the Data Engineering Manager, the Data Engineer will be a member of a cross\-functional team responsible for developing new clinical data products. The areas of focus include Quality, Safety, Health Equity, Community Health, Patient Experience, Provider Wellbeing, Credentialing, and Pharmacy and Formulary.
The ideal candidate will collaborate with a multidisciplinary team to define and achieve strategic objectives. They will be responsible for developing the Quality Data Hub within our cloud\-based data warehouse. They will collaborate closely with solutions architects, analytics engineers, and visualization developers to understand requirements, establish robust change management practices, and implement rigorous quality assurance measures. Additionally, the role involves proactive performance monitoring, troubleshooting data issues, and adhering to MGB Digital’s standards and practices.  
**Qualifications**
**Principal Duties and Responsibilities**
* Design, build, test and maintain data models within the ‘Quality Data Hub’ of our cloud\-based enterprise data warehouse.
* Partners with solutions architects, analytics engineers, and data visualization developers to fully understand our data transformation needs and final model design to competently implement said design.
* In collaboration with analytic staff, performs thorough quality assurance, testing and peer review procedures to ensure the accuracy, reliability, and validity of end products.
* Adheres to the processes and tooling through which our enterprise curated data models are built and maintained. Participates in related process improvement efforts.
* Adheres to established change management and versioning processes for code promotion. Participates in related process improvement efforts as well.
* Collaborates on ingestion design for OCMO related data and handle related monitoring and support duties.
* Accrues advanced knowledge of the OCMO product domains and can quickly apply development strategies to meet the stakeholder requirements for the data products.
* Helps identify potential bottlenecks within the development lifecycle and propose high\-level strategies to overcome them.
* Triage, troubleshoot and resolve data issues from end users and internal team members.
* Follows MGB Digital guidelines and standard practices to leverage existing tools and methods to efficiently develop modeling solutions, ensure that work is not duplicated, and is appropriately transitioned between teams.
* Uses the Mass General Brigham values to govern decisions, actions, and behaviors. These values guide how we get our work done: Patients, Affordability, Accountability \&amp; Service Commitment, Decisiveness, Innovation \&amp; Thoughtful Risk; and how we treat each other: Diversity \&amp; Inclusion, Integrity \&amp; Respect, Learning, Continuous Improvement \&amp; Personal Growth, Teamwork \&amp; Collaboration.
Other duties and responsibilities as assigned.  
* 
**Additional Job Details (if applicable)**
**Qualifications**
* Bachelor’s or master’s degree in computer science, informatics, statistics, or related field and an interest in healthcare and the use of technology to support clinical care.
* 1\-3 years of experience as an Analytics Engineer, Data Engineer, or similar role.
* 1\-3 years of experience in business intelligence/analytics, preferably working with healthcare data.
* Proficiency in querying complex data structures using SQL is required.
* Experience with transforming and modeling workflow tools, such as DBT or Informatica.
* Experience working with cloud data platforms such as Snowflake, Azure Synapse, Amazon Redshift, etc.
* Experience with general source control principles and implementing CI/CD pipelines.
* Experience with implementing scalable ETL/ELT pipelines.
* Working knowledge of traditional data warehousing and cloud data warehousing concepts.
* Strong programming skills and proficient in other programming languages (e.g., SAS, R, and Python)
* Experience developing/configuring agentic AI a plus.
* Working knowledge of data visualization (Tableau) software a plus.
* Proficiency or Certification in Epic Clarity / Caboodle data model a plus.
**Skills/Abilities/Competencies**
* Ability to function effectively and independently in a fast\-paced environment, organize and prioritize work independently, and meet tight deadlines.
* Ability to manage multiple projects simultaneously, set priorities, and collaborate with team members and others throughout the organization.
* Possess strong interpersonal skills to effectively communicate with cross functional teams including staff at all levels of the organization.
* Willing to contribute to and foster a team player culture where all are encouraged and willing to share information accurately.
* Able and motivated to mentor/train junior staff members.
* Knowledge of agile principles and experience working within an agile team is preferred.
* Practical problem\-solving abilities, i.e. the ability to formulate hypotheses, test options and move forward in a fast\-paced environment.
* Excellent interpersonal skills, including strong customer service orientation and the ability to translate complex technical concepts to non\-technical audiences.
* Advanced SQL DML skills required, with comparable experience in writing data functions (e.g. TSQL procs, Snowflake UDFs, etc.).
**Working Conditions**
* Hybrid with onsite work required in office, candidate must be flexible for weekly or monthly business needs
* M\-F Eastern business hours required
On remote workdays, employees must use a stable, secure, and compliant workstation in a quiet environment. Teams video is required and must be accessed using MGB\-provided equipment  
* 
**Remote Type**
Hybrid  
**Work Location**
399 Revolution Drive  
**Scheduled Weekly Hours**
40  
**Employee Type**
Regular  
**Work Shift**
Day (United States of America)  
**Pay Range**
$75,275\.20 \- $109,553\.60/Annual  
**Grade**
6  
At Mass General Brigham, we believe in recognizing and rewarding the unique value each team member brings to our organization. Our approach to determining base pay is comprehensive, and any offer extended will take into account your skills, relevant experience if applicable, education, certifications and other essential factors. The base pay information provided offers an estimate based on the minimum job qualifications; however, it does not encompass all elements contributing to your total compensation package. In addition to competitive base pay, we offer comprehensive benefits, career advancement opportunities, differentials, premiums and bonuses as applicable and recognition programs designed to celebrate your contributions and support your professional growth. We invite you to apply, and our Talent Acquisition team will provide an overview of your potential compensation and benefits package.  
**EEO Statement:**
0100 Mass General Brigham Incorporated is an Equal Opportunity Employer. All qualified applicants will receive consideration for employment without regard to race, color, religious creed, national origin, sex, age, gender identity, disability, sexual orientation, military service, genetic information, and/or other status protected under law. We will ensure that all individuals with a disability are provided a reasonable accommodation to participate in the job application or interview process, to perform essential job functions, and to receive other benefits and privileges of employment. To ensure reasonable accommodation for individuals protected by Section 503 of the Rehabilitation Act of 1973, the Vietnam Veteran’s Readjustment Act of 1974, and Title I of the Americans with Disabilities Act of 1990, applicants who require accommodation in the job application process may contact Human Resources at (857\)\-282\-7642\.  
**Mass General Brigham Competency Framework**
---------------------------------------------
At Mass General Brigham, our competency framework defines what effective leadership “looks like” by specifying which behaviors are most critical for successful performance at each job level. The framework is comprised of ten competencies (half People\-Focused, half Performance\-Focused) and are defined by observable and measurable skills and behaviors that contribute to workplace effectiveness and career success. These competencies are used to evaluate performance, make hiring decisions, identify development needs, mobilize employees across our system, and establish a strong talent pipeline.</t>
        </is>
      </c>
    </row>
    <row r="72">
      <c r="A72" t="inlineStr">
        <is>
          <t>in-dfefd6c81a2ce22a</t>
        </is>
      </c>
      <c r="B72" t="inlineStr">
        <is>
          <t>Manufacturing Data Engineer Co-Op</t>
        </is>
      </c>
      <c r="C72" t="inlineStr">
        <is>
          <t>Freudenberg Group</t>
        </is>
      </c>
      <c r="D72" t="inlineStr">
        <is>
          <t>indeed</t>
        </is>
      </c>
      <c r="E72">
        <f>HYPERLINK("https://www.indeed.com/viewjob?jk=dfefd6c81a2ce22a", "https://www.indeed.com/viewjob?jk=dfefd6c81a2ce22a")</f>
        <v/>
      </c>
      <c r="F72">
        <f>HYPERLINK("https://jobs.freudenberg.com/freudenberg/job/de/details/3947331/", "https://jobs.freudenberg.com/freudenberg/job/de/details/3947331/")</f>
        <v/>
      </c>
      <c r="G72" t="inlineStr">
        <is>
          <t>Plymouth, MI, US</t>
        </is>
      </c>
      <c r="H72" s="3" t="n">
        <v>46056</v>
      </c>
      <c r="I72" t="inlineStr">
        <is>
          <t>Some of your Benefits
401K Match
Health Insurance
Vacation
Sustainability \&amp; Social Commitment
Paid Holidays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Sustainability \&amp; Social Commitment
Paid Holidays
Plymouth, MI
On\-Site
Freudenberg\-NOK General Partnership
MANUFACTURING DATA ENGINEER CO\-OP
Responsibilities
* Assist with extracting, cleaning, and transforming datasets from Excel, CSV, SQL databases, and JSON‑based APIs.
Support Databricks Bronze* Silver data pipeline development (i.e. Moving data from local sources to cloud storage)
* Perform basic data modeling tasks such as identifying keys and schema understanding. (i.e. Structuring Data)
* Write Python scripts for transformation, automation, and API interaction (i.e. connecting local to cloud software).
* Use SQL for querying operational and analytical data systems (i.e. searching through structured data)
* Assist with unit tests and simple system validation scripts (i.e. robust code development \&amp; testing)
* Perform validation checks such as nulls, duplicates, schema mismatches (i.e. making sure data recovered is clean \&amp; usable)
* Maintain data dictionaries and transformation notes (i.e. maintaining thorough documentation \&amp; handover)
Qualifications
* Currently pursuing a degree in Computer Science, Data Science, Engineering, Information Systems, or a related field
* Must be available full\-time during summer; part\-time during semester
* Python experience, including writing scripts for data processing or analysis. SQL fundamentals, including basic queries, joins, and aggregations
* Familiarity with CSV and JSON data formats
* Experience using Git for version control (coursework or projects acceptable)
* Strong Excel skills, including formulas, pivot tables, and data validation
* Basic understanding of data concepts such as schemas, transformations, and data quality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row>
    <row r="73">
      <c r="A73" t="inlineStr">
        <is>
          <t>in-1509415f7fd583a1</t>
        </is>
      </c>
      <c r="B73" t="inlineStr">
        <is>
          <t>Commercial &amp; Land Data Engineer</t>
        </is>
      </c>
      <c r="C73" t="inlineStr">
        <is>
          <t>ExxonMobil</t>
        </is>
      </c>
      <c r="D73" t="inlineStr">
        <is>
          <t>indeed</t>
        </is>
      </c>
      <c r="E73">
        <f>HYPERLINK("https://www.indeed.com/viewjob?jk=1509415f7fd583a1", "https://www.indeed.com/viewjob?jk=1509415f7fd583a1")</f>
        <v/>
      </c>
      <c r="F73">
        <f>HYPERLINK("https://jobs.exxonmobil.com/ExxonMobil/job/Houston-Commercial-&amp;-Land-Data-Engineer-TX-77001/1362029200/?feedId=204100&amp;utm_source=Indeed&amp;utm_campaign=XOM_Indeed", "https://jobs.exxonmobil.com/ExxonMobil/job/Houston-Commercial-&amp;-Land-Data-Engineer-TX-77001/1362029200/?feedId=204100&amp;utm_source=Indeed&amp;utm_campaign=XOM_Indeed")</f>
        <v/>
      </c>
      <c r="G73" t="inlineStr">
        <is>
          <t>Houston, TX, US</t>
        </is>
      </c>
      <c r="H73" s="3" t="n">
        <v>46056</v>
      </c>
      <c r="I73"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canwork **together**.
**About Houston**
-----------------
ExxonMobil's state\-of\-the\-art campus north of Houston serves as home to its Upstream, Product Solutions and Low Carbon Solutions businesses and their associated service groups. The facility opened in 2014 and accommodates more than 10,000 employees and visitors.
By bringing many global functional groups together, the campus provides employees with the tools and capabilities needed today, and in the future, to achieve business objectives and accelerate the discovery of new resources, technologies and products. It was designed to foster improved collaboration, creativity and innovation and enhance the company’s ability to attract, develop and retain the top talent in the industry.
The campus is located in Spring, Texas, on 385 wooded acres immediately to the west of Interstate Highway 45 (I\-45\), at the intersection of I\-45 and the Hardy Toll Road, approximately 25 miles from the cultural vibrancy of downtown Houston.
The campus was constructed to the highest standards of energy efficiency and environmental stewardship. Its design incorporates extensive research into best practices in building and workplace design through extensive benchmarking of the world’s top academic, research, and corporate facilities.
 **Learn more about what we do in Houston** **here.**
**What role you will play in our team**
---------------------------------------
As a Commercial \&amp; Land Data Engineer working at ExxonMobil, you will be a part of world class team and gain hands\-on experience and skills working on projects that create an impact.
**What you will do**
--------------------
* Analyze the value and cost of innovation opportunities, and leverage internal resources, such as Land department personnel, IT department personnel, and members of other cross\-functional departments to capture those opportunities.
* Work with internal resources throughout Land to validate ideas; design business processes and procedures around these innovation opportunities.
* Work with IT department personnel to design, test, implement, deploy and train new Land systems, tools, and enhancements to existing technologies.
* Work with the Business Transformation team as Land’s Functional Lead to aid IT in the allocation of resources, planning, and budgeting of corporate projects.
* Participate with other business units in the establishment and continued engagement of a community of continuous improvement.
* Manage existing processes/technologies that enable innovation and automate ownership calculations.
* Assist Business Development to analyze incoming opportunities.
**About you**
-------------
 **Skills and Qualifications:**
* ExxonMobil is seeking applicants with Upstream oil and gas knowledge and 3\+ years of in\-house land/commercial experience with a Bachelors in Data Management and/or Business Administration.
* Applicants must have excellent collaboration, communication and interpersonal skills, and have the ability to deliver results in a performance\-driven and team\-oriented environment.
* Significant experience and interest in land and data management
 **Preferred Qualifications/Experience:**
* Strong critical thinking skills; ability to exercise business judgement/make sound decisions
* Detail\-oriented and capable of producing results in time constrained situations involving complex oil and gas ownership calculations
* Adaptable to changing business needs and requests
* Experience with land transactions
* Proficiency with Land Systems, ESRI, Alteryx, PowerBI
**Your Benefits**
-----------------
 **An ExxonMobil career is one designed to last. Our commitment to you runs deep: our employees grow personally and professionally, with benefits built on our core categories of health, security, finance, and life. We offer you:**
* Pension Plan: Enrollment is automatic and at no cost to you. The basic benefit is a monthly annuity to be paid to you in retirement for the rest of your life.
* Savings Plan: You can contribute between 6% and 20% of your pay and are encouraged to enroll right away. If you contribute at least 6% to your savings plan, the Company will contribute a 7% match.
* Workplace Flexibility: We have several programs such as “Flex your Day”, providing ad\-hoc flexibility around when and where you work, as well as longer\-term programs such as leaves of absence and part\-time work.
* Comprehensive medical, dental, and vision plans.
* Culture of Health: Programs and resources to support your wellbeing.
* Employee Health Advisory Program: Provides confidential professional counseling for you and your family, including tools and resources promoting mental health and resiliency at no additional cost to you.
* Disability Plan: Income replacement for when you cannot work due to illness or injury occurring on or off the job. Enrollment is automatic and at no cost to you.
More information on our Company’s benefits can be found at www.exxonmobilfamily.com.
Please note benefits may be changed from time to time without notice, subject to applicable law.
**Stay connected with us**
--------------------------
Learn more at our **website**  
Follow us on **LinkedIN** **and** **Instagram**  
Like us on **Facebook**  
Subscribe our channel at **YouTube**
**Equal Opportunity Employer**
------------------------------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**Job ID: 83133**</t>
        </is>
      </c>
    </row>
    <row r="74">
      <c r="A74" t="inlineStr">
        <is>
          <t>in-0515b2b4843f9d9e</t>
        </is>
      </c>
      <c r="B74" t="inlineStr">
        <is>
          <t>Full-Stack Data Engineer</t>
        </is>
      </c>
      <c r="C74" t="inlineStr">
        <is>
          <t>Quiet Professionals LLC</t>
        </is>
      </c>
      <c r="D74" t="inlineStr">
        <is>
          <t>indeed</t>
        </is>
      </c>
      <c r="E74">
        <f>HYPERLINK("https://www.indeed.com/viewjob?jk=0515b2b4843f9d9e", "https://www.indeed.com/viewjob?jk=0515b2b4843f9d9e")</f>
        <v/>
      </c>
      <c r="F74">
        <f>HYPERLINK("https://quietprofessionals.extensishrtalent.com/CareerPortal/JobDetail.aspx?RequisitionId=2980&amp;SourceId=6800", "https://quietprofessionals.extensishrtalent.com/CareerPortal/JobDetail.aspx?RequisitionId=2980&amp;SourceId=6800")</f>
        <v/>
      </c>
      <c r="G74" t="inlineStr">
        <is>
          <t>Doral, FL, US</t>
        </is>
      </c>
      <c r="H74" s="3" t="n">
        <v>46056</v>
      </c>
      <c r="I74" t="inlineStr">
        <is>
          <t>Position Description: **Position Summary**The Full\-Stack Data Engineer supports mission\-critical objectives under the referenced work order by developing, maintaining, and optimizing data integration pipelines, API services, and front\-end interfaces for accessing and visualizing geospatial and structured data. This role ensures scalable, secure, and metadata\-driven data applications across enterprise and cloud environments.  
This future opportunity is contingent upon award.  
**Job Description*** The Full\-Stack Data Engineer is responsible for designing and deploying full\-stack applications that enable data visualization, dashboarding, and analytics for ESRI\-based GIS platforms, Unity Catalog, and cloud\-based databases.
* The role involves implementing RESTful and GraphQL APIs to support seamless data integration between Data Lake environments, ESRI ArcGIS platforms, and external sources.
* Additional responsibilities include managing CI/CD pipelines, containerized deployments in Kubernetes, implementing API authentication and access controls, and optimizing database queries and indexing strategies for large\-scale geospatial and structured datasets. The engineer will collaborate closely with data governance, DevOps, and research teams to ensure interoperability, security, and performance of data applications.
**Required Qualifications and Experience**The contractor shall provide personnel who meet one of the following requirements:
* Bachelors degree in Computer Science, Data Engineering, or a related discipline; **or**
* A minimum of five (5\) years of equivalent professional experience in full\-stack development and data engineering.
**Candidates must have demonstrated experience in the following areas:*** Developing and deploying full\-stack applications for data visualization and analytics within ESRI GIS platforms, Unity Catalog, and cloud databases.
* Implementing RESTful and GraphQL APIs for seamless data retrieval and integration.
* Managing CI/CD pipelines and containerized deployments in Kubernetes.
* Ensuring secure access through API authentication and authorization mechanisms.
* Optimizing database queries, indexing, and performance for geospatial and structured datasets.
**Required Skills and Competencies*** Strong knowledge of full\-stack development, data engineering, and cloud\-native platforms.
* Experience with Databricks, Kubernetes, ESRI ArcGIS, and cloud\-based data environments.
* Expertise in metadata\-driven search, retrieval, and data interoperability.
* Strong analytical, problem\-solving, and collaboration skills.
* Ability to translate research and governance requirements into functional, secure applications.
**Education*** Bachelors degree in a related field, or an equivalent combination of education and relevant experience.
* AWS Certified Data Analytics Specialty (Preferred, Not Required).
* Microsoft Certified: Azure Data Engineer Associate (Preferred, Not Required).
* ESRI ArcGIS Developer Certification (Preferred, Not Required).
**Clearance Requirement*** An active security clearance at the level specified by the program is required, or the ability to obtain and maintain the required clearance.
Quiet Professionals is located in the Greater Tampa Bay Area. We provide innovative and sustainable solutions that enhance the operational effectiveness of our clients and partners.  
QP is proud to be an equal opportunity, disability, and veteran employer. Our team of Quiet Professionals is highly driven, innovative, and results oriented. We empower our teams creativity, knowledge, and expertise to support client needs by fostering a diverse, inclusive, and supportive workplace. We understand that diversity fuels innovation and drives our success. We offer comprehensive benefits designed to serve the needs of our workforce.</t>
        </is>
      </c>
    </row>
    <row r="75">
      <c r="A75" t="inlineStr">
        <is>
          <t>in-db7236e22567e574</t>
        </is>
      </c>
      <c r="B75" t="inlineStr">
        <is>
          <t>Business Systems Sr Data Engineer</t>
        </is>
      </c>
      <c r="C75" t="inlineStr">
        <is>
          <t>BNH</t>
        </is>
      </c>
      <c r="D75" t="inlineStr">
        <is>
          <t>indeed</t>
        </is>
      </c>
      <c r="E75">
        <f>HYPERLINK("https://www.indeed.com/viewjob?jk=db7236e22567e574", "https://www.indeed.com/viewjob?jk=db7236e22567e574")</f>
        <v/>
      </c>
      <c r="F75">
        <f>HYPERLINK("https://careers-bnh.icims.com/jobs/23056/business-systems-sr-data-engineer/job", "https://careers-bnh.icims.com/jobs/23056/business-systems-sr-data-engineer/job")</f>
        <v/>
      </c>
      <c r="G75" t="inlineStr">
        <is>
          <t>Arnold AFB, TN, US</t>
        </is>
      </c>
      <c r="H75" s="3" t="n">
        <v>46056</v>
      </c>
      <c r="I75" t="inlineStr">
        <is>
          <t>**Overview**
------------
**Job Title:** Business Systems Sr Data Engineer
**Location:** Arnold AFB, TN
**Job Family Code:** N – Databases \&amp; Data Warehousing
**Function/Branch:** IS\&amp;T/Business Systems Branch
**Directorate:** Engineering \&amp; Tech Support
**Position Type:** Regular, Full\-Time
**Pay Type:** Exempt
**Grade****:** L08 (NA0807\) – L09 (NA0907\)
**Salary Range or Starting Hourly Rate** **(provided by HR):** $95,000 \- $150,000 / year
 **Overview**
Beyond New Horizons, LLC (BNH) has an exciting opportunity for a Business Systems Sr Data Engineer, supporting TOS II, at Arnold Air Force Base, TN in Tullahoma, TN. The Business Systems Sr Data Engineer will work as a member of the Business Systems Branch to lead implementation of data\-centered projects to improve the AEDC business systems. The person selected for this role will work closely with multidisciplinary work teams throughout the Beyond New Horizons (BNH) organization to identify opportunities for leveraging data to drive decisions and will help design and implement a data architecture while working with the Business Systems team.
 ***Open to internal and external candidates.*** The selected candidate for this requisition may be required to occasionally (e.g. application upgrades) work outside normal business hours.
 **Job Summary**
Beyond New Horizons, LLC (BNH) is the team selected by the U.S. Air Force to conduct Test and Operations Sustainment at the Arnold Engineering Development Complex (AEDC) at Arnold Air Force Base in Tennessee. AEDC operates more than 55 aerodynamic and propulsion wind tunnels, rocket and turbine engine test cells, space environmental chambers, arc heaters, ballistic ranges and other specialized units located in six states. Many of the complex's test units have capabilities unmatched elsewhere in the United States; some are unique in the world. AEDC is one of three installations which are part of the Air Force Test Center (AFTC), one of six subordinate commands of the Air Force Materiel Command organization, and an important national resource.
AEDC’s mission is to conduct developmental tests and evaluation for the Nation through modeling, simulation, and ground and flight tests. Execution of the mission requires a large team of highly qualified and dedicated professionals from multiple technical disciplines to effectively accomplish the objectives of our test customers.
**Job Duties:**
* Development and implement data\-engineering strategies and programs.
* Utilize various data sources to optimize data analytics for the AEDC Business systems.
* Automate manual processes, optimizing data delivery, re\-designing infrastructure for greater scalability.
* Responsible for defining \&amp; developing approaches and demonstrate abilities to mine and analyze data from Business System databases to drive optimization and improvement of data collected.
* Migrate existing Oracle Business Intelligence reporting to newer Oracle Analytic Server
* Maintain Oracle Analytics server or other alternatives for existing standard reporting
* Maintain Power BI reporting for dynamic interactive reporting
* Identify and assess the effectiveness of data engineering, data sources and data gathering techniques.
* Responsible for leading data governance efforts within the Business Systems branch
* Responsible for developing the Data quality standards and controls for the data warehouse/lake
* Coordinate with different multidisciplinary teams to implement models and monitor outcomes.
* Define \&amp; develop processes and tools to monitor and analyze model performance and data accuracy.
* Responsible for defining \&amp; developing the infrastructure required for optimal extraction, transformation, and loading (ETL) of data from a wide variety of data sources using Oracle PL/SQL and/or MS SQL.
* Identify and complete projects associated with data\-engineering.
* Responsible for developing custom financial analytics, reports and dashboards using various tools.
* It is a condition of employment to wear PPE (Personal Protective Equipment) in accordance with supervisory direction and company policy.
* Perform other duties as required.
**Basic Qualifications:**
* BS degree in Computer Engineering, Science or BSBA in Management Information Systems with 7\-10 years of progressive and relevant experience or any equivalent combination of education and progressive and relevant experience.
* Skilled with Oracle and MS SQL databases
* Experienced in software development/engineering and web development
* Must be able to obtain and maintain security clearance and the AEDC local area network.
* Current U. S. Citizenship required.
 **Preferred Qualifications**
* Skilled with Oracle PL/SQL and MS SQL T\-SQL, triggers, indexing, procedures, replication, views, etc.
* Experience with the following:
	+ Oracle: RMAN, Toad for Oracle, Oracle OEM, Oracle DB 19c, Oracle Business Intelligence/Oracle Analytics server
	+ Microsoft: MS SQL Server 2019 or higher, SQL Server Management Studio, SSIS, SSRS, PowerBI
	+ Operating Systems: Windows 11, Windows 2019 Server OS or higher, RHEL 8 OS or higher
	+ Office products: Visio, Microsoft Office, etc.
* Knowledge of Cloud platforms and data management in cloud platforms
* Experienced with API’s
* Skilled in oral and written communication
* Skilled at building and maintaining personnel and customer relationships.
* Ability to effectively manage multiple priorities.
* Obtain and maintain Security\+ certification
* Active DoD secret security clearance or able to obtain an Active DoD secret security clearance.
 **What We Offer*** Competitive salaries
* Continuing education assistance
* Multiple healthcare benefits packages
* 401K with employer matching
* Paid time off (PTO) along with a federally recognized holiday schedule
 **Who We Are*****U.S. Citizenship is required.*** *At this time BNH will* ***not*** *sponsor any applicants for employment authorization or offer any immigration related support for this position (i.e. H1b, F1 OPT, F\-1 STEM OPT, F\-1 CPT, J\-1, E\-2, E\-3, L\-1,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BNH is willing to pay at the time of this posting. Salaries for part\-time jobs will be adjusted based upon the number of hours agreed to work.*
 *Arnold Airforce Base* **$****9****5,000 \- $1****50****,000/year**
 *BNH is an Equal Employment Opportunity Employer. We provide equal employment opportunities to all employees and applicants for employment and prohibit discrimination and harassment of any type without regard to race, color, religion, age, sex, national origin, veteran status, and any other grounds for discrimination prohibited by applicable law.**This policy applies to all terms and conditions of employment, including recruiting, hiring, placement, promotion, termination, layoff, recall, transfer, leaves of absence, compensation, and training.* **Join our Team!**
*BNH is an Equal Employment Opportunity Employer. We provide equal employment opportunities to all employees and applicants for employment and prohibit discrimination and harassment of any type without regard to race, color, religion, age, sex, national origin, veteran status, and any other grounds for discrimination prohibited by applicable law.**This policy applies to all terms and conditions of employment, including recruiting, hiring, placement, promotion, termination, layoff, recall, transfer, leaves of absence, compensation, and training.*</t>
        </is>
      </c>
    </row>
    <row r="76">
      <c r="A76" t="inlineStr">
        <is>
          <t>in-f228435eb82139bf</t>
        </is>
      </c>
      <c r="B76" t="inlineStr">
        <is>
          <t>Senior Data Engineer</t>
        </is>
      </c>
      <c r="C76" t="inlineStr">
        <is>
          <t>Bitfarms</t>
        </is>
      </c>
      <c r="D76" t="inlineStr">
        <is>
          <t>indeed</t>
        </is>
      </c>
      <c r="E76">
        <f>HYPERLINK("https://www.indeed.com/viewjob?jk=f228435eb82139bf", "https://www.indeed.com/viewjob?jk=f228435eb82139bf")</f>
        <v/>
      </c>
      <c r="F76">
        <f>HYPERLINK("https://grnh.se/segqp31k8us", "https://grnh.se/segqp31k8us")</f>
        <v/>
      </c>
      <c r="G76" t="inlineStr">
        <is>
          <t>New York, NY, US</t>
        </is>
      </c>
      <c r="H76" s="3" t="n">
        <v>46056</v>
      </c>
      <c r="I76" t="inlineStr">
        <is>
          <t>**The Future Runs on Bitfarms**
As demand for AI and high\-performance computing (HPC) accelerates, Bitfarms is building the infrastructure to meet the moment. Our US expansion and global operations are laying the foundation for scalable, energy\-optimized compute designed to support next generation workloads and long\-term growth.
**Who We Are**  
Bitfarms (NASDAQ/TSX: BITF) is a global energy and compute infrastructure company that develops, owns, and operates high\-performance data centers.
With data centers across North and South America, we manage every stage of development from securing energy, producing power, and designing facilities to running world class operations. This vertically integrated approach allows us to innovate faster, operate more efficiently, and deliver infrastructure that can scale with the future of compute.
**Why Join Our Team**  
At Bitfarms, voted a Great Place to Work, you will be part of a team shaping the next generation of digital infrastructure. We are at the intersection of energy and technology, two industries undergoing massive transformation. Here, your work will have real impact, powering advanced workloads that are driving AI, machine learning, and the digital economy forward.
We value people who are curious, collaborative, and committed to building solutions that last. With offices in New York City, Pittsburgh, Montreal and Buenos Aires, Bitfarms offers the chance to grow your career while helping power AI and shape the future of high\-performance computing.
**What You Can Expect at Bitfarms**
* A fast\-moving environment where innovation and execution go hand in hand.
* Opportunities to work on cutting edge projects in HPC, AI, and energy infrastructure.
* A collaborative, cross border team that thrives on solving complex challenges.
* A commitment to efficiency, operational excellence, and long\-term value creation.
Bitfarms continues to seek operational and financial improvements through decentralization and diversification, and using ethical and innovative initiatives to unlock value for both our clients and employees.
**What We Offer**
* Competitive salary and bonus opportunities along with career advancement
* Top tier group insurance plan with employer cost sharing
* Group retirement savings with employer contribution
* Employee referral program
* Telemedicine \&amp; employee assistance program (EAP)
* An inclusive, safe and diverse work environment
We are currently looking for a **Senior Data Engineer** to join our team.
**Compensation:**
Expected Salary: $120,000 \- $170,000 USD
**What You Can Expect from This Role**
The Senior Data Engineer will play a critical role in designing, building, and operating Bitfarms' next\-generation data platform. This role is responsible for architecting and implementing a modern Data Lakehouse, establishing a data classification program aligned with a new Data Loss Prevention (DLP) initiative, and partnering closely with business and technical stakeholders to understand, classify, and govern data across the organization.
This position requires strong technical depth in data engineering and architecture, combined with the ability to translate business needs, compliance requirements, and security objectives into scalable and well\-governed data solutions.
**Key Responsibilities**
**Data Platform \&amp; Lakehouse Architecture**
* Design, implement, and maintain a scalable Data Lakehouse architecture supporting analytics, reporting, and advanced workloads.
* Define data ingestion, transformation, and storage patterns for structured, semi\-structured, and unstructured data.
* Establish best practices for data modeling, partitioning, performance optimization, and cost efficiency.
* Ensure high availability, reliability, and data quality across the data platform.
**Data Classification \&amp; DLP Enablement**
* Lead the design and implementation of a data classification framework aligned with Bitfarms' security, compliance, and business requirements.
* Partner with Cybersecurity and Compliance teams to support the rollout of a Data Loss Prevention (DLP) program.
* Identify, tag, and manage sensitive data (e.g., financial, operational, personal, or regulated data) throughout the data lifecycle.
* Ensure data classification is embedded into ingestion pipelines, storage layers, and access controls.
**Stakeholder Engagement \&amp; Data Assessment**
* Work closely with business stakeholders, IT, Security, and Compliance teams to:
* Assess existing and new data sources.
* Understand data usage, criticality, and sensitivity.
* Define classification levels, retention rules, and access requirements.
* Translate stakeholder needs into technical data models, pipelines, and governance controls.
* Act as a trusted advisor on data architecture, data governance, and data protection topics.
**Data Governance \&amp; Security**
* Implement data access controls, lineage, and auditability in alignment with internal policies and regulatory requirements.
* Support SOX, ITGC, and other compliance\-driven data controls as applicable.
* Contribute to the definition of data standards, naming conventions, and documentation.
**Operations \&amp; Continuous Improvement**
* Monitor and optimize data pipelines for performance, reliability, and cost.
* Troubleshoot and resolve complex data\-related issues across environments.
* Continuously evaluate new tools, technologies, and patterns to improve the data ecosystem.
* Mentor junior engineers and contribute to internal knowledge sharing.
**What We Are Looking For**
* 7\+ years of experience in data engineering or data platform roles.
* Proven experience designing and implementing data lake and/or lakehouse architectures.
* Strong experience with data ingestion, ETL/ELT pipelines, and large\-scale data processing.
* Solid understanding of data classification, data governance, and data security concepts.
* Experience collaborating with security or compliance teams on data protection initiatives (e.g., DLP, data privacy).
* Ability to communicate complex technical concepts clearly to non\-technical stakeholders.
**More Details**
* Work schedule: Monday\-Friday, New York City office, 4 days on\-site, 1 WFH
* Job type: Full Time, Permanent
Bitfarms is more than a workplace. It is where people come together to power the future.</t>
        </is>
      </c>
    </row>
    <row r="77">
      <c r="A77" t="inlineStr">
        <is>
          <t>in-97ff5ad3b2312091</t>
        </is>
      </c>
      <c r="B77" t="inlineStr">
        <is>
          <t>Senior Data Engineer</t>
        </is>
      </c>
      <c r="C77" t="inlineStr">
        <is>
          <t>CERTIFID</t>
        </is>
      </c>
      <c r="D77" t="inlineStr">
        <is>
          <t>indeed</t>
        </is>
      </c>
      <c r="E77">
        <f>HYPERLINK("https://www.indeed.com/viewjob?jk=97ff5ad3b2312091", "https://www.indeed.com/viewjob?jk=97ff5ad3b2312091")</f>
        <v/>
      </c>
      <c r="F77">
        <f>HYPERLINK("https://jobs.lever.co/certifid/08f6d6fb-c6b1-4f2b-8863-6138e76cf157?lever-source=Indeed", "https://jobs.lever.co/certifid/08f6d6fb-c6b1-4f2b-8863-6138e76cf157?lever-source=Indeed")</f>
        <v/>
      </c>
      <c r="G77" t="inlineStr">
        <is>
          <t>Austin, TX, US</t>
        </is>
      </c>
      <c r="H77" s="3" t="n">
        <v>46056</v>
      </c>
      <c r="I77" t="inlineStr">
        <is>
          <t>Cybercrime is rising, reaching record highs in 2024\. According to the FBI's IC3 report total losses exceeded $16 billion. With investment fraud and BEC scams at the forefront, the message is clear: the real estate sector remains a lucrative target for cybercriminals. At CertifID, we take this threat seriously and provide a secure platform that verifies the identities of parties involved in transactions, authenticates wire transfer instructions, and detects potential fraud attempts. Our technology is designed to mitigate risks and ensure that every transaction is conducted with confidence and peace of mind.  
We know we couldn’t take on this challenge without our incredible team. We have been recognized as one of the Best Startups to Work for in Austin, made the Inc. 5000 list, and won Best Culture by Purpose Jobs two years in a row. We are guided by our core values and our vision of a world without wire fraud. We offer a dynamic work environment where you can contribute to meaningful impact and be part of a team dedicated to enhancing security and fighting fraud.  
As a Senior Data Engineer, you’ll own the systems that turn raw data into trusted insights across the company. You’ll partner closely with Product, Finance, Sales, and Customer Success to ensure our data platform scales with the business and directly supports decision\-making.
### **Responsibilities**
* Design, build, and maintain trusted, scalable data models that power reporting, analytics, and product insights
* Own the evolution of our data platform, unifying analytics tooling and fully replacing legacy admin and ad\-hoc reporting
* Develop and maintain robust ELT pipelines, transformations, and data stores that serve as the source of truth for billing, revenue, usage, and customer success workflows
* Apply strong data modeling and warehousing principles to create analytics\-optimized tables that are well\-documented and easy to use
* Partner with stakeholders to understand business questions, translate them into data models, and educate teams on how to operationalize analytics effectively
* Proactively identify opportunities to improve reporting or data reliability and build proof\-of\-concepts to validate solutions with the business
* Write high\-quality, secure, maintainable, and testable production code, following best practices and thoughtful tradeoffs
* Contribute to a culture of craftsmanship through code reviews, documentation, and continuous improvement
* Balance speed and quality, delivering quickly while building systems that scale with the company
* Adapt to a wide range of challenges, learning new tools and skills as needed in a fast\-moving environment
### **What we are looking for**
* 3\+ years of professional experience in data engineering, analytics engineering, business intelligence, or a closely related role
* Strong SQL skills and hands\-on experience with data modeling for analytics use cases
* Experience building and maintaining production data pipelines, transformations, and warehouses in a cloud\-based environment
* Comfort working with self\-service BI and analytics tools, enabling non\-technical stakeholders to answer their own questions
* A hybrid mindset: you can think like a software engineer while deeply understanding analytical and business requirements
* Experience supporting SaaS metrics such as revenue, usage, billing, or customer health reporting
* Strong understanding of data warehousing concepts (fact/dimension modeling, performance optimization, data quality)
* Proven ability to deliver quickly without compromising technical quality
### **What sets you apart**
* You take ownership and accountability for outcomes, not just implementations
* You care deeply about data correctness, clarity, and trust
* You enjoy collaborating cross\-functionally and explaining complex concepts in plain language
* You’re energized by building systems from imperfect inputs and evolving them as the business grows
Not sure if you check all the boxes? Apply anyway!  
We know that great talent comes in many forms, and we value potential just as much as experience. If you're excited about this role and believe you can grow into it, we’d love to hear from you. We’re looking for people who are eager to learn, adapt, and solve challenges—so if that sounds like you, don’t let a checklist hold you back!  
Change doesn't happen overnight, and the same goes for us here at CertifID. We PROGRESS collectively and individually as we grow, abiding by our core values. Protect the Customer, Raise the Bar, Operate with Urgency, Grow with Grit, Ride the Wave, Enthusiasm Spreads, Stay Connected, Send It.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8">
      <c r="A78" t="inlineStr">
        <is>
          <t>in-402f184f541f266c</t>
        </is>
      </c>
      <c r="B78" t="inlineStr">
        <is>
          <t>Senior Data Engineer</t>
        </is>
      </c>
      <c r="C78" t="inlineStr">
        <is>
          <t>CERTIFID</t>
        </is>
      </c>
      <c r="D78" t="inlineStr">
        <is>
          <t>indeed</t>
        </is>
      </c>
      <c r="E78">
        <f>HYPERLINK("https://www.indeed.com/viewjob?jk=402f184f541f266c", "https://www.indeed.com/viewjob?jk=402f184f541f266c")</f>
        <v/>
      </c>
      <c r="F78">
        <f>HYPERLINK("https://jobs.lever.co/certifid/08f6d6fb-c6b1-4f2b-8863-6138e76cf157?lever-source=Indeed", "https://jobs.lever.co/certifid/08f6d6fb-c6b1-4f2b-8863-6138e76cf157?lever-source=Indeed")</f>
        <v/>
      </c>
      <c r="G78" t="inlineStr">
        <is>
          <t>Grand Rapids, MI, US</t>
        </is>
      </c>
      <c r="H78" s="3" t="n">
        <v>46056</v>
      </c>
      <c r="I78" t="inlineStr">
        <is>
          <t>Cybercrime is rising, reaching record highs in 2024\. According to the FBI's IC3 report total losses exceeded $16 billion. With investment fraud and BEC scams at the forefront, the message is clear: the real estate sector remains a lucrative target for cybercriminals. At CertifID, we take this threat seriously and provide a secure platform that verifies the identities of parties involved in transactions, authenticates wire transfer instructions, and detects potential fraud attempts. Our technology is designed to mitigate risks and ensure that every transaction is conducted with confidence and peace of mind.  
We know we couldn’t take on this challenge without our incredible team. We have been recognized as one of the Best Startups to Work for in Austin, made the Inc. 5000 list, and won Best Culture by Purpose Jobs two years in a row. We are guided by our core values and our vision of a world without wire fraud. We offer a dynamic work environment where you can contribute to meaningful impact and be part of a team dedicated to enhancing security and fighting fraud.  
As a Senior Data Engineer, you’ll own the systems that turn raw data into trusted insights across the company. You’ll partner closely with Product, Finance, Sales, and Customer Success to ensure our data platform scales with the business and directly supports decision\-making.
### **Responsibilities**
* Design, build, and maintain trusted, scalable data models that power reporting, analytics, and product insights
* Own the evolution of our data platform, unifying analytics tooling and fully replacing legacy admin and ad\-hoc reporting
* Develop and maintain robust ELT pipelines, transformations, and data stores that serve as the source of truth for billing, revenue, usage, and customer success workflows
* Apply strong data modeling and warehousing principles to create analytics\-optimized tables that are well\-documented and easy to use
* Partner with stakeholders to understand business questions, translate them into data models, and educate teams on how to operationalize analytics effectively
* Proactively identify opportunities to improve reporting or data reliability and build proof\-of\-concepts to validate solutions with the business
* Write high\-quality, secure, maintainable, and testable production code, following best practices and thoughtful tradeoffs
* Contribute to a culture of craftsmanship through code reviews, documentation, and continuous improvement
* Balance speed and quality, delivering quickly while building systems that scale with the company
* Adapt to a wide range of challenges, learning new tools and skills as needed in a fast\-moving environment
### **What we are looking for**
* 3\+ years of professional experience in data engineering, analytics engineering, business intelligence, or a closely related role
* Strong SQL skills and hands\-on experience with data modeling for analytics use cases
* Experience building and maintaining production data pipelines, transformations, and warehouses in a cloud\-based environment
* Comfort working with self\-service BI and analytics tools, enabling non\-technical stakeholders to answer their own questions
* A hybrid mindset: you can think like a software engineer while deeply understanding analytical and business requirements
* Experience supporting SaaS metrics such as revenue, usage, billing, or customer health reporting
* Strong understanding of data warehousing concepts (fact/dimension modeling, performance optimization, data quality)
* Proven ability to deliver quickly without compromising technical quality
### **What sets you apart**
* You take ownership and accountability for outcomes, not just implementations
* You care deeply about data correctness, clarity, and trust
* You enjoy collaborating cross\-functionally and explaining complex concepts in plain language
* You’re energized by building systems from imperfect inputs and evolving them as the business grows
Not sure if you check all the boxes? Apply anyway!  
We know that great talent comes in many forms, and we value potential just as much as experience. If you're excited about this role and believe you can grow into it, we’d love to hear from you. We’re looking for people who are eager to learn, adapt, and solve challenges—so if that sounds like you, don’t let a checklist hold you back!  
Change doesn't happen overnight, and the same goes for us here at CertifID. We PROGRESS collectively and individually as we grow, abiding by our core values. Protect the Customer, Raise the Bar, Operate with Urgency, Grow with Grit, Ride the Wave, Enthusiasm Spreads, Stay Connected, Send It.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9">
      <c r="A79" t="inlineStr">
        <is>
          <t>in-0b9af935da1a4f83</t>
        </is>
      </c>
      <c r="B79" t="inlineStr">
        <is>
          <t>Data Engineer - Entry Level</t>
        </is>
      </c>
      <c r="C79" t="inlineStr">
        <is>
          <t>Interworks</t>
        </is>
      </c>
      <c r="D79" t="inlineStr">
        <is>
          <t>indeed</t>
        </is>
      </c>
      <c r="E79">
        <f>HYPERLINK("https://www.indeed.com/viewjob?jk=0b9af935da1a4f83", "https://www.indeed.com/viewjob?jk=0b9af935da1a4f83")</f>
        <v/>
      </c>
      <c r="F79">
        <f>HYPERLINK("https://grnh.se/0fhybiyu6us", "https://grnh.se/0fhybiyu6us")</f>
        <v/>
      </c>
      <c r="G79" t="inlineStr">
        <is>
          <t>Stillwater, OK, US</t>
        </is>
      </c>
      <c r="H79" s="3" t="n">
        <v>46056</v>
      </c>
      <c r="I79" t="inlineStr">
        <is>
          <t>Do you love solving puzzles, getting messy data to behave, or figuring out how things fit together? Do you want to sharpen your skills in data pipelines and cloud platforms while collaborating with kind, curious teammates who love doing great work together? You might be a great fit for our Data Engineering team.
At InterWorks, we help clients turn data into something powerful, useful, and even beautiful. As a Junior Data Engineer, you'll be learning right in the middle of that mission—helping design and build data systems, wrangle messy sources, and create pipelines that power insights. You'll work under the guidance of experienced engineers and consultants, growing your technical toolkit while making a real impact on client projects. Want to work somewhere where smart people care deeply, help each other grow, and get things done with a little style? You've come to the right place.
**Location Preferences:**  
We'd love for you to join us from one of our offices in Portland, OKC, Tulsa, or Stillwater. Remote work may be possible depending on the situation, let's chat.
**Salary Range:** $65,000–90,000, depending on experience and qualifications
**What You'll Do**
* Support the design and development of modern, scalable data pipelines
* Work with all kinds of data sources—SQL, spreadsheets, APIs, and more—to help unify client data
* Learn to apply data modeling principles that support everything from dashboards to data science
* Assist with ETL/ELT processes and frameworks that improve quality and reliability
* Document your work clearly and communicate ideas to both technical and non\-technical audiences
* Collaborate with teammates and clients to understand what's needed—and then help deliver it
* Bring curiosity, adaptability, and a problem\-solving mindset to each project
**What You'll Need**
Must\-Haves
* Basic SQL skills (and the drive to get better)
* Familiarity with ETL/ELT workflows (GUI tools or code\-based)
* Understanding of data modeling concepts and data formats
* Strong communication skills—you can explain clearly and ask good questions
* A detail\-oriented, problem\-solving approach
* Adaptability in changing situations
* A willingness to learn from senior engineers and invest in your own growth
Nice\-to\-Haves
* Exposure to cloud platforms (AWS, Azure, GCP)
* Experience with ETL tools like Matillion, Fivetran, or dbt
* Familiarity with modern data warehouses: Snowflake, Databricks, BigQuery, Redshift, etc.
* Basic scripting knowledge (Python or similar)
* Interest in software engineering or integration work
* Curiosity about AI and how it's shaping the future of data engineering
 **Why InterWorks**
InterWorks is a people\-focused tech consultancy that empowers clients with customized, collaborative solutions, and we love pursuing innovation alongside people who inspire us. Our approach to work and community is unique and unconventional—just like us—and that's the way we want it. The only thing missing is you. At InterWorks, we value unique contributions, our people are the glue that holds our business together. We're always looking for the right people, and we could be your perfect fit.</t>
        </is>
      </c>
    </row>
    <row r="80">
      <c r="A80" t="inlineStr">
        <is>
          <t>in-9d5f4fee1bcd0679</t>
        </is>
      </c>
      <c r="B80" t="inlineStr">
        <is>
          <t>Data Engineer</t>
        </is>
      </c>
      <c r="C80" t="inlineStr">
        <is>
          <t>Wondr Health</t>
        </is>
      </c>
      <c r="D80" t="inlineStr">
        <is>
          <t>indeed</t>
        </is>
      </c>
      <c r="E80">
        <f>HYPERLINK("https://www.indeed.com/viewjob?jk=9d5f4fee1bcd0679", "https://www.indeed.com/viewjob?jk=9d5f4fee1bcd0679")</f>
        <v/>
      </c>
      <c r="F80">
        <f>HYPERLINK("https://ht-jobs.net/kuynhx6?s=in", "https://ht-jobs.net/kuynhx6?s=in")</f>
        <v/>
      </c>
      <c r="G80" t="inlineStr">
        <is>
          <t>Remote, US</t>
        </is>
      </c>
      <c r="H80" s="3" t="n">
        <v>46055</v>
      </c>
      <c r="I80" t="inlineStr">
        <is>
          <t>**DEPARTMENT:**  
Product: Engineering  
**POSITION:**  
Data Engineer
**REPORTS TO:**  
Director, Engineering  
**SUPERVISES:**  
None  
**JOB CLASS:**  
Exempt
**Purpose****:**
----------------
Data Engineer II will take a lead position in designing and implementing scalable data solutions. You will collaborate closely with stakeholders to understand business requirements and translate them into technical solutions, leveraging your expertise in data engineering, analytics, and software development. Collaborating with other engineers to create high quality data pipelines and supporting software.
**Essential Functions****:**
----------------------------
* Lead the design, development, and implementation of complex data pipelines and ELT processes to support business objectives.
* Collaborate with cross\-functional teams to gather requirements, define data architectures, and drive data\-driven decision\-making.
* Lead troubleshooting efforts and provide technical support to resolve data\-related issues and challenges.
* Analyze new data sets and generate data from internal pipelines for business requirements.
* Expertise across warehouse, data lake, and serverless.
* Provide feedback to other engineers through code reviews and pair programming on best practices to create high quality code and systems.
**Knowledge, Skills and Abilities****:**
----------------------------------------
* Initiative\-taker who can manage several work items independently.
* Eagerness to learn new technologies and technology tools.
* Results\-driven/detail\-oriented
* Strong analytical, quantitative, and problem\-solving abilities
* Working knowledge of message queuing, stream processing, and highly scalable ‘big data’ data stores
* Ability to implement ETL using SSIS.
* Knowledge of multiple types of analytical software (Power BI, Python, SAS, JMP)
* Thorough knowledge of relational database theory and practice as well as familiarity with a variety of databases
* Ability to work both independently and collaboratively with cross\-functional teams.
* Excellent oral and written communication skills
* Basic knowledge of business practices
* Ability to integrate several different computer software programs to perform advanced tasks, for example, transferring data from one program to another, complex formulas, using graphics and charts.
* Basic programming and troubleshooting experience.
* Ability to calculate figures and amounts such as discounts, interest, commissions, proportions, percentages, area, circumference, and volume.
* Ability to apply basic concepts of algebra and geometry.
* Ability to solve practical problems and deal with a variety of concrete variables in situations where only limited standardization exists.
* Able to interpret a variety of instructions furnished in written, oral, diagram or schedule form.
* Must be knowledgeable of and comply with Wondr Health’s Client Privacy Policy, HIPAA regulations and E\&amp;O procedures and policies.
**Qualifications****:**
-----------------------
**Education:**  
Bachelor’s degree in computer science, analytics, information systems or a related field preferred  
**Experience:**  
2 \- 5 years of experience as a Data Engineer. Experience with SQL and NoSQL databases, data pipeline and workflow management tools, AWS cloud services, and object\-oriented/object function scripting languages. Amazon Redshift, IaC, DB2 experience desirable.
**General Working Conditions****:**
-----------------------------------
General office working conditions can be remote work from home or in the office. Each department head determines if the position is work from home or hybrid meaning works from home and in the office as needed. Work schedules vary. When working in the office pod workstation area there is little or no privacy. Involves extended periods of sitting at a workstation performing computer duties. Constant flow of interruptions by personnel, visitors to area and telephone calls. Private workstations are available as needed. Certain positions are assigned to an office.
**Disclaimer****:**
-------------------
This description is intended to be sufficient merely to identify the classification and be illustrative of the duties that may be assigned. It should not be interpreted to describe all the duties an employee assigned to this classification may be required to perform.
Wondr Health is an equal opportunity employer and values diversity. All applicants will be considered for employment without attention to race, color, religion, sex, sexual orientation, gender identity, national origin, veteran, or disability status. All employment is decided based on qualifications, merit, and business need.</t>
        </is>
      </c>
    </row>
    <row r="81">
      <c r="A81" t="inlineStr">
        <is>
          <t>in-158a9ca6f1389c95</t>
        </is>
      </c>
      <c r="B81" t="inlineStr">
        <is>
          <t>Cloud Data Engineer III - BIDP</t>
        </is>
      </c>
      <c r="C81" t="inlineStr">
        <is>
          <t>Utah Valley University</t>
        </is>
      </c>
      <c r="D81" t="inlineStr">
        <is>
          <t>indeed</t>
        </is>
      </c>
      <c r="E81">
        <f>HYPERLINK("https://www.indeed.com/viewjob?jk=158a9ca6f1389c95", "https://www.indeed.com/viewjob?jk=158a9ca6f1389c95")</f>
        <v/>
      </c>
      <c r="F81">
        <f>HYPERLINK("https://www.schooljobs.com/careers/uvu/jobs/5223416/cloud-data-engineer-iii-bidp", "https://www.schooljobs.com/careers/uvu/jobs/5223416/cloud-data-engineer-iii-bidp")</f>
        <v/>
      </c>
      <c r="G81" t="inlineStr">
        <is>
          <t>Orem, UT, US</t>
        </is>
      </c>
      <c r="H81" s="3" t="n">
        <v>46055</v>
      </c>
      <c r="I81" t="inlineStr">
        <is>
          <t>**Position Announcement**
-------------------------
This role offers a unique opportunity to shape the future of data management and analytics at Utah Valley University. As a Data Engineer, you will lead the modernization of UVU’s Data Platform, working across on\-premises, cloud, and API\-based systems to securely move and manage governed data throughout the institution. Your work will be foundational to meeting the university's growing demands by handling the volume, variety, and velocity of data from multiple sources and delivering actionable insights to support decision\-making across campus. This position combines technical expertise with strategic design, giving you the chance to implement scalable, next\-generation solutions in advanced analytics that truly make an impact.  
Applicants will join a collaborative, mission\-driven team dedicated to building robust, user\-focused data models that empower faculty, staff, and administrators to engage effectively with data. This role offers the chance to contribute to high\-profile projects, influence the future of institutional data systems, and help UVU “run the software that runs the business.” Ideal candidates are experienced in both on\-premises and cloud\-based technologies, skilled at integrating structured and unstructured data, and passionate about creating transparent, reliable solutions that support the university community’s evolving data needs.
**Summary of Responsibilities**
-------------------------------
* Development and Design: Design, build, implement, and maintain data processing pipelines for the movement of data between various source systems/processes and the UVU Data Lake. Ensure the data integrations are accurate, consistent, and timely. Develop robust and scalable solutions that transform data into a useful format for analysis, enhance data flow, and enable end users to consume and analyze data faster and easier. Design API connections, write complex SQL queries to support integration and analytics needs. Lead in the development, design, and maintenance of data marts, data cubes, queries, and data warehouses. Design and build scalable data integration ELT/ETL pipelines using SQL, Python, Synapse, Oracle Data Integrator, Fivetran, Informatica, Pentaho Data Integrator, or other similar tools. Experience blending relational, non\-relational, and API data.
* Design/Engineer/Advise: Own API Management space at UVU. Define and document standards and scalable processes enabling broader API development and democratization of API development within Dx. Collaborate with engineers, data scientists, data analysts, product teams, and other stakeholders to translate business requirements to technical specifications and coded data pipelines. Evaluate and recommend tools and technologies for data infrastructure and processing.
* Troubleshooting/Management: Monitor ETL processes, systems, and databases, and ensure optimal performance. Ensure consistent, accurate delivery of data as well as troubleshooting any data anomalies in a timely manner. Create and implement effective metrics and monitoring processes.
* Define Dx Data Engineering Standards. Coach, train, and guide other team members to apply these standards
* Professional Development: Contribute to a robust culture of professionalism and personal development. In this position, it is expected that you will spend time keeping up with current trends in the BI space and help UVU prepare to adjust and lead in those trends.
* Other duties as assigned.
**Qualifications / Licenses / Certifications**
----------------------------------------------
Graduation from an accredited institution with a bachelor’s degree in Computer Science or a related field, plus four years of experience related to the summary of duties; OR a combination of education and relevant work experience totaling eight years.
**Knowledge / Skills / Abilities**
----------------------------------
**Knowledge**
* ETL Best practices in a blended on\-prem/cloud hybrid environment
* Experience with a language used to build APIs, including Java, .NET Core, Node, or Python.
* Knowledge of data processing flowcharting techniques.
* Knowledge of Microservices Architecture and API Strategy development.
* Knowledge of data privacy practices and laws.
* Knowledge of PaaS infrastructure.
* Knowledge of data processing frameworks and databases (e.g., Oracle, TSQL, SQL, Azure SQL Database,  
Azure Synapse).
* Experience with a team\-oriented, collaborative environment with limited supervision.
* Knowledge of deploying APIs using API Management solutions (e.g., Azure API Management, MuleSoft)
**Skills**  
* Proven skills at scalable API Design \&amp; Development
* Experienced with implementing solutions using Java \&amp; J2EE technologies, REST, and Web Services.
* Strong problem\-solving skills.
* Skilled at agile project management.
* Strong analytic skills.
* Strong aptitude and willingness to learn and master new technologies.
* Skills with technical documentation.
* Good interpersonal and customer service skills.
* Experience building APIs to share data.
* Experience with generating complex queries using SQL.
* Experience calling APIs within applications or software.
* Experience with JavaScript Object Notation (JSON).
* Experience building APIs to share data.
* Experience in optimizing the code for high data throughput and low latency.
* Experience working with the Microsoft Azure Cloud.
**Abilities**  
* Ability to work with structured and unstructured data from a variety of data stores, such as data lakes,  
relational database management systems, and/or data warehouses.
* Ability to manage competing priorities with limited direct management.
* Ability to organize and plan effectively in a maturing agile environment.
* Ability to provide excellent written and verbal communication with strong personal skills.
* Ability to adapt to changing requirements and priorities.
* Ability to problem\-solve critical issues and be proficient at troubleshooting production issues.
* Ability to prioritize and execute tasks in a high\-pressure environment.
**EEO Statement:**
UVU employment decisions are made on the basis of an applicant’s qualifications and ability to perform the job without regard to race, color, religion, national origin, sex, sexual orientation, gender identity, gender expression, age (40 and over), disability, veteran status, pregnancy, childbirth, or pregnancy\-related conditions, genetic information, or other bases protected by applicable federal, state, or local law.</t>
        </is>
      </c>
    </row>
    <row r="82">
      <c r="A82" t="inlineStr">
        <is>
          <t>in-2f48e75ab2e0a262</t>
        </is>
      </c>
      <c r="B82" t="inlineStr">
        <is>
          <t>Starburst Data Engineer</t>
        </is>
      </c>
      <c r="C82" t="inlineStr">
        <is>
          <t>Sprezzatura Management Consulting</t>
        </is>
      </c>
      <c r="D82" t="inlineStr">
        <is>
          <t>indeed</t>
        </is>
      </c>
      <c r="E82">
        <f>HYPERLINK("https://www.indeed.com/viewjob?jk=2f48e75ab2e0a262", "https://www.indeed.com/viewjob?jk=2f48e75ab2e0a262")</f>
        <v/>
      </c>
      <c r="F82">
        <f>HYPERLINK("https://workforcenow.adp.com/mascsr/default/mdf/recruitment/recruitment.html?cid=1e214623-c126-4ee7-a61f-d40253fd1123&amp;ccId=19000101_000001&amp;jobId=16468&amp;source=IN&amp;lang=en_US", "https://workforcenow.adp.com/mascsr/default/mdf/recruitment/recruitment.html?cid=1e214623-c126-4ee7-a61f-d40253fd1123&amp;ccId=19000101_000001&amp;jobId=16468&amp;source=IN&amp;lang=en_US")</f>
        <v/>
      </c>
      <c r="G82" t="inlineStr">
        <is>
          <t>Arlington, VA, US</t>
        </is>
      </c>
      <c r="H82" s="3" t="n">
        <v>46043</v>
      </c>
      <c r="I82" t="inlineStr">
        <is>
          <t>Job Title: Starburst Software Engineer
Location: Hybrid (Arlington, VA)  
Other Consideration: Authorized to work in the United States and ability to obtain Public\-Trust Clearance
**POSITION SUMMARY**:  
Starburst Engineers build scalable, high\-performance data infrastructure and user\-facing features that power Starburst Galaxy and the Starburst Enterprise Platform (SEP). Engineers work closely with the creators to deliver cutting\-edge solutions for data access, governance, and analytics across hybrid and multi\-cloud environments. This role involves collaborating with various stakeholders to understand data requirements and develop solutions.
 **RESPONSIBILITIES:**
* Develop and maintain backend services and APIs for Starburst's data platform.
* Build features related to identify and access management. (IAM), data governance, and query optimization.
* Collaborate with UX, product, and security teams to deliver intuitive and secure user experiences.
* Contribute to CI/CD pipelines, observability tools, and platform reliability.
* Participate in code reviews, architecture discussions, and cross\-functional planning.
* Support product systems and troubleshoot performance issues in distributed environments.
**QUALIFICATIONS**
* Bachelor’s degree in computer science, Information Technology, or a related field. (Master's degree preferred)
* 8\+ Years of experience working in a cloud\-based platform like Snowflake, Denodo, Trino, or Databrick with direct Starburst experience the preferred
* Familiarity with Azure Cloud Services and DevOps Practices
* Prior experience building distributed systems or working with cloud\-native architectures
* Familiarity with authentication and authorization frameworks
* Experience with CI/CD tools, containerization, and infrastructure automation
* Understanding of data platforms
* Excellent time management and organizational skills
* Commitment to professional growth and learning
* Adaptability and openness to new ideas
 **WORKING CONDITIONS**  
Standard Business hours are Monday through Friday (list any particular schedule). Occasional extended or weekend hours may be required based on operational needs.  
**BENEFITS**  
Sprezzatura offers a comprehensive and flexible benefit package to include:  
* Medical, Dental, and Vision
* Health Saving Account(when enrolled ineligible plan) with Company contribution
* Company paid Life, Accidental Death, Short\-term \&amp; Long\-term Disability
* Voluntary Accident, Hospital Indemnity, \&amp; Critical Care Insurance
* Voluntary Medical \&amp; Dependent Care Flexible Spending Accounts
* Accrued Paid Time Off \&amp; Company Paid Holidays
* 401(k) Retirement Plan with Company match
**WORK AUTHORIZATION**  
Sprezzatura participates in E\-Verify and will provide the federal government with your I\-9 information to confirm that you are authorized to work in the U.S. **Sprezzatura** is a mission\-driven, Service\-Disabled Veteran\-Owned Small Business (SDVOSB) that thrives at the intersection of technology, innovation, and impact. We specialize in secure, scalable, and human\-centered digital solutions that accelerate government transformation. Our work spans DevSecOps, health IT modernization, intelligent automation, benefits delivery, and digital communications. We partner with agencies ready to evolve—delivering not just strategy, but measurable execution. Rooted in operational excellence and driven by curiosity, we help our clients navigate complexity with clarity—turning ambitious ideas into real\-world outcomes. No buzzwords. Just impact. **EEO STATEMENT**  
Sprezzatura is an Equal Opportunity Employer. We do not discriminate on the basis of race, color, religion, sex (including pregnancy, sexual orientation, and gender identity), national origin, age, disability, genetic information, protected veteran status, or any other legally protected characteristic. Applicants have the right to discuss, disclose, or inquire about compensation without retaliation. Reasonable accommodations are available for qualified individuals with disabilities.  
This job description is not intended to be an employment contact and does not guarantee employment for any specific duration.</t>
        </is>
      </c>
    </row>
    <row r="83">
      <c r="A83" t="inlineStr">
        <is>
          <t>in-e751bb7608ad3bb9</t>
        </is>
      </c>
      <c r="B83" t="inlineStr">
        <is>
          <t>Data Engineer, Global Planning, Amazon Leo</t>
        </is>
      </c>
      <c r="C83" t="inlineStr">
        <is>
          <t>Amazon.com</t>
        </is>
      </c>
      <c r="D83" t="inlineStr">
        <is>
          <t>indeed</t>
        </is>
      </c>
      <c r="E83">
        <f>HYPERLINK("https://www.indeed.com/viewjob?jk=e751bb7608ad3bb9", "https://www.indeed.com/viewjob?jk=e751bb7608ad3bb9")</f>
        <v/>
      </c>
      <c r="F83">
        <f>HYPERLINK("https://www.amazon.jobs/jobs/3169773/data-engineer-global-planning-amazon-leo?cmpid=DA_INAD200785B", "https://www.amazon.jobs/jobs/3169773/data-engineer-global-planning-amazon-leo?cmpid=DA_INAD200785B")</f>
        <v/>
      </c>
      <c r="G83" t="inlineStr">
        <is>
          <t>Bellevue, WA, US</t>
        </is>
      </c>
      <c r="H83" s="3" t="n">
        <v>46037</v>
      </c>
      <c r="I83" t="inlineStr">
        <is>
          <t>**DESCRIPTION**
---------------
Amazon Leo is an initiative to increase global broadband access through a constellation of 3,236 satellites in low Earth orbit.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We are looking for a Data Engineer in Leo's Global Planning team to build enterprise\-grade data infrastructure and data assets that will support Leo's Demand Science \&amp; Forecasting models and capacity planning \&amp; simulation systems. You will be responsible to design and implement Data Architecture, using latest AWS services and to develop production level ETL pipelines from external and internal sources / APIs. This role will be instrumental in helping Leo execute on its business plans globally and requires high level of operational excellence with a relentless focus on delivering results.  
Key job responsibilities  
In this role, you will:  
* Develop Leo data products, infrastructure and ETL pipelines to ingest, parse and transform Geospatial datasets from external \&amp; internal APIs using AWS big data technologies (Glue, S3, Redshift, MWAA, EMR, Data Zone, Lambda, etc.)
* Work alongside Data Scientists, Applied Scientists, Software Engineers and Simulation Engineers to develop appropriate data assets for statistical modeling, system integration and capacity simulations
* Improve existing solutions and come up with next generation Leo's Data Architecture to improve scale, quality and performance
* Implement data governance best practices to ensure data accuracy, consistency, and compliance with security and privacy regulations.
* Develop and maintain scripts to automate processes to generate structured datasets for forecasting POR and system inputs, with focus on efficiency and scalability
* Build data dictionary, catalog and governance plan and manage and audit all of the registered data via internal mechanisms
* Provide technical guidance and support to data consumers to leverage Global Planning data assets
Export Control Requirement:  
Due to applicable export control laws and regulations, candidates must be a U.S. citizen or national, U.S. permanent resident (i.e., current Green Card holder), or lawfully admitted into the U.S. as a refugee or granted asylum.  
About the team  
Amazon Leo Global Planning team designs and builds systems that support forecasting, management and optimization of Leo's demand, bandwidth capacity and physical inventory across customer segments and channels, worldwide.**BASIC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\- 132,100\.00 \- 178,800\.00 USD annually  
USA, WA, Bellevue \- 132,100\.00 \- 178,800\.00 USD annually</t>
        </is>
      </c>
    </row>
    <row r="84">
      <c r="A84" t="inlineStr">
        <is>
          <t>in-b6c0498067526f5f</t>
        </is>
      </c>
      <c r="B84" t="inlineStr">
        <is>
          <t>Data Engineer, Global Planning, Amazon Leo</t>
        </is>
      </c>
      <c r="C84" t="inlineStr">
        <is>
          <t>Amazon.com</t>
        </is>
      </c>
      <c r="D84" t="inlineStr">
        <is>
          <t>indeed</t>
        </is>
      </c>
      <c r="E84">
        <f>HYPERLINK("https://www.indeed.com/viewjob?jk=b6c0498067526f5f", "https://www.indeed.com/viewjob?jk=b6c0498067526f5f")</f>
        <v/>
      </c>
      <c r="F84">
        <f>HYPERLINK("https://www.amazon.jobs/jobs/3169773/data-engineer-global-planning-amazon-leo?cmpid=DA_INAD200785B", "https://www.amazon.jobs/jobs/3169773/data-engineer-global-planning-amazon-leo?cmpid=DA_INAD200785B")</f>
        <v/>
      </c>
      <c r="G84" t="inlineStr">
        <is>
          <t>Arlington, VA, US</t>
        </is>
      </c>
      <c r="H84" s="3" t="n">
        <v>46037</v>
      </c>
      <c r="I84" t="inlineStr">
        <is>
          <t>**DESCRIPTION**
---------------
Amazon Leo is an initiative to increase global broadband access through a constellation of 3,236 satellites in low Earth orbit.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We are looking for a Data Engineer in Leo's Global Planning team to build enterprise\-grade data infrastructure and data assets that will support Leo's Demand Science \&amp; Forecasting models and capacity planning \&amp; simulation systems. You will be responsible to design and implement Data Architecture, using latest AWS services and to develop production level ETL pipelines from external and internal sources / APIs. This role will be instrumental in helping Leo execute on its business plans globally and requires high level of operational excellence with a relentless focus on delivering results.  
Key job responsibilities  
In this role, you will:  
* Develop Leo data products, infrastructure and ETL pipelines to ingest, parse and transform Geospatial datasets from external \&amp; internal APIs using AWS big data technologies (Glue, S3, Redshift, MWAA, EMR, Data Zone, Lambda, etc.)
* Work alongside Data Scientists, Applied Scientists, Software Engineers and Simulation Engineers to develop appropriate data assets for statistical modeling, system integration and capacity simulations
* Improve existing solutions and come up with next generation Leo's Data Architecture to improve scale, quality and performance
* Implement data governance best practices to ensure data accuracy, consistency, and compliance with security and privacy regulations.
* Develop and maintain scripts to automate processes to generate structured datasets for forecasting POR and system inputs, with focus on efficiency and scalability
* Build data dictionary, catalog and governance plan and manage and audit all of the registered data via internal mechanisms
* Provide technical guidance and support to data consumers to leverage Global Planning data assets
Export Control Requirement:  
Due to applicable export control laws and regulations, candidates must be a U.S. citizen or national, U.S. permanent resident (i.e., current Green Card holder), or lawfully admitted into the U.S. as a refugee or granted asylum.  
About the team  
Amazon Leo Global Planning team designs and builds systems that support forecasting, management and optimization of Leo's demand, bandwidth capacity and physical inventory across customer segments and channels, worldwide.**BASIC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\- 132,100\.00 \- 178,800\.00 USD annually  
USA, WA, Bellevue \- 132,100\.00 \- 178,800\.00 USD annually</t>
        </is>
      </c>
    </row>
    <row r="85">
      <c r="A85" t="inlineStr">
        <is>
          <t>in-1ccc9dbf45457a78</t>
        </is>
      </c>
      <c r="B85" t="inlineStr">
        <is>
          <t>Data Engineer, Denied Party Screening, AWS Compliance &amp; Security Assurance</t>
        </is>
      </c>
      <c r="C85" t="inlineStr">
        <is>
          <t>Amazon.com</t>
        </is>
      </c>
      <c r="D85" t="inlineStr">
        <is>
          <t>indeed</t>
        </is>
      </c>
      <c r="E85">
        <f>HYPERLINK("https://www.indeed.com/viewjob?jk=1ccc9dbf45457a78", "https://www.indeed.com/viewjob?jk=1ccc9dbf45457a78")</f>
        <v/>
      </c>
      <c r="F85">
        <f>HYPERLINK("https://www.amazon.jobs/jobs/3160403/data-engineer-denied-party-screening-aws-compliance--security-assurance?cmpid=DA_INAD200785B", "https://www.amazon.jobs/jobs/3160403/data-engineer-denied-party-screening-aws-compliance--security-assurance?cmpid=DA_INAD200785B")</f>
        <v/>
      </c>
      <c r="G85" t="inlineStr">
        <is>
          <t>Dallas, TX, US</t>
        </is>
      </c>
      <c r="H85" s="3" t="n">
        <v>46029</v>
      </c>
      <c r="I85"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86">
      <c r="A86" t="inlineStr">
        <is>
          <t>in-53ea447932b47f0f</t>
        </is>
      </c>
      <c r="B86" t="inlineStr">
        <is>
          <t>Data Engineer, Denied Party Screening, AWS Compliance &amp; Security Assurance</t>
        </is>
      </c>
      <c r="C86" t="inlineStr">
        <is>
          <t>Amazon.com</t>
        </is>
      </c>
      <c r="D86" t="inlineStr">
        <is>
          <t>indeed</t>
        </is>
      </c>
      <c r="E86">
        <f>HYPERLINK("https://www.indeed.com/viewjob?jk=53ea447932b47f0f", "https://www.indeed.com/viewjob?jk=53ea447932b47f0f")</f>
        <v/>
      </c>
      <c r="F86">
        <f>HYPERLINK("https://www.amazon.jobs/jobs/3160403/data-engineer-denied-party-screening-aws-compliance--security-assurance?cmpid=DA_INAD200785B", "https://www.amazon.jobs/jobs/3160403/data-engineer-denied-party-screening-aws-compliance--security-assurance?cmpid=DA_INAD200785B")</f>
        <v/>
      </c>
      <c r="G86" t="inlineStr">
        <is>
          <t>Seattle, WA, US</t>
        </is>
      </c>
      <c r="H86" s="3" t="n">
        <v>46029</v>
      </c>
      <c r="I86"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87">
      <c r="A87" t="inlineStr">
        <is>
          <t>in-4c6196f7580538a9</t>
        </is>
      </c>
      <c r="B87" t="inlineStr">
        <is>
          <t>Data Engineer</t>
        </is>
      </c>
      <c r="C87" t="inlineStr">
        <is>
          <t>Amazon.com</t>
        </is>
      </c>
      <c r="D87" t="inlineStr">
        <is>
          <t>indeed</t>
        </is>
      </c>
      <c r="E87">
        <f>HYPERLINK("https://www.indeed.com/viewjob?jk=4c6196f7580538a9", "https://www.indeed.com/viewjob?jk=4c6196f7580538a9")</f>
        <v/>
      </c>
      <c r="F87">
        <f>HYPERLINK("https://www.amazon.jobs/jobs/3141339/data-engineer?cmpid=DA_INAD200785B", "https://www.amazon.jobs/jobs/3141339/data-engineer?cmpid=DA_INAD200785B")</f>
        <v/>
      </c>
      <c r="G87" t="inlineStr">
        <is>
          <t>Seattle, WA, US</t>
        </is>
      </c>
      <c r="H87" s="3" t="n">
        <v>46001</v>
      </c>
      <c r="I8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in-519c0380c4425bc7</t>
        </is>
      </c>
      <c r="B88" t="inlineStr">
        <is>
          <t>Data Engineer</t>
        </is>
      </c>
      <c r="C88" t="inlineStr">
        <is>
          <t>Amazon.com</t>
        </is>
      </c>
      <c r="D88" t="inlineStr">
        <is>
          <t>indeed</t>
        </is>
      </c>
      <c r="E88">
        <f>HYPERLINK("https://www.indeed.com/viewjob?jk=519c0380c4425bc7", "https://www.indeed.com/viewjob?jk=519c0380c4425bc7")</f>
        <v/>
      </c>
      <c r="F88">
        <f>HYPERLINK("https://www.amazon.jobs/jobs/3141339/data-engineer?cmpid=DA_INAD200785B", "https://www.amazon.jobs/jobs/3141339/data-engineer?cmpid=DA_INAD200785B")</f>
        <v/>
      </c>
      <c r="G88" t="inlineStr">
        <is>
          <t>San Francisco, CA, US</t>
        </is>
      </c>
      <c r="H88" s="3" t="n">
        <v>46001</v>
      </c>
      <c r="I8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in-f2e64510bfc89527</t>
        </is>
      </c>
      <c r="B89" t="inlineStr">
        <is>
          <t>Delivery Consultant - Data Engineer, Data and Machine Learning, WWPS US Federal</t>
        </is>
      </c>
      <c r="C89" t="inlineStr">
        <is>
          <t>Amazon Web Services</t>
        </is>
      </c>
      <c r="D89" t="inlineStr">
        <is>
          <t>indeed</t>
        </is>
      </c>
      <c r="E89">
        <f>HYPERLINK("https://www.indeed.com/viewjob?jk=f2e64510bfc89527", "https://www.indeed.com/viewjob?jk=f2e64510bfc89527")</f>
        <v/>
      </c>
      <c r="F89">
        <f>HYPERLINK("https://www.amazon.jobs/jobs/3134583/delivery-consultant--data-engineer-data-and-machine-learning-wwps-us-federal?cmpid=DA_INAD200785B", "https://www.amazon.jobs/jobs/3134583/delivery-consultant--data-engineer-data-and-machine-learning-wwps-us-federal?cmpid=DA_INAD200785B")</f>
        <v/>
      </c>
      <c r="G89" t="inlineStr">
        <is>
          <t>Herndon, VA, US</t>
        </is>
      </c>
      <c r="H89" s="3" t="n">
        <v>45991</v>
      </c>
      <c r="I89"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in-45959f4701ca259c</t>
        </is>
      </c>
      <c r="B90" t="inlineStr">
        <is>
          <t>Delivery Consultant - Data Engineer, Data and Machine Learning, WWPS US Federal</t>
        </is>
      </c>
      <c r="C90" t="inlineStr">
        <is>
          <t>Amazon Web Services</t>
        </is>
      </c>
      <c r="D90" t="inlineStr">
        <is>
          <t>indeed</t>
        </is>
      </c>
      <c r="E90">
        <f>HYPERLINK("https://www.indeed.com/viewjob?jk=45959f4701ca259c", "https://www.indeed.com/viewjob?jk=45959f4701ca259c")</f>
        <v/>
      </c>
      <c r="F90">
        <f>HYPERLINK("https://www.amazon.jobs/jobs/3134583/delivery-consultant--data-engineer-data-and-machine-learning-wwps-us-federal?cmpid=DA_INAD200785B", "https://www.amazon.jobs/jobs/3134583/delivery-consultant--data-engineer-data-and-machine-learning-wwps-us-federal?cmpid=DA_INAD200785B")</f>
        <v/>
      </c>
      <c r="G90" t="inlineStr">
        <is>
          <t>Arlington, VA, US</t>
        </is>
      </c>
      <c r="H90" s="3" t="n">
        <v>45991</v>
      </c>
      <c r="I90"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li-4361634362</t>
        </is>
      </c>
      <c r="B2" t="inlineStr">
        <is>
          <t>Senior Data Engineer</t>
        </is>
      </c>
      <c r="C2" t="inlineStr">
        <is>
          <t>Toyota Research Institute</t>
        </is>
      </c>
      <c r="D2" t="inlineStr">
        <is>
          <t>linkedin</t>
        </is>
      </c>
      <c r="E2" t="inlineStr"/>
      <c r="F2" t="inlineStr"/>
      <c r="G2" t="inlineStr">
        <is>
          <t>Los Altos, CA</t>
        </is>
      </c>
      <c r="H2" t="inlineStr"/>
      <c r="I2" t="inlineStr">
        <is>
          <t>At Toyota Research Institute (TRI), we’re on a mission to improve the quality of human life. We’re developing new tools and capabilities to amplify the human experience. To lead this transformative shift in mobility, we’ve built a world\-class team advancing the state of the art in AI, robotics, driving, and material sciences. 
 The Automated Driving Advanced Development division at TRI will focus on enabling innovation and transformation at Toyota by building a bridge between TRI research and Toyota products, services, and needs. We achieve this through partnership, collaboration, and shared commitment. This new division is leading a new cross\-organizational project between TRI and Woven by Toyota to conduct research and develop a fully end\-to\-end learned driving stack. This cross\-org collaborative project is harmonious with TRI’s robotics divisions' efforts in Diffusion Policy and Large Behavior Models.
 We are looking for a Senior Data Engineer to design and build the foundational data infrastructure and tools that power our autonomy research and development workflows. This includes large\-scale ingestion pipelines, structured feature stores, labeling infrastructure, scene search and data discovery tools, and performance diagnostics for machine learning and simulation workflows.
**Responsibilities** 
* Design and implement scalable, production\-grade pipelines for data ingestion, transformation, storage, and retrieval from vehicle fleets and simulation environments.
* Build internal tools and services for data labeling, curation, indexing, and cataloging across large and diverse datasets.
* Collaborate with ML researchers, autonomy engineers, and data scientists to design schemas and APIs that power model training, evaluation, and debugging.
* Develop and maintain feature stores, metadata systems, and versioning infrastructure for structured and unstructured data.
* Support the generation and integration of synthetic datasets with real\-world logs to enable hybrid training and simulation workflows.
* Optimize pipelines for cost, latency, and traceability, ensuring reproducibility and consistency across environments.
* Partner with simulation and cloud platform teams to automate workflows for closed\-loop testing, scenario mining, and performance analytics.
**Qualifications** 
* Bachelor’s or Master’s degree in Computer Science, Data Engineering, or a related field.
* 8\+ years of experience building data\-intensive software systems, ideally in robotics, autonomous driving, or large\-scale ML environments.
* Proficient in Python, SQL, and familiar with C\+\+.
* Experience designing ETL pipelines using modern frameworks (e.g., Apache Spark, Flyte, Union).
* Strong knowledge of cloud\-native architectures, including AWS services (e.g., S3, or equivalents (Google Cloud platform)
* Familiarity with sensor data types (camera, lidar, radar, GPS/IMU) and common data serialization formats (e.g., protobuf. ROS2bag, MCAP).
* Deep understanding of data quality, observability, and lineage in high\-volume systems.
* Track record of building reliable and performant infrastructure that supports both ad\-hoc exploration and repeatable production workflows.
**Bonus Qualifications** 
* Experience in AD/ADAS, robotics, or autonomous systems — especially handling perception or planning datasets.
* Familiarity with ML pipeline orchestration frameworks (e.g. Kubeflow, SageMaker, etc).
* Experience working with temporal or spatial data, including geospatial indexing and time\-series alignment.
* Exposure to synthetic data generation, simulation logging, or scenario replay pipelines.
* Strong software engineering fundamentals, CI/CD, testing, code review, and service deployment best practices.
* Experience collaborating with cross\-functional, distributed teams across research and production orgs.
**Please include links to any relevant open\-source contributions or technical project write\-ups with your application.** 
*The pay range for this position at commencement of employment is expected to be between $180,000 and $270,000/year for California\-based roles. Base pay offered will depend on multiple individualized factors, including, but not limited to, business or organizational needs, market location, job\-related knowledge, skills, and experience. TRI offers a generous benefits package including medical, dental, and vision insurance, and paid time off benefits (including holiday pay and sick time). Additional details regarding these benefit plans will be provided if an employee receives an offer of employment.* 
 Please reference this 
 Candidate Privacy Notice
  to inform you of the categories of personal information that we collect from individuals who inquire about and/or apply to work for Toyota Research Institute, Inc. or its subsidiaries, including Toyota A.I. Ventures GP, L.P., and the purposes for which we use such personal information.
 TRI is fueled by a diverse and inclusive community of people with unique backgrounds, education and life experiences. We are dedicated to fostering an innovative and collaborative environment by living the values that are an essential part of our culture. We believe diversity makes us stronger and are proud to provide Equal Employment Opportunity for all, without regard to an applicant’s race, color, creed, gender, gender identity or expression, sexual orientation, national origin, age, physical or mental disability, medical condition, religion, marital status, genetic information, veteran status, or any other status protected under federal, state or local laws.
 It is unlawful in Massachusetts to require or administer a lie detector test as a condition of employment or continued employment. An employer who violates this law shall be subject to criminal penalties and civil liability. Pursuant to the San Francisco Fair Chance Ordinance, we will consider qualified applicants with arrest and conviction records for employment.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
      <c r="A3" t="inlineStr">
        <is>
          <t>li-4359462015</t>
        </is>
      </c>
      <c r="B3" t="inlineStr">
        <is>
          <t>Data Engineer</t>
        </is>
      </c>
      <c r="C3" t="inlineStr">
        <is>
          <t>Brex</t>
        </is>
      </c>
      <c r="D3" t="inlineStr">
        <is>
          <t>linkedin</t>
        </is>
      </c>
      <c r="E3" t="inlineStr"/>
      <c r="F3" t="inlineStr"/>
      <c r="G3" t="inlineStr">
        <is>
          <t>San Francisco, CA</t>
        </is>
      </c>
      <c r="H3" t="inlineStr"/>
      <c r="I3" t="inlineStr">
        <is>
          <t>**Why join us**
 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Our Scientists and Engineers work together to make data — and insights derived from data — a core asset across Brex. But it's more than just crunching numbers. The Data team at Brex develops infrastructure, statistical models, and products using data. Our work is ingrained in Brex's decision\-making process, the efficiency of our operations, our risk management policies, and the unparalleled experience we provide our customers.
**What You’ll Do**
 As a Data Engineer at Brex, you will be a core contributor in transforming raw data into actionable insights for various departments across the organization. You'll collaborate closely with Data Scientists, Software Engineers, and business units to create efficient data models, pipelines, and analytics frameworks that drive the business forward. You also play a leading role in the design, implementation, and maintenance of Core Data tables, our high\-quality, curated data source for a wide range of analytic applications.
**Where you’ll work**
 This role will be based in our San Francisco office. We are a hybrid environment that combines the energy and connections of being in the office with the benefits and flexibility of working from home. We currently require a minimum of two coordinated days in the office per week, Wednesday and Thursday. Starting February 2, 2026, we will require three days per week in office \- Monday, Wednesday and Thursday. As a perk, we also have up to four weeks per year of fully remote work!
**Responsibilities**
* Design, build, and maintain data models and pipelines that scale with the growing number of services, products, and changes in the company.
* Collaborate closely with Data Scientists, Data Analysts, and Business teams to understand their data needs, translating them into robust, efficient, scalable data solutions that enable ease of predictive analytics, data analysis, and metrics formulation.
* Maintain data documentation and definitions, building and ensuring that source\-of\-truth tables remain high quality for data science and reporting applications.
* Develop and enable integration with various data sources, allowing for more data\-driven initiatives across the company.
* Apply best practices in data management to ensure the reliability and robustness of data utilized across various analytics applications.
* Set and proliferate company\-wide standards for data relating to structure, quality, and expectations.
* Act as a liaison between the technical and non\-technical teams, bridging gaps and ensuring that data solutions align with business objectives.
**Requirements**
* 3\+ years of experience in Data Engineering, Data Analytics, or a related field such as Analytics Engineering.
* 2\+ years of experience working with modern data transformation tools like DBT.
* Advanced knowledge of databases and SQL with the ability to efficiently stage, process, and transform data.
* Experience integrating and orchestrating data workflows with various modern data tools and systems.
* Experience with data modeling, ETL/ELT processes, and data warehousing solutions.
* Experience working with a data warehouse such as Snowflake.
* Experience with a data workflow orchestrator tool such as Airflow.
* Experience with a programming language such as Python.
* Familiarity with BI tools such as Looker, Tableau, or similar platforms is a plus.
* Exceptional quantitative and analytical skills.
* Strong communication skills and ability to collaborate with various stakeholders, both technical and non\-technical.
**Compensation**
 The expected salary range for this role is $120,800 \- $151,000\.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*Please be aware, job\-seekers may be at risk of targeting by malicious actors looking for personal data. Brex recruiters will only reach out via LinkedIn or email with a brex.com domain. Any outreach claiming to be from Brex via other sources should be ignored.*</t>
        </is>
      </c>
    </row>
    <row r="4">
      <c r="A4" t="inlineStr">
        <is>
          <t>li-4369094971</t>
        </is>
      </c>
      <c r="B4" t="inlineStr">
        <is>
          <t>Data Engineer</t>
        </is>
      </c>
      <c r="C4" t="inlineStr">
        <is>
          <t>Spot Freight</t>
        </is>
      </c>
      <c r="D4" t="inlineStr">
        <is>
          <t>linkedin</t>
        </is>
      </c>
      <c r="E4" t="inlineStr"/>
      <c r="F4" t="inlineStr"/>
      <c r="G4" t="inlineStr"/>
      <c r="H4" t="inlineStr"/>
      <c r="I4" t="inlineStr">
        <is>
          <t>Today’s logistics marketplace is an ever\-changing landscape where you can make your mark. Spot gives you the tools to tackle industry challenges for our partners. Here, initiative, drive, and teamwork form the basis for a rewarding, fast\-paced career.
**About The Role**
 Red Technologies is seeking a Data Engineer with a strong passion for building scalable, reliable data platforms that power analytics, decision\-making, and operational systems. Our team is responsible for turning complex, high\-volume data into accessible, actionable insights for our customers, carriers, and internal teams.
 In this role, you will take ownership of critical components of our data platform and pipelines, partner closely with data science, analytics, and software engineering teams, and help evolve our architecture as we ingest and process increasingly large and complex datasets. You’ll work on everything from batch and streaming pipelines to data modeling, governance, and performance optimization. If you enjoy solving real business problems with data and want to have a direct impact on daily operations, this role is for you.
**Responsibilities**
* Design, build, and support Red Technologies’ data and business intelligence platform using Databricks, Azure Synapse, Sigma Computing, and SQL Server.
* Own and maintain production\-grade data pipelines that reliably serve data scientists, analysts, internal applications, and customer\-facing systems.
* Lead or contribute to the ingestion of near\-real\-time and streaming data into the platform.
* Partner with software engineers, product managers, analysts, and non\-technical stakeholders to translate business needs into scalable technical solutions.
* Design and implement data quality checks, testing frameworks, and governance processes to ensure accuracy, reliability, and trust in our data.
* Optimize data models, queries, and pipelines for performance, scalability, and cost efficiency.
* Contribute to architectural decisions and help guide best practices across the data engineering stack.
* Mentor junior team members and help raise the overall technical bar of the team.
**Qualifications**
* 3\+ years of experience building and maintaining data pipelines using tools such as PySpark, Pandas, SQL, and similar technologies.
* Bachelor’s degree in Data Engineering, Computer Science, a related field, or equivalent real\-world experience.
* Strong understanding of data modeling, joins, aggregations, and analytical patterns.
* Solid experience working with cloud and distributed data systems.
* Proven ability to debug complex data issues and deliver reliable solutions in production environments.
* Strong problem\-solving skills, attention to detail, and ownership mindset.
* Ability to independently research, evaluate, and adopt new tools and technologies.
* Experience with Azure, Databricks, Azure Synapse, SQL Server, and/or Kafka is a plus.
* Experience in logistics, transportation, or supply chain environments is a plus.
**Additional Information**
* Visa sponsorship is not available for this position.
* This role is available at our Indianapolis, IN or Tampa, FL office locations only.
 Spot is built on relationships, combining 24/7 support with a proven, passionate, and dedicated team of logistics professionals. You can reach your true potential through the unlimited opportunities we offer. When you put in the effort, show initiative, solve problems, and build lasting client relationships, you earn respect and rewards. You’ll also be a key component to the success of an industry leader. At Spot, we’ve never lost the entrepreneurial spirit that provides the foundation for our success.
*Spot Freight,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*Spot Freight is committed to working with and providing reasonable accommodation to individuals with disabilities. If, because of a disability, you need a reasonable accommodation, please contact our Human Resources team to notify us of your request. This policy applies to all terms and conditions of employment, including recruiting, hiring, placement, promotion, termination, layoff, recall, transfer, leaves of absence, compensation, and training.*</t>
        </is>
      </c>
    </row>
    <row r="5">
      <c r="A5" t="inlineStr">
        <is>
          <t>li-4236077979</t>
        </is>
      </c>
      <c r="B5" t="inlineStr">
        <is>
          <t>Data Engineer</t>
        </is>
      </c>
      <c r="C5" t="inlineStr">
        <is>
          <t>HappyRobot</t>
        </is>
      </c>
      <c r="D5" t="inlineStr">
        <is>
          <t>linkedin</t>
        </is>
      </c>
      <c r="E5" t="inlineStr"/>
      <c r="F5" t="inlineStr"/>
      <c r="G5" t="inlineStr">
        <is>
          <t>San Francisco, CA</t>
        </is>
      </c>
      <c r="H5" t="inlineStr"/>
      <c r="I5" t="inlineStr">
        <is>
          <t>**About HappyRobot**
 HappyRobot is the AI\-native operating system for the real economy—a system that closes the circuit between intelligence and action. By combining real\-time truth, specialized AI workers, and an orchestrating intelligence, we help enterprises run complex, mission\-critical operations with true autonomy.
 Our AI OS compounds knowledge, optimizes at every level, and evolves over time. We’re starting with supply chain and industrial\-scale operations, where resilience, speed, and continuous improvement matter most—freeing humans to focus on strategy, creativity, and other high\-value tasks.
 You can learn more about our vision in our Manifesto. HappyRobot has raised $62M to date, including our most recent $44M Series B in September 2025\. Our investors include Y Combinator (YC), Andreessen Horowitz (a16z), and Base10—partners who believe in our mission to redefine how enterprises operate. We’re channeling this investment into building a world\-class team: people with relentless drive, sharp problem\-solving skills, and the passion to push limits in a fast\-paced, high\-intensity environment. If this resonates, you belong at HappyRobot.
**About The Role**
* Build foundational data products, dashboards and tools to enable self\-serve analytics to scale across the company.
* Develop insightful and reliable dashboards to track performance of core metrics that will deliver insights to the whole company.
* Build and maintain robust data pipelines and models to ensure data quality.
* Partner with Product, Engineering, and Design teams to inform decisions.
* Translate complex data into clear, actionable insights for product teams.
* Love working with data. Love making product better. Love finding the story behind the numbers.
**Responsibilities**
* Define, build, and maintain product metrics, dashboards, and pipelines.
* Write SQL and Python code to extract, transform, and analyze data.
* Design and run experiments (A/B tests) to support product development.
* Proactively explore data to identify product opportunities and insights.
* Collaborate with cross\-functional teams to ensure data\-driven decisions.
* Ensure data quality, reliability, and documentation across analytics efforts.
**Must Have**
* 3\+ years of experience as an Analytics Data Engineer or similar Data Science \&amp; Analytics roles.
* Strong SQL and data engineering skills to transform data into accurate, clean data models (e.g., dbt, Airflow, data warehouses).
* Proficiency in Python for data analysis and modeling.
* Excellent communication skills: able to explain complex data insights clearly.
* Curious, collaborative, and driven to make an impact in a fast\-paced environment.
**Nice to Have**
* Experience in B2B SaaS or AI/ML products.
* Familiarity with product analytics tools (e.g., Mixpanel, Amplitude).
* Exposure to machine learning concepts or AI\-powered systems.
**Why join us?**
* Opportunity to work at a high\-growth AI startup, backed by top investors.
* Rapidly growing and backed by top investors including a16z, Y Combinator, and Base10\.
* Ownership \&amp; Autonomy \- Take full ownership of projects and ship fast.
* Top\-Tier Compensation \- Competitive salary \+ equity in a high\-growth startup.
* Comprehensive Benefits \- Healthcare, dental, vision coverage.
* Work With the Best \- Join a world\-class team of engineers and builders.
**Our Operating Principles**
***Extreme Ownership***
 We take full responsibility for our work, outcomes, and team success. No excuses, no blame\-shifting — if something needs fixing, we own it and make it better. This means stepping up, even when it’s not “your job.” If a ball is dropped, we pick it up. If a customer is unhappy, we fix it. If a process is broken, we redesign it. We don’t wait for someone else to solve it — we lead with accountability and expect the same from those around us.
***Craftsmanship***
 Putting care and intention into every task, striving for excellence, and taking deep ownership of the quality and outcome of your work. Craftsmanship means never settling for “just fine.” We sweat the details because details compound. Whether it’s a product feature, an internal doc, or a sales call — we treat it as a reflection of our standards. We aim to deliver jaw\-dropping customer experiences by being curious, meticulous, and proud of what we build — even when nobody’s watching.
***We are “majos”***
 Be friendly \&amp; have fun with your coworkers. Always be genuine \&amp; honest, but kind. “Majo” is our way of saying: be a good human. Be approachable, helpful, and warm. We’re building something ambitious, and it’s easier (and more fun) when we enjoy the ride together. We give feedback with kindness, challenge each other with respect, and celebrate wins together without ego.
***Urgency with Focus***
 Create the highest impact in the shortest amount of time. Move fast, but in the right direction. We operate with speed because time is our most limited resource. But speed without focus is chaos. We prioritize ruthlessly, act decisively, and stay aligned. We aim for high leverage: the biggest results from the simplest, smartest actions. We’re running a high\-speed marathon — not a sprint with no strategy.
***Talent Density and Meritocracy***
 Hire only people who can raise the average; ‘exceptional performance is the passing grade.’ Ability trumps seniority. We believe the best teams are built on talent density — every hire should raise the bar. We reward contribution, not titles or tenure. We give ownership to those who earn it, and we all hold each other to a high standard. A\-players want to work with other A\-players — that’s how we win.
***First\-Principles Thinking***
 Strip a problem to physics\-level facts, ignore industry dogma, rebuild the solution from scratch. We don’t copy\-paste solutions. We go back to basics, ask why things are the way they are, and rebuild from the ground up if needed. This mindset pushes us to innovate, challenge stale assumptions, and move faster than incumbents. It’s how we build what others think is impossible.
*The personal data provided in your application and during the selection process will be processed by Happyrobot, Inc., acting as Data Controller.*
*By sending us your CV, you consent to the processing of your personal data for the purpose of evaluating and selecting you as a candidate for the position. Your personal data will be treated confidentially and will only be used for the recruitment process of the selected job offer.*
*In relation to the period of conservation of your personal data, these will be eliminated after three months of inactivity in compliance with the GDPR and legislation on the protection of personal data.*
*If you wish to exercise your rights of access, rectification, deletion, portability or opposition in relation to your personal data, you can do so through security@happyrobot.ai subject to the GDPR.*
*For more information, visit* 
*https://www.happyrobot.ai/privacy\-policy*
*By submitting your request, you confirm that you have read and understood this clause and that you agree to the processing of your personal data as described.*</t>
        </is>
      </c>
    </row>
    <row r="6">
      <c r="A6" t="inlineStr">
        <is>
          <t>li-4368718065</t>
        </is>
      </c>
      <c r="B6" t="inlineStr">
        <is>
          <t>Senior Data Engineer - Analytics and Visualization</t>
        </is>
      </c>
      <c r="C6" t="inlineStr">
        <is>
          <t>ALSO.</t>
        </is>
      </c>
      <c r="D6" t="inlineStr">
        <is>
          <t>linkedin</t>
        </is>
      </c>
      <c r="E6" t="inlineStr"/>
      <c r="F6" t="inlineStr"/>
      <c r="G6" t="inlineStr">
        <is>
          <t>Palo Alto, CA</t>
        </is>
      </c>
      <c r="H6" t="inlineStr"/>
      <c r="I6" t="inlineStr">
        <is>
          <t>**About ALSO.**
 We’re ALSO, an electric mobility company originally conceived as a part of Rivian. We’re a passionate team of builders, dreamers, doers and innovators, focused on creating entirely new (not to mention, innovative and delightful) vertically integrated, small EVs designed to meet the global mobility challenges of today and tomorrow. Our mission is to inspire everyone to ride ALSO—replacing many local car, truck and SUV miles with ones on vehicles that are more affordable, more enjoyable and 10\-50x more efficient.
 As a senior Data Engineer on the ALSO backend team, you will drive technical excellence and architectural decisions with a strong focus on analytics, data modeling, and data visualization. This role sits at the intersection of engineering rigor and analytical clarity — owning how telemetry and business data are transformed into trusted, scalable, decision\-ready dashboards, that will create an excellent customer experience on Also’s flagship connected EVs. You’ll lead the evolution of our connected EV platform, from secure data ingestion to product facing APIs, and influence how we build and scale at Also. You balance speed and rigor, know how to scale systems, and thrive in fast paced 0→1 environments. The systems you build will power core product features and enhance our analytics and fleet intelligence capabilities.
 This is
 **not** 
 a traditional ingestion\-heavy data engineering role. You will spend the majority of your time:
* Defining metrics and data quality standards
* Building and owning high\-impact visualizations used by leadership and product teams
**What You Will Do**
* Design multi\-level visualization experiences (exec → operational → deep\-dive) and translate complex telemetry and business data into clear, intuitive visuals
* Define visualization standards: metric definitions, charting patterns, UX clarity and Own dashboards as long\-lived products, not one\-off reports
* Design and maintain analytics\-layer data models (facts, dimensions, wide tables, semantic layers), Build performant datasets optimized for BI tools and large\-scale querying
* Partner with upstream engineers to shape event and telemetry schemas for downstream analytics, Optimize queries, storage, and compute for scale and cost efficiency in AWS
* Define and enforce metric contracts across teams and Implement automated data quality checks (completeness, freshness, correctness)
* Design pre\- and post\-pipeline validation frameworks and reduce metric drift and dashboard inconsistencies
* Work cross functionally and turn ambiguous business questions into concrete metrics and dashboards
* Influence without authority across multiple teams
**What You Will Bring**
* 8\+ years of experience in data engineering, analytics engineering, or analytics\-focused roles with proven experience owning end\-to\-end analytics and visualization systems
* Strong background working with large\-scale telemetry and business data
* Deep SQL expertise and strong Python (data pipelines, transformations, automation), dbt or equivalent analytics transformation frameworks
* Track record of improving data quality, metric reliability, and dashboard usability
* AWS (S3, Glue, Athena, Redshift / Redshift Serverless, Lambda, EventBridge)
* Databricks / Spark\-based ecosystems
* Orchestration tools (Airflow, MWAA, Step Functions, or similar)
* Tableau, Power BI, Looker / Looker Studio (or equivalent) and experience building executive and self\-serve dashboards
* Strong opinions on visualization UX and metric storytelling
* Event\-based data models. Funnel, cohort, and time\-series analysis High\-volume, high\-cardinality datasets
**Nice to Have**
* Experience at large\-scale tech companies or data\-intensive environments
* Exposure to ML pipelines and feature instrumentation
* Experience migrating or standardizing BI platforms
* Front\-end or advanced visualization experience (e.g., d3\.js, custom visuals)
 The estimated annual compensation for this position ranges from $165,000 \- $200,000 per year, depending on experience and qualifications.
**Why ALSO.**
 We’re passionate about helping the world find a better way to get there—wherever it is you’re headed.
 We’re located in the heart of Silicon Valley and have brought together a world\-class team from some of the biggest brands in the technology, automotive, cycling, outdoor recreation and retail spaces.
 Together we’re working hands\-on to imagine, design and build an entirely new solution to a global set of transportation challenges.
**Perks And Benefits**
* Robust health coverage. Excellent health, dental and vision insurance covered up to 100% by ALSO with FSA \&amp; HSA options.
* One Medical membership and dedicated insurance advocates.
* Rich fertility and family building benefits with Progyny.
* Flexible time off.
* 401(k) match.</t>
        </is>
      </c>
    </row>
    <row r="7">
      <c r="A7" t="inlineStr">
        <is>
          <t>li-4361288672</t>
        </is>
      </c>
      <c r="B7" t="inlineStr">
        <is>
          <t>Data Engineer</t>
        </is>
      </c>
      <c r="C7" t="inlineStr">
        <is>
          <t>Truckstop.com</t>
        </is>
      </c>
      <c r="D7" t="inlineStr">
        <is>
          <t>linkedin</t>
        </is>
      </c>
      <c r="E7" t="inlineStr"/>
      <c r="F7" t="inlineStr"/>
      <c r="G7" t="inlineStr"/>
      <c r="H7" t="inlineStr"/>
      <c r="I7" t="inlineStr">
        <is>
          <t>At Truckstop, we have transformed the entire freight\-moving lifecycle with our SaaS solutions.  From freight matching to payments and everything in between, we are the trusted partner for carriers, brokers, and shippers alike. We lead this industry forward with our One Team mindset committing to principles such as assume positive intent, have each other’s back, and be your authentic self.  Our drive for greatness produces high expectations, yet our regard for humans is even higher. Join a team of brilliant minds and generous hearts who care deeply about other's success.   
**Data Engineer III — Truckstop.com**
 Truckstop.com is seeking a seasoned 
**Data Engineer III**
  to help strengthen and scale our modern data platform. In this role, you’ll build and optimize the pipelines, models, and infrastructure that power our analytics, product intelligence, and customer\-facing solutions. We’re looking for someone who thrives in a fast\-moving environment, collaborates well across teams, and embraces AI\-driven development to move faster and smarter.
**What You’ll Do**
* Design, build, and maintain scalable ELT pipelines and data models with 
**Snowflake**
 , 
**dbt**
 , and 
**SQL**
 .
* Develop data infrastructure and platform components using 
**Terraform**
 , 
**Python**
 , and modern orchestration tools.
* Work closely with engineering, analytics, and product teams to ensure data quality, reliability, and availability.
* Optimize ingestion, transformation, and storage patterns across 
**Postgres**
  and other relational systems.
* Partner with BI and analytics teams to enable self\-service reporting in 
**Domo**
  (or other BI tools such as Metabase, Tableau, Power BI).
* Manage and enhance data integration workflows using 
**Airbyte**
  and 
**Matillion**
 .
* Drive architectural improvements around data governance, observability, automation, and scaling.
* Leverage AI\-powered coding and workflow tools (e.g., 
**GitHub Copilot, Cursor, CodeWhisperer, OpenAI Assistants**
 ) to accelerate delivery and improve code quality.
**What We’re Looking For**
* Strong experience with 
**Snowflake**
 , 
**SQL**
 , and 
**dbt**
  in a production environment.
* Solid understanding of 
**Terraform**
  and infrastructure\-as\-code practices
* Proficiency in 
**Python**
  for data processing, scripting, and automation.
* Experience implementing and maintaining ELT pipelines and data integrations.
* Familiarity with 
**Postgres**
  or other relational databases.
* Hands\-on experience with BI or analytics tools.
* Experience with 
**Airbyte**
 , 
**Matillion**
 , or similar ETL/ELT platforms is highly valued.
* Demonstrated use of AI tools (e.g., 
**Copilot, Cursor, Codex, Claude Code**
 ) in day\-to\-day engineering work.
* Excellent communication skills and the ability to work cross\-functionally.
* ****Bonus:****
  Background in 
**supply chain, freight, or logistics**
 .
 At Truckstop we are dedicated to creating a workplace that is equitable, inclusive, and inspiring for every employee. In an effort to provide greater transparency, we are sharing the base salary range for this position. The position is also eligible for a yearly bonus. Final salary is based on a number of factors including market location, job\-related knowledge, education/training, certifications, key skills, experience, internal peer equity as well as business considerations.
 The anticipated base pay range for this position is :: $120,000 USD \- $130,000 USD
 The above description covers the most significant duties performed but does not include other related occasional work that may be assigned or is completed by the employee.
 Truckstop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Truckstop participates in the E\-Verify program. Learn more about the E\-Verify program here: https://www.e\-verify.gov/
 Truckstop Privacy Policy</t>
        </is>
      </c>
    </row>
    <row r="8">
      <c r="A8" t="inlineStr">
        <is>
          <t>li-4369218016</t>
        </is>
      </c>
      <c r="B8" t="inlineStr">
        <is>
          <t>Data Engineer</t>
        </is>
      </c>
      <c r="C8" t="inlineStr">
        <is>
          <t>Spot Freight</t>
        </is>
      </c>
      <c r="D8" t="inlineStr">
        <is>
          <t>linkedin</t>
        </is>
      </c>
      <c r="E8" t="inlineStr"/>
      <c r="F8" t="inlineStr"/>
      <c r="G8" t="inlineStr">
        <is>
          <t>Indianapolis, IN</t>
        </is>
      </c>
      <c r="H8" t="inlineStr"/>
      <c r="I8" t="inlineStr">
        <is>
          <t>Today’s logistics marketplace is an ever\-changing landscape where you can make your mark. Spot gives you the tools to tackle industry challenges for our partners. Here, initiative, drive, and teamwork form the basis for a rewarding, fast\-paced career.
**About The Role**
 Red Technologies is seeking a Data Engineer with a strong passion for building scalable, reliable data platforms that power analytics, decision\-making, and operational systems. Our team is responsible for turning complex, high\-volume data into accessible, actionable insights for our customers, carriers, and internal teams.
 In this role, you will take ownership of critical components of our data platform and pipelines, partner closely with data science, analytics, and software engineering teams, and help evolve our architecture as we ingest and process increasingly large and complex datasets. You’ll work on everything from batch and streaming pipelines to data modeling, governance, and performance optimization. If you enjoy solving real business problems with data and want to have a direct impact on daily operations, this role is for you.
**Responsibilities**
* Design, build, and support Red Technologies’ data and business intelligence platform using Databricks, Azure Synapse, Sigma Computing, and SQL Server.
* Own and maintain production\-grade data pipelines that reliably serve data scientists, analysts, internal applications, and customer\-facing systems.
* Lead or contribute to the ingestion of near\-real\-time and streaming data into the platform.
* Partner with software engineers, product managers, analysts, and non\-technical stakeholders to translate business needs into scalable technical solutions.
* Design and implement data quality checks, testing frameworks, and governance processes to ensure accuracy, reliability, and trust in our data.
* Optimize data models, queries, and pipelines for performance, scalability, and cost efficiency.
* Contribute to architectural decisions and help guide best practices across the data engineering stack.
* Mentor junior team members and help raise the overall technical bar of the team.
**Qualifications**
* 3\+ years of experience building and maintaining data pipelines using tools such as PySpark, Pandas, SQL, and similar technologies.
* Bachelor’s degree in Data Engineering, Computer Science, a related field, or equivalent real\-world experience.
* Strong understanding of data modeling, joins, aggregations, and analytical patterns.
* Solid experience working with cloud and distributed data systems.
* Proven ability to debug complex data issues and deliver reliable solutions in production environments.
* Strong problem\-solving skills, attention to detail, and ownership mindset.
* Ability to independently research, evaluate, and adopt new tools and technologies.
* Experience with Azure, Databricks, Azure Synapse, SQL Server, and/or Kafka is a plus.
* Experience in logistics, transportation, or supply chain environments is a plus.
**Additional Information**
* Visa sponsorship is not available for this position.
* This role is available at our Indianapolis, IN or Tampa, FL office locations only.
 Spot is built on relationships, combining 24/7 support with a proven, passionate, and dedicated team of logistics professionals. You can reach your true potential through the unlimited opportunities we offer. When you put in the effort, show initiative, solve problems, and build lasting client relationships, you earn respect and rewards. You’ll also be a key component to the success of an industry leader. At Spot, we’ve never lost the entrepreneurial spirit that provides the foundation for our success.
*Spot Freight,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*Spot Freight is committed to working with and providing reasonable accommodation to individuals with disabilities. If, because of a disability, you need a reasonable accommodation, please contact our Human Resources team to notify us of your request. This policy applies to all terms and conditions of employment, including recruiting, hiring, placement, promotion, termination, layoff, recall, transfer, leaves of absence, compensation, and training.*</t>
        </is>
      </c>
    </row>
    <row r="9">
      <c r="A9" t="inlineStr">
        <is>
          <t>li-4368740300</t>
        </is>
      </c>
      <c r="B9" t="inlineStr">
        <is>
          <t>Data Engineer</t>
        </is>
      </c>
      <c r="C9" t="inlineStr">
        <is>
          <t>AARATECH</t>
        </is>
      </c>
      <c r="D9" t="inlineStr">
        <is>
          <t>linkedin</t>
        </is>
      </c>
      <c r="E9" t="inlineStr"/>
      <c r="F9" t="inlineStr"/>
      <c r="G9" t="inlineStr"/>
      <c r="H9" t="inlineStr"/>
      <c r="I9"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10">
      <c r="A10" t="inlineStr">
        <is>
          <t>li-4361334950</t>
        </is>
      </c>
      <c r="B10" t="inlineStr">
        <is>
          <t>Data Engineer (Senior/Staff)</t>
        </is>
      </c>
      <c r="C10" t="inlineStr">
        <is>
          <t>Norm Ai</t>
        </is>
      </c>
      <c r="D10" t="inlineStr">
        <is>
          <t>linkedin</t>
        </is>
      </c>
      <c r="E10" t="inlineStr"/>
      <c r="F10" t="inlineStr"/>
      <c r="G10" t="inlineStr">
        <is>
          <t>New York, NY</t>
        </is>
      </c>
      <c r="H10" t="inlineStr"/>
      <c r="I10" t="inlineStr">
        <is>
          <t>**About Norm Ai**
 Norm Ai, the leading Legal \&amp; Compliance AI company, has a client base with a combined $30 trillion in assets under management. By turning legal code into AI code, Norm enables enterprises to move faster and more comprehensively in their legal and compliance processes with reliability and trust.
 Norm’s platform combines frontier AI, proprietary legal reasoning systems, and embedded legal and regulatory expertise.
 We have recently raised more than $140 million, backed by Blackstone, Bain Capital, Vanguard, Citi, New York Life, TIAA, Coatue, Craft Ventures, Henry R. Kravis (KKR co\-founder), and Marc Benioff (Salesforce CEO).
 Norm Ai pioneered Legal Engineering, the process that empowers lawyers to build and supervise domain\-specific AI agents with Norm’s proprietary suite of no\-code software tools. We hired dozens of lawyers from premier U.S. law firms and trained them as Legal Engineers, who specialize in Large Language Model powered legal workflows.
 Norm Ai technology is deployed inside many of the largest and most consequential institutions in the world. The company is growing quickly and hiring across all teams.
**This Role**
 As a Senior Data Engineer at Norm, you will partner closely with our Senior Data Analyst and Director of Data to build the foundational data platform that powers our AI compliance engine and internal analytics capabilities. You will architect, develop, and own the data infrastructure from ingestion to transformation to delivery that enables accurate, compliant, and scalable insights across the company.
 You will own core data pipelines end\-to\-end, evolve the data platform as we scale, and ensure data is accurate, fresh, secure, and reliable. This role is highly cross\-functional and central to building a modern, trusted data ecosystem across the company.
**You Will**
* Build and own end\-to\-end ETL/ELT and CDC pipelines for both multi\-tenant and single\-tenant systems, enabling high\-quality, analysis\-ready data for the Senior Data Analyst and cross\-functional partners.
* Set up, maintain, and evolve data pipelines using orchestration platforms like Airflow.
* Design, operate, and scale our core data platform as usage grows.
* Ship and maintain curated gold\-layer datasets with reliable tests and monitoring for freshness and accuracy.
* Ingest and integrate product and third\-party data sources to power internal dashboards and platform analytics.
* Assist in establishing data governance practices that meet enterprise security and regulatory compliance requirements.
**Skills \&amp; Experience \- Core**
* 5\+ years of experience designing, building, and operating scalable, production\-grade ETL/ELT pipelines using frameworks such as Apache Spark or AWS Glue.
* Strong proficiency in Python or a similar backend programming language.
* Hands\-on experience developing, scheduling, monitoring, and operating DAGs in Airflow or Dagster.
* Experience running data infrastructure in cloud environments (AWS, GCP) that support data pipelines and analytics workloads.
* Deep understanding of data modeling and the modern data stack, including data warehouses (Snowflake, Redshift), data lakes (Iceberg, Delta Lake), and best practices for schema design and performance tuning.
* Familiarity with data security, privacy, including handling sensitive enterprise data, PII, and compliance\-driven pipelines.
* Ability to collaborate effectively with Data Analysts and Product \&amp; Engineering teams to translate technical challenges into clear, reliable data solutions.
**Skills \&amp; Experience \- Pluses**
* Hands\-on experience with dbt, including model development, testing, documentation, and CI/CD workflows.
* Knowledge of infrastructure\-as\-code (Terraform or similar) for provisioning cloud data environments.
* Experience working in regulated industries (FinTech, RegTech, Healthcare, Legal), with an understanding of compliance, data governance, and controls needed to safely process sensitive or regulated data.
* Startup experience working with rapidly evolving requirements, ambiguous problem spaces, and lean teams.
**What Success Looks Like \- 30 Days**
* Data infrastructure onboarding: Rapidly familiarize yourself with Norm AI's data architecture and the compliance domain data flowing through our systems.
* Initial contributions: Identify and implement quick wins on our data pipelines, whether through performance optimization, data quality enhancements, or better documentation of logic.
* Wider Team Collaboration: Establish strong collaborative relationships with our data analysts and platform engineering team to better understand data needs across the organization.
**What Success Looks Like \- 60 Days**
* Pipeline Ownership \&amp; Stability: Fully own one or more critical data pipelines; ensuring they are reliable, well\-monitored and structured for downstream workflows.
* Data Quality Standards: Demonstrate strong data engineering practices through contributions like implementing data contracts for key datasets, establishing testing frameworks for transformations, or creating reusable patterns that set standards for the growing team.
* Cross\-Functional Enablement: Collaborate closely with teams such as engineering and product to translate the team’s rapidly growing needs into robust, scalable data workflows; creating documentation and best practices that improve clarity, maintainability, and data quality.
**Comp And Benefits**
 Senior Data Engineer: $200K–$225K a year plus equity.
 Staff Data Engineer: $240K–$270K a year plus equity.
 The range displayed in this job posting reflects the minimum and maximum target for new hire salary for this position. Within the range, individual pay is determined by various factors, including job\-related skills (as uncovered during the interview process), experience, and relevant education or training. Please note that the compensation details listed here reflect the base salary only, and do not include equity or benefits. We offer a competitive salary along with equity compensation. Our comprehensive benefits package includes a 401(k) plan with an employer match. Employees enjoy top\-tier insurance coverage, encompassing health, dental, hospital, accident, and vision plans. For candidates needing to relocate to NYC, we provide relocation reimbursement. You'll thrive in our fast\-paced learning environment where professional growth is constant.
 We embrace a hybrid model, typically in\-office 3\-4 days per week.
 To learn more about Norm Ai, visit our
 **website** 
 .</t>
        </is>
      </c>
    </row>
    <row r="11">
      <c r="A11" t="inlineStr">
        <is>
          <t>li-4369098489</t>
        </is>
      </c>
      <c r="B11" t="inlineStr">
        <is>
          <t>Sr. Data Engineer</t>
        </is>
      </c>
      <c r="C11" t="inlineStr">
        <is>
          <t>Wellvana</t>
        </is>
      </c>
      <c r="D11" t="inlineStr">
        <is>
          <t>linkedin</t>
        </is>
      </c>
      <c r="E11" t="inlineStr"/>
      <c r="F11" t="inlineStr"/>
      <c r="G11" t="inlineStr">
        <is>
          <t>Nashville, TN</t>
        </is>
      </c>
      <c r="H11" t="inlineStr"/>
      <c r="I11" t="inlineStr">
        <is>
          <t>**Description**
**The Why Behind Wellvana:**
 The healthcare system isn’t designed for health. We’re designed to change that. We’re Wellvana, and we help doctors deliver life\-changing healthcare.
 Through our elevated value\-based care programs, we’re revitalizing an antiquated system that’s far too long relied on misaligned incentives that reward quantity of care not the quality of it.
 Our enlightened approach—covering everything from care coordination to clinical documentation education to marketing— ties the healthy outcomes of patients directly to shared savings for primary care providers, health systems and payors.
 Providers in our curated network keep their independence, reduce their administrative headaches, and spend more time with patients. Patients, in turn, get an elevated experience with coordinated care between appointments that is nothing short of life\-changing.
 Named a 2024 "Best in Business" and 2023 "Best Place to Work" by Nashville Business Journal, we’re one of the fastest\-growing healthcare companies in America because what we do works. This is the way medicine is meant to be.
**Clarity On The Role**
 As a Sr. Data Engineer, you will be a crucial part of the Wellvana technology team responsible for the data platform and pipelines used across the organization. You’ll work closely with our engineers, business analysts, medical economics team, actuaries, and more to help define and evolve our platform to meet the growing and changing needs of the business.
**What's Expected**
* Design, build, and maintain scalable data pipelines from scratch.
* Optimize existing data pipelines for performance, reliability, and efficiency.
* Architect and manage cloud\-based data infrastructure
* Utilize data orchestration tools to schedule and monitor workflows.
* Develop and optimize complex SQL queries and scripts for data processing.
* Design and implement real\-time data streaming solutions.
* Build and maintain API\-based data integrations to facilitate seamless data exchange between systems.
* Work with data processing frameworks for efficient data transformations.
* Implement best practices for data modeling, governance, and security.
* Deploy and manage containerized applications using Kubernetes.
* Develop and maintain CI/CD pipelines to streamline data deployment and integration processes.
* Collaborate with cross\-functional teams, including analytics, product, and engineering, to ensure data availability and quality.
* Stay current with industry trends and emerging technologies to continuously improve data engineering practices.
**Requirements**
**What’s Required:**
* Integrity: The right way is the only way.
* Dependability: You do what you say you’re going to do.
* Advocacy: You fight for the best possible outcome for providers and their patients.
* Clarity: You make it all understandable.
**Education**
* Bachelor’s degree in Computer Science, Management Information Systems, or a related field, or equivalent experience
**Certifications**
* N/A
**Years Of Related Experience**
* 4\+ years of data engineering experience
* 3\+ years of cloud engineering experience
* 2\+ years of senior product management experience
* 3\+ years of Python and SQL experience
* dbt experience is a plus
* Health care data experience is a plus
**Skills/Competencies/Behaviors**
* Strong expertise in Python, dbt, and SQL for data transformation and manipulation.
* Proficiency in data orchestration tools like Apache Airflow or Dagster.
* Experience working with data warehouses such as Snowflake.
* Proficiency in big data technologies such as Apache Spark.
* Experience with real\-time data streaming technologies like Kafka is a plus.
* Strong understanding of API\-based data integrations.
* Knowledge of CI/CD practices for data engineering.
* Familiarity with containerization tools like Docker and Kubernetes.
* Strong analytical and problem\-solving skills with the ability to work in a fast\-paced environment.
* Excellent communication skills.
* Experience with workflow automation and data governance best practices.</t>
        </is>
      </c>
    </row>
    <row r="12">
      <c r="A12" t="inlineStr">
        <is>
          <t>li-4368745062</t>
        </is>
      </c>
      <c r="B12" t="inlineStr">
        <is>
          <t>Data Engineer</t>
        </is>
      </c>
      <c r="C12" t="inlineStr">
        <is>
          <t>AARATECH</t>
        </is>
      </c>
      <c r="D12" t="inlineStr">
        <is>
          <t>linkedin</t>
        </is>
      </c>
      <c r="E12" t="inlineStr"/>
      <c r="F12" t="inlineStr"/>
      <c r="G12" t="inlineStr"/>
      <c r="H12" t="inlineStr"/>
      <c r="I12"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3">
      <c r="A13" t="inlineStr">
        <is>
          <t>li-4368744065</t>
        </is>
      </c>
      <c r="B13" t="inlineStr">
        <is>
          <t>Data Engineer</t>
        </is>
      </c>
      <c r="C13" t="inlineStr">
        <is>
          <t>AARATECH</t>
        </is>
      </c>
      <c r="D13" t="inlineStr">
        <is>
          <t>linkedin</t>
        </is>
      </c>
      <c r="E13" t="inlineStr"/>
      <c r="F13" t="inlineStr"/>
      <c r="G13" t="inlineStr"/>
      <c r="H13" t="inlineStr"/>
      <c r="I13"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4">
      <c r="A14" t="inlineStr">
        <is>
          <t>li-4368722959</t>
        </is>
      </c>
      <c r="B14" t="inlineStr">
        <is>
          <t>Data Engineer</t>
        </is>
      </c>
      <c r="C14" t="inlineStr">
        <is>
          <t>AARATECH</t>
        </is>
      </c>
      <c r="D14" t="inlineStr">
        <is>
          <t>linkedin</t>
        </is>
      </c>
      <c r="E14" t="inlineStr"/>
      <c r="F14" t="inlineStr"/>
      <c r="G14" t="inlineStr"/>
      <c r="H14" t="inlineStr"/>
      <c r="I14"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15">
      <c r="A15" t="inlineStr">
        <is>
          <t>li-4354971289</t>
        </is>
      </c>
      <c r="B15" t="inlineStr">
        <is>
          <t>Junior Data Engineer</t>
        </is>
      </c>
      <c r="C15" t="inlineStr">
        <is>
          <t>Medpace</t>
        </is>
      </c>
      <c r="D15" t="inlineStr">
        <is>
          <t>linkedin</t>
        </is>
      </c>
      <c r="E15" t="inlineStr"/>
      <c r="F15" t="inlineStr"/>
      <c r="G15" t="inlineStr">
        <is>
          <t>Cincinnati, OH</t>
        </is>
      </c>
      <c r="H15" t="inlineStr"/>
      <c r="I15" t="inlineStr">
        <is>
          <t>Our corporate activities are growing rapidly, and we are currently seeking a full\-time, office\-based Junior Data Engineer to join our Information Technology team. This position will work on a team to accomplish tasks and projects that are instrumental to the company’s success. If you want an exciting career where you use your previous expertise and can develop and grow your career even further, then this is the opportunity for you.
**Responsibilities**
* Utilize skills in development areas including data warehousing, business intelligence, and databases (Snowflake, ANSI SQL, SQL Server, T\-SQL);
* Support programming/software development using Extract, Transform, and Load (ETL) and Extract, Load and Transform (ELT) tools, (dbt, Azure Data Factory, SSIS);
* Design, develop, enhance and support business intelligence systems primarily using Microsoft Power BI;
* Collect, analyze and document user requirements;
* Participate in software validation process through development, review, and/or execution of test plan/cases/scripts;
* Create software applications by following software development lifecycle process, which includes requirements gathering, design, development, testing, release, and maintenance;
* Communicate with team members regarding projects, development, tools, and procedures; and
* Provide end\-user support including setup, installation, and maintenance for applications
**Qualifications**
* Bachelor's Degree in Computer Science, Data Science, or a related field;
* Internship experience in Data or Software Engineering;
* Knowledge of developing dimensional data models and awareness of the advantages and limitations of Star Schema and Snowflake schema designs;
* Solid ETL development, reporting knowledge based off intricate understanding of business process and measures;
* Knowledge of Snowflake cloud data warehouse, Fivetran data integration and dbt transformations is preferred;
* Knowledge of Python is preferred;
* Knowledge of REST API;
* Basic knowledge of SQL Server databases is required;
* Knowledge of C\#, Azure development is a bonus; and
* Excellent analytical, written and oral communication skills.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**Cincinnati Perks**
* Cincinnati Campus Overview
* Flexible work environment
* Competitive PTO packages, starting at 20\+ days
* Competitive compensation and benefits package
* Company\-sponsored employee appreciation events
* Employee health and wellness initiatives
* Community involvement with local nonprofit organizations
* Discounts on local sports games, fitness gyms and attractions
* Modern, ecofriendly campus with an on\-site fitness center
* Structured career paths with opportunities for professional growth
* Discounted tuition for UC online programs
**Awards**
* Named a Top Workplace in 2024 by The Cincinnati Enquirer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is>
      </c>
    </row>
    <row r="16">
      <c r="A16" t="inlineStr">
        <is>
          <t>li-4361634164</t>
        </is>
      </c>
      <c r="B16" t="inlineStr">
        <is>
          <t>Data Engineer</t>
        </is>
      </c>
      <c r="C16" t="inlineStr">
        <is>
          <t>Heaven Hill Brands</t>
        </is>
      </c>
      <c r="D16" t="inlineStr">
        <is>
          <t>linkedin</t>
        </is>
      </c>
      <c r="E16" t="inlineStr"/>
      <c r="F16" t="inlineStr"/>
      <c r="G16" t="inlineStr">
        <is>
          <t>Louisville, KY</t>
        </is>
      </c>
      <c r="H16" t="inlineStr"/>
      <c r="I16" t="inlineStr">
        <is>
          <t>**This role is an office position based in Louisville, Kentucky.**
**What The Role Is**
 The Data Engineer will build and manage data pipelines from both primary external and internal sources into central data repositories, and from there to usable, business\-facing, enterprise\-ready data sources. This position will work within a scrum team and will use Asana to plan and document work.
 The Data Engineer is expected to understand large language models and have experience using them to drive data engineering solutions, including IDE\-integrated and external LLM\-based coding tools. This position may also design and support language\-model\-drive solutions for end user reporting and analytical needs in partnership with our AI program.
**How You Will Spend Your Time?**
* Build, maintain, and optimize commercial analytics data products and models that support FP\&amp;A, Sales, and other commercial teams.
* Collaborate with the Commercial scrum, IT, and business stakeholders to define requirements, prioritize work, and deliver high\-quality data products.
* Enterprise Ready Data Sources
+ Curate enterprise\-ready data sources for consumption by Power BI for self\-service analytics in the business, as well as ingestion in data science workflows, web applications, and R Shiny or similar tools.
+ Focus on commercial data products that integrate internal financial and sales data with external syndicated sources to support forecasting, performance measurement, and decision\-making.
* Data Pipelines (ETL/ELT)
+ Write data pipelines from external and internal commercial data sources into central data locations (data lake / Fabric lakehouse) using SQL, R, and/or Python.
+ Transition legacy OLAP\- and SSIS\-based workflows into well\-documented, transparent, and fully reproducible ETL/ELT environments likely driven by notebook (code \+ text) solutions within Fabric and related tooling.
+ Write data pipelines from central repositories to enterprise\-ready data sources for consumption by web apps, data scientists, analyst professionals, and Power BI semantic models.
+ Work with transparency, best practices, and documentation as guiding principles.
+ Leverage integrated large language models (LLMs) and AI\-assisted tooling to accelerate coding, documentation, testing, and ideation of data and analytics solutions..
* Other duties as required to support changing business needs.
**Who You Are…**
**Required Skills and Experience:**
* Bachelor’s degree in computer science or related field, or may substitute equivalent experience for educational requirement.
* Minimum 2 years of experience creating and managing robust data pipelines (ETL/ELT) that follow best practices, including medallion architecture, unit testing, and related standards.
* Minimum 2 years of experience with database administration (SQL Server, Oracle or similar relational databases).
* Programming languages: SQL (required); experience with Python and/or R (preferred).
* Knowledge of MS SQL Server, SQL, Reporting Services, Analysis Services, and Integration Services for historical workloads.
* Experience with Microsoft Fabric, Power BI, and notebook\-based development, or a demonstrated ability to learn these quickly.
* An attitude of continuous improvement and learning.
* A team player with excellent interpersonal skills who is comfortable working with a business integrated scrum to plan and complete work.
* Comfortable with “change as the only constant” and willing to flex as priorities shift; understands that 'other duties as required' is part of the core role.
* The use of AI\-assisted development tools (for example, integrated LLM copilots).
**Valued But Not Required Skills And Experience**
* R and Python experience
* Familiarity with Power BI and semantic model design.
* Familiarity with R Shiny applications.
* Understanding of the Posit Team set of applications.
* Familiarity with data sources used in the spirits industry (Nielsen, NABCA, SRS, distributor data, etc.).
**Physical Requirements**
 While performing duties of job, the employee is occasionally required to:
* Stand; walk; use hands and fingers to handle, or feel objects, and use of computer; reach with hands and arms.
* Lift and/or move up to 50 pounds.
**Benefits**
* Paid Vacation
* 11 Paid Holidays
* Health, Dental \&amp; Vision eligibility from day one
* FSA/HSA
* 401K match
* EAP
* Maternity/Paternity Leave
 Heaven Hill and its affiliates are committed to fostering a diverse workforce as an Equal Employment Opportunity company. We invite applications from candidates of all backgrounds, without regard to race, religion, color, sex, sexual orientation, natural origin, gender identity or expression, age, disability, veteran status, or any other legally protected characteristic.</t>
        </is>
      </c>
    </row>
    <row r="17">
      <c r="A17" t="inlineStr">
        <is>
          <t>li-4325471591</t>
        </is>
      </c>
      <c r="B17" t="inlineStr">
        <is>
          <t>Data Engineer</t>
        </is>
      </c>
      <c r="C17" t="inlineStr">
        <is>
          <t>Orveon Global</t>
        </is>
      </c>
      <c r="D17" t="inlineStr">
        <is>
          <t>linkedin</t>
        </is>
      </c>
      <c r="E17" t="inlineStr"/>
      <c r="F17" t="inlineStr"/>
      <c r="G17" t="inlineStr">
        <is>
          <t>New York, NY</t>
        </is>
      </c>
      <c r="H17" t="inlineStr"/>
      <c r="I17" t="inlineStr">
        <is>
          <t>**About Us**
 Orveon is a new kind of beauty company launched in December 2021 when we acquired our three iconic brands \- bareMinerals, BUXOM, and Laura Mercier. With more than 600 associates, operating in 40\+ countries, we're truly a global business. Our headquarters are in New York, with additional locations in major cities worldwide.
 We love our brands and are embarking on a powerful shift: To change how the world thinks about beauty. We are a collective of premium and prestige beauty brands committed to making beauty better and creating consumer love.
 People here are passionate, innovative, and thoughtful. This is an inspirational group of talented people, working together to build something better. We are looking for the best talent to join us on that journey. We believe we can accomplish more when we move as one.
**About The Role**
 We are seeking a skilled and motivated Data Engineer to join our team. As a key contributor to our data architecture, you will play a central role in designing, building, and maintaining scalable data pipelines and solutions using Microsoft Fabric. You will collaborate closely with Power BI developers, and business analysts to ensure data is accessible, reliable, and optimized for analytics and decision\-making.
**Primary Duties \&amp; Responsibilities**
* Design, develop, and maintain robust data pipelines using Microsoft Fabric, including Data Factory, OneLake, and Lakehouse.
* Integrate data from various sources (structured and unstructured) into centralized data platforms.
* Collaborate with Data Architects to implement scalable and secure data models.
* Optimize data workflows for performance, reliability, and cost\-efficiency.
* Ensure data quality, governance, and compliance with internal and external standards.
* Support Power BI developers and business analysts with curated datasets and semantic models.
* Monitor and troubleshoot data pipeline issues and implement proactive solutions.
* Document data processes, architecture, and best practices.
**Qualifications**
* Bachelor's degree in Computer Science, Data Science, Information Technology or related field.
* 3\+ years hands on experience in data engineering
* Proficiency in Apache Spark.
* Strong programming skills in Python, SQL, with experience in CI/CD
* Experience in data modeling.
* Best practices in managing lakehouses and warehouses.
* Strong problem\-solving skills and attention to detail.
* Excellent communication and collaboration abilities.
* Familiarity with MS fabric technologies and tools
* Familiarity with version control (Git/Azure Devops)
* Microsoft Data technologies especially Power BI
* Experience with Azure data services such as Data factory, synapse, purview, logic/function apps.
**What Orveon Offers You**
 You are a creator of Orveon’s success and your own. This is a rare opportunity to share your voice, accelerate your career, drive innovation and fostering growth. We’re a human sized company so your work will have a big impact on the organization. We invest in the well\-being of our Orveoners – both personally and professionally and provide tailored benefits to support all of you, such as:
* “Hybrid First” Model 2\-3 days per week in office, balancing virtual and face\-to\-face interactions.
* “Work From Anywhere” – Freedom to work three (3\) weeks annually from the lo\-cation of your choice.
* Complimentary Products – Free and discounted products on new releases and fan\-favorites.
* Professional Development – Exposure to senior leadership, learning and development programs, and career advancement opportunities.
* Community Engagement – Volunteer opportunities in the communities in which we live and work.
**Other things to know!**
**Pay Transparency\-** 
 One of our values is Stark Honesty, and the following represents a good faith estimate of the compensation range for this position.
 At Orveon Global, we carefully consider a wide range of non\-discriminatory factors when deter\-mining salary. Actual salaries will vary depending on factors including but not limited to location, education, experience, and qualifications.
 The pay range for this position $80,500\-$100,500\. Supplemented with all the amazing benefits above for full\-time employees!
**Opportunities and Accommodations\-** 
 Orveon is deeply committed to building a workplace and global community where inclusion is not only valued but prioritized. Find out more on our careers page.
**BE AWARE OF FRAUD!** 
 Please be aware of potentially fraudulent job postings or suspicious recruiter activity by persons that are posing as Orveon Global Recruiters/HR. Please confirm that the person you are working with has an @orveonglobal.com email address. Additionally, Orveon Global does NOT request financial information or payments from candidates at any point during the hiring process. If you suspect fraudulent activity, please visit the Orveon Global Careers Site at https://www.orveonglobal.com/career to verify the posting and apply though our secure online portal.</t>
        </is>
      </c>
    </row>
    <row r="18">
      <c r="A18" t="inlineStr">
        <is>
          <t>li-4368728823</t>
        </is>
      </c>
      <c r="B18" t="inlineStr">
        <is>
          <t>Data Engineer</t>
        </is>
      </c>
      <c r="C18" t="inlineStr">
        <is>
          <t>AARATECH</t>
        </is>
      </c>
      <c r="D18" t="inlineStr">
        <is>
          <t>linkedin</t>
        </is>
      </c>
      <c r="E18" t="inlineStr"/>
      <c r="F18" t="inlineStr"/>
      <c r="G18" t="inlineStr"/>
      <c r="H18" t="inlineStr"/>
      <c r="I18"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19">
      <c r="A19" t="inlineStr">
        <is>
          <t>li-4361291070</t>
        </is>
      </c>
      <c r="B19" t="inlineStr">
        <is>
          <t>Senior Data Engineer</t>
        </is>
      </c>
      <c r="C19" t="inlineStr">
        <is>
          <t>Atlassian</t>
        </is>
      </c>
      <c r="D19" t="inlineStr">
        <is>
          <t>linkedin</t>
        </is>
      </c>
      <c r="E19" t="inlineStr"/>
      <c r="F19" t="inlineStr"/>
      <c r="G19" t="inlineStr">
        <is>
          <t>San Francisco, CA</t>
        </is>
      </c>
      <c r="H19" t="inlineStr"/>
      <c r="I19" t="inlineStr">
        <is>
          <t>**Overview**
**Overview**
 Our Data Engineering Team is comprised of data experts. We build world\-class data solutions and applications that power crucial business decisions throughout the organisation. We manage multiple analytical data models and pipelines across Atlassian, covering finance, growth, product analysis, customer analysis, sales and marketing, and so on. We maintain Atlassian's data lake that provide a unified way of analysing our customers, our products, our operations, and the interactions among them.
 We're hiring a Senior Data Engineer, reporting to the Data Engineering Manager based in San Francisco. Here, you'll enable a world\-class engineering practice, drive the approach with which we use data, develop backend systems and data models to serve the needs of insights, and help build Atlassian's data\-driven culture. You love thinking about the ways the business can consume data and then figuring out how to build it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**Responsibilities**
* You'll partner with the product analytics and data scientist team to build the data solutions that allow them to obtain more insights from our data and use that to support important business decisions.
* You'll work with different stakeholders to understand their needs and architect/build the data models, data acquisition/ingestion processes and data applications to address those requirements.
* You'll add new sources, code business rules, and produce new metrics that support the product analysts and data scientists.
* You'll be the data domain expert who understand all the nitty\-gritty of our products.
* You'll own a problem end\-to\-end. Requirements could be vague, and iterations will be rapid
* You'll improve data quality by using \&amp; improving internal tools/frameworks to automatically detect DQ issues
**Qualifications**
* A BS in Computer Science or equivalent experience with 5\+ years of professional experience as a Sr. Data Engineer or in a similar role.
* Strong programming skills using Python
* Working knowledge of relational databases and query authoring (SQL).
* Experience designing data models for optimal storage and retrieval to meet product and business requirements.
* Experience building scalable data pipelines using Spark (SparkSQL) with Airflow scheduler/executor framework or similar scheduling tools.
* Experience working with AWS data services or similar Apache projects (Spark, Flink, Hive, and Kafka).
* Understanding of Data Engineering tools/frameworks and standards to improve the productivity and quality of output for Data Engineers across the team.
* Well versed in modern software development practices (Agile, TDD, CICD)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USD 163800 \- USD 213850
 Zone B: USD 147600 \- USD 192700
 Zone C: USD 136800 \- USD 178600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20">
      <c r="A20" t="inlineStr">
        <is>
          <t>li-4340070750</t>
        </is>
      </c>
      <c r="B20" t="inlineStr">
        <is>
          <t>Senior Data Engineer</t>
        </is>
      </c>
      <c r="C20" t="inlineStr">
        <is>
          <t>AMH</t>
        </is>
      </c>
      <c r="D20" t="inlineStr">
        <is>
          <t>linkedin</t>
        </is>
      </c>
      <c r="E20" t="inlineStr"/>
      <c r="F20" t="inlineStr"/>
      <c r="G20" t="inlineStr">
        <is>
          <t>Calabasas, CA</t>
        </is>
      </c>
      <c r="H20" t="inlineStr"/>
      <c r="I20" t="inlineStr">
        <is>
          <t>Since 2012, we've grown to become one of the leading single\-family rental companies and homebuilders in the country, recently recognized as a top employer by Fortune and Great Place To Work®.  At AMH, our goal is to simplify the experience of leasing a home through professional management and maintenance support, so our residents can focus on what really matters to them, wherever they are in life.
 The
 **Senior Data Engineer** 
 is responsible for designing, building, and managing the data platform and tools to allow for the efficient processing and analysis of large data sets. Develops and maintains scalable data pipelines, ensures data quality, and deploys machine learning models to production. Collaborates with business teams to improve data models that feed business intelligence tools, increasing data accessibility and fostering data\-driven decision\-making across the organization. Builds real\-time and batch pipelines to handle large volumes of data efficiently. Collaborates with cross\-functional teams and translate business requirements into scalable data solutions.
**Responsibilities:** 
* Design, develop, and maintain real\-time or batch data pipelines to process and analyze large volumes of data. Designs and develops programs and tools to support ingestion, curation, and provisioning of complex first party and third\-party data to achieve analytics, reporting, and data science. Design and develop Advanced Data Products and Intelligent API’s. Monitors the system performance by performing regular tests, troubleshoots, and integrates new features.
* Lead in analysis of data and the design the data architecture to support BI, AI/ML and data products.
* Designs and implements data platform architecture to meet organization analytical requirements. Ensures the solution designs address operational requirements such as scalability, maintainability, extensibility, flexibility, and integrity.
* Provide technical leadership and mentorship to team members. Leads peer development and code reviews with focus on test driven development and Continuous Integration and Continuous Development (CICD).
**Requirements:** 
* Bachelor’s degree in computer science, information systems, data science, management information systems, mathematics, physics, engineering, statistics, economics, and/or a related field required.
* Master’s degree in computer science, information systems, data science, management information systems, mathematics, physics, engineering, statistics, economics, and/or a related field preferred.
* Minimum of eight (8\) years of experience as a data engineer with full\-stack capabilities
* Minimum of ten (10\) years of Experience in programming
* Minimum of five (5\) years in Cloud technologies like Azure, Aws or Google.
* Strong SQL Knowledge
* Experience in ML and ML Pipeline a plus
* Experience in real\-time integration, developing intelligent apps and data products.
* Proficiency in Python and experience with CI/CD practices
* Strong background in IAAS platforms and infrastructure
* Hands\-on experience with Databricks, Spark, Fabric, or similar technologies
* Experience in Agile methodologies
* Hands\-on experience in the design and development of data pipelines and data products
* Experience in developing data ingestion, data processing, and analytical pipelines for big data, NoSQL, and data warehouse solutions.
* Hands\-on experience implementing data migration and data processing using Azure services: ADLS, Azure Data Factory, Event Hub, IoT Hub, Azure Stream Analytics, Azure Analysis Service, HDInsight, Databricks Azure Data Catalog, Cosmo Db, ML Studio, AI/ML, etc.
* Extensive experience in Big Data technologies such as Apache Spark and streaming technologies such as Kafka, EventHub, etc.
* Extensive experience in designing data applications in a cloud environment.
* Intermediate experience in RESTful APIs, messaging systems, and AWS or Microsoft Azure.
* Extensive experience in Data Architecture and data modeling
* Expert in data analysis and data quality frameworks.
* Knowledgeable with BI tools such as Power BI and Tableau.
* May occasionally work evenings and/or weekends.
**Compensation**
 The anticipated pay range/scale for this position is $121,116\.00 to $151,395\.00 Annually. Actual starting base pay within this range will depend on factors including geographic location, education, training, skills, and relevant experience.
**Additional Compensation**
 This position is eligible to receive a discretionary annual bonus.
 Perks and Benefits
 Employees have the opportunity to participate in medical, dental and vision insurance; flexible spending accounts and/or health savings accounts; dependent savings accounts; 401(k) with company matching contributions; employee stock purchase plan; and a tuition reimbursement program. The Company provides 9 paid holidays per year, and, upon hire, new employees will accrue paid time off (PTO) at a rate of 0\.0577 hours of PTO per hour worked, up to a maximum of 120 hours per year.
**CA Privacy Notice:** 
 To learn more about what information we collect when you apply for a job, and how we use that information, please see our CA Job Applicant Privacy Notice found at https://www.amh.com/ca\-privacy\-notice.</t>
        </is>
      </c>
    </row>
    <row r="21">
      <c r="A21" t="inlineStr">
        <is>
          <t>li-4368737426</t>
        </is>
      </c>
      <c r="B21" t="inlineStr">
        <is>
          <t>Senior Data Engineer</t>
        </is>
      </c>
      <c r="C21" t="inlineStr">
        <is>
          <t>Data Capital Incorporation</t>
        </is>
      </c>
      <c r="D21" t="inlineStr">
        <is>
          <t>linkedin</t>
        </is>
      </c>
      <c r="E21" t="inlineStr"/>
      <c r="F21" t="inlineStr"/>
      <c r="G21" t="inlineStr">
        <is>
          <t>Bentonville, AR</t>
        </is>
      </c>
      <c r="H21" t="inlineStr"/>
      <c r="I21" t="inlineStr">
        <is>
          <t>**About the Role** 
 We are looking for a highly experienced
 **Senior Data Engineer** 
 with strong expertise in real\-time data processing and scalable data architectures. You will play a key role in designing, building, and optimizing data platforms that support analytics, reporting, and machine learning use\-cases.
 You will work closely with cross\-functional teams (Data Science, Analytics, Product) to deliver high\-performance data infrastructure and tools.
**Key Responsibilities** 
* **Design \&amp; Build Data Pipelines:** 
 Architect, develop, and maintain robust ETL/ELT workflows for batch and real\-time data ingestion and processing using Apache Spark (PySpark/Scala) and streaming technologies.
* **Real\-Time Streaming:** 
 Implement and manage scalable streaming platforms using Apache Kafka (or similar messaging systems like Pub/Sub/Flink), ensuring reliable data flow with low latency.
* **Optimize Data Workloads:** 
 Tune Spark jobs, streaming processes, repository schemas, and SQL queries to maximize performance, minimize cost, and ensure efficient resource utilization.
* **Architect Scalable Data Systems:** 
 Build and maintain modern data architectures including data lakes, data warehouses (BigQuery), and metadata frameworks that support analytical and ML workloads.
* **Data Quality \&amp; Monitoring:** 
 Implement automated data quality checks, monitoring dashboards, alerts, and self\-healing workflows to maintain high\-fidelity data.
* **Cloud \&amp; DevOps Integration:** 
 Collaborate with Cloud and DevOps teams to deploy solutions leveraging GCP services, containerization (Docker), and orchestration tools (Kubernetes).
* **Documentation \&amp; Best Practices:** 
 Maintain technical documentation, enforce data governance standards, and advocate for best practices in data engineering.
**Required Skills \&amp; Qualifications** 
**Technical Skills** 
* **Programming:** 
 Strong proficiency in
 **Python** 
 ,
 **SQL** 
 , with working knowledge of
 **Scala** 
 or
 **Java** 
 .
* **Big Data Frameworks:** 
 Expertise in
 **Apache Spark** 
 (Spark SQL, DataFrames, Structured Streaming).
* **Streaming Technologies:** 
 Hands\-on experience with
 **Apache Kafka** 
 , Google Pub/Sub, or similar systems.
* **Cloud Platforms:** 
 Solid experience with
 **Google Cloud Platform (GCP)** 
 data services (BigQuery, Dataflow, Pub/Sub, Dataproc, etc.).
* **Data Stores:** 
 Experience with data warehousing solutions such as
 **BigQuery** 
 ,
 **Snowflake** 
 ,
 **Redshift** 
 , and familiarity with
 **NoSQL** 
 databases.
**Professional Experience** 
* Minimum
 **8 years of industry experience** 
 building enterprise data solutions.
* **4\+ years of recent, hands\-on experience with GCP** 
 data services.
* Proven track record of delivering productionized data platforms supporting analytics and ML.</t>
        </is>
      </c>
    </row>
    <row r="22">
      <c r="A22" t="inlineStr">
        <is>
          <t>li-4334141356</t>
        </is>
      </c>
      <c r="B22" t="inlineStr">
        <is>
          <t>Senior Data Engineer</t>
        </is>
      </c>
      <c r="C22" t="inlineStr">
        <is>
          <t>DAT Freight &amp; Analytics</t>
        </is>
      </c>
      <c r="D22" t="inlineStr">
        <is>
          <t>linkedin</t>
        </is>
      </c>
      <c r="E22" t="inlineStr"/>
      <c r="F22" t="inlineStr"/>
      <c r="G22" t="inlineStr">
        <is>
          <t>Seattle, WA</t>
        </is>
      </c>
      <c r="H22" t="inlineStr"/>
      <c r="I22" t="inlineStr">
        <is>
          <t>**About DAT**
**DAT** 
 is an award\-winning employer of choice and a next\-generation SaaS technology company that has been at the leading edge of innovation in transportation supply chain logistics for 45 years. We continue to transform the industry year over year, by deploying a suite of software solutions to millions of customers every day \- customers who depend on DAT for the most relevant data and most accurate insights to help them make smarter business decisions and run their companies more profitably. We operate the largest marketplace of its kind in North America, with 400 million freights posted in 2022, and a database of $150 billion of annual global shipment market transaction data. Our headquarters are in Denver, CO, and Beaverton, OR, with additional offices in Seattle, WA; Springfield, MO; and Bangalore, India. For additional information, see www.DAT.com/company
**Job Application Deadline:** 
 02/27/2026
**The Opportunity**
**About Outgo**
 We're a fast\-growing product tackling a massive opportunity: the $800B US freight market. This industry comprises 1\.6 million carriers, with 95% being small businesses operating 10 or fewer trucks. These hard working business owners often face tight margins while being forced to rely on predatory financial products laden with exorbitant rates, hidden fees, and restrictive contracts.
 At the Outgo team at DAT, we're changing that. We're building an intelligent fintech platform from the ground up that truly understands the unique needs of trucking businesses. Our platform operates with radical transparency and fairness, optimizing cash flow to help truckers save more and grow their businesses.
 Join our dynamic startup team in our mission to level the playing field and empower America's truckers with the financial tools they deserve.
**About The Team**
 The Outgo engineering team is at the heart of revolutionizing financial services for truckers. We build robust, fault\-tolerant systems that make real\-time decisions and manage money flows with bank\-grade reliability. Our technology transforms the accounts receivable process through intelligent automation and visualization, multiplying our operations team's effectiveness. For our customers, we craft intuitive, trustworthy applications that set a new standard for financial services.
 Our modern data stack is built on Snowflake and DBT and powered by AWS infrastructure. We leverage cutting\-edge tools including Pulumi, Postgres, and Claude Sonnet to deliver exceptional results.
 Our seasoned engineering team brings deep experience from both successful startups and leading enterprises. We're looking for devops engineers who share our passion for building impactful products that make a real difference in people's lives. Here, you'll find a culture that values:
* Technical craft and engineering excellence
* Intellectual curiosity and continuous learning
* Strong team collaboration and camaraderie
* Individual autonomy and ownership
 Join us in building a world\-class product in an environment where quality and execution aren't just buzzwords—they're our daily commitment.
**What You’ll Do**
 You are someone who…
* Demonstrates pride, ownership, and accountability for your work, and expect the same from those you work with
* Shares opinions openly on what's working and what's not across the product, tech stack, and team processes
* Works with cross\-functional partners to solve business problems using data
* Builds, maintains, and owns datasets that are accurate and simple
* Seeks feedback early and often in the development process
* Identifies speed vs quality tradeoffs and balances them judiciously
* Believes diverse teams make better decisions, and actively fosters a culture where every person can do their best work
**The Skills And Experience You’ll Bring**
* 5\+ years of experience as a Data Engineer, or in a similar role with a focus on building data infrastructure for analytical or product purposes.
* Track record of enabling product teams to make decisions using data
* Strong proficiency in SQL, data warehousing concepts and technologies (e.g. Snowflake), and data modeling concepts and tools (e.g. DBT)
* Proficiency in Python (or similar Object\-Oriented Programming)
* Experience in designing, building, and maintaining data pipelines and data ingestion processes
* Experience with implementing monitoring and alerting for data pipelines
* Bachelor's degree in Computer Science, Data Science, a related field, or equivalent experience
**We’d be extra excited if**
* You have prior experience with payments, accounting, or financial technology
* You have direct experience managing sensitive financial records
* Experience with cloud platforms (e.g. AWS) and their data services (e.g. S3, Lambda)
* Knowledge of stream processing frameworks (e.g. Kafka)
* Experience with containerization technologies (e.g. Docker, Kubernetes)
**Why DAT?**
 DAT is an award winning employer of choice.
 For starters, we have a hybrid work environment, but we also know what makes a great workplace. We have a time\-tested and resolute set of operating values predicated on integrity, mutual respect, open communication, and executing with excellence. These values inform our strategic vision as much as any one of our products does. We’ve been an employer of choice in the Portland metropolitan area for four decades, and within one year of opening our Denver office, DAT was \#26 on Built In Colorado’s 100 Best Places to Work In Colorado.
* Medical, Dental, Vision, Life, and AD\&amp;D insurance
* Parental Leave
* Flexible Vacation Time (FVT)
* An additional 10 holidays of paid time off per calendar year
* 401k matching (immediately vested)
* Employee Stock Purchase Plan
* Short\- and Long\-term disability sick leave
* Flexible Spending Accounts
* Health Savings Accounts
* Employee Assistance Program
* Additional programs \- Employee Referral, Internal Recognition, and Wellness
* Free TriMet transit pass (Beaverton Office)
* Competitive salary and benefits package
* Work on impactful projects in a cutting\-edge environment
* Collaborative and supportive team culture
* Opportunity to make a real difference in the trucking industry
* Employee Resource Groups
* This position is not eligible for visa sponsorship\*\*
*For Washington\-based candidates, in compliance with the Washington State Pay Transparency Law, the salary range for this role is $140,000\.00 \- $188,000\.00 \+ target bonus. DAT considers factors such as scope and responsibilities of the position, candidate's work experience, education and training, core skills, internal equity, and market and business elements when extending an offer.*
 DAT
 **embraces the value of a diverse workforce, and believes it is a core strength of our company that we encourage those values in every DAT employee, at every level of our organization, regardless of tenure or rank. We provide equal employment opportunities (EEO) to all employees and applicants without regard to race, color, religion, gender, sexual orientation, gender identity or expression, national origin, age, disability, genetic information, marital status, amnesty, or status as a covered veteran in accordance with applicable federal, state, and local laws.**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23">
      <c r="A23" t="inlineStr">
        <is>
          <t>li-4348247386</t>
        </is>
      </c>
      <c r="B23" t="inlineStr">
        <is>
          <t>Analytics Engineer</t>
        </is>
      </c>
      <c r="C23" t="inlineStr">
        <is>
          <t>Suno</t>
        </is>
      </c>
      <c r="D23" t="inlineStr">
        <is>
          <t>linkedin</t>
        </is>
      </c>
      <c r="E23" t="inlineStr"/>
      <c r="F23" t="inlineStr"/>
      <c r="G23" t="inlineStr">
        <is>
          <t>New York, NY</t>
        </is>
      </c>
      <c r="H23" t="inlineStr"/>
      <c r="I23" t="inlineStr">
        <is>
          <t>**About Suno**
 Suno is a music company built to amplify imagination. Powered by the world’s most advanced AI music model, Suno offers an unparalleled creative platform that includes Suno Studio, a breakthrough generative audio workstation. From shower\-singers to aspiring songwriters to seasoned artists, Suno empowers a global community to create, share, and discover music—unlocking the joy of musical expression for all.
**About The Role**
 We’re hiring an Analytics Engineer to help transform how we understand, model, and scale the data behind our product and business. You’ll work across Product, Engineering, Science, and GTM teams to turn raw information into the reliable, actionable insights that power Suno’s next generation of creative tools.
 If you're a systems\-minded builder who loves clean data, clear metrics, and making complex things feel simple, we’d love to chat.
 Check out the Suno version of this role here!
**What You’ll Do**
* Partner with Product, Science, Engineering, and GTM teams to understand data needs, define key metrics, and translate business requirements into scalable data models.
* Design, build, and maintain dbt transformations and ETL pipelines that turn raw data into reliable, analytics\-ready tables.
* Implement data validation, testing, and monitoring frameworks to ensure accuracy, consistency, and timeliness of core datasets.
* Build and maintain dashboards and reports in tools like Hex, Looker, or Mode, giving teams real\-time visibility into product and business performance.
* Collaborate with stakeholders to define, instrument, and operationalize the metrics that inform strategic decisions across teams.
* Drive data democratization by developing reusable data products, documentation, and self\-serve tooling.
* Partner with Engineering, Science, and Product to ensure data instrumentation and event tracking align with analytics needs.
* Champion a data\-first culture by influencing how the organization collects, models, and interprets information.
**What You’ll Need**
* 5\+ years of experience in Analytics Engineering, Data Analytics, or Data Science roles, ideally supporting Product and GTM teams.
* Deep expertise in SQL and strong proficiency with dbt for modular, scalable data transformations.
* Experience with Airflow (or similar orchestration tools) and version control systems like GitHub.
* Proficiency in data processing, automation, and validation.
* Hands\-on experience building metrics reporting, dashboards, and analytical tools in platforms like Hex, Mode, Looker, or Tableau.
* Proven ability to translate messy, complex data into clear insights that drive real impact.
* A bias for action and pragmatism — delivering high\-quality data solutions without overengineering.
* A “full\-stack data” mindset, comfortable across collection, modeling, validation, and visualization layers.
* Experience helping build or scale an Analytics Engineering or Data Platform function at a startup or fast\-growing organization.
* A strong sense of ownership, curiosity, and comfort with ambiguity in a fast\-moving environment.
* A genuine passion for music, creativity, and AI — and excitement to help enable the next wave of generative creation.
* Bachelor's degree or equivalent required.
**Location**
 This is an onsite role in Boston, New York City, Los Angeles, or San Francisco.
**Additional Notes:** 
 Applicants must be eligible to work in the US.
**Perks \&amp; Benefits For Full\-Time Employees**
* Generous Company Equity Package
* 401(k) with 3% Employer Match \&amp; Roth 401(k)
* Unlimited PTO \&amp; Sick Time
* Medical, Dental, \&amp; Vision Insurance (PPO w/ HSA \&amp; FSA options)
* Continued / Creative Education Stipend
* Generous Commuter Allowance
* In\-Office Lunch (5 days per week)
 Suno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Massachusetts Fair Chance in Employment Act, NYC Fair Chance Act, LA City Fair Chance Ordinance, and San Francisco Fair Chance Ordinance.</t>
        </is>
      </c>
    </row>
    <row r="24">
      <c r="A24" t="inlineStr">
        <is>
          <t>li-4352695681</t>
        </is>
      </c>
      <c r="B24" t="inlineStr">
        <is>
          <t>Senior Data Engineer</t>
        </is>
      </c>
      <c r="C24" t="inlineStr">
        <is>
          <t>Gunvor Group</t>
        </is>
      </c>
      <c r="D24" t="inlineStr">
        <is>
          <t>linkedin</t>
        </is>
      </c>
      <c r="E24" t="inlineStr"/>
      <c r="F24" t="inlineStr"/>
      <c r="G24" t="inlineStr">
        <is>
          <t>Houston, TX</t>
        </is>
      </c>
      <c r="H24" t="inlineStr"/>
      <c r="I24" t="inlineStr">
        <is>
          <t>**Job Title:**
 Senior Data Engineer
**Contract Type:**
****Time Type:****
**Job Description:**
 Main Responsibilities
**Data Engineering Leadership**
* Contribute to the definition of the target data architecture (lake/lakehouse, streaming, event\-driven) and technology choices for high\-volume time\-series, market, and transactional data.
* Build and operate end\-to\-end pipelines (ingest → quality → transform → serve) with strong SLAs/SLOs, lineage, and observability.
* Establish coding, testing, CI/CD, and infrastructure\-as\-code standards; drive adoption of data governance, cataloging, and access controls.
* Own capacity, performance, reliability, and cost efficiency of data platforms across environments (dev/test/prod).
* Ensure data quality, lineage, and observability across all layers of the data stack.
**Strategic Collaboration \&amp; Business Alignment**
* Partner with trading desks, quantitative teams, and risk functions to translate business needs into data solutions that enhance decision\-making and operational efficiency.
* Act as a senior liaison between engineering and business stakeholders, ensuring alignment on data priorities and delivery timelines.
* Prioritize a value\-based backlog (e.g., faster close/settlement, improved forecast accuracy, reduced balancing penalties) and measure business impact.
* Align data models and domain ownership with business processes (bids/offers, nominations, positions, exposures,outages).
* Coordinate with Cybersecurity, Compliance, and Legal on sector\-specific controls (e.g., REMIT/NERC\-CIP considerations, data retention, segregation).
**Innovation \&amp; Product Development**
* Incubate and industrialize data products: curated marts, feature stores, real\-time decision APIs, and event streams for forecasting and optimization.
* Introduce modern patterns (CDC, schema evolution, Delta/Iceberg, stream–batch unification) to improve freshness and resilience.
* Evaluate and integrate external data (weather, fundamentals, congestion, capacity postings), internal and external vendor systems (ETRM) safely and at scale.
* Collaborate with quantitative analysts to productionize ML pipelines (forecasting load/renewables, anomaly detection, etc.. ) with monitoring and rollback.
**Mentorship \&amp; Technical Oversight**
* Lead incident reviews and architectural forums; provide pragmatic guidance on trade\-offs (latency vs. cost, simplicity vs. flexibility).
* Develop growth paths and learning plans focused on energy domain fluency and modern data engineering practices.
**Operational Excellence**
* Implement robust monitoring/alerting, runbooks, and on\-call rotations; drive MTTR down and availability up for critical data services.
* Enforce data quality contracts (SLAs/SLOs), lineage, and reconciliation for market submissions, settlements, and reporting.
* Optimize cloud spend and storage/compute footprints; plan capacity for market events and seasonal peaks.
* Ensure security and compliance by design: least\-privilege access, secrets management, encryption, auditability, and disaster recovery testing.
 Profile
* Master’s or Bachelor’s degree in Computer Science, Data Engineering, Applied Mathematics, or a related technical field.
* 5\+ years of experience in data engineering, with at least 3 years in a senior role.
* Proven experience in the energy trading sector, ideally with exposure to Natural Gas and Power markets, balancing mechanisms, and regulatory frameworks (e.g., REMIT, EMIR).
* Azure: ADLS Gen2, Event Hubs, Synapse Analytics, Azure Databricks (Spark), Azure Functions, Azure Data
* Factory/Databricks Workflows, Key Vault, Azure Monitoring/Log Analytics; IaC with Terraform/Bicep; CI/CD with Azure DevOps or GitHub Actions.
* Snowflake (on Azure or multi\-cloud): Warehousing design, Streams \&amp; Tasks, Snowpipe/Snowpipe Streaming, Time
* Travel \&amp; Fail\-safe, RBAC \&amp; row/column security, external tables over ADLS, performance tuning \&amp; cost governance.
* Programming \&amp; Engineering Practices: Strong OOP in Python and Java/Scala; SDLC leadership, DevOps mindset, TDD/BDD, code reviews, automated testing (unit/integration/contract), packaging and dependency management, API design (REST/gRPC).
* Web \&amp; Data Acquisition: Robust web scraping and ingestion with Scrapy, Requests, Playwright/Selenium; scheduling, retries/exponential backoff, change\-data capture; ethical/legal collection practices (robots.txt, terms).
* Orchestration \&amp; Quality: Airflow/ADF/Databricks Jobs, data contracts, Great Expectations (or similar), lineage/catalog (e.g., Purview), metrics/observability (Prometheus/Grafana/Application Insights).
* Dataframe oriented programming: pandas, spark/snowpark dataframes, SQL data transformation
* Additional Skills
* Designing low\-latency pipelines for sub\-second to minute\-level telemetry, weather and market data; tuning Spark
* Structured Streaming/Flink/Kafka Streams.
* Quality \&amp; Reconciliation for telemetry and market submissions (gap fill, resampling, deduplication, anomaly detection, schema evolution).
* Serving Patterns: time\-series stores and query layers (e.g., Delta Lake over ADLS, Iceberg, materialized views in Snowflake), APIs and event streams for downstream consumption.
* English (fluent), any additional language is an asset
 If you think the open position you see is right for you, we encourage you to apply!
***Our people make all the difference in our success.***</t>
        </is>
      </c>
    </row>
    <row r="25">
      <c r="A25" t="inlineStr">
        <is>
          <t>li-4357992730</t>
        </is>
      </c>
      <c r="B25" t="inlineStr">
        <is>
          <t>Senior BI Engineer</t>
        </is>
      </c>
      <c r="C25" t="inlineStr">
        <is>
          <t>Taglynk</t>
        </is>
      </c>
      <c r="D25" t="inlineStr">
        <is>
          <t>linkedin</t>
        </is>
      </c>
      <c r="E25" t="inlineStr"/>
      <c r="F25" t="inlineStr"/>
      <c r="G25" t="inlineStr"/>
      <c r="H25" t="inlineStr"/>
      <c r="I25" t="inlineStr">
        <is>
          <t>As a
 **Sr.BI Engineer** 
 , you are a detail\-oriented problem solver with a passion for turning complex data into actionable insights. You have a deep understanding of data structures, business requirements, and reporting needs, enabling you to design and implement scalable data solutions. Your technical expertise spans data warehousing, pipeline development, and visualization tools, allowing you to empower stakeholders with reliable and efficient data\-driven decisions. You thrive in a collaborative environment, take ownership of data governance, and are proactive in identifying opportunities for process automation and optimization.
**What You’ll Be Doing:** 
**Data Strategy, Architecture, and Ownership** 
 \- Own the end\-to\-end data lifecycle, from ingestion and transformation to delivery, ensuring alignment with business priorities and analytical goals.
 \- Architect and oversee scalable, high\-performance data pipelines and warehouse structures that serve as the foundation for company\-wide analytics and automation.
 \- Partner with Engineering and Product teams to establish data design standards, naming conventions, and quality benchmarks, ensuring long\-term sustainability and performance.
 \- Drive decisions on data architecture, tooling, and storage optimization, balancing scalability, cost, and performance tradeoffs.
**Data Modelling, Quality, and Governance** 
 \- Lead data modeling efforts that transform complex, cross\-domain data into clear and accessible models supporting business\-critical dashboards, experimentation, and AI workloads.
 \- Implement robust data validation frameworks and monitoring systems to proactively detect and resolve data quality issues.
 \- Champion data governance — define standards for access control, lineage, cataloging, and compliance.
 \- Collaborate with security and platform teams to institutionalize best practices for data stewardship and democratized analytics.
**Advanced Analytics and Stakeholder Partnership** 
 \- Partner with senior business stakeholders to identify high\-impact analytical opportunities and translate business questions into scalable data solutions.
 \- Use strong command of SQL, Snowflake, and Python to design complex analytical models and build self\-serve dashboards in Tableau or Looker.
 \- Develop and deliver insight frameworks that enable data\-informed decision\-making across Marketing, Product, and Operations teams.
 \- Mentor analysts and engineers, fostering an environment of learning and technical excellence.
**Innovation, Automation, and Continuous Improvement** 
 \- Continuously evaluate and implement emerging data tools and frameworks to enhance speed, accuracy, and reliability of analytics delivery.
 \- Lead initiatives to automate reporting workflows and implement CI/CD for data pipelines, ensuring reproducibility and scalability.
 \- Partner cross\-functionally to identify and eliminate data bottlenecks, optimizing for both velocity and reliability in decision support.
 \- Drive a culture of proactive problem\-solving through documentation, standardization, and data enablement across teams.
**What You’ll Bring:**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**Experience/Education/Certifications Required:** 
 \- 5\+ years of experience in business intelligence, data engineering, analytics, or a related field.
 \- Advanced SQL expertise with experience handling complex queries and data transformations.
 \- Strong knowledge of engineering and operations best practices, including version control, data quality assurance, testing, and monitoring.
 \- Data modeling expertise with experience in ETL, Data Warehousing, and Data Lakes.
 \- Data visualization skills using Tableau to create compelling dashboards and reports.
 \- Programming proficiency in one or more languages (e.g., Python, Java) for data processing and analysis.
 \- Basic knowledge of statistical measures and techniques.
 \- Exceptional communication and collaboration skills, with the ability to communicate complex technical information to less technically sophisticated stakeholders and data professionals.</t>
        </is>
      </c>
    </row>
    <row r="26">
      <c r="A26" t="inlineStr">
        <is>
          <t>li-4353883785</t>
        </is>
      </c>
      <c r="B26" t="inlineStr">
        <is>
          <t>Senior BI Engineer</t>
        </is>
      </c>
      <c r="C26" t="inlineStr">
        <is>
          <t>Alignment Health</t>
        </is>
      </c>
      <c r="D26" t="inlineStr">
        <is>
          <t>linkedin</t>
        </is>
      </c>
      <c r="E26" t="inlineStr"/>
      <c r="F26" t="inlineStr"/>
      <c r="G26" t="inlineStr"/>
      <c r="H26" t="inlineStr"/>
      <c r="I26" t="inlineStr">
        <is>
          <t>Alignment Health is breaking the mold in conventional health care, committed to serving seniors and those who need it most: the chronically ill and frail. It takes an entire team of passionate and caring people, united in our mission to put the senior first. We have built a team of talented and experienced people who are passionate about transforming the lives of the seniors we serve. In this fast\-growing company, you will find ample room for growth and innovation alongside the Alignment Health community. Working at Alignment Health provides an opportunity to do work that really matters, not only changing lives but saving them. Together.
 Alignment Healthcare is a data and technology driven healthcare company focused on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Sr. Business Intelligence (BI) Engineer. Data drives the way we make decisions. We love our customers and understanding them better makes it possible to provide the best clinical outcome and care experience.
 We are currently seeking a Sr.BI Engineer for Data \&amp; Business Intelligence team. This position will play a key role in design and development of cloud\-based BI and Analytics services using Microsoft BI Platform, Microsoft Azure cloud services.
**General Duties/Responsibilities (May Include But Are Not Limited To)**
* Translate business requirements into specifications that will be used to implement the required reports and dashboards.
* Work with business units to gather requirements, development and delivery of business intelligence \&amp; reporting services and lead end to end BI delivery.
* Develops and implements business intelligence \&amp; analytics to support organizational initiatives.
* Build rich and dynamic dashboards using out\-of\-box features, customizations, and visualizations.
* Design and publish custom dashboards for business functions, stakeholders, and corporate users around the company.
* Design, model, develop \&amp; optimize stored procedures to meet data management and data reporting objectives.
* Working with data engineers to ensure that data sets feeding the analytics platforms are tuned for optimal performance.
* Work with power users of the analytics/reporting tools to advise on best practices for Business Intelligence reporting.
* Troubleshoot and resolve issues with the processes used and the content produced by the BI platform.
* Work with business stakeholders to define and improve standardized and ad\-hoc analytics/reporting capabilities.
* Provide input into the technical architecture and the data warehouse technology stack.
* Create functional and technical design documents and maintain documentation for all reports and dashboards created or modified.
**Supervisory Responsibilities**
 Overseas staff assigned. Responsibilities include orienting and training employees; assigning workload; planning, monitoring, and appraising job results; and coaching, counseling, and disciplining employees.
**Minimum Requirements**
*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**Minimum Experience**
* 7\+ years of business intelligence \&amp; reporting experience.
* 7\+ years of experience with BI/Reporting software products (Power BI) and knowledge of Healthcare Industry standards and requirements
* 7\+ years’ database experience with MS SQL Server.
* 7\+ years of experience in healthcare industry with proven understanding of data terminology.
* Healthcare Experience and Clear understanding \&amp; working knowledge of HIPAA protocols.
* Extensive hands\-on experience with Microsoft’s Power BI/SSRS/SSAS/Azure Data Factory and other cloud based BI and Reporting services.
* Experiences on Big data /Azure Data Platform is a plus.
* Experience with Azure, AWS or GCP is a plus.
**Education/Licensure**
* BS in Computer Science, IT or equivalent and/or equivalent experience.
* Microsoft Azure Certification is a plus.
**Other**
* Demonstrated ability to build partnerships and maintain cohesive relationships.
* Demonstrated ability planning, organizing, and executing multiple complex analytics projects.
* to effectively present information and respond to questions from groups of managers and customers
* Strong appreciation of timeliness and the ability to multitask and accomplish assigned tasks within project timelines.
**Work Environment**
* The work environment characteristics described here are representative of those an employee encounters while performing the essential functions of this job. Reasonable accommodation may be made to enable individuals with disabilities to perform the essential functions.
**Essential Physical Functions**
 The physical demands described here are representative of those that must be met by an employee to successfully perform the essential functions of this job. Reasonable accommodation may be made to enable individuals with disabilities to perform the essential functions.
* While performing the duties of this job, the employee is regularly required to talk or listen. The employee regularly is required to stand, walk, sit, use hand to finger, handle or feel objects, tools, or controls; and reach with hands and arms.
* The employee frequently lifts and/or moves up to 10 pounds. Specific vision abilities required by this job include close vision and the ability to adjust focus.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
 Pay Range: $130,332\.00 \- $195,498\.00
 Pay range may be based on a number of factors including market location, education, responsibilities, experience, etc.
 Alignment Health is an Equal Opportunity/Affirmative Action Employer. All qualified applicants will receive consideration for employment without regard to race, color, religion, sex, national origin, disability, age, protected veteran status, gender identity, or sexual orientation.
* DISCLAIMER: Please beware of recruitment phishing scams affecting Alignment Health and other employers where individuals receive fraudulent employment\-related offers in exchange for money or other sensitive personal information. Please be advised that Alignment Health and its subsidiaries will never ask you for a credit card, send you a check, or ask you for any type of payment as part of consideration for employment with our company. If you feel that you have been the victim of a scam such as this, please report the incident to the Federal Trade Commission at https://reportfraud.ftc.gov/\#/. If you would like to verify the legitimacy of an email sent by or on behalf of Alignment Health’s talent acquisition team, please email careers@ahcusa.com.</t>
        </is>
      </c>
    </row>
    <row r="27">
      <c r="A27" t="inlineStr">
        <is>
          <t>li-4315790527</t>
        </is>
      </c>
      <c r="B27" t="inlineStr">
        <is>
          <t>Analytics Engineer</t>
        </is>
      </c>
      <c r="C27" t="inlineStr">
        <is>
          <t>Abnormal AI</t>
        </is>
      </c>
      <c r="D27" t="inlineStr">
        <is>
          <t>linkedin</t>
        </is>
      </c>
      <c r="E27" t="inlineStr"/>
      <c r="F27" t="inlineStr"/>
      <c r="G27" t="inlineStr"/>
      <c r="H27" t="inlineStr"/>
      <c r="I27" t="inlineStr">
        <is>
          <t>**About The Role**
 Abnormal AI empowers enterprises of all sizes to combat cybercrime with our advanced cloud products. As the threat landscape continuously evolves, we emphasize vigilance and adaptability in our defense strategies. The Detection Data Science team plays a crucial role in providing insights into current and historical product performance, emerging attack trends, and opportunities to enhance our detection capabilities. This requires accurate and timely data sourced from numerous product applications and thousands of detection signals across billions of emails. The team integrates all relevant data into a comprehensive analytics pipeline using DBT (Data Build Tool). This pipeline facilitates a wide range of functions, including the creation of metrics and dashboards, data analysis, model development, and the generation of customer reports.
**Abnormal AI is looking for a Analytics Engineer to join the Detection Data Science team.** 
 The Analytics Engineer will be dedicated to developing, maintaining, and expanding the DBT analytics pipeline to support Abnormal AI's data\-driven decision\-making processes. This role is core and central to the Data Science’s team charter to ensure the reliability, scalability, and efficiency of our analytics infrastructure, enabling the organization to harness the power of data across all regions.
 What you will do
* Full ownership of the DBT analytics pipeline, ensuring its reliability and performance through constant monitoring, maintenance, and optimization
* Responsible for designing, developing, and implementing innovative data models to enhance our analytics capabilities, while collaborating closely with stakeholders to deliver top\-notch data solutions.
* Expand the DBT analytics pipeline into new regions, making sure to comply with regional data regulations and standards.
* Build and maintain the DBT analytics pipeline within the FedRAMP environment, adhering to strict security and compliance requirements. Additionally, you'll create and manage a Global DBT pipeline, integrating non\-PII data from all non\-regions into a unified workspace.
* Ensuring data consistency, accuracy, and accessibility across our global analytics infrastructure will be a key part of your responsibilities.
* Innovation: Continuously seek and implement innovative solutions to improve the analytics pipeline.
 Must Haves
* Experience on working in Python and Airflow to handle various data orchestration tasks in a workflow management software
* 3\+ years of experience working in large scale data\-driven landscapes especially in the data transformation layers
* Expert in writing complex queries and building data models in SQL.
* 2\+ years of experience with using the DBT (Data build tool) technology
* Understanding and application of software engineering principles to analytics code
* Experience on working in 1 programming language ( Python / R ) to handle various data orchestration tasks in a workflow management software (eg. Airflow)
* BS degree in Computer Science, Applied Sciences, Information Systems or other related quantitative fields.
* Proven experience translating business processes into data structures that are optimized for analysis.
* Proven experience working effectively with cross\-functional teams.
 Nice to Have
* MS degree in Computer Science, Electrical Engineering or other related engineering field
* Experience with data pipeline tools ( Snowflake, Redshift etc) or ETL tools ( AWS Glue )
* Experience with Business Intelligence tools (e.g., Tableau, Looker)
 At Abnormal AI, certain roles are eligible for a bonus, restricted stock units (RSUs), and benefits. Individual compensation packages are based on factors unique to each candidate, including their skills, experience, qualifications and other job\-related reasons.
 Base salary range:
 $148,800—$175,000 USD
 Abnormal AI is an equal opportunity employer. Qualified applicants will receive consideration for employment without regard to race, color, religion, sex, national origin, disability, protected veteran status or other characteristics protected by law. For our EEO policy statement please
 *click here* 
 . If you would like more information on your EEO rights under the law, please
 *click here* 
 .</t>
        </is>
      </c>
    </row>
    <row r="28">
      <c r="A28" t="inlineStr">
        <is>
          <t>li-4354844222</t>
        </is>
      </c>
      <c r="B28" t="inlineStr">
        <is>
          <t>Data Engineer II - Digital Technology</t>
        </is>
      </c>
      <c r="C28" t="inlineStr">
        <is>
          <t>GM Financial</t>
        </is>
      </c>
      <c r="D28" t="inlineStr">
        <is>
          <t>linkedin</t>
        </is>
      </c>
      <c r="E28" t="inlineStr"/>
      <c r="F28" t="inlineStr"/>
      <c r="G28" t="inlineStr">
        <is>
          <t>Irving, TX</t>
        </is>
      </c>
      <c r="H28" t="inlineStr"/>
      <c r="I28" t="inlineStr">
        <is>
          <t>**Job Description**
**Why GM Financial Technology?**
 Innovation isn’t just a talking point at GM Financial, it’s how we operate. From generative AI and cloud\-native technologies to peer\-led learning and hackathons, our tech teams are building real solutions that make a difference. We’re committed to AI\-powered transformation, using advanced machine learning and automation to help us reimagine customer interactions and modernize operations, positioning GM Financial as a leader in digital innovation within a dynamic industry.
 Join us and discover a workplace where your ideas matter, your development is prioritized, and you can truly make a global impact.
**Responsibilities**
**About the role:**
 We are expanding our efforts into complementary data technologies for decision support in areas of ingesting and processing large data sets including data commonly referred to as semi\-structured or unstructured data. Our interests are in enabling data science and search\-based applications on large and low latent data sets in both a batch and streaming context for processing. To that end, this role will engage with team counterparts in exploring and deploying technologies for creating data sets using a combination of batch and streaming transformation processes. These data sets support both off\-line and in\-line machine learning training and model execution. Other data sets support search engine\-based analytics. Exploration and deployment of technologies activities include identifying opportunities that impact business strategy, collaborating on the selection of data solutions software, and contributing to the identification of hardware requirements based on business requirements. Responsibility also includes coding, testing, and documentation of new or modified scalable analytic data systems including automation for deployment and monitoring. This role partakes, along with team counterparts, in developing solutions in an end\-to\-end framework on a group of core data technologies.
**In This Role You Will**
* Contribute to the evaluation, research, experimentation efforts with batch and streaming data engineering technologies in a lab to keep pace with industry innovation
* Work with data engineering related groups to inform on and showcase capabilities of emerging technologies and to enable the adoption of these new technologies and associated techniques
* Contribute to the definition and refinement of processes and procedures for the data engineering practice
* Work closely with data scientists, data architects, ETL developers, other IT counterparts, and business partners to identify, capture, collect and format data from the external sources, internal systems, and the data warehouse to extract features of interest
* Code, test, deploy, monitor, document and troubleshoot data engineering processing and associated automation
**Qualifications**
**What makes you an ideal candidate?**
* ﻿Experience with Adobe solutions (ideally Adobe Experience Platform, XDM, RTCDP DTM/Launch) and REST APIs
* Digital technology solutions (DMPs, CDPs, Tag Management Platforms, Cross\-Device Tracking, SDKs, etc.) Knowledge of Real Time\-CDP and Journey Analytics solution
* SQL experience: querying data and sharing what insights can be derived
* Working knowledge of Agile development /SAFe, Scrum and Application Lifecycle Management.
* Experience with ingesting various source data formats such as JSON, Parquet, SequenceFile, Cloud Databases, MQ, Relational Databases such as Oracle.
* Experience with Cloud technologies (such as Azure, AWS, GCP) and native toolsets.
* Understanding of cloud computing technologies, business drivers and emerging computing trends.
* Thorough understanding of Hybrid Cloud Computing: virtualization technologies, Infrastructure as a Service, Platform as a Service and Software as a Service Cloud delivery models and the current competitive landscape.
* Working knowledge of Object Storage technologies to include but not limited to Data Lake Storage Gen2, S3, Minio, Ceph, ADLS etc.
* Strong background with source control management systems; Build Systems (Maven, Gradle, Webpack); Code Quality (Sonar); Artifact Repository Managers (Artifactory), Continuous Integration/ Continuous Deployment (Azure DevOps).
* Experience with processing large data sets using Hadoop, HDFS, Spark, Kafka, Flume or similar distributed systems.
* Experience with NoSQL data stores such as CosmosDB, MongoDB, Cassandra, Redis, Riak or other technologies that embed NoSQL with search such as MarkLogic or Lily Enterprise.
* Creating and maintaining ETL processes
* Knowledgeable of best practices in information technology governance and privacy compliance
* Troubleshoot complex problems and work across teams to meet commitments.
* Excellent computer skills and proficiency in digital data collection.
* Ability to work in an Agile/Scrum team environment
* Strong interpersonal, verbal, and writing skills.
* Understanding of big data platforms and architectures, data stream processing pipeline/platform, data lake and data lake houses
* Understanding of cloud solutions such as Google Cloud Platform, Microsoft Azure \&amp; Amazon AWS cloud architecture \&amp; services
* Understanding of GDPR, privacy \&amp; security topics
* Strong in the use of Microsoft Office software, data querying platforms (Databricks is a plus) and statistical programming tools such as Python
**Experience**
* 2\-4 years of hands\-on experience with data engineering required
* Bachelor’s degree in related field or equivalent experience required
**What We Offer:** 
 Generous benefits package available on day one to include: 401K matching, bonding leave for new parents (12 weeks, 100% paid), tuition assistance, training, GM employee auto discount, community service pay and nine company holidays.
**Our Culture:** 
 Our team members define and shape our culture — an environment that welcomes innovative ideas, fosters integrity, and creates a sense of community and belonging. Here we do more than work — we thrive.
**Compensation:** 
 Competitive pay and bonus eligibility
**Work Life Balance:** 
 Flexible hybrid work environment, 2 days a week in office in Irving, TX</t>
        </is>
      </c>
    </row>
    <row r="29">
      <c r="A29" t="inlineStr">
        <is>
          <t>li-4329132114</t>
        </is>
      </c>
      <c r="B29" t="inlineStr">
        <is>
          <t>Data Engineer</t>
        </is>
      </c>
      <c r="C29" t="inlineStr">
        <is>
          <t>HarbourVest Partners</t>
        </is>
      </c>
      <c r="D29" t="inlineStr">
        <is>
          <t>linkedin</t>
        </is>
      </c>
      <c r="E29" t="inlineStr"/>
      <c r="F29" t="inlineStr"/>
      <c r="G29" t="inlineStr">
        <is>
          <t>Boston, MA</t>
        </is>
      </c>
      <c r="H29" t="inlineStr"/>
      <c r="I29" t="inlineStr">
        <is>
          <t>**Job Description Summary**
 For over forty years, HarbourVest has been home to a committed team of professionals with an entrepreneurial spirit and a desire to deliver impactful solutions to our clients and investing partners. As our global firm grows, we continue to add individuals who seek a collaborative, open\-door culture that values diversity and innovative thinking.
 In our collegial environment that’s marked by low turnover and high energy, you’ll be inspired to grow and thrive. Here, you will be encouraged to build on your strengths and acquire new skills and experiences.
 We are committed to fostering an environment of inclusion that promotes mutual respect among all employees. Understanding and valuing these differences optimizes the potential of both the individual and the firm.
 HarbourVest is an equal opportunity employer.
 This position will be a hybrid work arrangement. You will receive 18 remote workdays per quarter to use at your discretion, subject to manager approval. For example, you may choose to work in the office 4 days per week and take one remote day weekly (typically 13 weeks per quarter), leaving 5 additional remote days to be used as needed.
 The data engineer will work toward the transformation of our firm’s data infrastructure, primarily using our MDM platform, Snowflake data environment, plus the Azure data stack.
 The resource joining us will partner with product owners, data owners, project managers, business users, peer data engineers, and infrastructure engineers to form complete end\-to end\-solutions. The resource will enjoy working in an evolving, fast\-paced environment, and bring a work style marked by high energy, flexibility, quick learning, and collaboration.
 The role spans end‑to‑end solution delivery: data modeling, MDM hub operations, data quality integration, workflow and stewardship, performance tuning, and compliant operations.
 The ideal candidate is someone who is:
* Successful track record contributing to data\-platform projects of significant scale and complexity, involving modern MDM data platform implementations. 1\+ year of Snowflake\-specific experience required
* Experience organizing data schemas aligned with the needs of business applications
* Confidence and skill in building and communicating data\-flow schematics understandable to both business and technical teams
* Perseverance, empathy, "give\-and\-take" attitude, and respect for the feedback and contributions of others
* Effective time\-management skills
* Has designed, built, and maintained systems that create a single, accurate source of truth for critical business data, focusing on data quality, governance, integration, and lifecycle.
 What you will do:
* Architect and configure multidomain MDM solutions.
* Develop data models, workflows, and integration patterns aligned with cloud architecture.
* Develop reusable workflows for data ingestion, quality, transformation, and optimization.
* Implement and support Snowflake\-based data pipelines with source data originating in across a variety of technical environments
* Analyze business and technical requirements as basis for contributing to sophisticated conceptual, logical, and physical data models
* Create and implement CI/CD pipelines
* Organize work and adhere to thorough work tracking, using Agile techniques
 What you bring:
* SQL and Python knowledge
* Proficiency in Snowflake and Dagster, similar proficiency in Azure data environment a plus.
* Highly collaborative attitudes and work style; welcoming the inputs of others
* Confidence and skill to document work items and explain deliverables, to enhance overall team efficiency
* Capability to balance demands of scope, schedule, and budget
 Education Preferred:
* Bachelor's degree or equivalent experience
 Experience (choose one below \&amp; delete others that do not apply/edit focus)
* 3\-5 Years of experience
**Salary Range**
 $100,000\.00 \- $160,000\.00
 This USD base salary range represents only one component of total compensation for this role and is provided in accordance with local requirements. This role is eligible for a discretionary annual bonus, which is determined based on individual and overall firm performance. In addition to salary and bonus, total compensation may include eligibility for long\-term reward programs and a comprehensive total rewards package that may include retirement, health, insurance, paid time off, and wellness programs. Our total rewards offerings are influenced by several business factors, and eligibility for certain components will vary by position and geography. Please note the posted ranges do not apply outside the U.S. and should not be converted to other currencies as a proxy for compensation in other countries.</t>
        </is>
      </c>
    </row>
    <row r="30">
      <c r="A30" t="inlineStr">
        <is>
          <t>li-4341006817</t>
        </is>
      </c>
      <c r="B30" t="inlineStr">
        <is>
          <t>Data Engineer</t>
        </is>
      </c>
      <c r="C30" t="inlineStr">
        <is>
          <t>Certified Group</t>
        </is>
      </c>
      <c r="D30" t="inlineStr">
        <is>
          <t>linkedin</t>
        </is>
      </c>
      <c r="E30" t="inlineStr"/>
      <c r="F30" t="inlineStr"/>
      <c r="G30" t="inlineStr">
        <is>
          <t>New York, NY</t>
        </is>
      </c>
      <c r="H30" t="inlineStr"/>
      <c r="I30" t="inlineStr">
        <is>
          <t>**About the Role** 
 We are seeking an experienced Data Engineer / Database Administrator with a strong background in the healthcare or laboratory industry to design, build, and maintain secure, compliant, and high\-performance data systems. This role requires expertise in the Microsoft technology stack, including Azure, Synapse Analytics, and SQL Server, as well as a deep understanding of data governance and interoperability in healthcare environments.
 You will play a key role in developing and optimizing data infrastructure that supports clinical operations, reporting, analytics, and regulatory compliance.
**Key Responsibilities** 
 Data Engineering
 •    Design, build, and maintain robust data pipelines using Azure Data Factory, Synapse Pipelines, and related services to ingest and transform large healthcare datasets.
 •    Develop scalable data warehouse and data lake solutions on Azure Synapse to support analytics, machine learning, and business intelligence initiatives.
 •    Create and maintain data models optimized for performance, reliability, and scalability.
 •    Collaborate with laboratory information systems (LIS), electronic health records (EHR), and other healthcare data sources to ensure seamless integration and interoperability.
 •    Implement data quality, validation, and auditing processes to ensure integrity across all data assets.
 Database Administration
 •    Administer and optimize Microsoft SQL Server databases across on\-premise and cloud environments.
 •    Design and tune indexes, stored procedures, and queries for optimal performance.
 •    Manage database security, roles, and access controls to maintain compliance with HIPAA, HITECH, and organizational standards.
 •    Oversee backup, recovery, and disaster recovery strategies for mission\-critical healthcare systems.
 •    Monitor database performance and availability using tools like Azure Monitor, SQL Profiler, and Log Analytics.
 Collaboration \&amp; Strategy
 •    Partner with data scientists, analysts, clinicians, and application developers to support reporting and analytics use cases.
 •    Define and enforce data architecture standards and documentation within the organization.
 •    Stay up to date with Microsoft’s evolving data ecosystem, recommending tools and practices that enhance scalability, performance, and compliance.
**Qualifications** 
 •    Bachelor’s degree in Computer Science, Information Systems, or related field (Master’s preferred).
 •    5\+ years of experience as a Data Engineer, Database Administrator, or similar role, preferably in a healthcare or laboratory environment.
 •    Strong proficiency in T\-SQL, SSIS, and Azure Synapse Analytics.
 •    Proven experience with Azure Data Factory, Azure Data Lake Storage, Azure SQL Database, and Power BI.
 •    In\-depth understanding of data modeling, ETL development, and data warehouse design within Microsoft ecosystems.
 •    Solid grasp of data security, encryption, and compliance standards in healthcare (HIPAA, PHI, HL7, FHIR).
 •    Experience with CI/CD for data solutions using tools such as Azure DevOps or GitHub Actions.
 •    Excellent problem\-solving skills, attention to detail, and ability to communicate complex technical concepts to non\-technical stakeholders.
**Preferred Skills** 
 •    Experience integrating data from LIS, EHR, or LIMS platforms.
 •    Familiarity with Python or .NET for data automation and custom integrations.
 •    Knowledge of Power BI administration and data governance frameworks (Purview, Collibra, etc.).
 •    Exposure to machine learning pipelines in Azure ML or Databricks environments.</t>
        </is>
      </c>
    </row>
    <row r="31">
      <c r="A31" t="inlineStr">
        <is>
          <t>li-4354941330</t>
        </is>
      </c>
      <c r="B31" t="inlineStr">
        <is>
          <t>Senior Data Engineer</t>
        </is>
      </c>
      <c r="C31" t="inlineStr">
        <is>
          <t>Medpace</t>
        </is>
      </c>
      <c r="D31" t="inlineStr">
        <is>
          <t>linkedin</t>
        </is>
      </c>
      <c r="E31" t="inlineStr"/>
      <c r="F31" t="inlineStr"/>
      <c r="G31" t="inlineStr">
        <is>
          <t>Cincinnati, OH</t>
        </is>
      </c>
      <c r="H31" t="inlineStr"/>
      <c r="I31" t="inlineStr">
        <is>
          <t>Our corporate activities are growing rapidly, and we are currently seeking a full\-time, office\-based Senior Data Engineer to join our Information Technology team. This position will work on a team to accomplish tasks and projects that are instrumental to the company’s success. If you want an exciting career where you use your previous expertise and can develop and grow your career even further, then this is the opportunity for you.
**Responsibilities**
* Utilize skills in development areas including data warehousing, business intelligence, and databases (Snowflake, ANSI SQL, SQL Server, T\-SQL);
* Support programming/software development using Extract, Transform, and Load (ETL) and Extract, Load and Transform (ELT) tools, (dbt, Azure Data Factory, SSIS);
* Design, develop, enhance and support business intelligence systems primarily using Microsoft Power BI;
* Collect, analyze and document user requirements;
* Participate in software validation process through development, review, and/or execution of test plan/cases/scripts;
* Create software applications by following software development lifecycle process, which includes requirements gathering, design, development, testing, release, and maintenance;
* Communicate with team members regarding projects, development, tools, and procedures; and
* Provide end\-user support including setup, installation, and maintenance for applications released.
**Qualifications**
* Bachelor's Degree in Computer Science, Data Science, or a related field;
* 5\+ years of experience in Data Engineering;
* Knowledge of developing dimensional data models and awareness of the advantages and limitations of Star Schema and Snowflake schema designs;
* Solid ETL development, reporting knowledge based off intricate understanding of business process and measures;
* Knowledge of Snowflake cloud data warehouse, Fivetran data integration and dbt transformations is preferred;
* Knowledge of Python is preferred;
* Knowledge of REST API;
* Basic knowledge of SQL Server databases is required;
* Knowledge of C\#, Azure development is a bonus; and
* Excellent analytical, written and oral communication skills.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**Cincinnati Perks**
* Cincinnati Campus Overview
* Flexible work environment
* Competitive PTO packages, starting at 20\+ days
* Competitive compensation and benefits package
* Company\-sponsored employee appreciation events
* Employee health and wellness initiatives
* Community involvement with local nonprofit organizations
* Discounts on local sports games, fitness gyms and attractions
* Modern, ecofriendly campus with an on\-site fitness center
* Structured career paths with opportunities for professional growth
* Discounted tuition for UC online programs
**Awards**
* Named a Top Workplace in 2024 by The Cincinnati Enquirer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is>
      </c>
    </row>
    <row r="32">
      <c r="A32" t="inlineStr">
        <is>
          <t>li-4353122618</t>
        </is>
      </c>
      <c r="B32" t="inlineStr">
        <is>
          <t>Consultant, Data &amp; Analytics - Data Engineering</t>
        </is>
      </c>
      <c r="C32" t="inlineStr">
        <is>
          <t>Pioneer Management Consulting</t>
        </is>
      </c>
      <c r="D32" t="inlineStr">
        <is>
          <t>linkedin</t>
        </is>
      </c>
      <c r="E32" t="inlineStr"/>
      <c r="F32" t="inlineStr"/>
      <c r="G32" t="inlineStr">
        <is>
          <t>Denver, CO</t>
        </is>
      </c>
      <c r="H32" t="inlineStr"/>
      <c r="I32" t="inlineStr">
        <is>
          <t>As a Consultant, Data Engineer, you will be a part of a fast\-paced environment helping clients solve complex issues and delivering exceptional results. The primary responsibility will be leading strategic initiatives to design and implement end\-to\-end data solutions, establishing and improving data analytics platform and data warehousing capabilities, and optimizing data flow to automated reporting and visualization tools. You will work closely with the technology infrastructure teams, business intelligence, functional stakeholders, and business leaders.
**What You'll Do:**
 While each day and project will be different, below is a list of some of the typical activities that our Data Engineers perform on our various project teams:
* Align: Work with leaders to define success and prioritize business problems that will lead to high business impact when solved.
* Engage: Dig in with business leaders in business intelligence and technology to uncover core problems, leading with curiosity and humility to unearth issues related to data and how analytics is used.
* Design: Lead clients through a collaborative process to design solutions underlying data issues including data warehouse architecture, real\-time data delivery, and workflow automation
* Execute: Manage engineering programs/projects with a hyper focus on delivery excellence \- we dive into data analytics projects "with our sleeves rolled up."
* Sustain: Equip teams with an actionable plan for using data more effectively, resulting in deeper insights, data\-informed decisions, and an elevated culture of applying analytics.
* Client Resolution: Proficient at recognizing and diagnosing client problems
* Relationship Building: Proactively cultivate and expand your professional network
**What You'll Bring** 
 :
* 5\+ years of professional experience working in corporate settings, notably in data engineering or infrastructure engineering/development role;
* 2\+ years consulting experience
* Experience with data engineering tools that cover integration, ETL and validation; specific tools and methodologies will vary by client
* Proficiency in building Azure cloud data platforms (Synapse, Fabric, Databricks, etc.)
* Proficiency in applying network security and user access models to Azure data platforms
* Proficiency in applying replication validation, error notification, and ETL optimization
* Proficiency in writing SQL and working with relational databases (TSQL, MSSQL,, etc.)
* Proficiency with at least one data science programming language (Python (preferred), R, PySpark, etc.)
* Experience with Azure cloud data platform
* Experience with Azure ETL tools (Azure Data Factory, LogicApps, Synapse, etc.)
* Experience with
* Familiarity with reporting tools like Power BI or Tableau
* Ability to communicate complex ideas effectively (verbal and written)
* Ability to work both independently and in a collaborative team environment
* Comfort handling ambiguity and managing multiple assignments
* Ability to work effectively with people at all levels in an organization
* Proven skills in the identification and resolution of client challenges
* Demonstrated ability to effectively expand professional networks through strategic relationship building and engagement
* Bachelor's Degree preferred
 Location:
* Pioneer Minneapolis Office: 729 Washington Ave N, Suite 600, Minneapolis, MN 55401
* Pioneer Denver Office: 2500 Walnut St. Suite 401; Denver, Co 80205
 Pioneer Benefit Info:
 The estimated salary range for this role is $84,000\-$126,000 annually. This is based on a wide array of factors unique to each candidate, including but not limited to skillset and years and depth of experience. This may differ from location to location. Bonuses and other incentives are awarded at the Company's discretion and are based upon individual contributions and overall company performance. Pioneer is proud to offer a comprehensive benefits package that includes meaningful time off and paid holidays, parental leave, 401(k) including employer match, tuition reimbursement, and a broad range of health and welfare benefits including medical, dental, vision, life, long and short\-term disability, etc.</t>
        </is>
      </c>
    </row>
    <row r="33">
      <c r="A33" t="inlineStr">
        <is>
          <t>li-4260186868</t>
        </is>
      </c>
      <c r="B33" t="inlineStr">
        <is>
          <t>Senior Data Engineer</t>
        </is>
      </c>
      <c r="C33" t="inlineStr">
        <is>
          <t>Maven Clinic</t>
        </is>
      </c>
      <c r="D33" t="inlineStr">
        <is>
          <t>linkedin</t>
        </is>
      </c>
      <c r="E33" t="inlineStr"/>
      <c r="F33" t="inlineStr"/>
      <c r="G33" t="inlineStr"/>
      <c r="H33" t="inlineStr"/>
      <c r="I33" t="inlineStr">
        <is>
          <t>Maven is the world's largest virtual clinic for women and families on a mission to make healthcare work for all of us. Maven's award\-winning digital programs provide clinical, emotional, and financial support all in one platform, spanning fertility \&amp; family building, maternity \&amp; newborn care, parenting \&amp; pediatrics, and menopause \&amp; midlife. More than 2,000 employers and health plans trust Maven's end\-to\-end platform to improve clinical outcomes, reduce healthcare costs, and provide equity in benefits programs. Recognized for innovation and industry leadership, Maven has been named to the Time 100 Most Influential Companies, CNBC Disruptor 50, Fast Company Most Innovative Companies, and FORTUNE Best Places to Work. Founded in 2014 by CEO Kate Ryder, Maven has raised more than $425 million in funding from top healthcare and technology investors including General Catalyst, Sequoia, Dragoneer Investment Group, Oak HC/FT, StepStone Group, Icon Ventures, and Lux Capital. To learn more about Maven, visit us at mavenclinic.com.
**An award\-winning culture working towards an important mission – Maven Clinic is a recipient of over 30 workplace and innovation awards, including:**
* Fortune Change the World (2024\)
* CNBC Disruptor 50 List (2022, 2023, 2024\)
* Fortune Best Workplaces for Millennials (2024\)
* Fortune Best Workplaces in Health Care (2024\)
* TIME 100 Most Influential Companies (2023\)
* Fast Company Most Innovative Companies (2020, 2023\)
* Built In Best Places to Work (2023\)
* Fortune Best Workplaces NY (2020, 2021, 2022, 2023, 2024\)
* Great Place to Work certified (2020, 2021, 2022, 2023, 2024\)
* Fast Company Best Workplaces for Innovators (2022\)
* Built In LGBTQIA\+ Advocacy Award (2022\)
 As a Senior Data Engineer at Maven Clinic, you will be responsible for designing, implementing, and maintaining performant and cost\-efficient data pipelines (both batch and streaming). You will also play a key role in shaping Maven’s overall data architecture to expand our data warehouse capabilities and enhance our analytics, machine learning, and AI functions.
 You will work closely with cross\-functional teams to ensure the delivery of high\-quality, well\-governed datasets and data products that empower data\-driven decision\-making across the business and product landscape, ultimately driving Maven’s growth and customer success. You will also collaborate with product and leadership teams to help shape the strategic roadmap for Maven’s data functions.
**As a Senior Data Engineer at Maven, you will:**
* Lead the design, development, and maintenance of high\-performance, cost\-efficient data pipelines \- both batch and streaming.
* Build and maintain robust data ingestion and export workflows that ensure end\-to\-end data quality, observability, and reliability in production environments.
* Collaborate with data platform and backend engineering teams to evolve a scalable, secure, and fault\-tolerant data architecture.
* Drive technical design reviews and provide mentorship on engineering best practices, data architecture principles, and high coding standards.
* Partner with product and service engineering teams to shape and model source datasets, ensuring alignment with a unified data vision across systems.
* Stay ahead of emerging technologies, frameworks, and trends in the data space to inform architectural decisions and drive innovation within the team.
**We’re looking for you to bring:**
* Bachelor's or Master's degree in Computer Science or related field, or equivalent experience.
* 6\+ years of experience in data engineering or backend systems development, with a track record of building scalable, performant, and reliable data solutions.
* Highly proficient in SQL or similar languages for data transformation / ETL and analysis.
* Deep experience in data modeling for large\-scale distributed data warehouses (e.g., BigQuery, Redshift, Snowflake), with a strong understanding of design trade\-offs and best practices.
* Demonstrated ability to collaborate effectively with cross\-functional partners, particularly product, analytics, and operations teams.
* Working proficiency in one of the programming languages (Java, Python, Go, etc.), and hand\-on experience with one of the workflow orchestration tools (eg. Apache Airflow)
* Product\-oriented mindset with a strong focus on scalable, maintainable engineering solutions that meet real business needs.
* Experience leading design reviews and setting engineering standards and architecture direction.
* Strong problem\-solving abilities, with a bias for action and a drive to deliver high\-quality solutions in a fast\-paced environment.
 For candidates in NYC or CO, the salary range for this role is $196,000 \- $230,000 per year. You may also be entitled to receive a bonus, equity, and benefits. Individual pay decisions are based on a number of factors, including qualifications for the role, experience level, and skillset.
 Maven embraces a flexible hybrid work model. Our teams primarily operate from the New York Metropolitan area, NY, and remotely via San Francisco/Bay Area, CA, Seattle, WA, Boston, MA, Chicago, IL, and Washington, D.C. For those in our New York City office, we encourage in\-person collaboration by requiring team members to work onsite three days a week (Tuesday, Wednesday, Thursday). For those based in San Francisco/Bay Area, CA, Seattle, WA, Boston, MA, Chicago, IL, and Washington, D.C., we encourage in\-person collaboration by requiring team members to attend quarterly Work Together Days within these cities. This policy aims to balance remote work flexibility with the benefits of face\-to\-face interaction.
 At Maven we believe that a diverse set of backgrounds and experiences enrich our teams and allow us to achieve above and beyond our goals. If you do not have experience in all of the areas detailed above, we hope that you will share your unique background with us in your application and how it can be additive to our teams.
**Benefits That Work For You**
 Our benefits are designed to support your health, well\-being and career development, helping you thrive both personally and professionally. We remain focused on providing a competitive benefits package for our employees. On top of standards such as employer\-covered health, dental, and insurance plan options, we offer an inclusive approach to benefits:
* Maven for Mavens: access to the full platform and specialists, including care for mental health, reproductive health, family planning and pediatrics.
* Whole\-self care through wellness partnerships
* Hybrid work, in office meals, and work together days
* 16 weeks 100% paid parental leave and new parent stipend (for Mavens who've been with us for 1 year\+)
* Annual professional development stipend and access to a personal career coach through Maven for Mavens
* 401K matching for US\-based employees, with immediate vesting
**These benefits are applicable to Maven Clinic Co., US\-based, full\-time employees only. 1099/Contract Providers are ineligible for these benefits.**
 Maven is an affirmative action and equal opportunity employer. All qualified applicants will receive consideration for employment without regard to race, color, religion, sex, disability, age, sexual orientation, gender identity, national origin, veteran status, or genetic information. Maven is committed to providing access, equal opportunity and reasonable accommodation for individuals with disabilities in employment, its services, programs, and activities. Maven Clinic interview requests and job offers only originate from an @mavenclinic.com email address (e.g jsmith@mavenclinic.com). Maven Clinic will never ask for sensitive information to be delivered over email or phone. If you receive a scam issue or a security issue involving Maven Clinic please notify us at: security@mavenclinic.com. For general and additional inquiries, please contact us at careers@mavenclinic.com.</t>
        </is>
      </c>
    </row>
    <row r="34">
      <c r="A34" t="inlineStr">
        <is>
          <t>li-4354884170</t>
        </is>
      </c>
      <c r="B34" t="inlineStr">
        <is>
          <t>Senior Analytics Engineer</t>
        </is>
      </c>
      <c r="C34" t="inlineStr">
        <is>
          <t>Hover</t>
        </is>
      </c>
      <c r="D34" t="inlineStr">
        <is>
          <t>linkedin</t>
        </is>
      </c>
      <c r="E34" t="inlineStr"/>
      <c r="F34" t="inlineStr"/>
      <c r="G34" t="inlineStr">
        <is>
          <t>San Francisco, CA</t>
        </is>
      </c>
      <c r="H34" t="inlineStr"/>
      <c r="I34" t="inlineStr">
        <is>
          <t>Hover helps people design, improve, and protect the properties they love. With proprietary AI built on over a decade of real property data, Hover answers age\-old questions like “What will it look like?” and “What will it cost?” Homeowners, contractors, and insurance professionals rely on Hover to get fully measured, accurate, and interactive 3D models of any property — all from a smartphone scan in minutes.
 At Hover, we’re driven by curiosity, purpose, and a shared commitment to serving our customers, communities, and each other. We believe the best ideas come from diverse perspectives and are proud to cultivate an inclusive, high\-performance culture that inspires growth, accountability, and excellence. Backed by leading investors like Google Ventures and Menlo Ventures, and trusted by industry leaders including Travelers, State Farm, and Nationwide — we’re redefining how people understand and interact with their spaces.
 Why Hover wants you
 Hover is looking for an Analytics Engineer with strong GTM experience to join our Analytics Engineering team as part of our centralized data organization, working closely with Data Engineering, GTM Systems, Business Analytics, and Data Science. In this role, you’ll be a core partner to cross\-functional teams, helping Hover both make the right decisions and make them happen by shaping how data is trusted, modeled, and used across the company. You’ll contribute to setting Hover’s data strategy and evangelizing a data\-driven culture by advising partners on data best practices, building data literacy, and helping establish clear, scalable standard operating procedures that enable teams to confidently use data to drive impact.
 You will contribute by
 While you’ll contribute across the full data lifecycle, your primary focus will be supporting Hover’s GTM functions by translating complex business questions into well\-structured analytics solutions and delivering high\-quality data products for internal and external use. As an analytics engineer, you’ll partner closely with stakeholders across Growth, Marketing, Sales, Finance, and Support to enable better decision\-making, unlock AI\-powered use cases, and improve data accessibility and literacy across the organization.
 You’ll work in a highly cross\-functional, full\-stack data environment, collaborating with data engineers, analysts, data scientists, and product and engineering partners to design, build, and iterate on Hover’s modern data platform. This includes developing reliable pipelines, scripting automation, modeling data with scalability in mind, and enabling the core business intelligence function of the company. On a day\-to\-day basis, you’ll write SQL and Python, apply analytics engineering best practices, and take a product\-oriented approach to building sustainable, well\-documented analytics solutions that serve both immediate needs and long\-term strategy.
**Specifically, You Will**
* Ensure rigorous governance, security, and controls across Hover’s data systems, with a strong emphasis on ethical data use and privacy
* Design, build, and maintain an effective and efficient data platform and infrastructure using tools such as Snowflake, dbt, Airflow, Tableau, Census, and third\-party ingestion solutions
* Ingest, cleanse, and store data from disparate sources through reliable, well\-monitored, and actionable pipelines
* Transform, test, deploy, and document clean, well\-modeled datasets that empower analysts and end users to self\-serve insights
* Continuously improve data structures, modeling patterns, and workflows to drive efficiency, consistency, and scalability across analytics use cases
* Partner with engineering and data science teams to ensure clean, efficient data models across the full data lifecycle
* Design, build, and iterate on data structures and processes that support internal AI use cases and advance data democratization across the organization
 Your background includes
* 5\+ years of progressive experience in Analytics Engineering, Data Engineering and/or Analytics
* A track record of understanding complex business needs from diverse stakeholders and translating those requirements in order to best to structure and implement data to drive impact
* Demonstrated experience in delivering business impact to teams in Growth, Marketing, Finance, Support or other GTM areas
* A mindset to build frameworks and data structures for scale and long term flexibility
* Expert in SQL writing and hands on experience developing in dbt and Snowflake (production models, macros, testing, documentation standards, etc)
* Familiarity with Data Visualization tools such as Tableau and Hex
* Familiarity with GTM platforms such as Salesforce, Intercom, and Gong
* Experience using Python to create scalable pipelines and transformations in orchestration tools such as Airflow
* Exceptional communication skills (both written and verbal) and a desire to share your knowledge with clarity, patience, and empathy
* The ability to work independently and set your own priorities with careful attention to detail and deadlines
* A natural affinity for structure and efficiency
**Benefits**
* Compensation \- Competitive salary and meaningful equity in a fast\-growing company
* Healthcare \- Comprehensive medical, dental, and vision coverage for you and dependents
* Paid Time Off \- Unlimited and flexible vacation policy
* Paid Family Leave \- We support work/life balance and offer generous paid parental and new child bonding leave
* Mandatory Self\-Care Days \- A day set aside each month to allow employees to recharge
* Remote Wellbeing Resources \- We provide recurring fitness classes, meditation/ mindfulness tools, virtual therapy, and family planning assistance
* Learning \- We encourage continued education and will help cover the cost of management training, conferences, workshops, or certifications
 Hybrid roles at Hover
 Hover has Hubs in San Francisco and New York City, where we expect that all employees living within a 50\-mile radius of our offices will come into their local Hover office at least three times a week to build rapport and foster organic connection. At this time, Hover is not considering fully remote roles.
 The US base salary range for this full\-time position is $162,000 \- $200,000 annually. Our salary ranges are determined by role, level, and location. The range displayed on each job posting reflects the minimum and maximum target for new hire salaries for the position across all applicable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t>
        </is>
      </c>
    </row>
    <row r="35">
      <c r="A35" t="inlineStr">
        <is>
          <t>li-4353091446</t>
        </is>
      </c>
      <c r="B35" t="inlineStr">
        <is>
          <t>Lead Data Engineer</t>
        </is>
      </c>
      <c r="C35" t="inlineStr">
        <is>
          <t>AmeriGas</t>
        </is>
      </c>
      <c r="D35" t="inlineStr">
        <is>
          <t>linkedin</t>
        </is>
      </c>
      <c r="E35" t="inlineStr"/>
      <c r="F35" t="inlineStr"/>
      <c r="G35" t="inlineStr"/>
      <c r="H35" t="inlineStr"/>
      <c r="I35" t="inlineStr">
        <is>
          <t>Requisition Number: 28409
 When you work for AmeriGas, you become a part of something BIG! Founded in 1959, AmeriGas is the nation’s premier propane company, serving over 1\.5 million residential, commercial, industrial and motor fuel propane customers. Together, over 6,500 dedicated professionals will deliver over 1 billion gallons of propane from 1,800\+ distribution points across the United States.
**Position Summary**
 The Lead Data Engineer is a hands\-on technical leader responsible for leading data engineering initiatives, managing a team of 1\-3 direct reports, and personally building robust data models and ETL pipelines to meet organizational goals. This role requires proficiency in Snowflake, SQL, and Databricks, with extensive experience integrating data from multiple source systems. The Lead Data Engineer will be deeply involved in coding and implementation work while also serving as a thought leader in best data engineering practices, mentoring team members, and establishing technical standards across the organization.
**Duties And Responsibilities**
**Hands\-on development:**
* Personally design, build, and maintain complex ETL/ELT pipelines from diverse source systems using Snowflake and Databricks
**Direct technical contribution:**
* Write production\-quality code and SQL on a daily basis, serving as a primary technical contributor to critical data engineering projects
* Lead and manage a team of 1\-3 data engineers, providing technical guidance, code reviews, mentorship, and performance management
* Architect and implement scalable data models and infrastructure that align with business objectives
**Thought leadership:**
* Drive innovation and establish best practices in data engineering, serving as the subject matter expert for modern data platform capabilities
* Manage the full life\-cycle development process for data engineering projects, from requirements gathering through deployment and maintenance
* Collaborate with data science and BI teams to enable deployment of scalable data solutions across the company's ecosystem
* Establish and enforce data engineering best practices, coding standards, and quality assurance protocols through both leadership and example
* Provide expert\-level support and hands\-on troubleshooting for SQL optimization, data warehousing, and cloud data platform architecture
* Adhere to stringent quality assurance and documentation standards using version control and code repositories (e.g., Git, GitHub)
**Knowledge, Skills And Abilities**
* Proficiency in Snowflake, including advanced features such as data sharing, streams, tasks, and performance optimization
* Expert\-level SQL skills for complex queries, stored procedures, and database optimization with ability to write highly efficient, production\-ready code
* Extensive hands\-on experience with Databricks, including Delta Lake, Apache Spark, and cluster management
* Proven experience designing and personally implementing ETL/ELT processes from multiple heterogeneous source systems
* Experience with QlikSense and QlikView for data integration and analytics (strongly preferred)
* Advanced working knowledge of Python and/or other programming languages for data engineering workflows
* Strong understanding of modern data architecture principles, including data warehousing, data lakes, and lakehouse architectures
* Excellent communication skills with ability to effectively convey complex technical concepts to both technical and non\-technical stakeholders
* Business acumen with ability to identify risks, opportunities, and generate innovative solutions to complex data challenges
* Strong project management skills with ability to prioritize competing demands and deliver results on time
* Collaborative mindset with experience working across data science, analytics, engineering, and business teams
**Minimum Qualifications**
* Bachelor's degree in Computer Science, Data Engineering, Information Systems, Mathematics, Statistics, or related technical discipline required; Master's Degree preferred
* 5\+ years of hands\-on, individual contributor experience in data engineering with progressively increasing responsibility
* 2\+ years of experience in a technical leadership or team lead capacity while maintaining significant hands\-on coding responsibilities
 AmeriGas Propane, Inc. is an Equal Opportunity Employer. The Company does not discriminate on the basis of race, color, sex, national origin, disability, age, gender identity, sexual orientation, veteran status, or any other legally protected class in its practices.
 AmeriGas is a Drug Free Workplace. Candidates must be willing to submit to a pre\-employment drug screen and a criminal background check. Successful applicants shall be required to pass a pre\-employment drug screen as a condition of employment, and if hired, shall be subject to substance abuse testing in accordance with AmeriGas policies. As a federal contractor that engages in safety\-sensitive work, AmeriGas cannot permit employees in certain positions to use medical marijuana, even if prescribed by an authorized physician. Similarly, applicants for such positions who are actively using medical marijuana may be denied hire on that basis.</t>
        </is>
      </c>
    </row>
    <row r="36">
      <c r="A36" t="inlineStr">
        <is>
          <t>li-4218898131</t>
        </is>
      </c>
      <c r="B36" t="inlineStr">
        <is>
          <t>Principal Data Engineer</t>
        </is>
      </c>
      <c r="C36" t="inlineStr">
        <is>
          <t>Hearst Newspapers</t>
        </is>
      </c>
      <c r="D36" t="inlineStr">
        <is>
          <t>linkedin</t>
        </is>
      </c>
      <c r="E36" t="inlineStr"/>
      <c r="F36" t="inlineStr"/>
      <c r="G36" t="inlineStr">
        <is>
          <t>New York, NY</t>
        </is>
      </c>
      <c r="H36" t="inlineStr"/>
      <c r="I36" t="inlineStr">
        <is>
          <t>**Job Description**
**Job Title** 
 : Principal Data Engineer
**Location** 
 : Hybrid (NYC\-based)
**Experience** 
 : 8\+ years
**The Mission**
 Architect the real\-time data backbone for 52 brands and 38M users. You will enable millisecond\-latency experiences at scale, powering personalized feeds, live user scoring, and next\-best\-action models across 62M\+ monthly page views.
**About Hearst Newspapers**
 Hearst Newspapers (HNP) is a leading media organization that powers the next generation of consumer news products. As part of Hearst Corporation, one of America's largest diversified media companies, HNP employs over 2,500 professionals across more than 75 brands in a national network.
 While HNP's reach is national, its focus is local. The company is committed to being the most trusted, respected, and accurate source of news and information in the communities it serves. HNP's comprehensive portfolio includes innovative digital products, data\-driven journalism, and specialized businesses such as King Features Syndicate, Hearst DevHub, and StoryStudio.
 The company is investing heavily in data engineering and machine learning to power next\-generation news products while maintaining its core commitment to high\-quality journalism that informs and connects communities across the country.
**The Role**
 This is not a ticket\-taking role. As a Principal Data Engineer, you will own the architectural standard for our entire data ecosystem. You will partner directly with the VP of Data and Senior Data Scientists to transform our batch\-heavy legacy systems into a modern, event\-driven platform capable of real\-time decision\-making.
**What You’ll Do (Strategic Leadership)**
* Architect for Massive Scale: Design the ingestion and serving layers for 38M MAU, moving beyond simple ETL to build low\-latency pipelines that handle high\-concurrency inference requests.
* Define the Engineering Standard: You will set the bar for the team, leading code reviews and mentoring engineers to ensure reliability is baked in, not patched on.
* Solve the "Real\-Time" Problem: You will architect the serving layer for our ML models (Recommendation Engines, Churn Prediction), solving complex latency challenges to deliver predictions during active user sessions.
* Modernize the Stack (Multi\-Cloud Strategy): You will drive the "Buy vs. Build" decisions that shape our future, integrating best\-in\-class tools into our primary GCP ecosystem. You have the autonomy to retire technical debt in favor of modern, efficient frameworks like Daft, Flink, or Spark, and the ability to stick to the GCP ecosystem of leverage AWS (e.g. Sagemaker, Bedrock, AgentCore) if it’s the best tool for the job.
**Qualifications**
* 8\+ years of engineering experience, with a proven track record of architecting data platforms that scale beyond single\-server limits.
* Production MLOps Expertise: You have built "paved roads" for deploying ML models. You understand the lifecycle of a model from training to real\-time serving and monitoring.
* Multi\-Cloud Fluency: You are comfortable architecting solutions that span ecosystems (e.g., orchestrating Airflow on GCP while leveraging specific AWS AI services).
* Mastery of Modern Data Tools: Deep proficiency in Python and SQL is a given. You bring expertise in orchestration (Airflow/Dagster), streaming (Kafka/PubSub/Flink), and modern compute frameworks (Spark/Ray/Daft).
* Leadership without "Management": You want to remain a high\-leverage Individual Contributor who leads through architecture and code, rather than managing people and spreadsheets.
**Why Join Us**
* Impact \&amp; Ownership: You’ll shape our company’s data roadmap and have tangible influence on mission\-critical products.
* Collaborative Culture: We value teamwork and constant learning, no one is above the details.
* Hybrid Work Environment: Enjoy the flexibility of working from home while still connecting in\-person with a NYC\-based team.
* Growth Opportunities: We invest in our talent and encourage continuous professional development.
 If you are ready to define the architecture for a national media network, we’d love to hear from you. Apply today to join our team in NYC!
**Our Benefits:** 
 At Hearst Newspapers we not only support our employees through personal and professional development, but we also believe in promoting each individual’s physical, financial and emotional wellbeing (and that of their family). Our industry\-leading benefits include:
* Physical Wellbeing: Medical, Dental, and Vision coverage to keep you and your family healthy.
* Invest for the Future: Competitive retirement plan with matching program in most markets.
* Generous Paid Time Off: Recharge with ample time off, including holidays and vacation.
* Paid Parental Leave: Support for growing families, with paid leave for new parents.
* Monthly Child \&amp; Dependent Care Reimbursement: Financial support for the care of your loved ones.
* Emotional Wellbeing: Be your best self with our mental wellness benefits.
* LGBTQ\+ \&amp; Inclusive Health Services: Inclusive healthcare designed for every individual’s unique needs.
* Fertility Coverage \&amp; Menopause Support: Helping you along every step of your family journey.
* Pet Wellness Reimbursement \&amp; Rover Credits: We care about your pets, too – helping you keep them happy and healthy.
* And more, click here for additional benefits and details.
 The base salary for this role is between $220,000\-$250,000\. The actual base pay offered is dependent upon many factors, such as: transferable skills, work experience, business needs and market demands. The base pay range is subject to change and may be modified in the future.</t>
        </is>
      </c>
    </row>
    <row r="37">
      <c r="A37" t="inlineStr">
        <is>
          <t>li-4340010686</t>
        </is>
      </c>
      <c r="B37" t="inlineStr">
        <is>
          <t>Staff AI &amp; Data Platform Engineer</t>
        </is>
      </c>
      <c r="C37" t="inlineStr">
        <is>
          <t>Quizlet</t>
        </is>
      </c>
      <c r="D37" t="inlineStr">
        <is>
          <t>linkedin</t>
        </is>
      </c>
      <c r="E37" t="inlineStr"/>
      <c r="F37" t="inlineStr"/>
      <c r="G37" t="inlineStr">
        <is>
          <t>San Francisco, CA</t>
        </is>
      </c>
      <c r="H37" t="inlineStr"/>
      <c r="I37"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The AI \&amp; Data Platform team's mission is to build and maintain a rock\-solid, scalable, and efficient foundation for all data and machine learning operations at Quizlet. This team is the bedrock upon which our AI ambitions are built. As we consolidate our AI efforts to create a unified and powerful product portfolio, the platform team's primary focus is on achieving operational excellence. We aggressively buy and leverage best\-in\-class MLOps and DataOps technologies to accelerate the pace of innovation across Quizlet.
**About The Role**
 As a Staff AI \&amp; Data Platform Engineer, you will help lead the design and development of Quizlet’s analytical data and machine learning infrastructure, ensuring our platforms are scalable, reliable, and designed for long\-term success. You’ll partner closely with cross\-functional teams to define technical direction, guide architectural decisions, and mentor engineers across Data Science, ML Engineering, and Product.
 This role requires deep technical expertise, strategic thinking, and the ability to deliver systems that accelerate ML and data innovation at scale. You’ll measure success through platform adoption, reliability improvements, and developer productivity outcomes.
 We’re happy to share that this is an
 **onsite position** 
 in our San Francisco office. To help foster team collaboration, we require employees to be in the office a minimum of three days per week: Monday, Wednesday, and Thursday, and as needed by your manager or the company. We believe that this working environment facilitates increased work efficiency, team partnership, and supports growth as an employee and organization.
**In This Role, You Will**
* Accelerate and amplify the work of our Machine Learning Engineers by building ML infrastructure that streamlines the development, testing, and deployment of models to production
* Collaborate with Product Management, Data Analytics, and Product Engineering to build systems that support diverse data needs
* Architect, build, and scale core data and ML services with a focus on resiliency, security, and long\-term maintainability
* Enable large\-scale data ingestion and processing, from real\-time streaming to batch workloads, ensuring performance and reliability
* Drive platform adoption across engineering and data teams, improving developer experience and operational efficiency
* Mentor engineers and influence best practices for reliability, scalability, and automation in data workflows
* Lead cross\-functional initiatives and set technical direction for data and ML infrastructure at Quizlet
**What You Bring To The Table**
* 8\+ years of experience building and maintaining large\-scale data or ML platforms in production environments
* Proven track record of leading technical architecture and influencing platform strategy
* Deep expertise in distributed systems, data pipelines, and ML infrastructure (e.g., Airflow, dbt, GCP, Kubernetes, feature stores)
* Experience designing reliable, observable, and cost\-efficient infrastructure at scale
* Excellent communication skills with the ability to influence and align diverse stakeholders
**Bonus Points If You Have**
* Experience owning platform architecture and long\-term roadmap definition
* Expertise in cross\-cloud data infrastructure or hybrid orchestration
* Contributions to open\-source data/ML tooling or internal frameworks
* Demonstrated impact on developer experience or data reliability culture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$195,000 \- $260,000,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8">
      <c r="A38" t="inlineStr">
        <is>
          <t>li-4368726912</t>
        </is>
      </c>
      <c r="B38" t="inlineStr">
        <is>
          <t>Full time Position : Data Engineer (Starburst) : Charlotte ,NC ;Plano ,TX</t>
        </is>
      </c>
      <c r="C38" t="inlineStr">
        <is>
          <t>AceStack</t>
        </is>
      </c>
      <c r="D38" t="inlineStr">
        <is>
          <t>linkedin</t>
        </is>
      </c>
      <c r="E38" t="inlineStr"/>
      <c r="F38" t="inlineStr"/>
      <c r="G38" t="inlineStr">
        <is>
          <t>Plano, TX</t>
        </is>
      </c>
      <c r="H38" t="inlineStr"/>
      <c r="I38" t="inlineStr">
        <is>
          <t>**Role : Data Engineer (Starburst)** 
**Location : Charlotte ,NC ;Plano ,TX** 
**Duration : Full time** 
 Job Description
 Location : Charlotte ,NC ;Plano ,TX;
 Must Have Technical/Functional Skills
 Primary Skill: Starburst
 Secondary: Data Virtualization Engineer, Dremio, Presto, SQL Performance Tuning, Shell Scripting, Autosys
 Experience: Minimum 10 years
 Roles \&amp; Responsibilities
 Key Responsibilities:
 • Demonstrated expertise in Starburst Data Virtualization, including designing and implementing data virtualization solutions, optimizing query performance across distributed data sources, and integrating Starburst with enterprise data architectures.
 • Analyze data mapping documents and business requirements to design comprehensive test plans and cases.
 • Perform source\-to\-target data reconciliation, check data loading, and ensure transformation rules are applied correctly.
 • Write complex SQL scripts for validation (count, data completeness, data consistency, data truncation).
 • Identify, log, and track data defects using tools like JIRA or HP ALM or Octane.
 • Automate test scripts and validate data volume, performance, and scalability.
 • Expert\-level knowledge of SQL for data analysis.
 • Experience with tools such as Informatica and IDMC.
 • Understanding of data warehouse concepts and architectures (e.g., star/snowflake schema).
 • Familiarity with Hadoop or Spark is often preferred.
 • Validate HiveQL, HDFS file structures, and data processing within the Hadoop cluster.
 • Strong analytical and troubleshooting skills.
 • Excellent communication for collaborating with developers and stakeholders.
 Tools \&amp; Skills:
 Starburst, IDMC, Informatica Power center, Hive, Kafka Knowledge
 SQL, Oracle, PL/SQL
 Domain: Banking knowledge, Payments knowledge preferred.
 Concept: Data Virtualization, Data Warehousing, Data Transformation, ETL/ELT, Data Quality.</t>
        </is>
      </c>
    </row>
    <row r="39">
      <c r="A39" t="inlineStr">
        <is>
          <t>li-4353082729</t>
        </is>
      </c>
      <c r="B39" t="inlineStr">
        <is>
          <t>Consultant, Data &amp; Analytics - Data Engineering</t>
        </is>
      </c>
      <c r="C39" t="inlineStr">
        <is>
          <t>Pioneer Management Consulting</t>
        </is>
      </c>
      <c r="D39" t="inlineStr">
        <is>
          <t>linkedin</t>
        </is>
      </c>
      <c r="E39" t="inlineStr"/>
      <c r="F39" t="inlineStr"/>
      <c r="G39" t="inlineStr">
        <is>
          <t>Minneapolis, MN</t>
        </is>
      </c>
      <c r="H39" t="inlineStr"/>
      <c r="I39" t="inlineStr">
        <is>
          <t>As a Consultant, Data Engineer, you will be a part of a fast\-paced environment helping clients solve complex issues and delivering exceptional results. The primary responsibility will be leading strategic initiatives to design and implement end\-to\-end data solutions, establishing and improving data analytics platform and data warehousing capabilities, and optimizing data flow to automated reporting and visualization tools. You will work closely with the technology infrastructure teams, business intelligence, functional stakeholders, and business leaders.
**What You'll Do:**
 While each day and project will be different, below is a list of some of the typical activities that our Data Engineers perform on our various project teams:
* Align: Work with leaders to define success and prioritize business problems that will lead to high business impact when solved.
* Engage: Dig in with business leaders in business intelligence and technology to uncover core problems, leading with curiosity and humility to unearth issues related to data and how analytics is used.
* Design: Lead clients through a collaborative process to design solutions underlying data issues including data warehouse architecture, real\-time data delivery, and workflow automation
* Execute: Manage engineering programs/projects with a hyper focus on delivery excellence \- we dive into data analytics projects "with our sleeves rolled up."
* Sustain: Equip teams with an actionable plan for using data more effectively, resulting in deeper insights, data\-informed decisions, and an elevated culture of applying analytics.
* Client Resolution: Proficient at recognizing and diagnosing client problems
* Relationship Building: Proactively cultivate and expand your professional network
**What You'll Bring** 
 :
* 5\+ years of professional experience working in corporate settings, notably in data engineering or infrastructure engineering/development role;
* 2\+ years consulting experience
* Experience with data engineering tools that cover integration, ETL and validation; specific tools and methodologies will vary by client
* Proficiency in building Azure cloud data platforms (Synapse, Fabric, Databricks, etc.)
* Proficiency in applying network security and user access models to Azure data platforms
* Proficiency in applying replication validation, error notification, and ETL optimization
* Proficiency in writing SQL and working with relational databases (TSQL, MSSQL,, etc.)
* Proficiency with at least one data science programming language (Python (preferred), R, PySpark, etc.)
* Experience with Azure cloud data platform
* Experience with Azure ETL tools (Azure Data Factory, LogicApps, Synapse, etc.)
* Experience with
* Familiarity with reporting tools like Power BI or Tableau
* Ability to communicate complex ideas effectively (verbal and written)
* Ability to work both independently and in a collaborative team environment
* Comfort handling ambiguity and managing multiple assignments
* Ability to work effectively with people at all levels in an organization
* Proven skills in the identification and resolution of client challenges
* Demonstrated ability to effectively expand professional networks through strategic relationship building and engagement
* Bachelor's Degree preferred
 Location:
* Pioneer Minneapolis Office: 729 Washington Ave N, Suite 600, Minneapolis, MN 55401
* Pioneer Denver Office: 2500 Walnut St. Suite 401; Denver, Co 80205
 Pioneer Benefit Info:
 The estimated salary range for this role is $84,000\-$126,000 annually. This is based on a wide array of factors unique to each candidate, including but not limited to skillset and years and depth of experience. This may differ from location to location. Bonuses and other incentives are awarded at the Company's discretion and are based upon individual contributions and overall company performance. Pioneer is proud to offer a comprehensive benefits package that includes meaningful time off and paid holidays, parental leave, 401(k) including employer match, tuition reimbursement, and a broad range of health and welfare benefits including medical, dental, vision, life, long and short\-term disability, etc.</t>
        </is>
      </c>
    </row>
    <row r="40">
      <c r="A40" t="inlineStr">
        <is>
          <t>li-4341286407</t>
        </is>
      </c>
      <c r="B40" t="inlineStr">
        <is>
          <t>Data Analytics Engineer</t>
        </is>
      </c>
      <c r="C40" t="inlineStr">
        <is>
          <t>Bristol Myers Squibb</t>
        </is>
      </c>
      <c r="D40" t="inlineStr">
        <is>
          <t>linkedin</t>
        </is>
      </c>
      <c r="E40" t="inlineStr"/>
      <c r="F40" t="inlineStr"/>
      <c r="G40" t="inlineStr">
        <is>
          <t>Devens, MA</t>
        </is>
      </c>
      <c r="H40" t="inlineStr"/>
      <c r="I40"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This position is a technical individual contributor on the Automation Control Systems Team. This individual will be responsible for providing data engineering and analytics solutions for biologics manufacturing suites. This individual will maintain, configure, administer, and troubleshoot the AVEVA PI System, SIMCA, and other system interfaces supporting the data historization and analytics for the Devens Biologics suites.
****Responsibilities****
* Provide input to all design decisions regarding integration into Data Analytics systems.
* Interface with the Digital Plant Automation Control Systems Software team and the user groups to develop requirements and designs to meet the business needs.
* Ensure technical delivery of any updates to the Data Analytics systems as endorsed by leadership team to meet business objectives.
* Promote the use of data analytics to support achievement of site business goals. This includes promoting awareness and training on data analytics tools and techniques across site.
* Hands on development and implementation of analytics tools based on complex user requirements across multiple platforms and functional areas with limited guidance.
* Perform troubleshooting utilizing critical thinking skills and techniques such as root cause analysis to resolve incidents in a timely fashion with minimal guidance.
* Responsible for the execution and creation, review, and approval of documentation associated with procedure\-driven compliance activities such as periodic reviews and on\-site application recovery (OAR).
* Initiate continuous improvement tasks to improve operational robustness and efficiency.
* Work in collaboration with Validation, Quality and Manufacturing Engineering and Manufacturing operations to keep the operations on site functional.
* Support key business processes such as audit, investigation and CAPA.
**Specific Knowledge, Skills, Abilities:**
****Required****
* 2\+ years experience with AVEVA PI Historian.
* Working experience with Microsoft Windows Server in a domain setting, technical knowledge of network configuration, and competency with navigating complex virtualized computing environments.
* Working experience administering relational databases with RDBMS tools such as Microsoft SQL Server Management Studio. Basic to intermediate competency with SQL.
* Track record of delivering on small, well\-scoped technical projects and tasks. Ability to manage small projects with minimal guidance.
* Familiarity with common manufacturing systems such as DCS, MES, and CMMS.
* Experience with data flows and interfaces associated with bench\-top instrumentation, and system integration protocols a plus.
* Excellent communication skills including oral, written, and formal presentations. Ability to clearly communicate technical information to a variety of audiences.
* Exercise sound judgment in making decisions and recommendations within generally defined practices and policies and notify senior management when necessary.
****Preferred****
* At least one year experience working on the floor in a manufacturing process environment required, preferably in chemical or biotechnology.
* Experience with Validation Lifecycle Management Systems ( Valgenesis , or similar).
* Experience with Distributed Control Systems and Historians.
 Bachelor's degree in engineering or its equivalent.
* Bachelor's or Master's Degree in Engineering, Information Systems, Computer Science or the Life Sciences and minimum of four (4\) years experience providing information systems solutions.
 If you come across a role that intrigues you but doesn't perfectly line up with your resume, we encourage you to apply anyway. You could be one step away from work that will transform your life and career.
****Compensation Overview:****
 Devens \- MA \- US: $96,590 \- $117,039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https://careers.bms.com/life\-at\-bms/.
 Benefit Offerings Are Subject To The Terms And Conditions Of The Applicable Plans In Effect At The Time And May Require Enrollment. Our Benefits Include:
* Health Coverage: Medical, pharmacy, dental, and vision care.
* Wellbeing Support: Programs such as BMS Well\-Being Account, BMS Living Life Better, and Employee Assistance Programs (EAP).
* Financial Well\-being and Protection: 401(k) plan, short\- and long\-term disability, life insurance, accident insurance, supplemental health insurance, business travel protection, personal liability protection, identity theft benefit, legal support, and survivor support.
**Work\-life benefits include:**
 Paid Time Off
* US Exempt Employees: flexible time off (unlimited, with manager approval, 11 paid national holidays (not applicable to employees in Phoenix, AZ, Puerto Rico or Rayzebio employees)
* Phoenix, AZ, Puerto Rico and Rayzebio Exempt, Non\-Exempt, Hourly Employees: 160 hours annual paid vacation for new hires with manager approval, 11 national holidays, and 3 optional holidays
 Based on eligibility\*, additional time off for employees may include unlimited paid sick time, up to 2 paid volunteer days per year, summer hours flexibility, leaves of absence for medical, personal, parental, caregiver, bereavement, and military needs and an annual Global Shutdown between Christmas and New Years Day.
 All global employees full and part\-time who are actively employed at and paid directly by BMS at the end of the calendar year are eligible to take advantage of the Global Shutdown.
* Eligibility Disclosure: T he summer hours program is for United States (U.S.) office\-based employees due to the unique nature of their work. Summer hours are generally not available for field sales and manufacturing operations and may also be limited for the capability centers. Employees in remote\-by\-design or lab\-based roles may be eligible for summer hours, depending on the nature of their work, and should discuss eligibility with their manager. Employees covered under a collective bargaining agreement should consult that document to determine if they are eligible. Contractors, leased workers and other service providers are not eligible to participate in the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****Supporting People With Disabilities****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**Candidate Rights**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https://careers.bms.com/california\-residents/
**Data Protection**
 We will never request payments, financial information, or social security numbers during our application or recruitment process. Learn more about protecting yourself at https://careers.bms.com/fraud\-protection .
 Any data processed in connection with role applications will be treated in accordance with applicable data privacy policies and regulations.
 If you believe that the job posting is missing information required by local law or incorrect in any way, please contact BMS at TAEnablement@bms.com . Please provide the Job Title and Requisition number so we can review. Communications related to your application should not be sent to this email and you will not receive a response. Inquiries related to the status of your application should be directed to Chat with Ripley.
 R1597227 : Data Analytics Engineer</t>
        </is>
      </c>
    </row>
    <row r="41">
      <c r="A41" t="inlineStr">
        <is>
          <t>li-4334800170</t>
        </is>
      </c>
      <c r="B41" t="inlineStr">
        <is>
          <t>Senior Data Architect / Senior Data Engineer</t>
        </is>
      </c>
      <c r="C41" t="inlineStr">
        <is>
          <t>WTW</t>
        </is>
      </c>
      <c r="D41" t="inlineStr">
        <is>
          <t>linkedin</t>
        </is>
      </c>
      <c r="E41" t="inlineStr"/>
      <c r="F41" t="inlineStr"/>
      <c r="G41" t="inlineStr">
        <is>
          <t>Atlanta, GA</t>
        </is>
      </c>
      <c r="H41" t="inlineStr"/>
      <c r="I41" t="inlineStr">
        <is>
          <t>**Description**
 As a Central Data Architect, you will play a critical role in empowering and accelerating Line of Business (LOB) data teams by providing clear, scalable, and actionable architectural guidance. Partnering closely with the Enterprise Data Architect, you will define and promote foundational data architecture patterns that enable LOB teams to move faster with confidence, while maintaining alignment with enterprise standards.
 Your mission is to bridge strategic architecture with practical implementation, ensuring LOB teams can rapidly design, build, and scale cloud\-native data solutions, especially Microsoft Azure and Microsoft Fabric, without reinventing the wheel. You will act as a trusted advisor and enabler, helping federated teams adopt best practices, leverage reusable assets, and navigate architectural decisions that drive consistency, innovation, and speed across WTW’s data ecosystem.
 This role is pivotal in fostering a federated data model that balances autonomy with alignment, enabling LOB teams to deliver business value faster while contributing to a cohesive enterprise data strategy.
**The Role**
* Develop and maintain enterprise\-wide data architecture standards, patterns, and best practices aligned with WTW’s “common as possible, distinct as necessary” philosophy.
* Collaborate with embedded data teams to educate, guide, and support the adoption of centralized data architecture strategies.
* Work closely with business and technical teams to provide architectural guidance on data management, data quality, metadata management, and data lineage, ensuring alignment with enterprise data principles and cloud\-native design patterns.
* Lead the creation of conceptual and reference architecture designs that support scalable, secure, and compliant data solutions.
* Contribute to the evolution of WTW’s data platform strategy, including the use of Microsoft Fabric, Azure Synapse, and other modern data services.
* Support the migration of legacy on\-premises data systems to cloud\-native architectures.
* Document and communicate architectural decisions, trade\-offs, and implementation guidance in a clear and consumable format.
* Assist in understanding compliance requirements with respect to data security, privacy, and regulatory requirements across all data solutions.
* Evaluate and recommend tools, technologies, and platforms to support enterprise data initiatives.
* Participate in architecture reviews, design sessions, and governance forums to ensure architectural integrity and alignment.
**Note: Employment\-based non\-immigrant visa sponsorship and/or assistance is not offered for this specific job opportunity.**
**Qualifications**
**The Requirements**
* Substantial experience in data architecture and data engineering, with a strong focus on cloud\-native solutions.
* Solid experience that focused specifically in data architecture roles, ideally within large, federated organizations.
* Deep expertise in Microsoft Azure data services (e.g., Azure Data Factory, Synapse, Data Lake, SQL DB) and Microsoft Fabric.
* Strong understanding of the software development lifecycle (SDLC) and DevOps practices, including CI/CD pipelines using Azure DevOps.
* Demonstrated experience designing and implementing scalable, secure, and performant data solutions in cloud environments.
* Proficiency in data modeling techniques (e.g., dimensional, normalized, data vault) and the ability to apply them appropriately.
* Working experience with modern data architecture paradigms such as Data Mesh, Data Lakehouse, and Event\-Driven architecture.
* Excellent communication and interpersonal skills, with a proven ability to influence and collaborate across diverse teams.
* Strong documentation skills and a passion for sharing knowledge.
* Familiarity with data governance, compliance, and data residency considerations.
* WTW core competencies: Customer Focus, Problem Solving, Action Oriented, Strategic Agility, Results Focus, and Organizing \&amp; Planning.
* Preferred Qualifications
+ Microsoft Certified: Azure Solutions Architect Expert or Microsoft Fabric Analytics Engineer Associate.
+ Experience working in a federated data architecture model.
+ Experience with enterprise data strategy development and implementation.
+ Past work with multi\-cloud or hybrid cloud data architectures.
+ Familiarity with WTW’s internal data architecture frameworks and tooling is a plus.
**Compensation And Benefits**
 Base salary range and benefits information for this position are being included in accordance with requirements of various state/local pay transparency legislation. Please note that salaries may vary for different individuals in the same role based on several factors, including but not limited to location of the role, individual competencies, education/professional certifications, qualifications/experience, performance in the role and potential for revenue generation (Producer roles only).
**Company Benefits**
 WTW provides a competitive benefit package which includes the following (eligibility requirements apply):
* Health and Welfare Benefits: Medical (including prescription coverage), Dental, Vision, Health Savings Account, Commuter Account, Health Care and Dependent Care Flexible Spending Accounts, Group Accident, Group Critical Illness, Life Insurance, AD\&amp;D, Group Legal, Identify Theft Protection, Wellbeing Program and Work/Life Resources (including Employee Assistance Program)
* Leave Benefits: Paid Holidays, Annual Paid Time Off (includes state/local paid leave where required), Short\-Term Disability, Long\-Term Disability, Other Leaves (e.g., Bereavement, FMLA, ADA, Jury Duty, Military Leave, and Parental and Adoption Leave), Paid Time Off (only included for Washington roles)
* Retirement Benefits: Qualified contributory pension plan (if eligible) and 401(k) plan with annual nonelective company contribution. Non\-qualified retirement plans available to senior level colleagues who satisfy the plans’ eligibility requirements.
 Pursuant to the San Francisco Fair Chance Ordinance and Los Angeles County Fair Chance Ordinance for Employers, we will consider for employment qualified applicants with arrest and conviction records.
**EOE, including disability/vets**</t>
        </is>
      </c>
    </row>
    <row r="42">
      <c r="A42" t="inlineStr">
        <is>
          <t>li-4341570158</t>
        </is>
      </c>
      <c r="B42" t="inlineStr">
        <is>
          <t>Data Engineer - Kafka</t>
        </is>
      </c>
      <c r="C42" t="inlineStr">
        <is>
          <t>Ahold Delhaize USA</t>
        </is>
      </c>
      <c r="D42" t="inlineStr">
        <is>
          <t>linkedin</t>
        </is>
      </c>
      <c r="E42" t="inlineStr"/>
      <c r="F42" t="inlineStr"/>
      <c r="G42" t="inlineStr">
        <is>
          <t>Chicago, IL</t>
        </is>
      </c>
      <c r="H42" t="inlineStr"/>
      <c r="I42" t="inlineStr">
        <is>
          <t>**Category/Area of Expertise:** 
 IT \&amp; Technology
**Job Requisition:** 
 466844
**Address:** 
 USA\-IL\-Chicago\-300 South Riverside Plaza
**Store Code:** 
 Architecture, Strategy \&amp; Developmen (5119314\)
 Ahold Delhaize USA, a division of global food retailer Ahold Delhaize, is part of the U.S. family of brands, which includes five leading omnichannel grocery brands \- Food Lion, Giant Food, The GIANT Company, Hannaford and Stop \&amp; Shop. Our associates support the brands with a wide range of services, including Finance, Legal, Sustainability, Commercial, Digital and E\-commerce, Technology and more.
**Primary Purpose:**
 The
 **Data Engineer II** 
 contributes to the expanding and optimizing our data and data pipeline architecture, as well as optimizing data flow and collection for cross functional teams. They will contribute to our data initiatives and will ensure optimal data delivery architecture is consistent throughout ongoing projects. They engage through the entire lifecycle of a project from data mapping, data pipelines, data modeling, and finally data consumption. They must be self\-directed and comfortable supporting the data needs of multiple teams, systems, and products. They will learn to optimize or even re\-design our company's data architecture to support our next generation of products and data initiatives. They can take on smaller projects from start to finish, work on problems of moderate scope where analysis of situations or data requires a review of a variety of factors and trace issues to their source. They develop solutions to a variety of problems of moderate scope and complexity.
 Our flexible/ hybrid work schedule includes 3 in\-person days at one of our core locations and 2 remote days. Our core office locations include Salisbury, NC, Chicago, IL, and Quincy, MA.
 Applicants must be currently authorized to work in the United States on a full\-time basis.
**Duties \&amp; Responsibilities:**
* Solves simple to moderate application errors, resolves application problems, following up promptly with all appropriate customers and IT personnel.
* Reviews and contributes to QA test plans and supports QA team during test execution.
* Participates in developing streaming data applications (Kafka), data transformation and data pipelines.
* Ensures change control and change management procedures are followed within the program/project as they relate to requirements.
* Able to interpret requirement documents, contributes to creating functional design documents as a part of data development life cycle.
* Documents all phases of work including gathering requirements, architectural diagrams, and other program technical specifications using current specified design standards for new or revised solutions.
* Relates information from various sources to draw logical conclusions.
* Conducts unit testing on data streams.
* Conducts data lineage and impact analysis as a part of the change management process.
* Conducts data analysis (SQL, Excel, Data Discovery, etc.) on legacy systems and new data sources.
* Creates source to target data mappings for data pipelines and integration activities.
* Assists in identifying the impact of proposed application development/enhancements projects.
* Performs data profiling and process analysis to understand key source systems and uses knowledge of application features and functions to assess scope and impact of business needs.
* Implement and maintain data governance policies and procedures to ensure data quality, security and compliance
* Ensure operational stability of a 24/7/365 grocery retail environment by providing technical support, system monitoring, and issue resolution which may be required during off\-hours, weekends, and holidays as needed.
**Qualifications:**
* Bachelors Degree in Computer Science or Technical field; equivalent trainings/certifications/experience equivalency will be considered
* 3 or more years of equivalent experience in relevant job or field of technology
* Experience with Kafka
* Experience with Databricks or similar
**Preferred Qualifications:**
* Masters Degree in relevant field of study preferred, Additional trainings or certifications in relevant field of study preferred
* Experience in Agile teams and or Product/Platform based operating model
* Experience in retail or grocery preferred
 \#DICEJobs
 Salary Range: $101,360 \- $152,040
 Actual compensation offered to a candidate may vary based on their unique qualifications and experience, internal equity, and market conditions. Final compensation decisions will be made in accordance with company policies and applicable laws.
 At Ahold Delhaize USA, we provide services to one of the largest portfolios of grocery companies in the nation, and we're actively seeking top talent.
 Our team shares a common motivation to drive change, take ownership and enable our brands to better care for their customers. We thrive on supporting great local grocery brands and their strategies.
 Our associates are the heartbeat of our organization. We are committed to offering a welcoming work environment where all associates can succeed and thrive. Guided by our values of courage, care, teamwork, integrity (and even a little humor), we are dedicated to being a great place to work.
 We believe in collaboration, curiosity, and continuous learning in all that we think, create and do. While building a culture where personal and professional growth are just as important as business growth, we invest in our people, empowering them to learn, grow and deliver at all levels of the business.</t>
        </is>
      </c>
    </row>
    <row r="43">
      <c r="A43" t="inlineStr">
        <is>
          <t>li-4352003415</t>
        </is>
      </c>
      <c r="B43" t="inlineStr">
        <is>
          <t>Senior Data Engineer</t>
        </is>
      </c>
      <c r="C43" t="inlineStr">
        <is>
          <t>Fisher Investments</t>
        </is>
      </c>
      <c r="D43" t="inlineStr">
        <is>
          <t>linkedin</t>
        </is>
      </c>
      <c r="E43" t="inlineStr"/>
      <c r="F43" t="inlineStr"/>
      <c r="G43" t="inlineStr">
        <is>
          <t>Camas, WA</t>
        </is>
      </c>
      <c r="H43" t="inlineStr"/>
      <c r="I43" t="inlineStr">
        <is>
          <t>**Overview**
 It's an exciting time to be a member of the Fisher Investments Technology Department. We're investing in the future of our firm's technology and are building our team to achieve global growth. We are looking for a Senior Data Engineer to support our Enterprise Data Management team. If you are looking for an opportunity to make a difference as we develop scalable and strategic solutions to support our global growth, we want to hear from you!
**The Opportunity:**
 Fisher Investments is looking for a Senior Data Engineer – Data to design and deliver modern data solutions using cloud\-based platforms and AI\-driven innovations. You will partner with business, technology, and governance teams to enable scalable, secure and compliant data platforms that power advanced analytics and AI. You will act as the enterprise expert for designing, developing, and optimizing data processing systems and pipelines used to populate data into transactional databases, data warehouses, data marts, or other data repositories. You will also coordinate with other IT teams to configure and implement security, monitoring, tooling, and related capabilities as they apply to their assigned systems. You will report to the AVP of Data Delivery and Data Governance.
**The Day\-to\-Day:**
* Use Agile practices to elicit and refine requirements through an iterative process of planning, defining acceptance criteria, prioritizing, developing and delivering enterprise data asset solutions in collaboration with business intelligence teams or other IT teams
* Develop, configure, customize and manage integration tools, databases, warehouses and analytical systems with the use of data related software
* Design, build, and deploy data extraction, transformation, and loading processes and pipelines from various sources including databases, APIs, and data files
* Develop and deploy structured, semi\-structured, and unstructured data storage models such as data vault or dimensional modeling on a various platforms to meet business requirements
* Coordinate security, application monitoring, development tooling, and related capabilities with responsible teams
* Provide operational support and incident management for data pipelines and data flows, including proactively updating internal clients and relevant parties on status changes and issues encountered
* Author and maintain accurate and up\-to\-date documentation for processes, procedures, and technical designs
* Coach junior data and business intelligence personnel across the company, including developing material and guiding junior personnel on their technical skill growth
**Your Qualifications:**
* 15\+ years' experience developing data\-related solutions and software
* 10\+ years of experience working with relational databases and applying it in various applications, including within the Microsoft Azure platform
* 4\+ years of experience with multiple cloud technologies in the Microsoft Stack (Azure IaaS and PaaS) along with familiarity with alternative cloud technologies
* 4\+ years of experience designing and development on\-premises and cloud\-based (Azure) infrastructure and platform components
* 4\+ years of hands\-on development and deployment experience with Azure cloud using T\-SQL, Azure SQL, Azure Storage, Azure Data Factory, Azure Synapse, Cosmos DB, GitHub, Azure DevOps, and CI/CD pipelines
* Advanced knowledge of Extract/Transform/Load (ETL) and/or Extract/Load/Transform (ELT) tools, including both batch and real\-time data transmission applications such as SSIS, Informatica, Kafka, Spark, MuleSoft, or equivalent software
* Advanced knowledge of database technologies such as Microsoft SQL Server, Oracle, or NoSQL databases
* Advanced knowledge of multiple programming languages, such as Python, SQL, Scala, or similar.
* Advanced knowledge of IT infrastructure standards and tools, such as application performance monitoring, IT service management, or DevOps software
* Bachelor's degree in Computer Science, Information Technology, or other relevant field
**Compensation:**
* $130,000 \- $185,000 base salary per year for employees in the state of WA. New hires should expect to start at the lower end of the range depending on experience
* Eligible for a discretionary bonus based on firm and individual performance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t>
        </is>
      </c>
    </row>
    <row r="44">
      <c r="A44" t="inlineStr">
        <is>
          <t>li-4346151647</t>
        </is>
      </c>
      <c r="B44" t="inlineStr">
        <is>
          <t>Data Engineer Lead</t>
        </is>
      </c>
      <c r="C44" t="inlineStr">
        <is>
          <t>Old National Bank</t>
        </is>
      </c>
      <c r="D44" t="inlineStr">
        <is>
          <t>linkedin</t>
        </is>
      </c>
      <c r="E44" t="inlineStr"/>
      <c r="F44" t="inlineStr"/>
      <c r="G44" t="inlineStr">
        <is>
          <t>Lake Elmo, MN</t>
        </is>
      </c>
      <c r="H44" t="inlineStr"/>
      <c r="I44" t="inlineStr">
        <is>
          <t>**Overview**
 Old National Bank has been serving clients and communities since 1834\. With over $70 billion in total assets, we are a regional powerhouse deeply rooted in the communities we serve. As a trusted partner, we thrive on helping our clients achieve their goals and dreams, and we are committed to social responsibility and investing in our communities through volunteering and charitable giving.
 We continually seek highly motivated and talented individuals as our people are critical to our success. In return, we offer competitive compensation with our salary and incentive program, in addition to medical, dental, and vision insurance. 401K, continuing education opportunities and an employee assistance program are also included in our benefit suite. Old National also offers a variety of Impact Network Groups led by team members who are passionate about driving engagement, creating awareness of diverse backgrounds and experiences, and building inclusion across the organization. We offer a unique opportunity to join a growing, community and client\-focused company that is firmly rooted in its core values.
**Responsibilities**
**Salary Range**
 The salary range for this position is $98,400 \- $199,000 per year. Final compensation will be determined by location, skills, experience, qualifications and the career level at which the position is filled.
 We are currently seeking a Cloud Data Engineer Lead which requires a high\-level professional that is responsible for designing, developing, and maintaining the data architecture in our organization. This role is responsible for overseeing the technical aspects of data management, including data integration, processing, storage, and retrieval.
 The Cloud Data Engineer Lead provides technical leadership to a team of Data Engineers in the enablement and support of our cloud data platform, creation and maintenance of data pipelines, data product development, and data governance patterns to ensure the timeliness and quality of data. The role is responsible for ensuring that data is accurate, reliable, and available to Analysts, Data Scientists, and other stakeholders within our organization.
 Our Data Engineering teams work in a highly collaborative environments, engage in daily standups, operate within Agile development practices, and participate in a GitOps development model in that everything is code.
 We are an in\-office working environment. For this role we are considering the following locations; Evansville IN, Chicago at 8750 W. Bryn Mawr (near Rosemont and the Cumberland Blue Line station), Lake Elmo MN, St. Paul MN, Minneapolis MN, and St. Louis Park MN.
**Key Accountabilities**
**Key Accountability 1: Data Engineering and Architecture Strategic Leadership**
* Provide direction for the organization’s data engineering and architecture strategy.
* Make final decisions on data infrastructure design and tool selection, balancing business needs with technical feasibility.
* Collaborate on requirements gathering while owning the architectural vision and execution.
* Champion data management best practices across the organization.
**Key Accountability 2: Engineering Execution and Technical Implementation**
* Write production\-quality code and implement scalable ETL pipelines using tools like AWS, S3, Glue, Lambda, and Databricks.
* Apply business intelligence best practices such as dimensional modeling and distributed data processing.
* Design, build, and maintain modern cloud\-based data platforms to support enterprise data needs including integrations, analytics, and AI.
**Key Accountability 3: Team Development and Cross\-Functional Collaboration**
* Bootstrap and grow the data engineering team, setting standards and mentoring new members.
* Translate business requirements into technical solutions, ensuring alignment with broader organizational goals.
* Enable data\-driven decision\-making by delivering reliable analytics pipelines and insights.
**Key Competencies for Position \-**
* Promotes Change \- Actively seeks information to understand the rationale, implications, and impact for changes. Remains agile by quickly modifying daily behavior, leveraging resources, and trying new approaches to effectively embrace change. Willing to act quickly, learn and adjust as needed. Identifies and recommends changes to leadership to improve performance. Aligns activities to meet individual, team and organizational goals
* Strategy in Action \- Breaks down larger goals into smaller achievable goals and communicates how they are contributing to the broader goal. Actively seeks to understand factors and trends that may influence role. Anticipates risks and develops contingency plans to manage risks. Identifies opportunities for improvement and seeks insights from other sources to generate potential solutions. Aligns activities to meet individual, team and organizational goals.
* Compelling Communication \- Effectively and transparently shares information and ideas with others. Tailors the delivery of communication in a way that engages the audience and that is easy to understand and retain. Unites others towards common goal. Asks for others' opinions and ideas and listens actively to gain their support when clarifying expectations, agreeing on a solution and checking for satisfaction.
* Makes Decisions \&amp; Solves Problems \- Takes ownership of the problem while collaborating with others on a resolution with an appropriate level of urgency. Collaborates and seeks to understand the root causes of problems. Evaluates the implications of new information or events and recommends solutions using decisions that are sound based on what is known at the time. Takes action that is consistent with available facts, constraints and probable consequences.
**Qualifications And Education Requirements**
* BS. degree in a related field and 7 to 9 years professional experience OR a total of 7 plus years' experience as Senior Data Engineer, Senior Software Engineer, or equivalent.
* 5 plus years working in AWS Cloud (AWS Solution Architect Certification is a plus) and hybrid cloud environments.
* 7 plus years working with data warehouse platforms.
* Coding experience in SQL and scripting languages such as Python and Bash and expert working knowledge of the Spark platform, preferably in a cloud data platform environment such as Databricks.
* Experience working with large and complex data sets with multi\-terabyte scale is a plus.
* Knowledge of Agile and GitOps methodologies
* Banking experience / knowledge is a plus
* Ability to communicate effectively, both orally and in writing, with clients and groups of employees to build and maintain positive relationships
* Strong leadership and communication skills. You must be able to collaborate with other teams, effectively manage projects, and communicate technical information to non\-technical stakeholders.
**Old National is proud to be an equal opportunity employer focused on fostering an inclusive workplace and committed to hiring a workforce comprised of diverse backgrounds, cultures and thinking styles.**
 As such, all qualified applicants will receive consideration for employment without regard to race, color, religion, sex, national origin, protected veteran status, status as a qualified individual with disability, sexual orientation, gender identity or any other characteristic protected by law.
 We do not accept resumes from external staffing agencies or independent recruiters for any of our openings unless we have an agreement signed by the Director of Talent Acquisition, SVP, to fill a specific position.
**Our culture is firmly rooted in our core values.**
**We are optimistic. We are collaborative. We are inclusive. We are agile. We are ethical.**
**We are Old National Bank.** 
**Join our team!**</t>
        </is>
      </c>
    </row>
    <row r="45">
      <c r="A45" t="inlineStr">
        <is>
          <t>li-4354913292</t>
        </is>
      </c>
      <c r="B45" t="inlineStr">
        <is>
          <t>Databricks Data Engineer - Senior Consultant</t>
        </is>
      </c>
      <c r="C45" t="inlineStr">
        <is>
          <t>Deloitte</t>
        </is>
      </c>
      <c r="D45" t="inlineStr">
        <is>
          <t>linkedin</t>
        </is>
      </c>
      <c r="E45" t="inlineStr"/>
      <c r="F45" t="inlineStr"/>
      <c r="G45" t="inlineStr">
        <is>
          <t>San Francisco, CA</t>
        </is>
      </c>
      <c r="H45" t="inlineStr"/>
      <c r="I45" t="inlineStr">
        <is>
          <t>**Job Title: Senior Consultant \- Databricks Senior Data Engineer**
**Job Summary**
 As a Senior Data Engineer, you will oversee the end\-to\-end design, deployment, and optimization of enterprise\-scale data engineering solutions using Databricks on any major cloud platform (AWS, Azure, or GCP). This highly strategic role focuses on leading innovation in big data architecture and analytics, shaping best practices, advising senior stakeholders, and ensuring that data solutions align with business objectives and drive measurable results.
 Recruiting for this role ends on 2/13/2026\.
**Work you'll do**
**Key Responsibilities**
* Architect and Deliver Solutions: Lead the development, implementation, and scaling of advanced data engineering solutions using Databricks across AWS, Azure, or GCP environments.
* Champion Best Practices: Establish, document, and promote best\-in\-class approaches for data architecture, integration, and modelling.
* Pipeline Ownership: Oversee the design, development, and maintenance of robust data pipelines and data architectures that support large\-scale, enterprise data needs.
* Drive Excellence: Initiate and manage efforts to improve data quality, operational efficiency, and process scalability.
* Technology Leadership: Evaluate, pilot, and integrate new big data and analytics technologies, ensuring the organization remains at the cutting edge.
* Strategic Data Governance: Consult on, design, and implement governance, security, and compliance strategies tailored to modern cloud data ecosystems.
* Team Leadership and Mentoring: Lead, coach, and develop teams of data engineers and architects, fostering technical growth and effective project delivery.
* Stakeholder Engagement: Communicate technical concepts and business value to diverse stakeholders, including executives, business leads, and technology teams.
* DevOps and Automation: Oversee the implementation of CI/CD practices with tools such as Azure DevOps, AWS Code Pipeline, Jenkins, TFS, or PowerShell for streamlined deployments and operations.
**Qualifications**
- Bachelor's or Master's degree in Computer Science, Engineering, or a related field (Master's preferred).
- 5\+ years of hands\-on experience in data engineering with a strong focus on Databricks, deployed on any major cloud (AWS, Azure, GCP).
- Minimum of 5 years Technical Proficiency:
* Expertise with cloud\-native databases, storage solutions, and distributed compute platforms.
* Deep understanding of Lakehouse architecture, Apache Spark, Delta Lake, and related big data technologies.
* Advanced skills in data warehousing, 3NF, dimensional modeling, and enterprise\-level data lakes.
* Experience with Databricks components including Delta Live Tables, Autoloader, Structured Streaming, Databricks Workflows, and orchestration tools (e.g., Apache Airflow).
* Expertise in designing and supporting incremental data loads and building metadata\-driven ingestion/data quality frameworks using PySpark.
* Hands\-on experience with Databricks Unity Catalog and implementing fine\-grained security and access control.
* Proven track record in deploying code and solutions via automated CI/CD pipelines.
* A minimum of 1 year experience leadership in managing complex, cross\-functional data projects and technical teams.
* Experience with performance optimization of Data engineering pipelines, code, compute resources
* Ability to travel up to 50%, on average, based on the work you do and the clients and industries/sectors you serve
* Limited immigration sponsorship may be available.
**Preferred** 
 :
* Comprehensive knowledge of the AWS, Azure, and GCP cloud ecosystems and associated big data stacks is strongly preferred.
* Demonstrated skill in performance tuning and optimization within Databricks/Apache Spark environments.
* Stays current with the latest Databricks feature releases and platform enhancements.
* Exceptional communication and stakeholder management abilities, including comfort interfacing with executive leadership.
* Experience with Databricks Lakeflow is plus
* Experience in AI/ML is plus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$136,700\- $188,900\.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46">
      <c r="A46" t="inlineStr">
        <is>
          <t>li-4345998946</t>
        </is>
      </c>
      <c r="B46" t="inlineStr">
        <is>
          <t>Data Engineer Lead</t>
        </is>
      </c>
      <c r="C46" t="inlineStr">
        <is>
          <t>Old National Bank</t>
        </is>
      </c>
      <c r="D46" t="inlineStr">
        <is>
          <t>linkedin</t>
        </is>
      </c>
      <c r="E46" t="inlineStr"/>
      <c r="F46" t="inlineStr"/>
      <c r="G46" t="inlineStr">
        <is>
          <t>Evansville, IN</t>
        </is>
      </c>
      <c r="H46" t="inlineStr"/>
      <c r="I46" t="inlineStr">
        <is>
          <t>**Overview**
 Old National Bank has been serving clients and communities since 1834\. With over $70 billion in total assets, we are a regional powerhouse deeply rooted in the communities we serve. As a trusted partner, we thrive on helping our clients achieve their goals and dreams, and we are committed to social responsibility and investing in our communities through volunteering and charitable giving.
 We continually seek highly motivated and talented individuals as our people are critical to our success. In return, we offer competitive compensation with our salary and incentive program, in addition to medical, dental, and vision insurance. 401K, continuing education opportunities and an employee assistance program are also included in our benefit suite. Old National also offers a variety of Impact Network Groups led by team members who are passionate about driving engagement, creating awareness of diverse backgrounds and experiences, and building inclusion across the organization. We offer a unique opportunity to join a growing, community and client\-focused company that is firmly rooted in its core values.
**Responsibilities**
**Salary Range**
 The salary range for this position is $98,400 \- $199,000 per year. Final compensation will be determined by location, skills, experience, qualifications and the career level at which the position is filled.
 We are currently seeking a Cloud Data Engineer Lead which requires a high\-level professional that is responsible for designing, developing, and maintaining the data architecture in our organization. This role is responsible for overseeing the technical aspects of data management, including data integration, processing, storage, and retrieval.
 The Cloud Data Engineer Lead provides technical leadership to a team of Data Engineers in the enablement and support of our cloud data platform, creation and maintenance of data pipelines, data product development, and data governance patterns to ensure the timeliness and quality of data. The role is responsible for ensuring that data is accurate, reliable, and available to Analysts, Data Scientists, and other stakeholders within our organization.
 Our Data Engineering teams work in a highly collaborative environments, engage in daily standups, operate within Agile development practices, and participate in a GitOps development model in that everything is code.
 We are an in\-office working environment. For this role we are considering the following locations; Evansville IN, Chicago at 8750 W. Bryn Mawr (near Rosemont and the Cumberland Blue Line station), Lake Elmo MN, St. Paul MN, Minneapolis MN, and St. Louis Park MN.
**Key Accountabilities**
**Key Accountability 1: Data Engineering and Architecture Strategic Leadership**
* Provide direction for the organization’s data engineering and architecture strategy.
* Make final decisions on data infrastructure design and tool selection, balancing business needs with technical feasibility.
* Collaborate on requirements gathering while owning the architectural vision and execution.
* Champion data management best practices across the organization.
**Key Accountability 2: Engineering Execution and Technical Implementation**
* Write production\-quality code and implement scalable ETL pipelines using tools like AWS, S3, Glue, Lambda, and Databricks.
* Apply business intelligence best practices such as dimensional modeling and distributed data processing.
* Design, build, and maintain modern cloud\-based data platforms to support enterprise data needs including integrations, analytics, and AI.
**Key Accountability 3: Team Development and Cross\-Functional Collaboration**
* Bootstrap and grow the data engineering team, setting standards and mentoring new members.
* Translate business requirements into technical solutions, ensuring alignment with broader organizational goals.
* Enable data\-driven decision\-making by delivering reliable analytics pipelines and insights.
**Key Competencies for Position \-**
* Promotes Change \- Actively seeks information to understand the rationale, implications, and impact for changes. Remains agile by quickly modifying daily behavior, leveraging resources, and trying new approaches to effectively embrace change. Willing to act quickly, learn and adjust as needed. Identifies and recommends changes to leadership to improve performance. Aligns activities to meet individual, team and organizational goals
* Strategy in Action \- Breaks down larger goals into smaller achievable goals and communicates how they are contributing to the broader goal. Actively seeks to understand factors and trends that may influence role. Anticipates risks and develops contingency plans to manage risks. Identifies opportunities for improvement and seeks insights from other sources to generate potential solutions. Aligns activities to meet individual, team and organizational goals.
* Compelling Communication \- Effectively and transparently shares information and ideas with others. Tailors the delivery of communication in a way that engages the audience and that is easy to understand and retain. Unites others towards common goal. Asks for others' opinions and ideas and listens actively to gain their support when clarifying expectations, agreeing on a solution and checking for satisfaction.
* Makes Decisions \&amp; Solves Problems \- Takes ownership of the problem while collaborating with others on a resolution with an appropriate level of urgency. Collaborates and seeks to understand the root causes of problems. Evaluates the implications of new information or events and recommends solutions using decisions that are sound based on what is known at the time. Takes action that is consistent with available facts, constraints and probable consequences.
**Qualifications And Education Requirements**
* BS. degree in a related field and 7 to 9 years professional experience OR a total of 7 plus years' experience as Senior Data Engineer, Senior Software Engineer, or equivalent.
* 5 plus years working in AWS Cloud (AWS Solution Architect Certification is a plus) and hybrid cloud environments.
* 7 plus years working with data warehouse platforms.
* Coding experience in SQL and scripting languages such as Python and Bash and expert working knowledge of the Spark platform, preferably in a cloud data platform environment such as Databricks.
* Experience working with large and complex data sets with multi\-terabyte scale is a plus.
* Knowledge of Agile and GitOps methodologies
* Banking experience / knowledge is a plus
* Ability to communicate effectively, both orally and in writing, with clients and groups of employees to build and maintain positive relationships
* Strong leadership and communication skills. You must be able to collaborate with other teams, effectively manage projects, and communicate technical information to non\-technical stakeholders.
**Old National is proud to be an equal opportunity employer focused on fostering an inclusive workplace and committed to hiring a workforce comprised of diverse backgrounds, cultures and thinking styles.**
 As such, all qualified applicants will receive consideration for employment without regard to race, color, religion, sex, national origin, protected veteran status, status as a qualified individual with disability, sexual orientation, gender identity or any other characteristic protected by law.
 We do not accept resumes from external staffing agencies or independent recruiters for any of our openings unless we have an agreement signed by the Director of Talent Acquisition, SVP, to fill a specific position.
**Our culture is firmly rooted in our core values.**
**We are optimistic. We are collaborative. We are inclusive. We are agile. We are ethical.**
**We are Old National Bank.** 
**Join our team!**</t>
        </is>
      </c>
    </row>
    <row r="47">
      <c r="A47" t="inlineStr">
        <is>
          <t>li-4351413511</t>
        </is>
      </c>
      <c r="B47" t="inlineStr">
        <is>
          <t>Senior Data Engineer</t>
        </is>
      </c>
      <c r="C47" t="inlineStr">
        <is>
          <t>AMEND Consulting</t>
        </is>
      </c>
      <c r="D47" t="inlineStr">
        <is>
          <t>linkedin</t>
        </is>
      </c>
      <c r="E47" t="inlineStr"/>
      <c r="F47" t="inlineStr"/>
      <c r="G47" t="inlineStr">
        <is>
          <t>Cincinnati, OH</t>
        </is>
      </c>
      <c r="H47" t="inlineStr"/>
      <c r="I47" t="inlineStr">
        <is>
          <t>**About the job** 
**About AMEND:** 
 AMEND is a management consulting firm based in Cincinnati, OH with areas of focus in operations, analytics, and technology. We are focused on strengthening the people, processes, and systems in organizations to generate a holistic transformation. Our three\-tiered approach provides a distinct competitive edge and allows us to build strong relationships and create customized solutions for every client. This is an incredible time to step into a growing team where everyone is aligned to a common goal to change lives, transform businesses, and make a positive impact on anything we touch.
**Overview:** 
 The Senior Data Engineer consultant role is an incredibly exciting position in the fastest growing segment of AMEND. You will be working to solve real\-world problems by designing cutting edge analytic solutions while surrounded by a team of world class talent. You will be entering an environment of explosive growth with ample opportunity for development. We are looking for individuals who can go into a client and optimize (or re\-design) companies data architecture, who are the combination of a change agent, technical leader and passionate about transforming companies for the better. We need someone who is a problem solver, a critical thinker, and is always wanting to go after new things; you’ll never be doing the same thing twice!
**Job Tasks:** 
* Create and maintain optimal data pipeline architecture
* Assemble large, complex data sets that meet functional / non\-functional business requirements
* Identify, design, and implement internal process improvements: automating manual processes, optimizing data delivery, re\-designing infrastructure for greater scalability, etc.
* Build the infrastructure required for optimal extraction, transformation, and loading of data from a wide variety of data sources
* Build analytics tools that utilize the data pipeline to provide actionable insights into customer acquisition, operational efficiency, and other key business performance metrics
* Work with stakeholders including the Executive, Product, Data, and Design teams to assist with data\-related technical issues and support their data infrastructure needs
* Define project requirements by identifying project milestones, phases, and deliverables
* Execute project plan, report progress, identify and resolve problems, and recommend further actions
* Delegate tasks to appropriate resources as project requirements dictate
* Design, develop, and deliver audience training and adoption methods and materials
**Qualifications:** 
* Advanced working SQL knowledge and experience working with relational databases, query authoring (SQL) as well as working familiarity with a variety of databases. Databricks and DBT experience is a plus
* Experience building and optimizing data pipelines, architectures, and data sets
* Experience performing root cause analysis on internal and external data and processes to answer specific business questions and identify opportunities for improvement
* Strong analytic skills related to working with structured and unstructured datasets
* Build processes supporting data transformation, data structures, metadata, dependency, and workload management
* A successful history of manipulating, processing, and extracting value from large, disconnected datasets
* Ability to interface with multiple other business functions (internally and externally)
* Desire to build analytical competencies in others within the business
* Curiosity to ask questions and challenge the status quo
* Creativity to devise out\-of\-the\-box solutions
* Ability to travel as needed to meet client requirements
**What’s in it for you?** 
* Competitive pay and bonus
* Travel incentive bonus structure
* Flexible time off
* Investment in your growth and development
* Full Health, Vision, Dental, and Life Benefits
* Paid parental leave
* 3:1 charity match
 All this to say – we are looking for talented people who are excited to make an impact on our clients. If this job description isn’t a perfect match for your skillset, but you are talented, eager to learn, and passionate about our work, please apply! Our recruiting process is centered around you as an individual and finding the best place for you to thrive at AMEND, whether it be with the specific title on this posting or something different. One recruiting conversation with us has the potential to open you up to our entire network of opportunities, so why not give it a shot? We’re looking forward to connecting with you.
 \*Applicants must be authorized to work for any employer in the U.S. We are unable to sponsor or take over sponsorship of employment Visa at this time.\*</t>
        </is>
      </c>
    </row>
    <row r="48">
      <c r="A48" t="inlineStr">
        <is>
          <t>li-4282843546</t>
        </is>
      </c>
      <c r="B48" t="inlineStr">
        <is>
          <t>Databricks Data Engineer - Senior - Consulting - Location Open</t>
        </is>
      </c>
      <c r="C48" t="inlineStr">
        <is>
          <t>EY</t>
        </is>
      </c>
      <c r="D48" t="inlineStr">
        <is>
          <t>linkedin</t>
        </is>
      </c>
      <c r="E48" t="inlineStr"/>
      <c r="F48" t="inlineStr"/>
      <c r="G48" t="inlineStr">
        <is>
          <t>St Louis, MO</t>
        </is>
      </c>
      <c r="H48" t="inlineStr"/>
      <c r="I4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9">
      <c r="A49" t="inlineStr">
        <is>
          <t>li-4355002534</t>
        </is>
      </c>
      <c r="B49" t="inlineStr">
        <is>
          <t>Databricks Data Engineer - Senior Consultant</t>
        </is>
      </c>
      <c r="C49" t="inlineStr">
        <is>
          <t>Deloitte</t>
        </is>
      </c>
      <c r="D49" t="inlineStr">
        <is>
          <t>linkedin</t>
        </is>
      </c>
      <c r="E49" t="inlineStr"/>
      <c r="F49" t="inlineStr"/>
      <c r="G49" t="inlineStr"/>
      <c r="H49" t="inlineStr"/>
      <c r="I49" t="inlineStr">
        <is>
          <t>**Job Title: Senior Consultant \- Databricks Senior Data Engineer**
**Job Summary**
 As a Senior Data Engineer, you will oversee the end\-to\-end design, deployment, and optimization of enterprise\-scale data engineering solutions using Databricks on any major cloud platform (AWS, Azure, or GCP). This highly strategic role focuses on leading innovation in big data architecture and analytics, shaping best practices, advising senior stakeholders, and ensuring that data solutions align with business objectives and drive measurable results.
 Recruiting for this role ends on 2/13/2026\.
**Work you'll do**
**Key Responsibilities**
* Architect and Deliver Solutions: Lead the development, implementation, and scaling of advanced data engineering solutions using Databricks across AWS, Azure, or GCP environments.
* Champion Best Practices: Establish, document, and promote best\-in\-class approaches for data architecture, integration, and modelling.
* Pipeline Ownership: Oversee the design, development, and maintenance of robust data pipelines and data architectures that support large\-scale, enterprise data needs.
* Drive Excellence: Initiate and manage efforts to improve data quality, operational efficiency, and process scalability.
* Technology Leadership: Evaluate, pilot, and integrate new big data and analytics technologies, ensuring the organization remains at the cutting edge.
* Strategic Data Governance: Consult on, design, and implement governance, security, and compliance strategies tailored to modern cloud data ecosystems.
* Team Leadership and Mentoring: Lead, coach, and develop teams of data engineers and architects, fostering technical growth and effective project delivery.
* Stakeholder Engagement: Communicate technical concepts and business value to diverse stakeholders, including executives, business leads, and technology teams.
* DevOps and Automation: Oversee the implementation of CI/CD practices with tools such as Azure DevOps, AWS Code Pipeline, Jenkins, TFS, or PowerShell for streamlined deployments and operations.
**Qualifications**
- Bachelor's or Master's degree in Computer Science, Engineering, or a related field (Master's preferred).
- 5\+ years of hands\-on experience in data engineering with a strong focus on Databricks, deployed on any major cloud (AWS, Azure, GCP).
- Minimum of 5 years Technical Proficiency:
* Expertise with cloud\-native databases, storage solutions, and distributed compute platforms.
* Deep understanding of Lakehouse architecture, Apache Spark, Delta Lake, and related big data technologies.
* Advanced skills in data warehousing, 3NF, dimensional modeling, and enterprise\-level data lakes.
* Experience with Databricks components including Delta Live Tables, Autoloader, Structured Streaming, Databricks Workflows, and orchestration tools (e.g., Apache Airflow).
* Expertise in designing and supporting incremental data loads and building metadata\-driven ingestion/data quality frameworks using PySpark.
* Hands\-on experience with Databricks Unity Catalog and implementing fine\-grained security and access control.
* Proven track record in deploying code and solutions via automated CI/CD pipelines.
* A minimum of 1 year experience leadership in managing complex, cross\-functional data projects and technical teams.
* Experience with performance optimization of Data engineering pipelines, code, compute resources
* Ability to travel up to 50%, on average, based on the work you do and the clients and industries/sectors you serve
* Limited immigration sponsorship may be available.
**Preferred** 
 :
* Comprehensive knowledge of the AWS, Azure, and GCP cloud ecosystems and associated big data stacks is strongly preferred.
* Demonstrated skill in performance tuning and optimization within Databricks/Apache Spark environments.
* Stays current with the latest Databricks feature releases and platform enhancements.
* Exceptional communication and stakeholder management abilities, including comfort interfacing with executive leadership.
* Experience with Databricks Lakeflow is plus
* Experience in AI/ML is plus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$136,700\- $188,900\.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50">
      <c r="A50" t="inlineStr">
        <is>
          <t>li-4340349719</t>
        </is>
      </c>
      <c r="B50" t="inlineStr">
        <is>
          <t>Staff Analytics Engineer</t>
        </is>
      </c>
      <c r="C50" t="inlineStr">
        <is>
          <t>GE Aerospace</t>
        </is>
      </c>
      <c r="D50" t="inlineStr">
        <is>
          <t>linkedin</t>
        </is>
      </c>
      <c r="E50" t="inlineStr"/>
      <c r="F50" t="inlineStr"/>
      <c r="G50" t="inlineStr">
        <is>
          <t>Dayton, OH</t>
        </is>
      </c>
      <c r="H50" t="inlineStr"/>
      <c r="I50" t="inlineStr">
        <is>
          <t>**Job Description Summary**
 The Staff Analytics Engineer will be responsible for delivering new, commercially re\-usable analytics solutions (Analytic Blueprint Packages) to drive business outcomes.
**Job Description**
**Key Responsibilities:**
* End\-to\-End Implementation: Take ownership of the entire analytics lifecycle, from requirements gathering and data pipeline development to delivering actionable insights and dashboards.
* Data Pipeline Development: Design, develop, and maintain robust ETL/ELT pipelines to process and transform data from various sources into usable formats.
* Data Modeling: Create and maintain optimized data models to support analytics and reporting needs, ensuring data integrity and consistency.
* Understanding Business Processes: Develop a deep understanding of business processes, particularly within supply chain sites, to identify opportunities for improvement and enable tracking of key performance indicators (KPIs) such as Safety, Quality, Delivery, Inventory, and Productivity (SQDIP).
* Collaboration with Business Users: Partner closely with business users to understand their data needs, translate requirements into technical solutions, and ensure analytics solutions align with business goals.
* Data Quality Assurance: Implement data validation and monitoring processes to ensure high\-quality and reliable data for analytics.
* Performance Optimization: Optimize data workflows and queries for efficiency and scalability, ensuring minimal latency and maximum performance.
* Analytics and Visualization: Develop and maintain interactive dashboards and visualizations using Spotfire to enable data\-driven decision\-making across the organization.
* Ownership and Accountability: Act as the primary owner of analytics solutions, ensuring timely delivery, ongoing maintenance, and continuous improvement of data products.
* Documentation and Standards: Develop and maintain documentation for data pipelines, models, and processes, ensuring adherence to best practices and company standards.
* Continuous Improvement: Identify opportunities for process improvement and automation within data workflows and analytics operations.
* Compliance and Security: Ensure data solutions comply with organizational policies, data privacy regulations, and security standards.
**Minimum Qualifications**
* Bachelor’s degree from accredited university or college with minimum of 4 years of professional experience OR Associates degree with minimum of 7 years of professional experience OR High School Diploma with minimum of 9 years of professional experience
* Minimum 4 years of professional experience in data and Analytics
* Note: Military experience is equivalent to professional experience
**Eligibility Requirements**
* Legal authorization to work in the U.S. is required. We will not sponsor individuals for employment visas, now or in the future, for this job opening.
**Preferred Qualifications**
* Proven experience with SQL, Python, and data visualization tools (e.g., Spotfire).
* Familiarity with cloud platforms (e.g., AWS, Azure) and data warehousing solutions (e.g., Snowflake, Redshift).
* Strong understanding of data modelling, ETL/ELT processes, and database design.
* Proficiency in data pipeline tools (e.g., Apache Airflow, dbt, or similar).
* Knowledge of data governance, security, and compliance best practices.
* Excellent problem\-solving and analytical skills.
* Effective communication and collaboration skills to work with business users and cross\-functional teams.
**Desired Qualifications**
* Experience with machine learning workflows and tools.
* Familiarity with Agile methodologies and tools like JIRA.
* Knowledge of GE Aerospace’s FLIGHT DECK operating system and lean principles.
* Experience in the aerospace or manufacturing industry
*This role requires access to U.S. export\-controlled information. Therefore, employment will be contingent upon the ability to prove that you meet the status of a U.S. Person as one of the following: U.S. lawful permanent resident, U.S. Citizen, have been granted asylee or refugee status (i.e., a protected individual under the Immigration and Naturalization Act, 8 U.S.C. 1324b(a)(3\)).*
****Additional Information****
 GE Aerospace offers a great work environment, professional development, challenging careers, and competitive compensation. GE Aerospace is an Equal Opportunity Employer. Employment decisions are made without regard to race, color, religion, national or ethnic origin, sex, sexual orientation, gender identity or expression, age, disability, protected veteran status or other characteristics protected by law.
 GE Aerospace will only employ those who are legally authorized to work in the United States for this opening. Any offer of employment is conditioned upon the successful completion of a drug screen (as applicable).
**Relocation Assistance Provided:** 
 No</t>
        </is>
      </c>
    </row>
    <row r="51">
      <c r="A51" t="inlineStr">
        <is>
          <t>li-4341084939</t>
        </is>
      </c>
      <c r="B51" t="inlineStr">
        <is>
          <t>Data Engineer, Senior</t>
        </is>
      </c>
      <c r="C51" t="inlineStr">
        <is>
          <t>Booz Allen Hamilton</t>
        </is>
      </c>
      <c r="D51" t="inlineStr">
        <is>
          <t>linkedin</t>
        </is>
      </c>
      <c r="E51" t="inlineStr"/>
      <c r="F51" t="inlineStr"/>
      <c r="G51" t="inlineStr">
        <is>
          <t>Huntsville, AL</t>
        </is>
      </c>
      <c r="H51" t="inlineStr"/>
      <c r="I51" t="inlineStr">
        <is>
          <t>**Job Number: R0230139**
 Data Engineer, Senior
**The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engineer like you to help our clients find answers in their data to impact important missions—from fraud detection to cancer research to national intelligence.
 As a Data Engineer at Booz Allen, you’ll help build advanced technology solutions and implement data engineering activities on some of the most mission\-driven projects in the industry. You’ll deploy and develop pipelines and platforms that organize and make disparate data meaningful.
 Here, you’ll work with and guide a multi\-disciplinary team of analysts, data engineers, developers, and data consumers in a fast\-paced, agile environment. You’ll use your experience in analytical exploration and data examination while you manage the assessment, design, building, and maintenance of scalable platforms for your clients.
 Join us. The world can’t wait.
**You Have:** 
* Experience with programming clean, secure, and efficient Java using established coding principles for scripting, data analysis, automation, and data warehousing
* Experience with performing tuning on large datasets in Oracle databases to optimize performance
* Experience with writing scripts to automate processes in the development workflow, such as building, deploying, or managing Java applications
* Experience with CI/CD practices to automate builds, testing, and deployments
* Experience with writing PL or SQL scripts and stored procedures for data manipulation, parsing, and processing within Oracle databases
* Ability to work in a complex enterprise environment and determine the best solution required for business and customer needs
* Ability to manage tasks and projects independently with minimal guidance and direction
* Top Secret clearance
* Bachelor's degree and 10\+ years of experience as a data engineer in a large volume enterprise system, or 14\+ years of experience as a data engineer in a large volume enterprise system in lieu of a degree
**Nice If You Have:** 
* Experience with ETL tools, such as Informatica
* Experience with designing and creating data warehousing solutions
* Experience with DevOps tools and principles for collaboration and automation
* Experience with working in various SDLC models such as Waterfall, Agile, Iterative, or Spiral
* Experience with delivering solutions across all phases of the development lifecycle
* Knowledge of Informatica's role in data warehousing and business intelligence
* Knowledge of the benefits and usage of stored procedures, including for performance optimization and security
* Knowledge of Oracle database concepts, including partitioning for very large databases (VLDBs)
* TS/SCI clearance with a polygraph
**Clearance** 
**:**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$77,500\.00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
 DRE1</t>
        </is>
      </c>
    </row>
    <row r="52">
      <c r="A52" t="inlineStr">
        <is>
          <t>li-4354922980</t>
        </is>
      </c>
      <c r="B52" t="inlineStr">
        <is>
          <t>Databricks Data Engineer - Senior Consultant</t>
        </is>
      </c>
      <c r="C52" t="inlineStr">
        <is>
          <t>Deloitte</t>
        </is>
      </c>
      <c r="D52" t="inlineStr">
        <is>
          <t>linkedin</t>
        </is>
      </c>
      <c r="E52" t="inlineStr"/>
      <c r="F52" t="inlineStr"/>
      <c r="G52" t="inlineStr">
        <is>
          <t>Cincinnati, OH</t>
        </is>
      </c>
      <c r="H52" t="inlineStr"/>
      <c r="I52" t="inlineStr">
        <is>
          <t>**Job Title: Senior Consultant \- Databricks Senior Data Engineer**
**Job Summary**
 As a Senior Data Engineer, you will oversee the end\-to\-end design, deployment, and optimization of enterprise\-scale data engineering solutions using Databricks on any major cloud platform (AWS, Azure, or GCP). This highly strategic role focuses on leading innovation in big data architecture and analytics, shaping best practices, advising senior stakeholders, and ensuring that data solutions align with business objectives and drive measurable results.
 Recruiting for this role ends on 2/13/2026\.
**Work you'll do**
**Key Responsibilities**
* Architect and Deliver Solutions: Lead the development, implementation, and scaling of advanced data engineering solutions using Databricks across AWS, Azure, or GCP environments.
* Champion Best Practices: Establish, document, and promote best\-in\-class approaches for data architecture, integration, and modelling.
* Pipeline Ownership: Oversee the design, development, and maintenance of robust data pipelines and data architectures that support large\-scale, enterprise data needs.
* Drive Excellence: Initiate and manage efforts to improve data quality, operational efficiency, and process scalability.
* Technology Leadership: Evaluate, pilot, and integrate new big data and analytics technologies, ensuring the organization remains at the cutting edge.
* Strategic Data Governance: Consult on, design, and implement governance, security, and compliance strategies tailored to modern cloud data ecosystems.
* Team Leadership and Mentoring: Lead, coach, and develop teams of data engineers and architects, fostering technical growth and effective project delivery.
* Stakeholder Engagement: Communicate technical concepts and business value to diverse stakeholders, including executives, business leads, and technology teams.
* DevOps and Automation: Oversee the implementation of CI/CD practices with tools such as Azure DevOps, AWS Code Pipeline, Jenkins, TFS, or PowerShell for streamlined deployments and operations.
**Qualifications**
- Bachelor's or Master's degree in Computer Science, Engineering, or a related field (Master's preferred).
- 5\+ years of hands\-on experience in data engineering with a strong focus on Databricks, deployed on any major cloud (AWS, Azure, GCP).
- Minimum of 5 years Technical Proficiency:
* Expertise with cloud\-native databases, storage solutions, and distributed compute platforms.
* Deep understanding of Lakehouse architecture, Apache Spark, Delta Lake, and related big data technologies.
* Advanced skills in data warehousing, 3NF, dimensional modeling, and enterprise\-level data lakes.
* Experience with Databricks components including Delta Live Tables, Autoloader, Structured Streaming, Databricks Workflows, and orchestration tools (e.g., Apache Airflow).
* Expertise in designing and supporting incremental data loads and building metadata\-driven ingestion/data quality frameworks using PySpark.
* Hands\-on experience with Databricks Unity Catalog and implementing fine\-grained security and access control.
* Proven track record in deploying code and solutions via automated CI/CD pipelines.
* A minimum of 1 year experience leadership in managing complex, cross\-functional data projects and technical teams.
* Experience with performance optimization of Data engineering pipelines, code, compute resources
* Ability to travel up to 50%, on average, based on the work you do and the clients and industries/sectors you serve
* Limited immigration sponsorship may be available.
**Preferred** 
 :
* Comprehensive knowledge of the AWS, Azure, and GCP cloud ecosystems and associated big data stacks is strongly preferred.
* Demonstrated skill in performance tuning and optimization within Databricks/Apache Spark environments.
* Stays current with the latest Databricks feature releases and platform enhancements.
* Exceptional communication and stakeholder management abilities, including comfort interfacing with executive leadership.
* Experience with Databricks Lakeflow is plus
* Experience in AI/ML is plus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$136,700\- $188,900\.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53">
      <c r="A53" t="inlineStr">
        <is>
          <t>li-4354848801</t>
        </is>
      </c>
      <c r="B53" t="inlineStr">
        <is>
          <t>Databricks Data Engineer - Senior Consultant</t>
        </is>
      </c>
      <c r="C53" t="inlineStr">
        <is>
          <t>Deloitte</t>
        </is>
      </c>
      <c r="D53" t="inlineStr">
        <is>
          <t>linkedin</t>
        </is>
      </c>
      <c r="E53" t="inlineStr"/>
      <c r="F53" t="inlineStr"/>
      <c r="G53" t="inlineStr">
        <is>
          <t>Nashville, TN</t>
        </is>
      </c>
      <c r="H53" t="inlineStr"/>
      <c r="I53" t="inlineStr">
        <is>
          <t>**Job Title: Senior Consultant \- Databricks Senior Data Engineer**
**Job Summary**
 As a Senior Data Engineer, you will oversee the end\-to\-end design, deployment, and optimization of enterprise\-scale data engineering solutions using Databricks on any major cloud platform (AWS, Azure, or GCP). This highly strategic role focuses on leading innovation in big data architecture and analytics, shaping best practices, advising senior stakeholders, and ensuring that data solutions align with business objectives and drive measurable results.
 Recruiting for this role ends on 2/13/2026\.
**Work you'll do**
**Key Responsibilities**
* Architect and Deliver Solutions: Lead the development, implementation, and scaling of advanced data engineering solutions using Databricks across AWS, Azure, or GCP environments.
* Champion Best Practices: Establish, document, and promote best\-in\-class approaches for data architecture, integration, and modelling.
* Pipeline Ownership: Oversee the design, development, and maintenance of robust data pipelines and data architectures that support large\-scale, enterprise data needs.
* Drive Excellence: Initiate and manage efforts to improve data quality, operational efficiency, and process scalability.
* Technology Leadership: Evaluate, pilot, and integrate new big data and analytics technologies, ensuring the organization remains at the cutting edge.
* Strategic Data Governance: Consult on, design, and implement governance, security, and compliance strategies tailored to modern cloud data ecosystems.
* Team Leadership and Mentoring: Lead, coach, and develop teams of data engineers and architects, fostering technical growth and effective project delivery.
* Stakeholder Engagement: Communicate technical concepts and business value to diverse stakeholders, including executives, business leads, and technology teams.
* DevOps and Automation: Oversee the implementation of CI/CD practices with tools such as Azure DevOps, AWS Code Pipeline, Jenkins, TFS, or PowerShell for streamlined deployments and operations.
**Qualifications**
- Bachelor's or Master's degree in Computer Science, Engineering, or a related field (Master's preferred).
- 5\+ years of hands\-on experience in data engineering with a strong focus on Databricks, deployed on any major cloud (AWS, Azure, GCP).
- Minimum of 5 years Technical Proficiency:
* Expertise with cloud\-native databases, storage solutions, and distributed compute platforms.
* Deep understanding of Lakehouse architecture, Apache Spark, Delta Lake, and related big data technologies.
* Advanced skills in data warehousing, 3NF, dimensional modeling, and enterprise\-level data lakes.
* Experience with Databricks components including Delta Live Tables, Autoloader, Structured Streaming, Databricks Workflows, and orchestration tools (e.g., Apache Airflow).
* Expertise in designing and supporting incremental data loads and building metadata\-driven ingestion/data quality frameworks using PySpark.
* Hands\-on experience with Databricks Unity Catalog and implementing fine\-grained security and access control.
* Proven track record in deploying code and solutions via automated CI/CD pipelines.
* A minimum of 1 year experience leadership in managing complex, cross\-functional data projects and technical teams.
* Experience with performance optimization of Data engineering pipelines, code, compute resources
* Ability to travel up to 50%, on average, based on the work you do and the clients and industries/sectors you serve
* Limited immigration sponsorship may be available.
**Preferred** 
 :
* Comprehensive knowledge of the AWS, Azure, and GCP cloud ecosystems and associated big data stacks is strongly preferred.
* Demonstrated skill in performance tuning and optimization within Databricks/Apache Spark environments.
* Stays current with the latest Databricks feature releases and platform enhancements.
* Exceptional communication and stakeholder management abilities, including comfort interfacing with executive leadership.
* Experience with Databricks Lakeflow is plus
* Experience in AI/ML is plus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$136,700\- $188,900\.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54">
      <c r="A54" t="inlineStr">
        <is>
          <t>li-4354848809</t>
        </is>
      </c>
      <c r="B54" t="inlineStr">
        <is>
          <t>Databricks Data Engineer - Senior Consultant</t>
        </is>
      </c>
      <c r="C54" t="inlineStr">
        <is>
          <t>Deloitte</t>
        </is>
      </c>
      <c r="D54" t="inlineStr">
        <is>
          <t>linkedin</t>
        </is>
      </c>
      <c r="E54" t="inlineStr"/>
      <c r="F54" t="inlineStr"/>
      <c r="G54" t="inlineStr"/>
      <c r="H54" t="inlineStr"/>
      <c r="I54" t="inlineStr">
        <is>
          <t>**Job Title: Senior Consultant \- Databricks Senior Data Engineer**
**Job Summary**
 As a Senior Data Engineer, you will oversee the end\-to\-end design, deployment, and optimization of enterprise\-scale data engineering solutions using Databricks on any major cloud platform (AWS, Azure, or GCP). This highly strategic role focuses on leading innovation in big data architecture and analytics, shaping best practices, advising senior stakeholders, and ensuring that data solutions align with business objectives and drive measurable results.
 Recruiting for this role ends on 2/13/2026\.
**Work you'll do**
**Key Responsibilities**
* Architect and Deliver Solutions: Lead the development, implementation, and scaling of advanced data engineering solutions using Databricks across AWS, Azure, or GCP environments.
* Champion Best Practices: Establish, document, and promote best\-in\-class approaches for data architecture, integration, and modelling.
* Pipeline Ownership: Oversee the design, development, and maintenance of robust data pipelines and data architectures that support large\-scale, enterprise data needs.
* Drive Excellence: Initiate and manage efforts to improve data quality, operational efficiency, and process scalability.
* Technology Leadership: Evaluate, pilot, and integrate new big data and analytics technologies, ensuring the organization remains at the cutting edge.
* Strategic Data Governance: Consult on, design, and implement governance, security, and compliance strategies tailored to modern cloud data ecosystems.
* Team Leadership and Mentoring: Lead, coach, and develop teams of data engineers and architects, fostering technical growth and effective project delivery.
* Stakeholder Engagement: Communicate technical concepts and business value to diverse stakeholders, including executives, business leads, and technology teams.
* DevOps and Automation: Oversee the implementation of CI/CD practices with tools such as Azure DevOps, AWS Code Pipeline, Jenkins, TFS, or PowerShell for streamlined deployments and operations.
**Qualifications**
- Bachelor's or Master's degree in Computer Science, Engineering, or a related field (Master's preferred).
- 5\+ years of hands\-on experience in data engineering with a strong focus on Databricks, deployed on any major cloud (AWS, Azure, GCP).
- Minimum of 5 years Technical Proficiency:
* Expertise with cloud\-native databases, storage solutions, and distributed compute platforms.
* Deep understanding of Lakehouse architecture, Apache Spark, Delta Lake, and related big data technologies.
* Advanced skills in data warehousing, 3NF, dimensional modeling, and enterprise\-level data lakes.
* Experience with Databricks components including Delta Live Tables, Autoloader, Structured Streaming, Databricks Workflows, and orchestration tools (e.g., Apache Airflow).
* Expertise in designing and supporting incremental data loads and building metadata\-driven ingestion/data quality frameworks using PySpark.
* Hands\-on experience with Databricks Unity Catalog and implementing fine\-grained security and access control.
* Proven track record in deploying code and solutions via automated CI/CD pipelines.
* A minimum of 1 year experience leadership in managing complex, cross\-functional data projects and technical teams.
* Experience with performance optimization of Data engineering pipelines, code, compute resources
* Ability to travel up to 50%, on average, based on the work you do and the clients and industries/sectors you serve
* Limited immigration sponsorship may be available.
**Preferred** 
 :
* Comprehensive knowledge of the AWS, Azure, and GCP cloud ecosystems and associated big data stacks is strongly preferred.
* Demonstrated skill in performance tuning and optimization within Databricks/Apache Spark environments.
* Stays current with the latest Databricks feature releases and platform enhancements.
* Exceptional communication and stakeholder management abilities, including comfort interfacing with executive leadership.
* Experience with Databricks Lakeflow is plus
* Experience in AI/ML is plus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$136,700\- $188,900\.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55">
      <c r="A55" t="inlineStr">
        <is>
          <t>li-4360650541</t>
        </is>
      </c>
      <c r="B55" t="inlineStr">
        <is>
          <t>Databricks Data Engineer - Clearance Required</t>
        </is>
      </c>
      <c r="C55" t="inlineStr">
        <is>
          <t>BTI360</t>
        </is>
      </c>
      <c r="D55" t="inlineStr">
        <is>
          <t>linkedin</t>
        </is>
      </c>
      <c r="E55" t="inlineStr"/>
      <c r="F55" t="inlineStr"/>
      <c r="G55" t="inlineStr">
        <is>
          <t>Herndon, VA</t>
        </is>
      </c>
      <c r="H55" t="inlineStr"/>
      <c r="I55" t="inlineStr">
        <is>
          <t>**About The Team**
 Here at BTI360, we’ve built a culture that’s passionate about developing software engineers. Software doesn't build itself. People do.  In fact, teams of people do.  That's why our primary focus is on developing better craftsmen, better teammates, and better technical leaders.  By putting people first, we're not just giving our teammates more opportunities to grow, we're also raising the bar of the software we ship. BTI360 previously has been voted 10 years in a row as a TOP Place to Work by the Washington Business Journal.
 BTI360 is a data discovery company, using AI/ML to transform proprietary data into actionable insights that directly support our customers’ missions. We are seeking a Databricks Data Engineer to serve as a Resident Solutions Architect (RSA), a consultant, trusted advisor, and hands\-on implementer with deep Spark/Databricks expertise, for our national security customers in classified environments. As part of our partnership with Databricks, you will work on short\-to\-medium term engagements, optimizing data pipelines and driving data management \&amp; enrichment solutions on the Databricks platform. Your contributions will directly support BTI360’s core mission of Data Discovery through improved Data Management and Data Enrichment, laying the foundation for advanced analytics and generative AI capabilities on mission data. This position is based in Northern Virginia and requires on\-site support for classified projects.
**What You Will Do In This Role**
* Design \&amp; Optimize Data Pipelines: Build and refine large\-scale data pipelines on the Databricks platform to enable data discovery and enrichment for mission\-critical applications.
* Technical Leadership \&amp; Advisory: Serve as a Databricks subject\-matter expert and trusted advisor to customer teams, providing guidance on architecture, Spark best practices, performance tuning, and innovative big data solutions.
* Customer Engagements: Deliver short to medium\-term professional services engagements in classified or unclassified environments, adapting quickly to new project domains and requirements while delivering solutions on time and to specification.
* Solution Implementation: Integrate Databricks solutions with complex client systems and workflows, collaborating with BTI360 and customer engineering teams to ensure successful deployment and adoption of new data capabilities.
* Enablement \&amp; Support: Provide hands\-on support and training to customer engineers and data teams, helping them maximize platform value (including creating how\-to guides, reference architectures, and troubleshooting as needed).
**You may thrive in this role if you have the following skills:**
* Active Secret clearance or above, with the ability to be cleared at the TS/SCI with Polygraph level
* Spark \&amp; Databricks Expertise: Hands\-on experience with Apache Spark and the Databricks platform, including building and scaling data pipelines.
* Data Engineering Experience: 5\+ years of experience in data engineering or big data analytics, with strong coding skills in Python and/or Scala/Java for data processing.
* Cloud \&amp; CI/CD Proficiency: Experience developing solutions in cloud environments (AWS and/or Azure) and familiarity with CI/CD pipelines and DevOps practices for deploying data workflows.
* Consulting Skills: Client\-facing communication and problem\-solving skills, with the ability to translate complex data challenges into actionable solutions and effectively guide customer teams.
* Adaptability: Proven ability to thrive in a dynamic environment, capable of juggling multiple projects and quickly learning new datasets, tools, and mission domains as engagements rotate.
**You may excel in this role if you have the following skills:**
* Active TS/SCI with Polygraph
* Experience with the Databricks platform
* Databricks Certified Data Engineer Professional
**BTI360 Benefits For Full\-time Teammates**
* Fully paid healthcare premiums
* Competitive salaries and performance bonuses
* Career development and in\-house training
* Continuing Education: $5,250\.00 annually towards education
* Up to 5 weeks PTO plus 2 weeks of federal holidays
* 401K dollar for dollar matching up to 6% annually \- vested immediately on day 1
* Giving Back: Serving communities locally and across the globe
* Social Events (happy hours, golf tournament, BTI360 Family Festival and more)
**Commitment to Fairness and Inclusion**
 At BTI360, we believe that unlocking the potential of others is not just a mission—it's the heart of our culture. We are committed to fostering an inclusive environment where every individual can grow each day, lead with humility, and do the right thing. Our core values guide us in developing software that makes a difference, primarily serving national security customers in the Washington, DC metropolitan area.
 We are an Equal Opportunity Employer. We do not discriminate against any employee or applicant based on race, color, religion, gender, sexual orientation, gender identity, national origin, age, disability, veteran status, or any other legally protected characteristics. We celebrate fairness and are dedicated to creating an environment of mutual respect and inclusion where everyone can bring their true selves to work.
 Join us in a workplace where your contributions are valued, your growth is encouraged, and your potential is unlocked. Together, we develop great software fast and deliver exceptional solutions for our customers.</t>
        </is>
      </c>
    </row>
    <row r="56">
      <c r="A56" t="inlineStr">
        <is>
          <t>li-4354913306</t>
        </is>
      </c>
      <c r="B56" t="inlineStr">
        <is>
          <t>Databricks Data Engineer - Senior Consultant</t>
        </is>
      </c>
      <c r="C56" t="inlineStr">
        <is>
          <t>Deloitte</t>
        </is>
      </c>
      <c r="D56" t="inlineStr">
        <is>
          <t>linkedin</t>
        </is>
      </c>
      <c r="E56" t="inlineStr"/>
      <c r="F56" t="inlineStr"/>
      <c r="G56" t="inlineStr">
        <is>
          <t>Detroit, MI</t>
        </is>
      </c>
      <c r="H56" t="inlineStr"/>
      <c r="I56" t="inlineStr">
        <is>
          <t>**Job Title: Senior Consultant \- Databricks Senior Data Engineer**
**Job Summary**
 As a Senior Data Engineer, you will oversee the end\-to\-end design, deployment, and optimization of enterprise\-scale data engineering solutions using Databricks on any major cloud platform (AWS, Azure, or GCP). This highly strategic role focuses on leading innovation in big data architecture and analytics, shaping best practices, advising senior stakeholders, and ensuring that data solutions align with business objectives and drive measurable results.
 Recruiting for this role ends on 2/13/2026\.
**Work you'll do**
**Key Responsibilities**
* Architect and Deliver Solutions: Lead the development, implementation, and scaling of advanced data engineering solutions using Databricks across AWS, Azure, or GCP environments.
* Champion Best Practices: Establish, document, and promote best\-in\-class approaches for data architecture, integration, and modelling.
* Pipeline Ownership: Oversee the design, development, and maintenance of robust data pipelines and data architectures that support large\-scale, enterprise data needs.
* Drive Excellence: Initiate and manage efforts to improve data quality, operational efficiency, and process scalability.
* Technology Leadership: Evaluate, pilot, and integrate new big data and analytics technologies, ensuring the organization remains at the cutting edge.
* Strategic Data Governance: Consult on, design, and implement governance, security, and compliance strategies tailored to modern cloud data ecosystems.
* Team Leadership and Mentoring: Lead, coach, and develop teams of data engineers and architects, fostering technical growth and effective project delivery.
* Stakeholder Engagement: Communicate technical concepts and business value to diverse stakeholders, including executives, business leads, and technology teams.
* DevOps and Automation: Oversee the implementation of CI/CD practices with tools such as Azure DevOps, AWS Code Pipeline, Jenkins, TFS, or PowerShell for streamlined deployments and operations.
**Qualifications**
- Bachelor's or Master's degree in Computer Science, Engineering, or a related field (Master's preferred).
- 5\+ years of hands\-on experience in data engineering with a strong focus on Databricks, deployed on any major cloud (AWS, Azure, GCP).
- Minimum of 5 years Technical Proficiency:
* Expertise with cloud\-native databases, storage solutions, and distributed compute platforms.
* Deep understanding of Lakehouse architecture, Apache Spark, Delta Lake, and related big data technologies.
* Advanced skills in data warehousing, 3NF, dimensional modeling, and enterprise\-level data lakes.
* Experience with Databricks components including Delta Live Tables, Autoloader, Structured Streaming, Databricks Workflows, and orchestration tools (e.g., Apache Airflow).
* Expertise in designing and supporting incremental data loads and building metadata\-driven ingestion/data quality frameworks using PySpark.
* Hands\-on experience with Databricks Unity Catalog and implementing fine\-grained security and access control.
* Proven track record in deploying code and solutions via automated CI/CD pipelines.
* A minimum of 1 year experience leadership in managing complex, cross\-functional data projects and technical teams.
* Experience with performance optimization of Data engineering pipelines, code, compute resources
* Ability to travel up to 50%, on average, based on the work you do and the clients and industries/sectors you serve
* Limited immigration sponsorship may be available.
**Preferred** 
 :
* Comprehensive knowledge of the AWS, Azure, and GCP cloud ecosystems and associated big data stacks is strongly preferred.
* Demonstrated skill in performance tuning and optimization within Databricks/Apache Spark environments.
* Stays current with the latest Databricks feature releases and platform enhancements.
* Exceptional communication and stakeholder management abilities, including comfort interfacing with executive leadership.
* Experience with Databricks Lakeflow is plus
* Experience in AI/ML is plus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$136,700\- $188,900\.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57">
      <c r="A57" t="inlineStr">
        <is>
          <t>li-4352745938</t>
        </is>
      </c>
      <c r="B57" t="inlineStr">
        <is>
          <t>Lead Data Engineer - Hybrid (Raleigh or Jersey City)</t>
        </is>
      </c>
      <c r="C57" t="inlineStr">
        <is>
          <t>Arch Insurance Group Inc.</t>
        </is>
      </c>
      <c r="D57" t="inlineStr">
        <is>
          <t>linkedin</t>
        </is>
      </c>
      <c r="E57" t="inlineStr"/>
      <c r="F57" t="inlineStr"/>
      <c r="G57" t="inlineStr">
        <is>
          <t>Jersey City, NJ</t>
        </is>
      </c>
      <c r="H57" t="inlineStr"/>
      <c r="I57" t="inlineStr">
        <is>
          <t>With a company culture rooted in collaboration, expertise and innovation, we aim to promote progress and inspire our clients, employees, investors and communities to achieve their greatest potential. Our work is the catalyst that helps others achieve their goals. In short, We Enable Possibility℠.
 We are seeking a highly skilled and motivated Lead Data Engineer to oversee the technical design and implementation of data solutions, champion best practices in data management, and lead a team of developers. This role is critical in ensuring that our data initiatives align with business goals and that robust technical plans are in place to support our roadmap.
 We are seeking a hybrid (three\-times\-a\-week, in\-office) employee based in either the Raleigh, NC or Jersey City, NJ areas. Candidates must be available to participate in onsite interviews at one of these locations in order to be considered.
**Key Responsibilities**
* Lead the team in the process design, technical architecture, and engineering practices on new implementations and day to day support and operations.
* Provide technical guidance and mentorship to the team through knowledge sharing and day to day activities (design \&amp; code reviews, story/requirements definition, writing/maintaining wiki knowledge base)
* Ensure adherence to the company's architecture, data governance, quality, and security standards and create standards for the team where the broader company standards do not cover a specific area
* Collaborate with product owner/managers and stakeholders to align data initiatives with the product roadmap.
* Manage the complete implementation team (engineers, QA, and BSA)
* Keep data projects on track with defined milestones and deliverables including raising risks with suggestions on how to mitigate, work around, or resolve them
* Foster a collaborative culture by promoting data literacy and self\-service analytics across the organization
**Qualifications**
* Bachelor’s or Master’s degree in Computer Science, Data Engineering, or a related field.
* 7\+ years of experience in data engineering or data architecture roles.
* Strong expertise in SQL (MSSQL or Snowflake preferred) and ETL platforms (SSIS, Azure Data Factory, or Informatica)
* Excellent communication and stakeholder management skills.
* Able to articulate and demonstrate prior examples of implementing Proven experience leading technical teams and managing complex data projects.
**Preferred Qualifications**
* Experience with Agile methodologies and DevOps practices in an environment with multiple teams coordinating on a single system
* Insurance industry experience
 For individuals assigned or hired to work in the location(s) indicated below, the base salary range is provided. Range is as of the time of posting. Position is incentive eligible.
 $130,000 \- $175,000/year
* Total individual compensation (base salary, short \&amp; long\-term incentives) offered will take into account a number of factors including but not limited to geographic location, scope \&amp; responsibilities of the role, qualifications, talent availability \&amp; specialization as well as business needs. The above pay range may be modified in the future.
* Arch is committed to helping employees succeed through our comprehensive benefits package that includes multiple medical plans plus dental, vision and prescription drug coverage; a competitive 401k with generous matching; PTO beginning at 20 days per year; up to 12 paid company holidays per year plus 2 paid days of Volunteer Time Offer; basic Life and AD\&amp;D Insurance as well as Short and Long\-Term Disability; Paid Parental Leave of up to 10 weeks; Student Loan Assistance and Tuition Reimbursement, Backup Child and Elder Care; and more. Click here to learn more on available benefits.
 Do you like solving complex business problems, working with talented colleagues and have an innovative mindset? Arch may be a great fit for you. If this job isn’t the right fit but you’re interested in working for Arch, create a job alert! Simply create an account and opt in to receive emails when we have job openings that meet your criteria. Join our talent community to share your preferences directly with Arch’s Talent Acquisition team.
 14400 Arch Insurance Group Inc.</t>
        </is>
      </c>
    </row>
    <row r="58">
      <c r="A58" t="inlineStr">
        <is>
          <t>li-4282844260</t>
        </is>
      </c>
      <c r="B58" t="inlineStr">
        <is>
          <t>Databricks Data Engineer - Senior - Consulting - Location Open</t>
        </is>
      </c>
      <c r="C58" t="inlineStr">
        <is>
          <t>EY</t>
        </is>
      </c>
      <c r="D58" t="inlineStr">
        <is>
          <t>linkedin</t>
        </is>
      </c>
      <c r="E58" t="inlineStr"/>
      <c r="F58" t="inlineStr"/>
      <c r="G58" t="inlineStr">
        <is>
          <t>Memphis, TN</t>
        </is>
      </c>
      <c r="H58" t="inlineStr"/>
      <c r="I5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9">
      <c r="A59" t="inlineStr">
        <is>
          <t>li-4361615464</t>
        </is>
      </c>
      <c r="B59" t="inlineStr">
        <is>
          <t>Sr. Data Engineer, Hardware Reliability (Starlink Product)</t>
        </is>
      </c>
      <c r="C59" t="inlineStr">
        <is>
          <t>SpaceX</t>
        </is>
      </c>
      <c r="D59" t="inlineStr">
        <is>
          <t>linkedin</t>
        </is>
      </c>
      <c r="E59" t="inlineStr"/>
      <c r="F59" t="inlineStr"/>
      <c r="G59" t="inlineStr">
        <is>
          <t>Bastrop, TX</t>
        </is>
      </c>
      <c r="H59" t="inlineStr"/>
      <c r="I59"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DATA ENGINEER, HARDWARE RELIABILITY (STARLINK PRODUCT)**
 SpaceX is leveraging our experience building rockets and spacecraft to deploy Starlink, the world’s largest satellite constellation and most advanced broadband internet system. We provide reliable and fast internet to millions of users worldwide, including populations with little or no connectivity, rural communities, aircraft, watercraft, and places where existing services are unreliable, too expensive, or disconnected by natural disasters. We design, build, test, and operate all parts of the system, thousands of satellites and consumer antennae that allow users to connect within minutes of unboxing. The Starlink team is seeking out the best\-in\-class professionals to maximize Starlink’s potential for communities and businesses around the globe.
 As a Sr. Data Engineer, you will be responsible for the analysis of the performance and reliability of customer hardware (dish, router, power supply, and cables) once they leave the factory doors. You will develop the strategy, key metrics, tools, models, software services, and processes to minimize hardware reliability issues as we launch new products and continuously expand the use cases for Starlink.
**Responsibilities**
* Build and maintain critical data science infrastructure, tools, processes, and custom software to objectively assess the performance and reliability of Starlink customer hardware
* Lead technical data\-driven investigations with tight timelines by diving into isolated or fleet\-wide performance or reliability issues affecting our customers and present findings to executives
* Apply data science and statistical inference techniques to analyze data and build models that help improve customer experience and drive business growth
* Build software systems that ingest, transform, store, and combine data from multiple sources
* Create custom datasets, analyses, and analytics tools that will be used by internal teams and stakeholders to monitor, analyze, and impact business outcomes
* Consistently contribute effort, leadership, and creative thinking to solving complex problems in a collaborative fashion under tight deadlines
* Build relationships and collaborate across disciplines including engineering, production, test, inventory, quality, supply chain, and customer experience to drive positive business outcomes
**Basic Qualifications**
* Bachelor’s degree in computer science or data science
* 3\+ years of professional experience in data or software engineering in Python, SQL, or Bash scripting
* 2\+ years of professional experience in data science and machine learning fundamentals (regression, classification, clustering, anomaly detection, natural language processing)
**Preferred Skills And Experience**
* Master’s degree in computer science, data science, mathematics, or other STEM discipline
* 6\+ years of professional experience in data or software engineering, with strong proficiency in Python, SQL, Bash scripting, and familiarity with at least one additional programming language (e.g., R, Java, Scala, C\+\+)
* 5\+ years of professional experience in data science and machine learning fundamentals (regression, classification, clustering, anomaly detection, natural language processing)
* Experience building production\-level predictive models, machine learning solutions, and analytics pipelines
* Strong software engineering skills; ability to write clean, efficient, and robust code with a foundation in software development best\-practices; ability to contribute to internal code repositories and production services
* Deep expertise cleaning, aggregating, analyzing and automating large, industry\-complex datasets
* Strong in data engineering fundamentals – relational databases, data pipeline development and orchestration, and data science\-focused cloud development
* Strong analytical skills: Statistical analysis, data visualization, and quantitative reasoning
* Excellent written and verbal communication skills, ability to make presentations to engineers, team members, internal customers, and management
**Additional Requirements**
* This position is based in Bastrop, TX and requires being on\-site, remote work not considered
* Must be willing to work extended hours and weekends as needed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60">
      <c r="A60" t="inlineStr">
        <is>
          <t>li-4355062240</t>
        </is>
      </c>
      <c r="B60" t="inlineStr">
        <is>
          <t>Databricks Data Engineer - Senior Consultant</t>
        </is>
      </c>
      <c r="C60" t="inlineStr">
        <is>
          <t>Deloitte</t>
        </is>
      </c>
      <c r="D60" t="inlineStr">
        <is>
          <t>linkedin</t>
        </is>
      </c>
      <c r="E60" t="inlineStr"/>
      <c r="F60" t="inlineStr"/>
      <c r="G60" t="inlineStr">
        <is>
          <t>Pittsburgh, PA</t>
        </is>
      </c>
      <c r="H60" t="inlineStr"/>
      <c r="I60" t="inlineStr">
        <is>
          <t>**Job Title: Senior Consultant \- Databricks Senior Data Engineer**
**Job Summary**
 As a Senior Data Engineer, you will oversee the end\-to\-end design, deployment, and optimization of enterprise\-scale data engineering solutions using Databricks on any major cloud platform (AWS, Azure, or GCP). This highly strategic role focuses on leading innovation in big data architecture and analytics, shaping best practices, advising senior stakeholders, and ensuring that data solutions align with business objectives and drive measurable results.
 Recruiting for this role ends on 2/13/2026\.
**Work you'll do**
**Key Responsibilities**
* Architect and Deliver Solutions: Lead the development, implementation, and scaling of advanced data engineering solutions using Databricks across AWS, Azure, or GCP environments.
* Champion Best Practices: Establish, document, and promote best\-in\-class approaches for data architecture, integration, and modelling.
* Pipeline Ownership: Oversee the design, development, and maintenance of robust data pipelines and data architectures that support large\-scale, enterprise data needs.
* Drive Excellence: Initiate and manage efforts to improve data quality, operational efficiency, and process scalability.
* Technology Leadership: Evaluate, pilot, and integrate new big data and analytics technologies, ensuring the organization remains at the cutting edge.
* Strategic Data Governance: Consult on, design, and implement governance, security, and compliance strategies tailored to modern cloud data ecosystems.
* Team Leadership and Mentoring: Lead, coach, and develop teams of data engineers and architects, fostering technical growth and effective project delivery.
* Stakeholder Engagement: Communicate technical concepts and business value to diverse stakeholders, including executives, business leads, and technology teams.
* DevOps and Automation: Oversee the implementation of CI/CD practices with tools such as Azure DevOps, AWS Code Pipeline, Jenkins, TFS, or PowerShell for streamlined deployments and operations.
**Qualifications**
- Bachelor's or Master's degree in Computer Science, Engineering, or a related field (Master's preferred).
- 5\+ years of hands\-on experience in data engineering with a strong focus on Databricks, deployed on any major cloud (AWS, Azure, GCP).
- Minimum of 5 years Technical Proficiency:
* Expertise with cloud\-native databases, storage solutions, and distributed compute platforms.
* Deep understanding of Lakehouse architecture, Apache Spark, Delta Lake, and related big data technologies.
* Advanced skills in data warehousing, 3NF, dimensional modeling, and enterprise\-level data lakes.
* Experience with Databricks components including Delta Live Tables, Autoloader, Structured Streaming, Databricks Workflows, and orchestration tools (e.g., Apache Airflow).
* Expertise in designing and supporting incremental data loads and building metadata\-driven ingestion/data quality frameworks using PySpark.
* Hands\-on experience with Databricks Unity Catalog and implementing fine\-grained security and access control.
* Proven track record in deploying code and solutions via automated CI/CD pipelines.
* A minimum of 1 year experience leadership in managing complex, cross\-functional data projects and technical teams.
* Experience with performance optimization of Data engineering pipelines, code, compute resources
* Ability to travel up to 50%, on average, based on the work you do and the clients and industries/sectors you serve
* Limited immigration sponsorship may be available.
**Preferred** 
 :
* Comprehensive knowledge of the AWS, Azure, and GCP cloud ecosystems and associated big data stacks is strongly preferred.
* Demonstrated skill in performance tuning and optimization within Databricks/Apache Spark environments.
* Stays current with the latest Databricks feature releases and platform enhancements.
* Exceptional communication and stakeholder management abilities, including comfort interfacing with executive leadership.
* Experience with Databricks Lakeflow is plus
* Experience in AI/ML is plus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$136,700\- $188,900\.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61">
      <c r="A61" t="inlineStr">
        <is>
          <t>li-4336985421</t>
        </is>
      </c>
      <c r="B61" t="inlineStr">
        <is>
          <t>AI Platform Director - Data Engineering</t>
        </is>
      </c>
      <c r="C61" t="inlineStr">
        <is>
          <t>First Citizens Bank</t>
        </is>
      </c>
      <c r="D61" t="inlineStr">
        <is>
          <t>linkedin</t>
        </is>
      </c>
      <c r="E61" t="inlineStr"/>
      <c r="F61" t="inlineStr"/>
      <c r="G61" t="inlineStr">
        <is>
          <t>Raleigh, NC</t>
        </is>
      </c>
      <c r="H61" t="inlineStr"/>
      <c r="I61" t="inlineStr">
        <is>
          <t>**Overview**
 We are seeking an experienced Director to lead the AI platform engineering and enablement functions within our expanding Cloud Data and AI Platform organization. This role is instrumental in building, operationalizing, and governing the next\-generation AI and machine learning ecosystem that powers advanced analytics and responsible AI adoption across the bank. You will lead multiple engineering teams responsible for designing and maintaining secure, scalable, and compliant AI environments that connect enterprise data, model development, deployment, and monitoring capabilities.
 As a seasoned technology leader, you will bring your expertise in enterprise AI architecture, model operations, and platform engineering to partner with key business, technology, and governance stakeholders—ensuring AI initiatives are responsibly implemented, well\-controlled, and deliver measurable value.
**Responsibilities**
* Lead the design, implementation, and continuous evolution of the bank’s enterprise AI platform, including infrastructure, model lifecycle management, observability, and integration with Snowflake, AWS, and cloud\-native toolchains.
* Manage and mentor cross\-functional engineering teams responsible for AI enablement, automation, and platform services supporting data scientists, engineers, and analysts across the organization.
* Define and enforce standards, patterns, and guardrails for model deployment, explainability, lineage, and monitoring in alignment with enterprise risk, compliance, and security frameworks.
* Partner closely with leaders across Responsible AI Governance, AI Portfolio Management, AI Fluency \&amp; Engagement, and Applied Data Science \&amp; GenAI, in collaboration with enterprise risk partners, to implement a responsible AI framework that embeds audit\-ready control evidence and governance mechanisms directly into the platform’s core design to ensure the platform supports scalable, ethical, compliant, and high\-impact AI delivery.
* Build and maintain integrations with enterprise platforms for data ingestion, metadata management, tokenization, and control evidence generation.
* Continuously enhance the platform’s automation, resilience, and observability, ensuring robust end\-to\-end telemetry for both model and data pipelines.
* Drive innovation enablement by establishing secure sandbox environments, reusable components, and APIs that accelerate experimentation while maintaining compliance.
* Collaborate with Enterprise Risk, Legal, Compliance, and Model Risk partners to embed Responsible AI principles and audit\-ready control evidence directly into platform design.
* Oversee technical due diligence, onboarding, and management of strategic AI and GenAI vendors and tools, ensuring compatibility with enterprise architecture and control frameworks.
* Develop and mentor engineering talent, championing Agile practices, continuous learning, and adoption of emerging AI and data engineering technologies.
**Qualifications**
 Bachelor's Degree and 8 years of experience in Information Technology including application development, support roles, and management. OR High School Diploma or GED and 12 years of experience in Information Technology including application development, support roles, and management.
**Preferred**
* Experience implementing ML or GenAI systems on major cloud platforms preferably AWS.
* Knowledge of LLMs, vector databases, and orchestration frameworks.
* Bachelor’s Degree and 8 years of experience in Information Technology, Data Engineering, or AI/ML Platform Engineering including leadership roles.
* OR High School Diploma or GED and 12 years of experience in Information Technology or AI platform delivery, including management of cross\-functional engineering teams.
 Preferred Area of Experience: Financial services with focus on AI/ML delivery, data platforms, and regulated environments.
* License or Certification Type: AWS Certified Solutions Architect, Google Professional ML Engineer, Project Management Professional (PMP), or Certified Agile Project Manager (IAPM/PMI\-ACP).
* Strong understanding of AI/ML pipelines, MLOps frameworks, and Responsible AI controls.
* Experience integrating third\-party AI and data solutions within secure on\-prem and cloud ecosystems.
* Knowledge of information security, data governance, and regulatory compliance frameworks related to AI.
* Demonstrated ability to develop both strategic and tactical plans, manage vendor partnerships, and build technical teams that deliver enterprise\-scale AI capabilities.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62">
      <c r="A62" t="inlineStr">
        <is>
          <t>li-4341081037</t>
        </is>
      </c>
      <c r="B62" t="inlineStr">
        <is>
          <t>Software Engineer III- Data Platform Engineering team</t>
        </is>
      </c>
      <c r="C62" t="inlineStr">
        <is>
          <t>CME Group</t>
        </is>
      </c>
      <c r="D62" t="inlineStr">
        <is>
          <t>linkedin</t>
        </is>
      </c>
      <c r="E62" t="inlineStr"/>
      <c r="F62" t="inlineStr"/>
      <c r="G62" t="inlineStr">
        <is>
          <t>Chicago, IL</t>
        </is>
      </c>
      <c r="H62" t="inlineStr"/>
      <c r="I62" t="inlineStr">
        <is>
          <t>The
 **Data Platform Engineering team** 
 is a collection of highly skilled individuals dedicated to building and scaling the infrastructure that powers our organization's data\-driven initiatives. We are building a cutting\-edge platform on
 **Google Cloud (GCP)** 
 to handle petabyte\-scale data processing, real\-time analytics, and machine learning workloads.
 We champion a
 **DevSecOps culture** 
 , and our core principles are centered around automation, quality, and Infrastructure as Code (IaC). You will solve problems creatively, communicate effectively, and proactively engage in technical decision\-making to achieve our mission: raising the bar on how we manage and deploy data infrastructure.
**About The Role**
 As a
 **Data Platform Engineer** 
 , you will be responsible for building and maintaining the self\-service platforms and frameworks used by our Data Scientists and Engineers. Your work will directly accelerate the development and deployment of batch and streaming data pipelines (using Spark, Flink, and Kafka/PubSub) and enable seamless, governed access to data in BigQuery.
 You will be a key contributor to our automation strategy, utilizing tools like
 **Terraform** 
 for infrastructure provisioning and
 **Argo/Jenkins** 
 for orchestration. You will serve as a Subject Matter Expert (SME) for our core data platform components, ensuring our environment is well\-architected, secure, and optimized for performance and cost.
**Principal Accountabilities**
* Core Platform Design: Design, build, and operate the core infrastructure for our data platform on Google Cloud, focusing on Google Kubernetes Engine (GKE) and BigQuery.
* Streaming \&amp; Processing: Architect and support large\-scale data processing engines (Apache Spark, Apache Flink) and streaming technologies (Apache Kafka, Google PubSub).
* Security \&amp; Optimization: Partner with application teams to ensure data services are secure, compliant, and optimized for cloud costs and performance.
* Self\-Service Enablement: Develop self\-service tools and frameworks that allow Data Engineering and Data Science teams to deploy pipelines independently.
* CI/CD \&amp; DevOps: Build and support robust CI/CD automation pipelines (using Jenkins, Bitbucket , Argo Workflows) to automate build deployments and infrastructure updates.
* Infrastructure as Code: Drive the adoption of IaC (Terraform) and GitOps principles to manage infrastructure versioning and provisioning.
* Modern Development: Utilize AI code assistance tools to enhance code quality and development velocity.
* Agile Delivery: Work in a story\-driven, agile environment (using JIRA/Confluence), collaborating effectively across teams to meet delivery timelines.
**Core Skills And Qualifications Essential Qualifications**
* Education: Bachelor’s degree or above in Computer Science, Mathematics, or related engineering field.
* Programming: Strong proficiency in a high\-level programming language such as Python, Golang, or Java .
* Containerization: Proven hands\-on experience with Docker and orchestration via Kubernetes (GKE).
* CI/CD \&amp; Automation: Experience building automation pipelines using tools such as Jenkins, or Argo Workflows.
* Infrastructure as Code: Proficiency with Terraform and a strong understanding of GitOps principles.
* AI Tooling: Experience with software development using AI code assistance tools.
**Desirable Qualifications**
* Operating Systems: Strong experience with Linux environments.
* Scheduling: Experience with Argo workflows or Airflow.
* Soft Skills: Excellent oral and written communication skills; ability to work independently and drive initiatives in a team environment.
* Agile Tools: Proficiency with Atlassian tools (Confluence, JIRA).
* Cloud Expertise: Experience with Google Cloud Platform (GCP) or AWS, specifically with data components(BigQuery , Dataproc etc).
**Data Frameworks:** 
 Hands\-on experience with large\-scale data processing (e.g.,
 **Apache Spark, Apache Flink** 
 ) and streaming (e.g.,
 **Kafka, Google PubSub** 
 ).
 CME Group is committed to offering a competitive total rewards package for our employees that recognizes their contributions to the business and reflects our long\-term investment in their future. The pay range for this role is $95,800\-$159,600\. Actual salary offered will be dependent on a wide array of factors including but not limited to: relevant experience, skills, education and comparison to internal employees (where relevant). Our compensation program also includes an annual target bonus opportunity for all employees, as well as the opportunity to become an owner in the company through our broad\-based equity program. Through our benefits program, we strive to offer flexibility, value and choice. From comprehensive health coverage, to a retirement package that includes both a 401(k) and an active pension plan, to highly competitive education reimbursement provisions, paid time off and a mental health benefit, CME Group offers a holistic benefits package for our team and their dependents.
**CME Group: Where Futures are Made**
 CME Group is the world’s leading derivatives marketplace. But who we are goes deeper than that. Here, you can impact markets worldwide. Transform industries. And build a career by shaping tomorrow. We invest in your success and you own it – all while working alongside a team of leading experts who inspire you in ways big and small. Problem solvers, difference makers, trailblazers. Those are our people. And we’re looking for more.
 At CME Group, we embrace our employees' unique experiences and skills to ensure that everyone’s perspectives are acknowledged and valued. As an equal\-opportunity employer, we consider all potential employees without regard to any protected characteristic.
**Important Notice:** 
 Recruitment fraud is on the rise, with scammers using misleading promises of job offers and interviews to solicit money and personal information from job seekers. CME Group adheres to established procedures designed to maintain trust, confidence and security throughout our recruitment process. Learn more here.</t>
        </is>
      </c>
    </row>
    <row r="63">
      <c r="A63" t="inlineStr">
        <is>
          <t>li-4369213323</t>
        </is>
      </c>
      <c r="B63" t="inlineStr">
        <is>
          <t>Senior Data Engineer</t>
        </is>
      </c>
      <c r="C63" t="inlineStr">
        <is>
          <t>James Search Group</t>
        </is>
      </c>
      <c r="D63" t="inlineStr">
        <is>
          <t>linkedin</t>
        </is>
      </c>
      <c r="E63" t="inlineStr"/>
      <c r="F63" t="inlineStr"/>
      <c r="G63" t="inlineStr"/>
      <c r="H63" t="inlineStr"/>
      <c r="I63" t="inlineStr">
        <is>
          <t>**Senior Data Engineer (P\&amp;C Insurance)** 
 Fully Remote \| Full\-Time
 Base Salary: $120,000 – $150,000
**Partnering with a Leading P\&amp;C Insurance Carrier** 
 James Search Group is proud to partner with a highly rated Property \&amp; Casualty insurance carrier that is making significant investments in
 **data engineering, analytics, and machine learning** 
 . The company is building a centralized Data \&amp; ML/AI organization that unites experts across data architecture, engineering, analytics, governance, and modeling—creating a unique opportunity for growth, collaboration, and innovation.
 We are seeking a
 **Senior Data Engineer** 
 to design, build, and maintain the upstream components of a modern data platform. From ingestion and real\-time streaming to data quality frameworks, you’ll play a pivotal role in shaping the technical foundation of the company’s next\-generation data environment. This is a hands\-on role where you’ll be coding daily, mentoring peers, and collaborating closely with analytics engineers, data scientists, and business partners.
**Office Locations (Optional Hybrid):** 
 This is a remote\-first position, but you can also work from one of the carrier’s multiple U.S. office locations.
**What You’ll Do:** 
* Design, build, and optimize
 **scalable data pipelines** 
 for batch and real\-time processing.
* Implement
 **data ingestion frameworks** 
 including CDC from core systems, APIs, and third\-party platforms (Salesforce, Workday, Duck Creek, etc.).
* Develop and optimize
 **Apache Spark jobs on Databricks** 
 , leveraging Delta Lake, DLT pipelines, and lakehouse architectures.
* Ensure
 **data quality, lineage, and governance** 
 using Unity Catalog, CI/CD, and role\-based access/security controls.
* Partner with analytics engineers (dbt) to deliver clean, structured upstream data.
* Mentor peers, contribute to architecture decisions, and foster a culture of craftsmanship.
* Leverage
 **AWS services** 
 (S3, Glue, Lambda, etc.) and DevOps tools (GitHub, CI/CD) for scalable, production\-grade deployments.
**What You Bring:** 
* 3\-5\+ years of professional experience in
 **data engineering** 
 , ideally within insurance or financial services.
* Strong proficiency in
 **Python, SQL, and Spark** 
 for building and optimizing pipelines.
* Hands\-on expertise with
 **Databricks** 
 (Unity Catalog, Delta Lake, DLT pipelines) and/or Azure Data Services.
* Strong knowledge of
 **AWS data services** 
 , with the ability to adapt across cloud platforms (Azure, GCP).
* Familiarity with modern data architectures (medallion, lakehouse, streaming).
* Experience with GitHub, CI/CD pipelines, and testing frameworks.
* A problem\-solving mindset: balancing pragmatism with scalability, and a passion for working in collaborative teams.
**What’s In It for You:** 
* Competitive base salary ($120K–$150K)
* Performance\-based bonus
* Comprehensive benefits package
* 401(k) with company match
* Generous PTO and wellness programs
 This is a rare opportunity to join a
 **ground\-floor data transformation** 
 at a forward\-thinking P\&amp;C insurer, working with the latest tools and approaches to build something lasting.
 If you’re excited to design and deliver production\-grade data systems that directly empower analytics, AI, and business outcomes—we’d love to connect.</t>
        </is>
      </c>
    </row>
    <row r="64">
      <c r="A64" t="inlineStr">
        <is>
          <t>li-4329140140</t>
        </is>
      </c>
      <c r="B64" t="inlineStr">
        <is>
          <t>Data Engineer, Associate</t>
        </is>
      </c>
      <c r="C64" t="inlineStr">
        <is>
          <t>BlackRock</t>
        </is>
      </c>
      <c r="D64" t="inlineStr">
        <is>
          <t>linkedin</t>
        </is>
      </c>
      <c r="E64" t="inlineStr"/>
      <c r="F64" t="inlineStr"/>
      <c r="G64" t="inlineStr">
        <is>
          <t>New York, NY</t>
        </is>
      </c>
      <c r="H64" t="inlineStr"/>
      <c r="I64" t="inlineStr">
        <is>
          <t>**About This Role**
* Improve BlackRock’s ability to enhance our retail sales distribution capabilities and services suite by creating, expanding and optimizing our data and data pipeline architecture.
* You will create and operationalize data pipelines to enable squads to deliver high quality data\-driven product.
* You will be accountable for managing high\-quality datasets exposed for internal and external consumption by downstream users and applications.
* Top technical / programming skills – Python, Java and Scala with ability to work across big data frameworks such as Spark, Hadoop Suite, PySpark, Hive, Cloud Data Platforms Preferably Snowflake and SQL.  Experience working with flat files (e.g., csv, tsv, Excel), Database API sources is a must to both ingest and create transformations.
* Given the highly execution\-focused nature of the work, the ideal candidate will roll up their sleeves to ensure that their projects meet deadlines and will always look for ways to optimize processes in future cycles.
* The successful candidate will be highly motivated to create, optimize, or redesign data pipelines to support our next generation of products and data initiatives.
* You will be a builder and an owner of your work product.
 Responsibilities:
* Lead in the creation and maintenance of optimized data pipeline architectures on large and complex data sets.
* Assemble large, complex data sets that meet business requirements.
* Act as lead to identify, design, and implement internal process improvements and relay to relevant technology organization.
* Work with stakeholders to assist in data\-related technical issues and support their data infrastructure needs.
* Automate manual ingest processes and optimize data delivery subject to service level agreements; work with infrastructure on re\-design for greater scalability.
* Keep data separated and segregated according to relevant data policies.
* Demonstrated ability to join a complex global team, collaborate crossfunctionally (data scientists, platform engineers, business stakeholders), and take ownership of major components of the data platform ecosystem and develop data ready tools to support their job.
* Be up\-to\-date with the latest tech trends in the big\-data space and recommend them as needed.
* Identify, investigate, and resolve data discrepancies by finding the root cause of issues; work with partners across various cross\-functional teams to prevent future occurrences.
**Qualifications**
* Overall 4\+ years of hands\-on experience in computer/software engineering with majority in big data engineering.
* 4\+ years of strong Python or Scala programming skills (Core Python and PySpark) including hands\-on experience creating and supporting UDFs and modules like pytest.
* 4\+ years of experience with building and optimizing ‘big data’ pipelines, architectures, and data sets. Familiarity with data pipeline and workflow management tools (e.g., Airflow, DBT, Kafka).
* 4\+ years of hands\-on experience on developing on Spark in a production environment. Expertise on parallel execution, deciding resources and different modes of executing jobs is required.
* 4\+ years of experience using Hive (on Spark), Yarn (logs, DAG flow diagrams), Sqoop. Proficiency bucketing, partitioning, tuning and handling different file formats (ORC, PARQUET \&amp; AVRO).
* 4\+ years of experience using Transact SQL (e.g., MS SQ Server, MySQL), No\-SQL and GraphQL.
* Strong experience implementing solutions on Snowflake
* Experience with data quality and validation frameworks, especially Great Expectations for automated testing.
* Strong understanding and use of Swagger/OpenAPI for designing, documenting, and testing RESTful APIs.
* Experience in deployment, maintenance, and administration tasks related to Cloud (AWS, Azure Preferred), OpenStack, Docker, Kafka and Kubernetes. Familiarity with CI/CD pipelines for data pipeline automation and deployment (Jenkins, GitLab CI, Azure DevOps)
* Experience with data governance, metadata management, and data lineage using tools like Axon and Unity Catalog. Expertise in managing business glossaries, data access control, auditing, and ensuring centralized governance across data assets in both cloud and hybrid environments.
* Hands\-on experience with Databricks, including notebooks, workflows, and ML integrations.
* Experience with working with global teams across different time zones
* Plus \- Experience with Machine Learning and Artificial Intelligence
* Plus \- Experience with Generative Artificial Intelligence
 For New York, NY Only the salary range for this position is USD$132,500\.00 \- USD$162,000\.00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**View the** 
**EEOC’s Know Your Rights poster and its supplement** 
**and the** 
**pay transparency statement.**
 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**privacy policy** 
 .
 BlackRock will consider for employment qualified applicants with arrest or conviction records in a manner consistent with the requirements of the law, including any applicable fair chance law.</t>
        </is>
      </c>
    </row>
    <row r="65">
      <c r="A65" t="inlineStr">
        <is>
          <t>li-4358871849</t>
        </is>
      </c>
      <c r="B65" t="inlineStr">
        <is>
          <t>Data Engineer</t>
        </is>
      </c>
      <c r="C65" t="inlineStr">
        <is>
          <t>MANTECH</t>
        </is>
      </c>
      <c r="D65" t="inlineStr">
        <is>
          <t>linkedin</t>
        </is>
      </c>
      <c r="E65" t="inlineStr"/>
      <c r="F65" t="inlineStr"/>
      <c r="G65" t="inlineStr">
        <is>
          <t>Herndon, VA</t>
        </is>
      </c>
      <c r="H65" t="inlineStr"/>
      <c r="I65" t="inlineStr">
        <is>
          <t>**MANTECH** 
 seeks a data\-focused
 **Data Engineer** 
 to join our mission\-driven team in
 **Herndon, VA.**
 If you're passionate about data\-driven innovation and cybersecurity, this opportunity allows you to support national security while working on cutting\-edge projects. You will help make data accessible, reliable, and secure for stakeholders, contributing to enterprise\-scale data systems that empower informed decision\-making across domains.
**Responsibilities Include, But Are Not Limited To**
* Create robust and resilient data pipelines to connect data sources to analytics tools
* Work with various analysts to craft requirements
* Enumerate the necessary datasets and design the data model and schemas to support the requirements
* Provide platform support, including problem solving and debugging, for production issues
* Interact and collaborate across the services and communities involved in multi\-domain Cyber Defense to achieve breakthrough improvements in capabilities
**Minimum Qualifications**
* High School Diploma and experience coding in Python
* Experience and understanding with Database Management, SQL, PostgreSQL
* Experience with ETL tools/data transformation/data pipeline
* Experience taking data collection requirements and translating those requirements into implementable solutions
* Critical thinking and problem\-solving skills, ability to design solutions and troubleshoot issues effectively
* Analyze data sources for accuracy, data prioritization, and apply appropriate logic to developed solutions
* Communication skills to collaborate with colleagues via multiple communications channels
* Experience with Linux operating system
**Preferred Qualifications**
* Experience with JavaScript/NodeJS
**Clearance Requirements**
* An active/current TS/SCI with Polygraph is required
**Physical Requirements**
* Must be able to remain in a stationary position 50% of the time.
* Needs to occasionally move about inside the office to access file cabinets, office machinery, etc.</t>
        </is>
      </c>
    </row>
    <row r="66">
      <c r="A66" t="inlineStr">
        <is>
          <t>li-4361611071</t>
        </is>
      </c>
      <c r="B66" t="inlineStr">
        <is>
          <t>Analytics Engineer</t>
        </is>
      </c>
      <c r="C66" t="inlineStr">
        <is>
          <t>OCLC</t>
        </is>
      </c>
      <c r="D66" t="inlineStr">
        <is>
          <t>linkedin</t>
        </is>
      </c>
      <c r="E66" t="inlineStr"/>
      <c r="F66" t="inlineStr"/>
      <c r="G66" t="inlineStr">
        <is>
          <t>Dublin, OH</t>
        </is>
      </c>
      <c r="H66" t="inlineStr"/>
      <c r="I66" t="inlineStr">
        <is>
          <t>**Together we make breakthroughs possible.**
 At OCLC, we build technology with a purpose: to connect libraries and make knowledge accessible worldwide, because we believe that what is known must be shared. Our teams work with complex global datasets, AI and machine learning, hybrid cloud solutions, and other technologies that connect people and organizations to the information they need. We value the power of unique perspectives and experiences to unlock innovation. At OCLC, your ideas matter, whether you have two years of experience or 20\. You’ll learn, create, and problem\-solve with technologists, product developers, librarians, researchers, marketing pros, and support teams around the world.
**Why join OCLC?**
 OCLC is consistently recognized as a best place to work by several independent programs. We recognize and reward people and results with a comprehensive Total Rewards package. This means competitive compensation that reflects your unique contributions—performance, experience, and skills—along with exceptional benefits, including best\-in\-class health coverage, retirement plans with generous company contributions, and a commitment to your overall well\-being.
* We know the best ideas don’t always happen at a desk. Take a walking meeting around our 100\-acre campus or enjoy lunch on the patio. We’re committed to your success—both personally and professionally. Hybrid work environment: For many roles, three days a week on\-site, with occasional additional days based on business needs.
* Free use of our on\-site ﬁtness center, gym sports, group exercise classes, and game room
* Onsite catering and cafeteria subsidized by OCLC
* Health and wellness events
* Work environments with individual and team spaces and the latest technology tools
* Paid parental leave and adoption assistance
* Tuition reimbursement and Public Service Loan Forgiveness eligibility
* Company\-subsidized pricing on local tickets and memberships
 Join us in transforming how people everywhere access information and be part of a mission\-driven team that makes a global impact.
**The Job Details Are As Follows**
 As an Analytics Engineer, you will be responsible for designing, developing, and testing software and scalable data solutions. You will collaborate with team members to solve problems, implement new features, and maintain existing systems. You will collaborate with stakeholders and other engineers to define, refine, and implement features and enhancements.
**Responsibilities**
* Independently write, test, and debug code for assigned tasks.
* Collaborate with other team members to solve problems.
* Contribute to design discussions, code reviews, and documentation.
* Develop and implement new features and functionalities.
* Optimize application performance and scalability.
**Qualifications**
* Bachelor's degree in computer science, data science, related discipline, or equivalent work experience
* 2\-4 years of relevant experience in software development, data engineering, or data analysis.
* Strong proficiency in SQL and programming skills in one or more languages.
* Experience with software development methodologies.
* Ability to work independently and as part of a team.
* Strong problem\-solving and analytical skills.
* Knowledge of database systems.
* Experience integrating AI tools, frameworks, and concepts into the software development process.
**Required Skills**
 SQL databases (Snowflake, PostgreSQL), Python, Object\-Oriented Design, RESTful APIs, Linux/Unix, Version control (Git, SVN), Data Integration tools (dbt, Informatica)
**Desired Skills**
 Data visualization tools (Power BI), Cloud platforms (AWS, GCP, Azure), CI/CD, Testing frameworks (Playwright, JUnit)
**Working Conditions:** 
 Normal office environment.
**ADA/EAA:** 
 The above statements cover what are generally believed to be principal and essential functions of this job. Specific circumstances may allow or require some people assigned to the job to perform a somewhat different combination of duties.</t>
        </is>
      </c>
    </row>
    <row r="67">
      <c r="A67" t="inlineStr">
        <is>
          <t>li-4203583939</t>
        </is>
      </c>
      <c r="B67" t="inlineStr">
        <is>
          <t>Senior CX Analytics Engineer</t>
        </is>
      </c>
      <c r="C67" t="inlineStr">
        <is>
          <t>Coinbase</t>
        </is>
      </c>
      <c r="D67" t="inlineStr">
        <is>
          <t>linkedin</t>
        </is>
      </c>
      <c r="E67" t="inlineStr"/>
      <c r="F67" t="inlineStr"/>
      <c r="G67" t="inlineStr"/>
      <c r="H67" t="inlineStr"/>
      <c r="I67"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The Coinbase Customer Experience (CX) organization plays an imperative role in achieving our mission. Our team is dedicated to eliminating customer defects, driving efficiency through automation, and optimizing support operations. We are seeking an experienced Senior Analytics Engineer to lead insights into our quality assurance and knowledge management functions. As a Senior Analytics Engineer on our team, you will own and drive projects that create meaningful business impact. You’ll have the opportunity to transform data into measurable actions that improve customer experiences and help shape our long\-term strategy to deliver maximum impact to our customers.
**What you’ll be doing (ie. job duties):** 
* Improve customer experiences by developing bar raising metrics, self\-service tools, and deep analyses that drive actionable insights
* Collaborate with stakeholders to manage a long\-term analytic roadmap that balances the tactical and strategic needs of the business
* Proactively identify opportunity areas for improvement including deep dive investigations and processes to better serve our customers
* Drive the vision, building, and adoption of self\-service analytic capabilities; develop these capabilities at scale
* Understand data resources and know when, how, and which best to use for each project
* Ability to frame and break down complex business problems into key components and recommend practical solutions
* Monitor key performance metrics and use data to identify actionable opportunities to increase efficiency and make high\-quality decisions that drive performance improvements
* Build a collaborative team environment that fosters efficient execution, innovation, and continuous improvement
* Develop and support the analytical technologies that give our team timely, flexible, and structured access to their data
* Guide code reviews, provide SQL and Python expertise, and create well\-maintained ETL jobs
* Maintain a high bar for statistical rigor on your team; ensure that we’re conducting experimentation and causal analyses that build confidence with your stakeholders
**What we look for in you (ie. job requirements):** 
* 5\+ years of relevant data analytics experience in an operational environment, with a strong focus on quality measures
* Experience transforming unstructured data into actionable insights, outlier based agent performance management, and web analytics
* Professional experience using advanced SQL and data modeling skills to process large, complex datasets
* Proficient using at least one data visualization product (Looker, Tableau, QuickSight, etc.)
* Excellent written and verbal communication skills, including experience meeting with and communicating information to senior leadership
* Highly collaborative, with an ability to optimally secure inputs from many cross\-functional partner teams
* Ability to think strategically, formulate appropriate analytical solutions, and execute in order to solve business needs
**Nice to haves:** 
* Report automation experience (e.g. using Python, R)
* Knowledge of AWS services and cloud computing
* Experience with descriptive and inferential statistics
* Experience with financial industry regulations
 ID: P62711
 Pay Transparency Notice: Depending on your work location, the target annual salary for this position can range as detailed below. Full time offers from Coinbase also include target bonus \+ target equity \+ benefits (including medical, dental, vision and 401(k)).
 Pay Range: : $167,280 USD \- $196,800 USD
 Please be advised that each candidate may submit a maximum of four applications within any 30\-day period. We encourage you to carefully evaluate how your skills and interests align with Coinbase's roles before applying.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Know Your Rights notice
 here
 .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t>
        </is>
      </c>
    </row>
    <row r="68">
      <c r="A68" t="inlineStr">
        <is>
          <t>li-4325302075</t>
        </is>
      </c>
      <c r="B68" t="inlineStr">
        <is>
          <t>Senior Analytics Engineer</t>
        </is>
      </c>
      <c r="C68" t="inlineStr">
        <is>
          <t>Lord Abbett</t>
        </is>
      </c>
      <c r="D68" t="inlineStr">
        <is>
          <t>linkedin</t>
        </is>
      </c>
      <c r="E68" t="inlineStr"/>
      <c r="F68" t="inlineStr"/>
      <c r="G68" t="inlineStr">
        <is>
          <t>Jersey City, NJ</t>
        </is>
      </c>
      <c r="H68" t="inlineStr"/>
      <c r="I68" t="inlineStr">
        <is>
          <t>**The Role**
 Lord Abbett is seeking a highly skilled and experienced Senior Analytics Engineer to join our development team and contribute to the ongoing development of our analytics platforms. You will be expected to possess deep technical expertise in our tech stack and stay abreast of the latest industry technology trends. We value team members who are driven to achieve results, maintain high quality standards, and exhibit a flexible entrepreneurial spirit in the face of scope changes. You will be joining a fast\-moving team that requires the ability to work autonomously while also collaborating closely with others.
**We’ll Trust You To**
* Design and develop next\-generation equity and credit analytics platforms.
* Collaborate closely with business partners and analysts to understand data requirements and analyze and design the necessary data pipeline and database design.
* Design, implement and maintain data pipelines that can efficiently and reliably ingest and store data from a variety of internal and external sources.
* Develop robust quality control processing, monitoring, and workflow dashboards.
* Proficient in handling backend database work, well\-versed in Python or Java, with the expertise to process and load data seamlessly into databases.
* Integrate risk and quantitative models.
* Simplify and automate existing manual data processes.
* Provide support for overnight batch jobs.
* Participate in strategic discussions.
* Work closely with a team of frontend and backend engineers, product managers, and analysts.
**You'll Need To Have**
* Bachelor’s or master’s degree in computer science, Engineering, Physics, Math, or related work experience.
* Highly experienced candidate with a minimum of 10 years of expertise in application design, coding, testing, maintenance, and debugging.
* Experience creating and maintaining Conceptual, Logical, and Physical data models.
* Experience in building data pipelines, designing data models, and architecting data systems from the ground up.
* Skilled in developing Python APIs and writing code for loading and processing data.
* Experience in writing complex SQL queries, stored procedures, functions, and query optimization performance tuning.
* Strong proficiency in Java, REST, Microservices, Spring Boot, and API gateway.
* Experience working with various cloud technologies, including AWS, Azure, GCP, Snowflake, Spark, and their associated tools.
* Ability to identify opportunities to reuse data and reduce redundancy across the enterprise.
* Experience with Git/GitHub.
* Experience with DevOps tools like Jira, Confluence, and CI/CD pipelines (Jenkins).
* Experience with messaging technologies such as Kafka, as well as queuing technologies and other related tools.
* Strong analytical skills.
* Candidate must be willing to take full ownership of projects, covering discovery, analysis, technical design and implementation, testing, and deployment tasks.
* Must demonstrate good communication skills and be comfortable working closely with senior quantitative analysts, risk analysts and business partners.
* A strong desire to document and share work done to aid in long term support.
* Candidate must be a self\-starter, a dependable partner, and team player.
* Experience working in the finance industry.
* Experience with market data vendors \- Bloomberg, Markit, ICE/BAML, S\&amp;P, Moodys, Fitch, Russell, Intex, JPM, Factset, State Street, CRD, and Yieldbook.
* Experience working on distributed system and handling \&amp; processing of large\-scale data (trades, risk, market data etc).
* Knowledge of fixed income analytics for asset types such as corporate bonds, Treasuries, Derivatives, Sovereigns, Bank Loans, MBS, ABS, and CLO.
* Proficient in managing foundational data, including security master, entity master, and account master.
**Why Lord Abbett?**
 Lord Abbett is a leading global independent, privately held investment management company. We are active managers and invest where we believe we have a repeatable edge and can deliver alpha for our clients. Our vision is to be the most respected asset manager in the world, admired for our people, our performance, our relationships, and our organizational agility. This inspires the three pillars of our culture.
* Principles\-Based \- We empower our leaders to create an environment of trust.
* Performance\-Oriented \- We inspire our people to embody our values, excellence, responsibility, transparency \&amp; collaboration.
* Purpose\-Driven \- We instill a passion for always putting our clients' interests first.
 We have been ranked \#1 in Barron’s Best Fund Families for 2024 and have earned recognition as one of the Best Places to Work in Money Management by Pensions \&amp; Investments for five consecutive years.
 Compensation Information: Annual base salary for this role is $160,000 \- $170,000 . Salary is estimated for this role. Actual pay may be different.
 Discretionary Bonus: Role may be eligible to receive an annual discretionary bonus. Discretionary bonuses are determined by several factors including, but not limited to, firm, team, and individual performance.
 Benefits: Lord Abbett is committed to offering a competitive total rewards package to all eligible employees. Offerings include competitive total compensation, retirement plans, competitive health and well\-being plans. To learn more about what we offer, please visit Careers \| Lord Abbett
 Lord Abbett is an equal employment opportunity employer. We are committed to providing equal employment opportunities to all qualified individuals without regard to the following legally protected characteristics: race, color, religion, sex, pregnancy, national origin, age, physical or mental disability, marital status, sexual orientation, sexual identity, caregiver status, military/veteran status, or any other characteristic protected by local, state or federal law. All employment decisions at Lord Abbett are based solely on the applicant’s relevant experience, skills and qualifications.
 Important notice to Search Firms \- Please Read Carefully
 Without prior written agreement, Lord Abbett does not accept unsolicited submissions from employment agencies, search firms, placement services, or any similar provider (“Search Firms”) for employment opportunities. All candidates submitted by Search Firms to any employee or partner at our company without a written Search Firm agreement in place will be deemed the sole property of our company. In such circumstances, no fee, commission, or other compensation will be paid to such Search Firm in the event a candidate is hired by our company. To the extent a Search Firm has a written agreement in place, all introductions are position specific and should be directed to HR or the hiring manager, so we kindly request no unsolicited phone calls or emails.</t>
        </is>
      </c>
    </row>
    <row r="69">
      <c r="A69" t="inlineStr">
        <is>
          <t>li-4354876631</t>
        </is>
      </c>
      <c r="B69" t="inlineStr">
        <is>
          <t>Databricks Data Engineer - Senior Consultant</t>
        </is>
      </c>
      <c r="C69" t="inlineStr">
        <is>
          <t>Deloitte</t>
        </is>
      </c>
      <c r="D69" t="inlineStr">
        <is>
          <t>linkedin</t>
        </is>
      </c>
      <c r="E69" t="inlineStr"/>
      <c r="F69" t="inlineStr"/>
      <c r="G69" t="inlineStr">
        <is>
          <t>New York, NY</t>
        </is>
      </c>
      <c r="H69" t="inlineStr"/>
      <c r="I69" t="inlineStr">
        <is>
          <t>**Job Title: Senior Consultant \- Databricks Senior Data Engineer**
**Job Summary**
 As a Senior Data Engineer, you will oversee the end\-to\-end design, deployment, and optimization of enterprise\-scale data engineering solutions using Databricks on any major cloud platform (AWS, Azure, or GCP). This highly strategic role focuses on leading innovation in big data architecture and analytics, shaping best practices, advising senior stakeholders, and ensuring that data solutions align with business objectives and drive measurable results.
 Recruiting for this role ends on 2/13/2026\.
**Work you'll do**
**Key Responsibilities**
* Architect and Deliver Solutions: Lead the development, implementation, and scaling of advanced data engineering solutions using Databricks across AWS, Azure, or GCP environments.
* Champion Best Practices: Establish, document, and promote best\-in\-class approaches for data architecture, integration, and modelling.
* Pipeline Ownership: Oversee the design, development, and maintenance of robust data pipelines and data architectures that support large\-scale, enterprise data needs.
* Drive Excellence: Initiate and manage efforts to improve data quality, operational efficiency, and process scalability.
* Technology Leadership: Evaluate, pilot, and integrate new big data and analytics technologies, ensuring the organization remains at the cutting edge.
* Strategic Data Governance: Consult on, design, and implement governance, security, and compliance strategies tailored to modern cloud data ecosystems.
* Team Leadership and Mentoring: Lead, coach, and develop teams of data engineers and architects, fostering technical growth and effective project delivery.
* Stakeholder Engagement: Communicate technical concepts and business value to diverse stakeholders, including executives, business leads, and technology teams.
* DevOps and Automation: Oversee the implementation of CI/CD practices with tools such as Azure DevOps, AWS Code Pipeline, Jenkins, TFS, or PowerShell for streamlined deployments and operations.
**Qualifications**
- Bachelor's or Master's degree in Computer Science, Engineering, or a related field (Master's preferred).
- 5\+ years of hands\-on experience in data engineering with a strong focus on Databricks, deployed on any major cloud (AWS, Azure, GCP).
- Minimum of 5 years Technical Proficiency:
* Expertise with cloud\-native databases, storage solutions, and distributed compute platforms.
* Deep understanding of Lakehouse architecture, Apache Spark, Delta Lake, and related big data technologies.
* Advanced skills in data warehousing, 3NF, dimensional modeling, and enterprise\-level data lakes.
* Experience with Databricks components including Delta Live Tables, Autoloader, Structured Streaming, Databricks Workflows, and orchestration tools (e.g., Apache Airflow).
* Expertise in designing and supporting incremental data loads and building metadata\-driven ingestion/data quality frameworks using PySpark.
* Hands\-on experience with Databricks Unity Catalog and implementing fine\-grained security and access control.
* Proven track record in deploying code and solutions via automated CI/CD pipelines.
* A minimum of 1 year experience leadership in managing complex, cross\-functional data projects and technical teams.
* Experience with performance optimization of Data engineering pipelines, code, compute resources
* Ability to travel up to 50%, on average, based on the work you do and the clients and industries/sectors you serve
* Limited immigration sponsorship may be available.
**Preferred** 
 :
* Comprehensive knowledge of the AWS, Azure, and GCP cloud ecosystems and associated big data stacks is strongly preferred.
* Demonstrated skill in performance tuning and optimization within Databricks/Apache Spark environments.
* Stays current with the latest Databricks feature releases and platform enhancements.
* Exceptional communication and stakeholder management abilities, including comfort interfacing with executive leadership.
* Experience with Databricks Lakeflow is plus
* Experience in AI/ML is plus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$136,700\- $188,900\.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70">
      <c r="A70" t="inlineStr">
        <is>
          <t>li-4354932920</t>
        </is>
      </c>
      <c r="B70" t="inlineStr">
        <is>
          <t>Databricks Data Engineer - Senior Consultant</t>
        </is>
      </c>
      <c r="C70" t="inlineStr">
        <is>
          <t>Deloitte</t>
        </is>
      </c>
      <c r="D70" t="inlineStr">
        <is>
          <t>linkedin</t>
        </is>
      </c>
      <c r="E70" t="inlineStr"/>
      <c r="F70" t="inlineStr"/>
      <c r="G70" t="inlineStr">
        <is>
          <t>Denver, CO</t>
        </is>
      </c>
      <c r="H70" t="inlineStr"/>
      <c r="I70" t="inlineStr">
        <is>
          <t>**Job Title: Senior Consultant \- Databricks Senior Data Engineer**
**Job Summary**
 As a Senior Data Engineer, you will oversee the end\-to\-end design, deployment, and optimization of enterprise\-scale data engineering solutions using Databricks on any major cloud platform (AWS, Azure, or GCP). This highly strategic role focuses on leading innovation in big data architecture and analytics, shaping best practices, advising senior stakeholders, and ensuring that data solutions align with business objectives and drive measurable results.
 Recruiting for this role ends on 2/13/2026\.
**Work you'll do**
**Key Responsibilities**
* Architect and Deliver Solutions: Lead the development, implementation, and scaling of advanced data engineering solutions using Databricks across AWS, Azure, or GCP environments.
* Champion Best Practices: Establish, document, and promote best\-in\-class approaches for data architecture, integration, and modelling.
* Pipeline Ownership: Oversee the design, development, and maintenance of robust data pipelines and data architectures that support large\-scale, enterprise data needs.
* Drive Excellence: Initiate and manage efforts to improve data quality, operational efficiency, and process scalability.
* Technology Leadership: Evaluate, pilot, and integrate new big data and analytics technologies, ensuring the organization remains at the cutting edge.
* Strategic Data Governance: Consult on, design, and implement governance, security, and compliance strategies tailored to modern cloud data ecosystems.
* Team Leadership and Mentoring: Lead, coach, and develop teams of data engineers and architects, fostering technical growth and effective project delivery.
* Stakeholder Engagement: Communicate technical concepts and business value to diverse stakeholders, including executives, business leads, and technology teams.
* DevOps and Automation: Oversee the implementation of CI/CD practices with tools such as Azure DevOps, AWS Code Pipeline, Jenkins, TFS, or PowerShell for streamlined deployments and operations.
**Qualifications**
- Bachelor's or Master's degree in Computer Science, Engineering, or a related field (Master's preferred).
- 5\+ years of hands\-on experience in data engineering with a strong focus on Databricks, deployed on any major cloud (AWS, Azure, GCP).
- Minimum of 5 years Technical Proficiency:
* Expertise with cloud\-native databases, storage solutions, and distributed compute platforms.
* Deep understanding of Lakehouse architecture, Apache Spark, Delta Lake, and related big data technologies.
* Advanced skills in data warehousing, 3NF, dimensional modeling, and enterprise\-level data lakes.
* Experience with Databricks components including Delta Live Tables, Autoloader, Structured Streaming, Databricks Workflows, and orchestration tools (e.g., Apache Airflow).
* Expertise in designing and supporting incremental data loads and building metadata\-driven ingestion/data quality frameworks using PySpark.
* Hands\-on experience with Databricks Unity Catalog and implementing fine\-grained security and access control.
* Proven track record in deploying code and solutions via automated CI/CD pipelines.
* A minimum of 1 year experience leadership in managing complex, cross\-functional data projects and technical teams.
* Experience with performance optimization of Data engineering pipelines, code, compute resources
* Ability to travel up to 50%, on average, based on the work you do and the clients and industries/sectors you serve
* Limited immigration sponsorship may be available.
**Preferred** 
 :
* Comprehensive knowledge of the AWS, Azure, and GCP cloud ecosystems and associated big data stacks is strongly preferred.
* Demonstrated skill in performance tuning and optimization within Databricks/Apache Spark environments.
* Stays current with the latest Databricks feature releases and platform enhancements.
* Exceptional communication and stakeholder management abilities, including comfort interfacing with executive leadership.
* Experience with Databricks Lakeflow is plus
* Experience in AI/ML is plus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$136,700\- $188,900\.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71">
      <c r="A71" t="inlineStr">
        <is>
          <t>li-4354858783</t>
        </is>
      </c>
      <c r="B71" t="inlineStr">
        <is>
          <t>Databricks Data Engineer - Senior Consultant</t>
        </is>
      </c>
      <c r="C71" t="inlineStr">
        <is>
          <t>Deloitte</t>
        </is>
      </c>
      <c r="D71" t="inlineStr">
        <is>
          <t>linkedin</t>
        </is>
      </c>
      <c r="E71" t="inlineStr"/>
      <c r="F71" t="inlineStr"/>
      <c r="G71" t="inlineStr">
        <is>
          <t>Minneapolis, MN</t>
        </is>
      </c>
      <c r="H71" t="inlineStr"/>
      <c r="I71" t="inlineStr">
        <is>
          <t>**Job Title: Senior Consultant \- Databricks Senior Data Engineer**
**Job Summary**
 As a Senior Data Engineer, you will oversee the end\-to\-end design, deployment, and optimization of enterprise\-scale data engineering solutions using Databricks on any major cloud platform (AWS, Azure, or GCP). This highly strategic role focuses on leading innovation in big data architecture and analytics, shaping best practices, advising senior stakeholders, and ensuring that data solutions align with business objectives and drive measurable results.
 Recruiting for this role ends on 2/13/2026\.
**Work you'll do**
**Key Responsibilities**
* Architect and Deliver Solutions: Lead the development, implementation, and scaling of advanced data engineering solutions using Databricks across AWS, Azure, or GCP environments.
* Champion Best Practices: Establish, document, and promote best\-in\-class approaches for data architecture, integration, and modelling.
* Pipeline Ownership: Oversee the design, development, and maintenance of robust data pipelines and data architectures that support large\-scale, enterprise data needs.
* Drive Excellence: Initiate and manage efforts to improve data quality, operational efficiency, and process scalability.
* Technology Leadership: Evaluate, pilot, and integrate new big data and analytics technologies, ensuring the organization remains at the cutting edge.
* Strategic Data Governance: Consult on, design, and implement governance, security, and compliance strategies tailored to modern cloud data ecosystems.
* Team Leadership and Mentoring: Lead, coach, and develop teams of data engineers and architects, fostering technical growth and effective project delivery.
* Stakeholder Engagement: Communicate technical concepts and business value to diverse stakeholders, including executives, business leads, and technology teams.
* DevOps and Automation: Oversee the implementation of CI/CD practices with tools such as Azure DevOps, AWS Code Pipeline, Jenkins, TFS, or PowerShell for streamlined deployments and operations.
**Qualifications**
- Bachelor's or Master's degree in Computer Science, Engineering, or a related field (Master's preferred).
- 5\+ years of hands\-on experience in data engineering with a strong focus on Databricks, deployed on any major cloud (AWS, Azure, GCP).
- Minimum of 5 years Technical Proficiency:
* Expertise with cloud\-native databases, storage solutions, and distributed compute platforms.
* Deep understanding of Lakehouse architecture, Apache Spark, Delta Lake, and related big data technologies.
* Advanced skills in data warehousing, 3NF, dimensional modeling, and enterprise\-level data lakes.
* Experience with Databricks components including Delta Live Tables, Autoloader, Structured Streaming, Databricks Workflows, and orchestration tools (e.g., Apache Airflow).
* Expertise in designing and supporting incremental data loads and building metadata\-driven ingestion/data quality frameworks using PySpark.
* Hands\-on experience with Databricks Unity Catalog and implementing fine\-grained security and access control.
* Proven track record in deploying code and solutions via automated CI/CD pipelines.
* A minimum of 1 year experience leadership in managing complex, cross\-functional data projects and technical teams.
* Experience with performance optimization of Data engineering pipelines, code, compute resources
* Ability to travel up to 50%, on average, based on the work you do and the clients and industries/sectors you serve
* Limited immigration sponsorship may be available.
**Preferred** 
 :
* Comprehensive knowledge of the AWS, Azure, and GCP cloud ecosystems and associated big data stacks is strongly preferred.
* Demonstrated skill in performance tuning and optimization within Databricks/Apache Spark environments.
* Stays current with the latest Databricks feature releases and platform enhancements.
* Exceptional communication and stakeholder management abilities, including comfort interfacing with executive leadership.
* Experience with Databricks Lakeflow is plus
* Experience in AI/ML is plus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$136,700\- $188,900\.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72">
      <c r="A72" t="inlineStr">
        <is>
          <t>li-4353191818</t>
        </is>
      </c>
      <c r="B72" t="inlineStr">
        <is>
          <t>Technical Product Owner / Data Engineering Analyst</t>
        </is>
      </c>
      <c r="C72" t="inlineStr">
        <is>
          <t>IHG Hotels &amp; Resorts</t>
        </is>
      </c>
      <c r="D72" t="inlineStr">
        <is>
          <t>linkedin</t>
        </is>
      </c>
      <c r="E72" t="inlineStr"/>
      <c r="F72" t="inlineStr"/>
      <c r="G72" t="inlineStr">
        <is>
          <t>Atlanta, GA</t>
        </is>
      </c>
      <c r="H72" t="inlineStr"/>
      <c r="I72" t="inlineStr">
        <is>
          <t>**Your day to day**
* Responsible for identifying and analyzing gaps between current data capabilities and desired business outcomes, documenting requirements for complex, cross\-functional data projects.
* Perform analysis of data sources, data models, and ETL/ELT processes to design and propose effective data solutions. Develop alternative designs, advising on options, risks, costs, and impacts on the broader data ecosystem.
* Maintain expert knowledge of our data platform, with a deep technical understanding of Google Cloud Platform (GCP) services and BigQuery.
* Maintain deep technical and architectural understanding of the data products, especially at points of interface with internal systems and processes.
* Responsible for collaborating with business partners and stakeholders to empower a data engineering team to produce technical solutions that address complex business needs.
* Effectively translate complex data concepts into a compelling business narrative for stakeholders, and conversely, translate business requirements into clear technical specifications for the engineering team.
* Create and validate data quality test scripts and user acceptance testing scenarios, working closely with data quality and business teams.
* Create and prioritize Features and User Stories, conveying the vision and requirements for our data products to the development team.
**What We Need From You**
* Advanced knowledge of product ownership within a data engineering context and a proficient understanding of modern data architecture, systems, and processes.
* Strong proficiency with Google Cloud Platform (GCP) and BigQuery.
* Expertise in SQL for complex data analysis and a strong understanding of data modeling, data warehousing, and ETL/ELT concepts.
* Ability to understand highly complex data and technical problems and build scalable, cross\-functional solutions.
* Ability to strategically demonstrate analytical and conceptual skills needed to develop efficient and effective solutions for a variety of complex business problems.
* Exceptional storytelling and communication skills, with the ability to craft a clear narrative that translates technical information into business\-friendly language and distills business needs into technical requirements.
* Ability to collaborate with Technical SMEs to deliver large, cross\-functional data projects and initiatives.
* Experience working in Agile or, ideally, Scaled Agile Framework (SAFe) environments.
* Demonstrated proficiency in writing and presenting User Stories and Features, creating the right level of supporting artifacts to enable team understanding.
* Proven experience working with cloud\-based data platforms is required.
* SAFe PO/PM certification preferred.
* SAFe Agilist certification preferred.
**Travel \- none**
**Location \- Our hybrid work structure is an expectation of three (3\) days a week in the ATLANTA office. This expectation may be adjusted to evolve with the changing needs of the business.**
**The salary range for this role is $106,000 to $140,000\. This role is also eligible for bonus pay. We offer a comprehensive package of benefits including paid time off, medical/dental/vision insurance, 401K and other benefits to employees.**
 At IHG Hotels \&amp; Resorts, we work together to deliver True Hospitality for Good on a global scale. With corporate offices and over 6,000 hotel destinations worldwide, a career at IHG is the perfect way to broaden your horizons. You’ll experience our unique culture and brilliant colleagues who will support and inspire you. With a host of corporate opportunities to choose from, wherever you are on your career journey, and whatever you want to achieve there’s Room for You at IHG.
 Over recent years, we’ve transformed our company. We have bold ambitions to drive performance and maintain our relentless focus on growth in order to be the hotel company of choice that guests \&amp; owners love.
 We are a hospitality business at our core and value connections and being together helps us foster a unique sense of belonging that also supports productivity. That’s why here at IHG, we give our colleagues flexibility and balance – working in a hybrid way, blending office and remote working collectively. We recognise that every role is different, that’s why leaders work with teams to determine how and when they collaborate.
 We provide a wide range of benefits designed to help you live your best work life. These include impressive room discounts across our many properties, recharge days and volunteering days throughout the year. Through our myWellbeing framework, we are committed to supporting wellbeing in your health, lifestyle, and workplace. We offer a unique and inclusive culture, where there is always Room for You to belong, grow and make a difference.
 Our mission is to welcome everyone and create inclusive teams where we celebrate difference and encourage colleagues to bring their whole selves to work. IHG Hotels \&amp; Resorts provides equal employment opportunities to applicants and employees without regards to race, color, religion, sex, sexual orientation, gender identity, national origin, protected veteran status, disability, or any other category protected by applicable laws. We promote a culture of trust, support, and acceptance. Always welcoming different backgrounds, experiences, and perspectives.
 Don't quite meet every single requirement, but still believe you'd be a great fit for the job? We'll never know unless you hit the 'Apply' button. Start your journey with us today.
**Important information** 
 :
* The salary range listed is the lowest to highest pay scale we, in good faith, believe we would pay for this role at the time of this posting. We may ultimately pay more or less than the posted range, and the range may be modified in the future. An employee’s pay position within the pay range will be based on several factors, including relevant education, qualifications, certifications, experience, skills, seniority, geographic location, performance, shift, travel requirements, sales or revenue\-based metrics, and business or organizational needs.
* No amount of pay is considered to be wages or compensation until it is earned, vested, and determinable. The amount and availability of any bonus, commission, or other form of compensation allocable to a particular employee remain in the Company's sole discretion unless and until paid and may be modified at the Company’s sole discretion, consistent with the law.
* If you require reasonable accommodation during the application process, please click here.
* IHG does not accept applications, inquiries, or unsolicited CVs/resumes from staffing or recruiting agencies. Please click here for our agency policy.
* If you are a resident of or applying to a job opening in the State of Washington, please click here to read about applicable benefits.</t>
        </is>
      </c>
    </row>
    <row r="73">
      <c r="A73" t="inlineStr">
        <is>
          <t>li-4369230673</t>
        </is>
      </c>
      <c r="B73" t="inlineStr">
        <is>
          <t>Data Engineer</t>
        </is>
      </c>
      <c r="C73" t="inlineStr">
        <is>
          <t>Straive</t>
        </is>
      </c>
      <c r="D73" t="inlineStr">
        <is>
          <t>linkedin</t>
        </is>
      </c>
      <c r="E73" t="inlineStr"/>
      <c r="F73" t="inlineStr"/>
      <c r="G73" t="inlineStr"/>
      <c r="H73" t="inlineStr"/>
      <c r="I73" t="inlineStr">
        <is>
          <t>**Straive** 
 is a global leader in enterprise\-grade data analytics and AI solutions, committed to empowering businesses across various industries with cutting\-edge technology and expert insights. Backed by EQT, a top private equity firm, we are uniquely positioned to drive innovation through significant investments and an entrepreneurial spirit
 Our core focus is on delivering advanced Data Analytics \&amp; AI Solutions. By combining sophisticated technology with subject matter expertise, we deliver material impact on our clients' topline and streamline their operations. We specialize in providing tailored solutions across financial services, CPG, legal, pharma, life sciences, retail and logistics, helping them build robust data analytics and AI capabilities.
 With a client base spanning 30 countries, Straive's strategically located teams operate from eight countries and is headquartered in Singapore. This global presence enables us to offer localized expertise with a worldwide perspective.
 Join Straive to be part of a dynamic team at the forefront of data analytics and AI innovation. Here, you'll have the opportunity to contribute to transformative projects, supported by significant investments and an entrepreneurial drive fueled by our partnership with EQT.
**Website: https://www.straive.com/** 
**Job Title:** 
 Data Engineer
**Location:** 
 San Francisco Bay Area, CA (or) New York City, NY.
**Experience:** 
 4\-7 Years
**Primary focus :**
 Model reproduction, feature engineering logic, performance validation, and ensuring alignment with client's’s established modelling frameworks.
 • Rebuild and port existing client's Python based models into customer’s Databricks platform.
 • Develop, train, and validate predictive models using Python, PySpark, and ML frameworks such as scikitlearn, XGBoost, and Spark MLlib.
 • Develop, validate and reproduce feature engineering logic and ensure parity with
 client's models.
 • Train, retain, validate, and benchmark model performance using customer provided datasets while maintain performance parity with baseline models.
 • Work with data engineers to define feature requirements and ensure datasets support model needs.
 • Perform model diagnostics, bias checks, stability checks, and accuracy assessments.
 • Prepare model documentation, validation summaries, and stakeholder ready insights.
 • Support scoring pipeline design and ensure reproducibility across Dev/QA/Prod.
 • Collaborate with compliance and platform teams to ensure adherence to governance.
 • Perform model diagnostics, hyperparameter tuning, and stability analysis.
 • Evaluate model performance across population segments and time periods.
 • Work with platform and engineering teams to support scoring pipeline deployment across
 Dev/QA/Prod.
**Qualifications:**
 • 4–6 years of experience in applied machine learning or data science.
 • Strong hands\-on experience with Python, scikit\-learn, XGBoost, LightGBM,
 CatBoost, or similar libraries.
 • Experience developing ML models in Databricks with Python or PySpark.
 • Strong knowledge of feature engineering, model training workflows, and evaluation techniques.
 • Experience working with large structured datasets (financial or transactional data preferred).
 • Ability to write clear documentation and communicate technical results to non\-technical
 stakeholders.
 • 4\+ years of hands\-on experience developing, deploying, and maintaining machine\-learning models.
 • Advanced proficiency in Python (NumPy, pandas, scikit\-learn, PyTorch or TensorFlow).
 • Strong statistical and mathematical foundation, including regression, classification,
 probability,
 optimization, etc.
 • Experience building end\-to\-end ML pipelines: data ingestion, cleaning, feature engineering,
 modeling, evaluation, deployment.
 • Experience working within client environments, including adapting to unfamiliar infrastructure,
 constraints, and security requirements.
 • Experience with cloud platforms (AWS, Azure, or GCP) and on\-prem environments.
 • Advanced SQL ability and experience with big\-data tools (Spark, Databricks, Hadoop).
 This job description is not intended to cover or contain a comprehensive listing of all responsibilities, duties, or activities that are required. Responsibilities, duties, and/or activities may change, or new ones may be added at any time with or without notice.
 If you are a motivated professional with a passion for delivering impactful solutions, we’d love to hear from you. Apply today to be part of a dynamic and forward\-thinking team at Straive.
 “
 **Straive** 
 is an Equal Opportunity Employer. Our policy is clear: there shall be no discrimination based on age, disability, sex, race, religion or belief, gender reassignment, marriage/civil partnership, pregnancy/maternity, or sexual orientation.
 We are an inclusive organization and actively promote equality of opportunity for all with the right mix of talent, skills and potential. We welcome all applications from a wide range of candidates. Selection for roles will be based on individual merit alone.”</t>
        </is>
      </c>
    </row>
    <row r="74">
      <c r="A74" t="inlineStr">
        <is>
          <t>li-4369251264</t>
        </is>
      </c>
      <c r="B74" t="inlineStr">
        <is>
          <t>Analytics Engineer</t>
        </is>
      </c>
      <c r="C74" t="inlineStr">
        <is>
          <t>Orchard Analytics</t>
        </is>
      </c>
      <c r="D74" t="inlineStr">
        <is>
          <t>linkedin</t>
        </is>
      </c>
      <c r="E74" t="inlineStr"/>
      <c r="F74" t="inlineStr"/>
      <c r="G74" t="inlineStr">
        <is>
          <t>New York, NY</t>
        </is>
      </c>
      <c r="H74" t="inlineStr"/>
      <c r="I74" t="inlineStr">
        <is>
          <t>**What Orchard Does** 
 Orchard Analytics is an established boutique data engineering and analytics agency. Our top\-tier portfolio of clients range from the most exciting brands in Consumer to growth stage Series\-C tech startups – and they rely on us as their data team. You get a front row seat to how companies doing a billion dollars in aggregate revenue operate and a business school style exposure to different industries (consumer, healthcare, software, real estate, etc.) 
 We use a modern stack: Fivetran, Prefect, BigQuery/Snowflake, Cursor, dbt, Looker, Omni. We move fast and ship work every week that actually gets used.
**The Role** 
 At Orchard, Analytics Engineers own client relationships and are responsible for the implementation of scalable data models and reporting that turn raw data into clear, actionable insights. They effectively play a “Head of Data” role for the clients they work with and manage.
**Client Ownership** 
* Own the full analytics relationship for your clients – learn their business and figure out how they should leverage data and select appropriate tools.
* Run weekly syncs with stakeholders (marketing, finance, ops) to understand priorities and deliver against them
* Translate ambiguous business questions into concrete data requirements
* Push back when needed, prioritize ruthlessly, and ship work that actually moves the needle
**Analytics Engineering** 
* Build and maintain dbt models with an emphasis on clarity and maintainability
* Define and implement core business metrics that stakeholders trust
* Build dashboards and reporting in Looker or Omni that people actually use
* Troubleshoot data quality issues and fix problems at the source
* Help figure out how clients should interact with their data through AI – this is an active area we're experimenting with, not a solved problem
**Who This Is For** 
 This role is a fit if:
* You want to get extremely good at what you do – managing business relationships, communication, data infrastructure, data models, dashboards, and analysis
* You thrive in a fast\-paced environment where ownership is expected and strong performance is rewarded.
* You have 2\-4 years of experience in analytics, BI, or data
* You're solid in SQL – not necessarily a wizard, but you can write and debug complex queries on your own.
* You've built dashboards and actually had to defend the numbers to stakeholders
* You can handle ambiguity. Our clients don't always know what they want. You help them figure it out
* You’re excited about AI and what it can do
**dbt experience is a plus but not required. If you've been itching to learn it, you'll get plenty of reps here.**
**Who This Is NOT For** 
* **If you don't like client\-facing work** 
 , this is the wrong role. You'll be on calls. You'll get requests that are vague or last\-minute. You'll need to push back diplomatically and deliver anyway.
* **If you're optimizing for work\-life balance above all else** 
 , we're not the right fit. The pace is real. We are expected to be responsive and sharp
**Why You Might Love This** 
 A few things that might not be obvious:
**You'll learn faster here than almost anywhere else.** 
 You're not going to sit in a corner running the same dashboards for one company. You'll work across clients with totally different data, business models, and stakeholders. In 2 years, you'll have the experience to be a Head of Data somewhere.
**You'll work on interesting problems.** 
 Our clients range from beauty brands to marketplaces to B2B SaaS. Different data, different questions, different challenges, different business models.
**Small team, high trust** 
 . We’re a small, high performing team. No politics, no layers. You own your clients. Your work matters.
**You'll be rewarded for strong performance.** 
 High performers make good money here.
**How to Apply** 
 Send an email to
 ryan@orchardanalytics.co
 with:
1. Your resume
2. A few sentences on why this sounds interesting to you
 No cover letter necessary. We'll get back to you within a few days.</t>
        </is>
      </c>
    </row>
    <row r="75">
      <c r="A75" t="inlineStr">
        <is>
          <t>li-4369265537</t>
        </is>
      </c>
      <c r="B75" t="inlineStr">
        <is>
          <t>Senior Data Engineer</t>
        </is>
      </c>
      <c r="C75" t="inlineStr">
        <is>
          <t>Prompt Health</t>
        </is>
      </c>
      <c r="D75" t="inlineStr">
        <is>
          <t>linkedin</t>
        </is>
      </c>
      <c r="E75" t="inlineStr"/>
      <c r="F75" t="inlineStr"/>
      <c r="G75" t="inlineStr"/>
      <c r="H75" t="inlineStr"/>
      <c r="I75" t="inlineStr">
        <is>
          <t>**Job Title: Senior Data Engineer**
 Prompt is a mission\-driven startup looking for an experienced Senior Data Engineer to help push forward an ambitious set of data initiatives in healthcare, with a particular emphasis on making data actionable to drive decision making.
 Prompt delivers highly automated and modern B2B enterprise software to rehab therapy businesses, their teams, and most importantly the patients they serve. We’ve established ourselves as the go\-to platform in the space and are rapidly growing our market share by delivering software people love.
 As we scale, data is becoming increasingly central to how we make decisions and drive improvement. We’re looking for a Sr. Data Engineer who can operate broadly across the team, with a product\-focused mindset in building and maintaining data pipelines and data transformations from complex data sources. Comfort developing hypotheses, modeling datasets, and analyzing that data to guide client and internal decision making is essential. This role will contribute to internal and external facing data and analytic products – helping drive extraordinary outcomes for our clients and their patients while internally driving efficiency and decision\-making across Product, Client Success, Growth, and Operations.
 This is a high\-ownership role focused on iteratively building systems, partnering closely with stakeholders, and ensuring our data products deliver real value.
**Responsibilities**
* Drive Prompt’s mission to improve healthcare through high\-quality, actionable data that informs client and internal decision\-making
* Own the design, development, and iteration of complex data systems — from raw data ingestion through transformation, modeling, and downstream analysis
* Perform exploratory analysis and hypothesis\-driven investigations to surface insights and guide both client\-facing and internal decision\-making
* Leverage modern AI and LLM\-powered tools (e.g., code assistants, agents, automation frameworks) to accelerate data transformation, analysis, and iteration — while maintaining high standards for reliability, security, and maintainability
* Develop and evolve well\-modeled datasets, complex transformations, and metrics
* Design and implement data quality checks, monitoring, and observability to ensure correctness, freshness, and trust in data products
* Partner with stakeholders across the company to understand client and internal workflows, define success criteria, and deliver data products to drive improvement
**Qualifications**
* 4\+ years of experience building data systems, including data pipelines, transformations, and analytical datasets
* Strong experience designing, building, and operating end\-to\-end data workflows—from raw data ingestion through transformation, modeling, and downstream analysis
* Proven ability to work with complex, messy, and evolving data sources and turn them into reliable, well\-modeled datasets
* Experience performing exploratory and hypothesis\-driven analysis to inform product, operational, or client\-facing decisions
* Strong judgment around data quality, correctness, observability, and maintainability in production data systems
* Strong proficiency in Python and SQL for data transformation, analysis, and pipeline development
* Experience leveraging modern AI and LLM\-powered tools (e.g., code assistants, agents, automation frameworks) to accelerate data engineering and analysis workflows
* Strong problem\-solving mindset and ability to operate effectively in ambiguous, fast\-paced environments
* Interest in a hands\-on, high code\-contribution role; this is not an engineering management position, though growth opportunities exist over time
**Nice\-to\-Haves**
* Experience with complex healthcare datasets – including patient care, operations, and billing data
* Hands\-on experience with analytics engineering tools such as dbt for data transformations and metabase for building analytics dashboards (or other data transformation and dashboarding tools)
* Experience working in AWS (e.g., S3, Athena, RDS, Redshift, DMS, Glue, ECS, Lambda, or similar services)
* Experience working with relational databases and warehouses (e.g., PostgreSQL, Athena, Redshift, Snowflake, BigQuery)
* Experience building internal or client\-facing analytics products used by multiple teams or customers
**Perks \- What you can expect:**
* Competitive salaries
* Remote/hybrid environment
* Potential equity compensation for outstanding performance
* Flexible PTO
* Company\-wide sponsored lunches
* Company paid disability and life insurance benefits
* Company paid family and medical leave
* Medical, dental, and vision insurance benefits
* Discounted pet insurance
* FSA/DCA and commuter benefits
* 401k
* Complimentary subscription to digital fitness classes and wellness content
* Recovery suite at HQ – includes a cold plunge, sauna, and shower
*Here at Prompt, we are committed to fostering a fair and respectful work environment. As part of this commitment, it is our policy not to hire individuals from Prompt Customers unless they have obtained their current employer's explicit consent. We believe in upholding strong professional relationships and respecting the agreements and commitments our customers have with their employees. We appreciate your understanding and cooperation regarding this policy. Please don't hesitate to inquire with our team.*
*Prompt Therapy Solutions, Inc is an equal opportunity employer, indiscriminate of race, color, religion, ethnicity, ancestry, national origin, sex, gender, gender identity, sexual orientation, age, marital status, veteran status, disability, medical condition, or any other protected characteristic. We celebrate diversity and are committed to creating an inclusive environment for all employees.*
*Prompt Therapy Solutions, Inc is an E\-Verify Employer.*
 Compensation Range: $170K \- $190K</t>
        </is>
      </c>
    </row>
    <row r="76">
      <c r="A76" t="inlineStr">
        <is>
          <t>li-4369240082</t>
        </is>
      </c>
      <c r="B76" t="inlineStr">
        <is>
          <t>Senior Data Engineer</t>
        </is>
      </c>
      <c r="C76" t="inlineStr">
        <is>
          <t>Bitfarms</t>
        </is>
      </c>
      <c r="D76" t="inlineStr">
        <is>
          <t>linkedin</t>
        </is>
      </c>
      <c r="E76" t="inlineStr"/>
      <c r="F76" t="inlineStr"/>
      <c r="G76" t="inlineStr">
        <is>
          <t>New York, NY</t>
        </is>
      </c>
      <c r="H76" t="inlineStr"/>
      <c r="I76" t="inlineStr">
        <is>
          <t>**The Future Runs on Bitfarms**
 As demand for AI and high\-performance computing (HPC) accelerates, Bitfarms is building the infrastructure to meet the moment. Our US expansion and global operations are laying the foundation for scalable, energy\-optimized compute designed to support next generation workloads and long\-term growth.
**Who We Are**
 Bitfarms (NASDAQ/TSX: BITF) is a global energy and compute infrastructure company that develops, owns, and operates high\-performance data centers.
 With data centers across North and South America, we manage every stage of development from securing energy, producing power, and designing facilities to running world class operations. This vertically integrated approach allows us to innovate faster, operate more efficiently, and deliver infrastructure that can scale with the future of compute.
**Why Join Our Team**
 At Bitfarms, voted a Great Place to Work, you will be part of a team shaping the next generation of digital infrastructure. We are at the intersection of energy and technology, two industries undergoing massive transformation. Here, your work will have real impact, powering advanced workloads that are driving AI, machine learning, and the digital economy forward.
 We value people who are curious, collaborative, and committed to building solutions that last. With offices in New York City, Pittsburgh, Montreal and Buenos Aires, Bitfarms offers the chance to grow your career while helping power AI and shape the future of high\-performance computing.
**What You Can Expect at Bitfarms**
* A fast\-moving environment where innovation and execution go hand in hand.
* Opportunities to work on cutting edge projects in HPC, AI, and energy infrastructure.
* A collaborative, cross border team that thrives on solving complex challenges.
* A commitment to efficiency, operational excellence, and long\-term value creation.
 Bitfarms continues to seek operational and financial improvements through decentralization and diversification, and using ethical and innovative initiatives to unlock value for both our clients and employees.
**What We Offer**
* Competitive salary and bonus opportunities along with career advancement
* Top tier group insurance plan with employer cost sharing
* Group retirement savings with employer contribution
* Employee referral program
* Telemedicine \&amp; employee assistance program (EAP)
* An inclusive, safe and diverse work environment
 We are currently looking for a
 **Senior Data Engineer** 
 to join our team.
**Compensation:**
 Expected Salary: $120,000 \- $170,000 USD
**What You Can Expect from This Role**
 The Senior Data Engineer will play a critical role in designing, building, and operating Bitfarms’ next\-generation data platform. This role is responsible for architecting and implementing a modern Data Lakehouse, establishing a data classification program aligned with a new Data Loss Prevention (DLP) initiative, and partnering closely with business and technical stakeholders to understand, classify, and govern data across the organization.
 This position requires strong technical depth in data engineering and architecture, combined with the ability to translate business needs, compliance requirements, and security objectives into scalable and well\-governed data solutions.
**Key Responsibilities**
**Data Platform \&amp; Lakehouse Architecture**
* Design, implement, and maintain a scalable Data Lakehouse architecture supporting analytics, reporting, and advanced workloads.
* Define data ingestion, transformation, and storage patterns for structured, semi\-structured, and unstructured data.
* Establish best practices for data modeling, partitioning, performance optimization, and cost efficiency.
* Ensure high availability, reliability, and data quality across the data platform.
**Data Classification \&amp; DLP Enablement**
* Lead the design and implementation of a data classification framework aligned with Bitfarms’ security, compliance, and business requirements.
* Partner with Cybersecurity and Compliance teams to support the rollout of a Data Loss Prevention (DLP) program.
* Identify, tag, and manage sensitive data (e.g., financial, operational, personal, or regulated data) throughout the data lifecycle.
* Ensure data classification is embedded into ingestion pipelines, storage layers, and access controls.
**Stakeholder Engagement \&amp; Data Assessment**
* Work closely with business stakeholders, IT, Security, and Compliance teams to:
* Assess existing and new data sources.
* Understand data usage, criticality, and sensitivity.
* Define classification levels, retention rules, and access requirements.
* Translate stakeholder needs into technical data models, pipelines, and governance controls.
* Act as a trusted advisor on data architecture, data governance, and data protection topics.
**Data Governance \&amp; Security**
* Implement data access controls, lineage, and auditability in alignment with internal policies and regulatory requirements.
* Support SOX, ITGC, and other compliance\-driven data controls as applicable.
* Contribute to the definition of data standards, naming conventions, and documentation.
**Operations \&amp; Continuous Improvement**
* Monitor and optimize data pipelines for performance, reliability, and cost.
* Troubleshoot and resolve complex data\-related issues across environments.
* Continuously evaluate new tools, technologies, and patterns to improve the data ecosystem.
* Mentor junior engineers and contribute to internal knowledge sharing.
**What We Are Looking For**
* 7\+ years of experience in data engineering or data platform roles.
* Proven experience designing and implementing data lake and/or lakehouse architectures.
* Strong experience with data ingestion, ETL/ELT pipelines, and large\-scale data processing.
* Solid understanding of data classification, data governance, and data security concepts.
* Experience collaborating with security or compliance teams on data protection initiatives (e.g., DLP, data privacy).
* Ability to communicate complex technical concepts clearly to non\-technical stakeholders.
**More Details**
* Work schedule: Monday\-Friday, New York City office, 4 days on\-site, 1 WFH
* Job type: Full Time, Permanent
 Bitfarms is more than a workplace. It is where people come together to power the future.
 NYC: $120,000 USD \- $170,000 USD</t>
        </is>
      </c>
    </row>
    <row r="77">
      <c r="A77" t="inlineStr">
        <is>
          <t>li-4369216572</t>
        </is>
      </c>
      <c r="B77" t="inlineStr">
        <is>
          <t>Data Engineer</t>
        </is>
      </c>
      <c r="C77" t="inlineStr">
        <is>
          <t>Whatnot</t>
        </is>
      </c>
      <c r="D77" t="inlineStr">
        <is>
          <t>linkedin</t>
        </is>
      </c>
      <c r="E77" t="inlineStr"/>
      <c r="F77" t="inlineStr"/>
      <c r="G77" t="inlineStr"/>
      <c r="H77" t="inlineStr"/>
      <c r="I77" t="inlineStr">
        <is>
          <t>**About The Company**
 Join the Future of Commerce with Whatnot! Whatnot is the largest live shopping platform operating across North America and Europe, revolutionizing the way people buy, sell, and discover their favorite items. By seamlessly blending community engagement, entertainment, and e\-commerce, Whatnot creates a dynamic marketplace experience tailored to diverse interests, including fashion, beauty, electronics, collectibles such as trading cards and comic books, and even live plants. With a focus on innovation and community, Whatnot is building the future of online marketplaces. The company operates as a remote co\-located team with hubs in the US, UK, Germany, Ireland, and Poland, fostering a culture of forward\-thinking problem solving and collaboration. As one of the fastest\-growing marketplaces, Whatnot offers an exciting environment for bold individuals eager to contribute to a transformative industry.
**About The Role**
 As a Data Engineer at Whatnot, you will play a pivotal role in empowering the company's data\-driven decision\-making processes. Your primary responsibility will be to design, develop, and scale robust data systems that support internal operations and external growth initiatives. You will work closely with cross\-functional teams such as product, sales, marketing, finance, and trust to create reliable data architectures, develop resilient data pipelines, and produce foundational data products. Your expertise will enable stakeholders to access high\-quality, real\-time data insights, fostering innovation and operational excellence. The role offers a unique opportunity to impact all facets of the business by building scalable, efficient, and secure data solutions that underpin the company's mission to bring people together through commerce.
**Qualifications**
* 3\+ years of experience as a data or software engineer, focusing on data warehouses, distributed data systems, or event\-driven architectures
* Proficiency in designing and implementing data models using techniques such as dimensional modeling, Data Vault, or ledger\-style approaches
* Deep hands\-on experience with modern data tooling including Kafka, Debezium, dbt, Spark, Flink, Dagster, Airflow, Monte Carlo, and Great Expectations
* Experience operating cloud data warehouses like Snowflake, BigQuery, or Redshift, including schema design, cost optimization, and workload tuning
* Strong coding skills in Python and SQL, with the ability to integrate with CI/CD pipelines and infrastructure\-as\-code workflows
* Ability to collaborate effectively across disciplines such as engineering, product, and analytics to translate complex business requirements into elegant data solutions
* Self\-starter mentality with the ability to thrive in fast\-paced environments, owning both technical design and operational outcomes
**Responsibilities**
* Own end\-to\-end data architecture, defining how critical business data is captured, modeled, and served, and implementing solutions in production
* Develop and maintain mission\-critical streaming and batch data pipelines that process high\-volume events across various domains, ensuring low latency, completeness, and accuracy
* Design and enforce canonical data models that serve as the source of truth for analytics, machine learning, and real\-time applications, establishing standards and ownership boundaries
* Build and maintain data quality systems, including lineage, monitoring, testing, and reconciliation, to ensure datasets are observable and anomalies are actionable
* Automate operational workflows by collaborating with business systems and platform teams to eliminate manual data handoffs and reconcile data across systems
* Support analytics, machine learning, and product engineering teams by providing high\-quality, low\-latency data through semantic layers, APIs, and real\-time query systems
* Continuously evaluate and improve data systems for scalability, reliability, and cost\-efficiency, aligning with company growth and strategic goals
**Benefits**
* Generous holiday and time\-off policies
* Comprehensive health insurance options including medical, dental, and vision coverage
* Support for remote work, including home office setup allowances and monthly stipends for cell phone and internet expenses
* Care benefits such as wellness allowances and annual childcare support
* Lifetime family planning benefits covering adoption and fertility expenses
* Retirement plans including 401(k) with employer matching in the US and pension plans internationally
* Monthly allowances for app usage and wellness activities
* Paid parental leave of 16 weeks, with a gradual return\-to\-work program
* Opportunities for professional development and growth within a dynamic, innovative environment
 Equal Opportunity
 Whatnot is proud to be an Equal Opportunity Employer. We value diversity and are committed to creating an inclusive environment for all employees. We do not discriminate based on race, religion, color, national origin, gender, sexual orientation, age, marital status, veteran status, parental status, disability, or any other protected characteristic. We believe that embracing diverse skills, perspectives, and experiences enhances our company culture and drives our success. All qualified applicants are encouraged to apply and will receive consideration for employment without regard to any protected status.</t>
        </is>
      </c>
    </row>
    <row r="78">
      <c r="A78" t="inlineStr">
        <is>
          <t>li-4369248128</t>
        </is>
      </c>
      <c r="B78" t="inlineStr">
        <is>
          <t>Data Engineer</t>
        </is>
      </c>
      <c r="C78" t="inlineStr">
        <is>
          <t>Dallas College</t>
        </is>
      </c>
      <c r="D78" t="inlineStr">
        <is>
          <t>linkedin</t>
        </is>
      </c>
      <c r="E78" t="inlineStr"/>
      <c r="F78" t="inlineStr"/>
      <c r="G78" t="inlineStr">
        <is>
          <t>Texas, United States</t>
        </is>
      </c>
      <c r="H78" t="inlineStr"/>
      <c r="I78" t="inlineStr">
        <is>
          <t>All Job Postings will close at 12:01 a.m. CT on the specified Closing Date.
**Weekly Work Hours**
 40
**Compensation Range**
 Staff Range N06
**Salary Minimum**
 $66,900\.00 Annually
**FLSA**
 United States of America (Exempt)
**Position Type**
 Staff
**Job Summary**
 This role will help maintain and improve data pipelines, Lakehouse tables, and quality checks that feed HR dashboards and reporting. The Data Engineer I will work with the People Analytics team, HRIS, and IT to ensure that HR data is accurate, reliable, and ready for analysis.
 This is a hands\-on learning role ideal for someone early in their data engineering or analytics career who wants experience with cloud data platforms, HR workflows, and enterprise\-scale reporting. The Data Engineer I will assist senior staff with pipeline development, data modeling, and data governance activities while gaining exposure to advanced tools such as Microsoft Fabric, Delta Lake, and Workday RaaS integrations.
**Required Qualifications For Role (necessary Or Mandatory)**
*Technical Knowledge*
* Foundational understanding of data pipelines, ETL/ELT, and data modeling.
* Ability to write Python/R scripts and SQL queries.
* Willingness to learn Delta Lake, distributed computing, and cloud analytics architecture.
* Exposure to API concepts and structured data formats (JSON, CSV, XML).
* Ability to quickly learn HR business logic and translate it into structured data.
*Analytical and Architectural Skills*
* Ability to document logic, follow modeling patterns, and understand existing data flows.
* Skill in building clean, reproducible datasets with clear lineage.
* Ability to think through upstream/downstream impacts when modifying logic.
*Operational and Engineering Skills*
* Ability to test and validate data pipelines and identify root causes of errors.
* Willingness to work with version control, CI/CD concepts, and notebook\-based workflows.
* Ability to produce maintainable, well\-documented code.
*Collaboration and Communication*
* Clear communication with partners who have varying levels of technical expertise.
* Ability to translate technical steps into meaningful explanations.
* Reliability in meeting deadlines and coordinating with HR, IT, and People Analytics teams.
*Professional Attributes*
* High attention to detail and a strong sense of responsibility for data quality.
* Desire to grow technical skills and take on progressively complex engineering work.
 Adaptability in a fast\-evolving analytics environment with new tools and technologies.
**Physical Requirements**
 Normal physical job functions performed within a standard office environment. Reasonable accommodation(s) may be made to individuals with physical challenges to perform the essential duties and responsibilities
**Minimum Requirements For Position (necessary Or Mandatory)**
* 0–2 years of experience in data engineering, data analytics, or related technical work (internship or project experience acceptable).
* Foundational knowledge of Python or R and SQL.
* Familiarity with cloud data tools (e.g., Microsoft Fabric, Databricks, Snowflake, Azure, or similar) preferred.
* Understanding of basic ETL/ELT concepts, data cleaning, and data transformation.
* Ability to learn REST APIs, JSON parsing, and automated ingestion patterns.
* Basic understanding of data modeling concepts such as tables, joins, relational structure, and time\-series data.
* Familiarity with Git/GitHub or willingness to learn.
* Bachelor’s degree in Computer Science, Information Systems, Data Analytics, Statistics, or related field.
* Equivalent experience or technical certifications (e.g., Azure, Databricks, Python) also considered.
**Other Preferred Qualifications For Role (not Mandatory, But Advantageous)**
* Exposure to HRIS or enterprise systems (e.g., Workday, PeopleSoft, SAP).
* Experience with Power BI, semantic models, or dashboard development.
* Coursework or project experience with Delta Lake or distributed computing.
* Some knowledge of DAX, R, PySpark/SparkR, or statistical modeling.
* Exposure to data governance concepts (data quality, metadata, lineage).
 \*\*\* Will be subject to a criminal background check. Some positions may be subject to a fingerprint check. \*\*\*
 Key Responsibilities
 Data Engineering \&amp; Pipeline Support (50%)
* Assist in maintaining automated data ingestion from HR source systems (e.g., Workday RaaS, Qualtrics, ServiceNow) using REST APIs and scheduled notebooks.
* Help build and troubleshoot ETL/ELT processes using Python, PySpark/SparkR, SQL, and Microsoft Fabric notebooks.
* Support the creation and maintenance of Delta Lake/Lakehouse tables, including basic schema updates and monthly snapshots.
* Monitor pipeline executions and assist with logging, error handling, and basic performance improvements.
* Contribute to data quality checks to ensure timely and accurate HR datasets.
 Data Modeling \&amp; Data Preparation (25%)
* Help transform raw HR data into structured, analysis\-ready datasets for headcount, turnover, recruitment, learning, compensation, and other domains.
* Support development of semantic layers, shared dimensions, and metric definitions used by Power BI dashboards.
* Follow established data governance practices, including naming conventions, documentation, and metadata capture.
 Analytics Enablement (15%)
* Assist analysts by preparing clean datasets, writing optimized queries, and supporting reproducible analytics workflows.
* Help maintain trended metrics, time\-series tables, and other recurring data structures needed for enterprise reporting.
* Ensure that models are structured to support Power BI dashboard needs and self\-service analytics.
 Collaboration \&amp; Learning (10%)
* Work with People Analytics team, HRIS, and IT to support Dallas College’s People Analytics roadmap.
* Participate in data governance efforts, security reviews, and documentation updates.
* Contribute to knowledge transfer by writing clear notes, process guides, and pipeline documentation.
* Engage in professional development to learn best practices in data engineering, cloud analytics, and HR data structures.
* This position requires regular on\-site presence to fulfill essential duties that cannot be performed remotely. Duties must be executed in\-person to ensure effective collaboration, supervision, and service delivery, in accordance with Texas SB 2615\.
* If physical presence is not essential:
* This position may be eligible for remote work only under conditions permitted by Texas SB 2615, including temporary illness, disability accommodations, or assignment to approved remote instruction programs.
+ Required Dallas College Professional Development Hours per Academic Year.
+ All employees are required to complete a minimum of 19 hours.
*The intent of this job description is to provide a representative summary of the major duties and responsibilities performed by incumbents of this job and shall not be construed as a declaration of the total of the specific duties and responsibilities of any particular position. Incumbents may be directed to perform job\-related tasks other than those specifically presented in this description. Position requires regular and predictable attendance.*
**About Us**
 Since 1965, Dallas College, formerly Dallas County Community College District, has served more than three (3\) million students. Comprising seven campuses located around the Dallas/Fort Worth area, we are one of the largest community college systems in the state of Texas. We strive to be a leader in the community college space, placing students at the center of everything we do.
 Dallas College is committed to cultivating an environment of opportunity and belonging for all students and employees. We recognize that the Dallas College workforce, and the diverse talent that stems from it, is directly linked to our success. We are part of an equal opportunity system that provides education and employment opportunities without discrimination on the basis of any protected attribute, including race, color, religion, national origin, sex, disability, age, sexual orientation, gender identity or gender expression, veteran status, pregnancy or any other basis protected under applicable law. In accordance with applicable law, Dallas College will make reasonable accommodations for applicants and employees’ religious practices and beliefs, as well as any mental health or physical disability needs.
**Applications Deadline**
 February 20, 2026</t>
        </is>
      </c>
    </row>
    <row r="79">
      <c r="A79" t="inlineStr">
        <is>
          <t>li-4369216883</t>
        </is>
      </c>
      <c r="B79" t="inlineStr">
        <is>
          <t>Data Engineer</t>
        </is>
      </c>
      <c r="C79" t="inlineStr">
        <is>
          <t>Mass General Brigham</t>
        </is>
      </c>
      <c r="D79" t="inlineStr">
        <is>
          <t>linkedin</t>
        </is>
      </c>
      <c r="E79" t="inlineStr"/>
      <c r="F79" t="inlineStr"/>
      <c r="G79" t="inlineStr">
        <is>
          <t>Somerville, MA</t>
        </is>
      </c>
      <c r="H79" t="inlineStr"/>
      <c r="I79" t="inlineStr">
        <is>
          <t>Site: Mass General Brigham Incorporated
 Mass General Brigham relies on a wide range of professionals, including doctors, nurses, business people, tech experts, researchers, and systems analysts to advance our mission. As a not\-for\-profit, we support patient care, research, teaching, and community service, striving to provide exceptional care. We believe that high\-performing teams drive groundbreaking medical discoveries and invite all applicants to join us and experience what it means to be part of Mass General Brigham.
 Mass General Brigham Digital, in partnership with the Office of the Chief Medical Officer (OCMO), is seeking an experienced Data Engineer who has a passion for healthcare data and will thrive as a member of an experienced, high performing and highly motivated team. This person will have a desire to learn and a flexibility to adjust to the fast\-changing analytic and reporting demands of our system. The best candidate has solid analytical and communication skills, and experience working with health care data.
****Job Summary****
 Reporting to the Data Engineering Manager, the Data Engineer will be a member of a cross\-functional team responsible for developing new clinical data products. The areas of focus include Quality, Safety, Health Equity, Community Health, Patient Experience, Provider Wellbeing, Credentialing, and Pharmacy and Formulary.
 The ideal candidate will collaborate with a multidisciplinary team to define and achieve strategic objectives. They will be responsible for developing the Quality Data Hub within our cloud\-based data warehouse. They will collaborate closely with solutions architects, analytics engineers, and visualization developers to understand requirements, establish robust change management practices, and implement rigorous quality assurance measures. Additionally, the role involves proactive performance monitoring, troubleshooting data issues, and adhering to MGB Digital’s standards and practices.
****Qualifications****
**Principal Duties and Responsibilities**
* Design, build, test and maintain data models within the ‘Quality Data Hub’ of our cloud\-based enterprise data warehouse.
* Partners with solutions architects, analytics engineers, and data visualization developers to fully understand our data transformation needs and final model design to competently implement said design.
* In collaboration with analytic staff, performs thorough quality assurance, testing and peer review procedures to ensure the accuracy, reliability, and validity of end products.
* Adheres to the processes and tooling through which our enterprise curated data models are built and maintained. Participates in related process improvement efforts.
* Adheres to established change management and versioning processes for code promotion. Participates in related process improvement efforts as well.
* Collaborates on ingestion design for OCMO related data and handle related monitoring and support duties.
* Accrues advanced knowledge of the OCMO product domains and can quickly apply development strategies to meet the stakeholder requirements for the data products.
* Helps identify potential bottlenecks within the development lifecycle and propose high\-level strategies to overcome them.
* Triage, troubleshoot and resolve data issues from end users and internal team members.
* Follows MGB Digital guidelines and standard practices to leverage existing tools and methods to efficiently develop modeling solutions, ensure that work is not duplicated, and is appropriately transitioned between teams.
* Uses the Mass General Brigham values to govern decisions, actions, and behaviors. These values guide how we get our work done: Patients, Affordability, Accountability \&amp; Service Commitment, Decisiveness, Innovation \&amp; Thoughtful Risk; and how we treat each other: Diversity \&amp; Inclusion, Integrity \&amp; Respect, Learning, Continuous Improvement \&amp; Personal Growth, Teamwork \&amp; Collaboration.
* Other duties and responsibilities as assigned.
****Qualifications****
**Additional Job Details (if applicable)**
* Bachelor’s or master’s degree in computer science, informatics, statistics, or related field and an interest in healthcare and the use of technology to support clinical care.
* 1\-3 years of experience as an Analytics Engineer, Data Engineer, or similar role.
* 1\-3 years of experience in business intelligence/analytics, preferably working with healthcare data.
* Proficiency in querying complex data structures using SQL is required.
* Experience with transforming and modeling workflow tools, such as DBT or Informatica.
* Experience working with cloud data platforms such as Snowflake, Azure Synapse, Amazon Redshift, etc.
* Experience with general source control principles and implementing CI/CD pipelines.
* Experience with implementing scalable ETL/ELT pipelines.
* Working knowledge of traditional data warehousing and cloud data warehousing concepts.
* Strong programming skills and proficient in other programming languages (e.g., SAS, R, and Python)
* Experience developing/configuring agentic AI a plus.
* Working knowledge of data visualization (Tableau) software a plus.
* Proficiency or Certification in Epic Clarity / Caboodle data model a plus.
****Skills/Abilities/Competencies****
* Ability to function effectively and independently in a fast\-paced environment, organize and prioritize work independently, and meet tight deadlines.
* Ability to manage multiple projects simultaneously, set priorities, and collaborate with team members and others throughout the organization.
* Possess strong interpersonal skills to effectively communicate with cross functional teams including staff at all levels of the organization.
* Willing to contribute to and foster a team player culture where all are encouraged and willing to share information accurately.
* Able and motivated to mentor/train junior staff members.
* Knowledge of agile principles and experience working within an agile team is preferred.
* Practical problem\-solving abilities, i.e. the ability to formulate hypotheses, test options and move forward in a fast\-paced environment.
* Excellent interpersonal skills, including strong customer service orientation and the ability to translate complex technical concepts to non\-technical audiences.
* Advanced SQL DML skills required, with comparable experience in writing data functions (e.g. TSQL procs, Snowflake UDFs, etc.).
**Working Conditions**
* Hybrid with onsite work required in office, candidate must be flexible for weekly or monthly business needs
* M\-F Eastern business hours required
* On remote workdays, employees must use a stable, secure, and compliant workstation in a quiet environment. Teams video is required and must be accessed using MGB\-provided equipment
**Remote Type**
 Hybrid
**Work Location**
 399 Revolution Drive
**Scheduled Weekly Hours**
 40
**Employee Type**
 Regular
**Work Shift**
 Day (United States of America)
**Pay Range**
 $75,275\.20 \- $109,553\.60/Annual
**Grade**
 6
 At Mass General Brigham, we believe in recognizing and rewarding the unique value each team member brings to our organization. Our approach to determining base pay is comprehensive, and any offer extended will take into account your skills, relevant experience if applicable, education, certifications and other essential factors. The base pay information provided offers an estimate based on the minimum job qualifications; however, it does not encompass all elements contributing to your total compensation package. In addition to competitive base pay, we offer comprehensive benefits, career advancement opportunities, differentials, premiums and bonuses as applicable and recognition programs designed to celebrate your contributions and support your professional growth. We invite you to apply, and our Talent Acquisition team will provide an overview of your potential compensation and benefits package.
****EEO Statement:****
 0100 Mass General Brigham Incorporated is an Equal Opportunity Employer. All qualified applicants will receive consideration for employment without regard to race, color, religious creed, national origin, sex, age, gender identity, disability, sexual orientation, military service, genetic information, and/or other status protected under law. We will ensure that all individuals with a disability are provided a reasonable accommodation to participate in the job application or interview process, to perform essential job functions, and to receive other benefits and privileges of employment. To ensure reasonable accommodation for individuals protected by Section 503 of the Rehabilitation Act of 1973, the Vietnam Veteran’s Readjustment Act of 1974, and Title I of the Americans with Disabilities Act of 1990, applicants who require accommodation in the job application process may contact Human Resources at (857\)\-282\-7642\.
**Mass General Brigham Competency Framework**
 At Mass General Brigham, our competency framework defines what effective leadership “looks like” by specifying which behaviors are most critical for successful performance at each job level. The framework is comprised of ten competencies (half People\-Focused, half Performance\-Focused) and are defined by observable and measurable skills and behaviors that contribute to workplace effectiveness and career success. These competencies are used to evaluate performance, make hiring decisions, identify development needs, mobilize employees across our system, and establish a strong talent pipeline.</t>
        </is>
      </c>
    </row>
    <row r="80">
      <c r="A80" t="inlineStr">
        <is>
          <t>li-4369223823</t>
        </is>
      </c>
      <c r="B80" t="inlineStr">
        <is>
          <t>Data Engineer - multi strat hedge fund</t>
        </is>
      </c>
      <c r="C80" t="inlineStr">
        <is>
          <t>Vertex Search</t>
        </is>
      </c>
      <c r="D80" t="inlineStr">
        <is>
          <t>linkedin</t>
        </is>
      </c>
      <c r="E80" t="inlineStr"/>
      <c r="F80" t="inlineStr"/>
      <c r="G80" t="inlineStr"/>
      <c r="H80" t="inlineStr"/>
      <c r="I80" t="inlineStr">
        <is>
          <t>Love data? Love solving hard problems? Join a team that turns information into insight.
 This is a global, multi strategy investment platform, combining fundamental analysis with data science and quantitative techniques.
 You will be joining as a Data Engineer to power a proprietary research team at the intersection of data, technology, and investment decision\-making. In this role, you’ll help transform massive, complex datasets into actionable insights for investment professionals. You’ll work alongside researchers, data scientists, and compliance to build the pipelines, tools, and infrastructure that make cutting\-edge research possible.
 You’ll design and deploy end\-to\-end data pipelines, build scalable cloud\-based infrastructure, and prototype new technologies to push the limits of what’s possible with big data. You’ll also develop visualisation and exploration tools that help teams uncover hidden patterns and insights.
 You need to be curious, solution\-oriented and be able to thrive in a fast\-paced environment. Naturally, you will have exceptional Python skills alongside experience with Spark or Scala. Bonus points if you’ve worked with graph databases or have a knack for inventing clever technical solutions.
 Success here means integrity, ownership, and adaptability. You take responsibility, ask the right questions, embrace feedback, and elevate everyone around you.
 If you love turning complex data into smart decisions, this is the place to do it.
 Sounds interesting? Contact Aleks alekswisniewska@vertexsearch.co.uk
 No up\-to\-date CV required.</t>
        </is>
      </c>
    </row>
    <row r="81">
      <c r="A81" t="inlineStr">
        <is>
          <t>li-4359571258</t>
        </is>
      </c>
      <c r="B81" t="inlineStr">
        <is>
          <t>Data Engineer</t>
        </is>
      </c>
      <c r="C81" t="inlineStr">
        <is>
          <t>Next Ventures</t>
        </is>
      </c>
      <c r="D81" t="inlineStr">
        <is>
          <t>linkedin</t>
        </is>
      </c>
      <c r="E81" t="inlineStr"/>
      <c r="F81" t="inlineStr"/>
      <c r="G81" t="inlineStr"/>
      <c r="H81" t="inlineStr"/>
      <c r="I81" t="inlineStr">
        <is>
          <t>***This role will require you to have experience in Sports and Entertainment or experience with ticketing data, sensor data, customer data or financial data. Alternatively, if you have been an early hire in a Start\-Up environment, they will look at that experience as well.***
 I am partnered with a company who have built a technology platform that provides the end to end orchestration of data, systems and applications to manage connected spaces as an integrated technology platform.
 They are looking for a Senior Data Engineer to join their Data Platform Team, where you will take ownership of the design, implementation and optimizing of their data solutions for Sports and Entertainment venues.
 You will be responsible for architecting their analytics data platform, building pipelines and implement scalable ETL processes. Due to the variety in data sets you will be collecting, if you have experience with a variety of data e.g sensor data, financial data, customer data, spatial data, that would be a huge benefit.
**Responsibilities** 
* Design and implement scalable data pipelines using Azure Data Factory and Synapse Analytics
* Build real\-time streaming solutions
* Architect and maintain data storage solutions in Databricks
* Collaborate cross\-functionally with product managers, data scientists, and engineering teams to translate business requirements into scalable data solutions
**Qualifications** 
* 5\+ years Data engineering experience
* Demonstrated experience in PySpark Pandas and building data pipelines
* SQL and Spark Experience \- query optimization, performance tuning and experience with dbt
* Experience with Real Time data</t>
        </is>
      </c>
    </row>
    <row r="82">
      <c r="A82" t="inlineStr">
        <is>
          <t>li-4368752365</t>
        </is>
      </c>
      <c r="B82" t="inlineStr">
        <is>
          <t>Senior Data Engineer</t>
        </is>
      </c>
      <c r="C82" t="inlineStr">
        <is>
          <t>Panasonic Automotive North America</t>
        </is>
      </c>
      <c r="D82" t="inlineStr">
        <is>
          <t>linkedin</t>
        </is>
      </c>
      <c r="E82" t="inlineStr"/>
      <c r="F82" t="inlineStr"/>
      <c r="G82" t="inlineStr"/>
      <c r="H82" t="inlineStr"/>
      <c r="I82" t="inlineStr">
        <is>
          <t>**Overview**
 Sr. Data Engineer executes the building and maintaining of the data infrastructure that enables an organization to efficiently collect, process, store, and analyze data for informed decision\-making. Their role is critical in ensuring data availability, quality, and reliability throughout the data lifecycle.
**Responsibilities**
 A DAY IN THE LIFE:
* Data Pipeline Architecture Design: executes the architecting and supports the design of data pipelines that move, transform, and process data from various sources to target data storage or analytics platforms and need to ensure scalability, reliability, and efficiency in these architectures.
* Data Modeling: Design and implement data models that suit the requirements of the project and structuring data to support efficient querying and analysis.
* ETL (Extract, Transform, Load) Processes: Building robust ETL processes is a key responsibility. Senior Data Engineers design and develop ETL workflows that extract data from source systems, transform it into the desired format, and load it into Azure Data Lake.
* Data Integration: integrating data from different sources, which may include databases, APIs, third\-party services, and more. Integration involves handling data in various formats and ensuring data consistency and accuracy.
* Data Quality and Monitoring: implement data quality checks and monitoring mechanisms to identify and rectify data quality issues. Also create alerts and notifications for anomalies in data processing.
* Performance Optimization: responsible for optimizing the performance of data pipelines and processing systems. This includes fine\-tuning queries, optimizing data storage, and managing resources effectively to ensure timely data processing.
* Data Security: Ensuring data security and implement security measures to protect sensitive data and ensure proper access controls.
* Collaboration: collaborate with cross\-functional teams, including data analysts, business analysts and software engineers, to understand data requirements and provide the necessary guidelines to support their work.
* Technology Selection: assess and select appropriate tools, technologies, and frameworks for different aspects of the data engineering process and stay up to date with industry trends and emerging technologies.
* Leadership and Mentoring: As senior members of the team, should be able take on project leadership roles by guiding and mentoring other data engineers. Participate in code reviews, best practice discussions, and training sessions.
* Troubleshooting and Support: When issues arise in data pipelines or systems, Senior Data Engineer is responsible for diagnosing and resolving these issues in a timely manner to minimize disruptions.
**Must\-haves**
* A Bachelor's or Master's degree in computer science, information technology, data science, or a related field with Five (5\)\+ years of experience as a data engineer, with a significant portion of that experience specifically working with Azure data services.
* Proficiency in Microsoft Azure services and tools related to data engineering, such as Azure Data Factory, Azure Databricks, Azure Analytical Service, Azure Synapse Analytics, Azure Cosmos DB, etc.
* Strong Experience in implementing data solutions in Azure Data Lake platform
* Experience with Data Governance tools like Azure Purview, Alation.etc are preferred.
* Expertise in SQL, T\-SQL and experience working with various database systems, including relational databases and NoSQL databases is required.
* Experience with data modeling, schema design, and performance optimization, especially creating tabular models for Self\-service analytics using Power BI.
* Strong skills in data integration, ETL (Extract, Transform, Load) processes, and data orchestration workflows.
* Expertise in data warehousing concepts and techniques.
* Programming skills in languages such as Python, PySpark, Java, Scala, or PowerShell for scripting and automation.
* Experience designing, building, and optimizing end\-to\-end data pipelines.
* Proven track record of implementing data solutions that meet performance, scalability, and reliability requirements.
* Experience with data migration, data warehousing, and data lake solutions.
* Experience in creating data pipelines to extract the data from SAP applications is preferred.
* The ability to analyze complex data engineering challenges and develop innovative solutions.
* Strong troubleshooting skills to identify and resolve issues in data pipelines and systems.
* Effective communication skills to work collaboratively with cross\-functional teams, including data scientists, analysts, and business stakeholders.
* The ability to translate technical concepts into understandable terms for non\-technical team members.
* Data accuracy and quality are paramount. A Senior Azure Data Engineer should be meticulous in ensuring that data pipelines and processes maintain high data integrity.
* As a senior role, this individual might be required to lead and mentor junior members of the data engineering team.
**Benefits \&amp; Perks \- We're All About You**
* Great Medical/Dental Benefits
* Company\-Matched 401K Retirement Savings
* Annual Bonus Program
* Educational Assistance
* Relaxed Dress Code
* PASATalks Speaker Summits
* Leadership \&amp; Mentorship Programs
* High5 Reward Recognition Program
* Onsite Happy Hours
* And many more benefits \&amp; perks found within the ‘Our Culture’ section…
**Who We Are**
 At Panasonic, our technology and engineering expertise delivers innovation across diverse industries. It's all about the consumer experience and making sure that we find ways to enhance that experience, either through audio enhancements or through safety enhancements inside the vehicle.
 Panasonic Automotive Systems Company of America (PASA) is an industry\-leading global supplier to Automotive Original Equipment Manufacturers (OEM’s) for infotainment systems and advanced connected car solutions. Our clients include Ford, GM, Chrysler, Daimler, Fiat, Tesla, Honda, Toyota.
**We Take Opportunity Seriously**
 Panasonic is an Equal Opportunity/Affirmative Action employer, and all qualified applicants will receive consideration for employment without regard to: race, color, religion, sex, sexual orientation, gender identity, national origin, age, genetic information, disability status, protected veteran status, or any other characteristics protected by law. All qualified individuals are required to perform the essential functions of the job with our without reasonable accommodations.
 Due to the high volume of responses, we will only be able to respond to candidates of interest. All candidates must have valid authorization to work in the U.S. Thank you for your interest in Panasonic Automotive Systems of America.
**Job ID**
 REQ\-152077</t>
        </is>
      </c>
    </row>
    <row r="83">
      <c r="A83" t="inlineStr">
        <is>
          <t>li-4368746990</t>
        </is>
      </c>
      <c r="B83" t="inlineStr">
        <is>
          <t>Analytics Engineer</t>
        </is>
      </c>
      <c r="C83" t="inlineStr">
        <is>
          <t>Vouch Insurance</t>
        </is>
      </c>
      <c r="D83" t="inlineStr">
        <is>
          <t>linkedin</t>
        </is>
      </c>
      <c r="E83" t="inlineStr"/>
      <c r="F83" t="inlineStr"/>
      <c r="G83" t="inlineStr"/>
      <c r="H83" t="inlineStr"/>
      <c r="I83" t="inlineStr">
        <is>
          <t>**About Vouch**
 Vouch is the insurance broker that powers ambition.
 We’re a tech\-enabled insurance advisory and brokerage purpose\-built for growing companies in technology, life sciences, and professional services. Our clients are ambitious leaders building complex businesses, and we help them manage risk with tailored advice, smart coverage, and responsive service.
 Backed by over $200M from world\-class investors, Vouch combines deep industry expertise with AI\-powered tools to deliver a better insurance experience. Our digital workflows reduce friction, speed up decisions, and give our clients the confidence to move faster.
****Why should you join our team and Vouch?****
 Not only is this an exciting and growing team where you can drive a real impact on our operational scalability, but Vouch is also the preferred insurance provider to customers of Y Combinator, Brex, Carta, and WeWork. We’re a quickly growing startup that believes in transparency and acknowledgment with our team members and cultivating a values\-driven company. Our values are "Be Client Obsessed", "Own it together", "Act with integrity and empathy", "Stay Curious and Grow", and "Empower People."
****What does a work environment look like at Vouch?****
 Vouch has employees located across the U.S., with offices in San Francisco, Chicago, and New York City. This role can be based anywhere in the U.S. as long as you can work our Vouch core collaboration hours (8:30 am\-2:30 pm Pacific Time) when most internal meetings are held.
**Role Responsibilities**
 Vouch is looking for an Analytics Engineer to join our team. We’re looking for someone who lives and breathes data and gets excited about data warehouses, building infrastructure to manage fast\-changing data assets, and maintaining data quality. You will be the bridge between our data platform and the analysts that rely on it. You will be responsible for modeling complex, interconnected datasets in a scalable, auditable, and reliable manner, ensuring that our data warehouse is both robust and adaptable to support data\-driven culture. You will need to balance technical rigor, domain understanding, and stakeholder communication to maintain and enhance the integrity, reliability, and utility of our analytical data assets.
**What You'll Do**
* Architect, build and optimize robust data models in dbt to power business reporting processes and analytics use cases
* Effectively speak with, and listen to, business stakeholders, engineers, designers, executives, etc., so that you can
* 
+ Understand business context and support analysts/business stakeholders across GTM, Finance, and Product to design and build single\-source\-of\-truth data assets to drive Vouch’s business
+ Act as a liaison between Engineering and Analytics to define source and target fields for data assets
* Partner with upstream Engineering teams to develop new and adapt existing data models as our technology and business evolve
* Clearly document specs and data models with source, description, and field definitions to enhance collaboration, scalability, and usability
* Set up tests to ensure data quality, monitor daily job execution, and diagnose/fix issues to ensure SLAs are met
* Perform root cause analysis for data quality issues, and partner with upstream teams and business stakeholders to rectify dirty, incomplete, or unreliable data
* Maintain and enforce consistent data modelling standards, best practices, and design patterns
* Provide and receive constructive feedback through code reviews, technical specifications, and pair programming sessions
* Use software development best practices with a focus on version control, testing, reliability and maintainability
* Work in dbt, SQL, Snowflake, git, Airflow, Python, Stitch, Mode, and we welcome new ideas!
**About You**
* 3\+ years experience developing ETL/ELT workflows as a data analytics engineer, data engineer, or data analyst, supporting a variety of business domains
* Advanced experience in SQL, dbt, Snowflake, and git
* Intermediate experience building business reporting processes (e.g. for Finance, GTM, etc.).
* Intermediate experience leveraging data pipeline services like Stitch and orchestration tools like Airflow
* Are excited to learn about Vouch’s business models, and dig into our business processes to understand how data is generated
* Are energized by business impact \&amp; a self\-starter
* Advanced communication skills and the ability to explain complex concepts to both technical and non\-technical audiences
* Thrive in cross\-functional projects that have a heavy combination of technical requirements and user\-focused workflow
* Basic experience with business intelligence tools such as Mode Analytics
* Basic experience in Python, Airflow, Stitch
* (BONUS) Familiarity with insurance or financial services data modeling
* (BONUS) Exposure to and passion for early\-stage startups and/or high growth environments
**Analytics Tools \&amp; Technologies At Vouch**
* SQL, dbt, Python
* Snowflake, Airflow, Stitch, Mode Analytics, Postgres, Kafka (Confluent)
* AWS, GitHub, Atlassian Stack (Jira, Confluence)
****Vouch provides several benefits to help you bring your best self to work:****
* 💰 Competitive compensation and equity packages
* ⚕️ Health, dental, and vision insurance
* 🍼 Parental leave
* 🌴 Flexible vacation time
* 🪷 Wellness allowance
* 🛜 Technology allowance
* 📚 Company\-sponsored personal and professional development
* 🏫 L\&amp;D: Partnerships with Ethena and monthly Lunch \&amp; Learns
* 🧘 Wellbeing: access to many wellbeing perks, including Peloton, Fetch, OneMedical, Headspace care\+, etc.
* 🤗 Caregiver Support: company seed into the dependent care FSA and company sponsored Care.com membership.
* 📊 Regular performance reviews: Vouch conducts regular performance discussions with all team members, offering goal setting and check\-ins, development discussions, and promotion opportunities.
**What To Expect In a Typical Interview Process**
**(Please note these steps may vary slightly depending on the role)**
* 30\-minute phone call with our recruiting team
* 60\- minute video interview with the hiring manager
* Technical screen
* Meet the team! 30\-45 min 1:1 video discussion with 3\-4 team members you’d work closely with in the role
**Compensation Philosophy**
 Our salary ranges are based on paying competitively for our size and industry and are part of our total compensation package, which also includes benefits and other perks. We also include stock options in all compensation packages and believe all Vouch employees should have the opportunity to become owners in the company. Individual pay decisions are based on a number of factors, including qualifications for the role, experience level, skill set, location, and business need. The pay range provided is subject to change and may be modified in the future.
**Vouch believes in putting our people first, and building a diverse team is at the front of everything we do. We welcome people from different backgrounds, experiences, perspectives, and ranges of abilities. We are an equal\-opportunity employer and celebrate the diversity of our growing team.**
**If you require reasonable accommodation to complete this application, interview, complete any pre\-employment testing, or otherwise participate in the employee selection process, please direct your inquiries to**
**recruiting@vouch.us**
 .
**The Pay Range For This Role Is**
 150,000 \- 165,000 USD per year (Remote (United States))</t>
        </is>
      </c>
    </row>
    <row r="84">
      <c r="A84" t="inlineStr">
        <is>
          <t>li-4358088443</t>
        </is>
      </c>
      <c r="B84" t="inlineStr">
        <is>
          <t>Data Engineer</t>
        </is>
      </c>
      <c r="C84" t="inlineStr">
        <is>
          <t>Infosys McCamish Systems</t>
        </is>
      </c>
      <c r="D84" t="inlineStr">
        <is>
          <t>linkedin</t>
        </is>
      </c>
      <c r="E84" t="inlineStr"/>
      <c r="F84" t="inlineStr"/>
      <c r="G84" t="inlineStr">
        <is>
          <t>Atlanta, GA</t>
        </is>
      </c>
      <c r="H84" t="inlineStr"/>
      <c r="I84" t="inlineStr">
        <is>
          <t>**Job Description:** 
* Collaborate with Business and Data team to develop meaningful models to help transform the business
* Train, tune and validate machine learning models (ML, DL, NLP and forecasting)
* Strong understanding of MLOps, Gen AI App Development, Prompt engineering, RAG
* Design, build, Orchestrate and maintain scale systems and data pipelines that enables the business to collect, store, and process large volumes of data from diverse sources
* Data Ingestion \&amp; Integration
* Data Transformation using tools like Spark, SQL, Hive, Elastic
* Build orchestrated workflow with good understanding of observability and telemetry
* Create data tests, alerts, dashboards and anomaly detection
* Design and build data warehouse and data mart with ACID guarantees
* Good background on CI pipelines with documentations, tests, ETL models, schema validations, data checks and build time series data
* Good understanding of infrastructure, software engineering principles and systems troubleshooting
* Strong understanding of Data Processing frameworks
* Solid understanding of Security, Governance and Compliance
* Strong Programming background in one of the languages (Python, GoLang, Java, SQL) with strong background in databases (MS Sql, Oracle, Progress) with atleast 8 years of experiance
* Experience in insurance domain is a plus
 Note: Applicants for employment in the U.S. must possess work authorization which does not require sponsorship by the employer for a visa (H1B or otherwise).
 The job entails sitting as well as working at a computer for extended periods of time. Should be able to communicate by telephone, email or face to face.
 About Us
 Infosys McCamish Systems,(http://www.infosysbpm.com/mccamish) located in Atlanta, Georgia, is the Life Insurance and Retirement Services subsidiary of Infosys BPM Limited.(www.infosysbpm.com) Infosys McCamish was started in 1985 as a virtual insurance company and went to market as a commercial services provider in 1995\.It has an outstanding business perspective and an exemplary track record that no other outsourcer of business solutions can claim – generating US$16 billion of recurring premium in less than five years as a virtual insurance company. Infosys McCamish has expert technology and outsourcing credentials, along with a proven business model for re\-engineering systems and performing back\-office services at a reduced cost, while reinforcing accuracy, speed and security. Seven of the top ten US insurers are among Infosys McCamish’s many BPM clients. Infosys McCamish has its operations spread across Atlanta GA and Des Moines IA in USA.
 U.S. citizens and those authorized to work in the U.S. are encouraged to apply. We are unable to sponsor at this time.
 EOE/Minority/Female/Veteran/Disabled/Sexual Orientation/</t>
        </is>
      </c>
    </row>
    <row r="85">
      <c r="A85" t="inlineStr">
        <is>
          <t>li-4358829807</t>
        </is>
      </c>
      <c r="B85" t="inlineStr">
        <is>
          <t>Data Engineer II</t>
        </is>
      </c>
      <c r="C85" t="inlineStr">
        <is>
          <t>WHOOP</t>
        </is>
      </c>
      <c r="D85" t="inlineStr">
        <is>
          <t>linkedin</t>
        </is>
      </c>
      <c r="E85" t="inlineStr"/>
      <c r="F85" t="inlineStr"/>
      <c r="G85" t="inlineStr">
        <is>
          <t>Boston, MA</t>
        </is>
      </c>
      <c r="H85" t="inlineStr"/>
      <c r="I85" t="inlineStr">
        <is>
          <t>At WHOOP, we are on a mission to unlock human performance. WHOOP empowers members to perform at a higher level through a deeper understanding of their bodies and daily lives.
 WHOOP is seeking an experienced Data Engineer who thrives on innovation and takes ownership of building and evolving data systems at scale. In this role, you will design, build, and optimize scalable data pipelines and platforms that power our data driven insights. You will play a key role in shaping robust ELT architectures, improving reliability and performance, and influencing technical direction across the data platform. With a strong focus on modern AWS infrastructure and tooling such as Snowflake, DBT, Kafka, and Spark, you will help elevate our analytical and operational capabilities. If you are excited about using AI to improve developer productivity and drive meaningful impact, we want you to join our team.
**Responsibilities**
* Design, build, and operate scalable ELT pipelines using Python and PySpark, with a focus on reliability, performance, and maintainability
* Own and improve batch and streaming data systems using Spark and Kafka, including monitoring and resolving production data issues
* Develop and optimize Snowflake data models and DBT transformations to support analytics, experimentation, and trusted metrics
* Partner with data scientists, analysts, and product teams to translate business requirements into well\-designed data solutions
* Contribute to the evolution of the data platform by improving observability, data quality, and engineering best practices
* Leverage AI tools to accelerate development, improve code quality, and automate repetitive data engineering workflows
**Qualifications**
* Bachelor’s degree in Computer Science, Engineering, or a related field, or equivalent practical experience
* 3\-5 years of professional experience building and operating ETL/ELT pipelines in production environments
* Strong proficiency in SQL and hands\-on experience with modern data warehousing concepts and dimensional modeling
* Professional experience using Python for data engineering, including writing clean, testable, and reusable code
* Experience with DBT for data modeling, testing, and documentation is preferred
* Experience with Spark and Kafka for batch or streaming data processing is preferred
* Strong problem\-solving skills, clear communication, and the ability to work independently while collaborating in an agile environment
* Comfort using AI tools such as Copilot or ChatGPT to improve efficiency throughout the software development lifecycle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eligibilityThe WHOOP compensation philosophy is designed to attract, motivate, and retain exceptional talent by offering competitive base salaries, meaningful equity, and consistent pay practices that reflect our mission and core values.*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$125,000 \- $175,000\.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is>
      </c>
    </row>
    <row r="86">
      <c r="A86" t="inlineStr">
        <is>
          <t>li-4340973295</t>
        </is>
      </c>
      <c r="B86" t="inlineStr">
        <is>
          <t>Senior AI &amp; Data Platform Engineer</t>
        </is>
      </c>
      <c r="C86" t="inlineStr">
        <is>
          <t>Quizlet</t>
        </is>
      </c>
      <c r="D86" t="inlineStr">
        <is>
          <t>linkedin</t>
        </is>
      </c>
      <c r="E86" t="inlineStr"/>
      <c r="F86" t="inlineStr"/>
      <c r="G86" t="inlineStr">
        <is>
          <t>San Francisco, CA</t>
        </is>
      </c>
      <c r="H86" t="inlineStr"/>
      <c r="I86"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The AI \&amp; Data Platform team's mission is to build and maintain a rock\-solid, scalable, and efficient foundation for all data and machine learning operations at Quizlet. This team is the bedrock upon which our AI ambitions are built. As we consolidate our AI efforts to create a unified and powerful product portfolio, the platform team's primary focus is on achieving operational excellence. We aggressively buy and leverage best\-in\-class MLOps and DataOps technologies to accelerate the pace of innovation across Quizlet.
**About The Role**
 As a Senior AI \&amp; Data Platform Engineer
 **,** 
 you’ll play a critical role in designing and building Quizlet’s next\-generation analytical data and machine learning infrastructure. You’ll partner with teams across Data Science, ML Engineering, and Product to deliver scalable, reliable, and efficient systems that enable the development and deployment of AI\-powered features.
 You’ll measure success through platform reliability, developer experience, and adoption across teams. This is an opportunity to work with cutting\-edge technologies and contribute to the foundation that powers Quizlet’s AI roadmap.
 We’re happy to share that this is an
 **onsite position** 
 in our San Francisco office. To help foster team collaboration, we require employees to be in the office a minimum of three days per week: Monday, Wednesday, and Thursday, and as needed by your manager or the company. We believe that this working environment facilitates increased work efficiency, team partnership, and supports growth as an employee and organization.
**In This Role, You Will**
* Build and maintain ML and data infrastructure to support large\-scale model training, deployment, and monitoring
* Collaborate with Product Management, Analytics, and Engineering teams to design data systems that meet diverse needs
* Develop and optimize tools that improve developer efficiency and data platform usability
* Implement scalable and resilient data ingestion and processing systems (real\-time and batch)
* Contribute to platform reliability, observability, and automation improvements
* Participate in design and code reviews, sharing best practices and mentoring peers
**What You Bring To The Table**
* 5–8\+ years of experience building and maintaining large\-scale data or ML platforms in production environments
* Strong experience with distributed systems, data pipelines, and ML infrastructure (e.g., Airflow, dbt, GCP, Kubernetes, feature stores)
* Experience contributing to best practices for reliability and efficiency in data workflows
* Strong problem\-solving and collaboration skills
**Bonus Points If You Have**
* Experience with cross\-cloud data infrastructure or hybrid orchestration
* Contributions to open\-source data/ML tooling or frameworks
* Demonstrated impact improving developer experience or data reliability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$165,000 \- $225,500,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7">
      <c r="A87" t="inlineStr">
        <is>
          <t>li-4368780501</t>
        </is>
      </c>
      <c r="B87" t="inlineStr">
        <is>
          <t>Senior Data Engineer</t>
        </is>
      </c>
      <c r="C87" t="inlineStr">
        <is>
          <t>Kharon</t>
        </is>
      </c>
      <c r="D87" t="inlineStr">
        <is>
          <t>linkedin</t>
        </is>
      </c>
      <c r="E87" t="inlineStr"/>
      <c r="F87" t="inlineStr"/>
      <c r="G87" t="inlineStr">
        <is>
          <t>Denver, CO</t>
        </is>
      </c>
      <c r="H87" t="inlineStr"/>
      <c r="I87" t="inlineStr">
        <is>
          <t>**TL;DR** 
 Kharon is seeking a full\-time
 **Senior Data Engineer** 
 based in
 **Denver, Colorado.** 
 This role requires in\-office attendance at least 3 days a week.
**RESPONSIBILITIES:** 
* Help build large\-scale distributed automated data processing systems and data lakes, while optimizing for both computational and storage efficiency on AWS Databricks.
* Create data pipelines, infrastructure, and overall workflow orchestration to pull data from a diverse set of data sources into the Kharon Data Lake.
* Build systems to track, monitor and validate the quality of data coming into or going out of Kharon Data Lake.
* Collaborate with engineers, architects, and data scientists to implement scalable solutions to solve complex problems.
* Interact and develop with internal and external APIs.
* Work with product and business teams to define novel and critical metrics for the business.
* Follow good engineering practices like documentation, diagrams, and unit/validation tests
* Take full responsibilities for the development, deployment, adoption monitoring and maintenance of the data systems and services you build.
**QUALIFICATIONS:** 
* 5\+ years of experience in software or data engineering and a BS/MS in Computer Science, Engineering, or a related field preferred.
* Experience in Python, Pandas, PySpark, and Notebooks.
* SQL knowledge and experience working with relational databases including schema design, access patterns, query performance optimization, etc.
* Experience setting up infrastructure and using data pipeline technologies like AWS Glue, Airflow, Kafka, or other cloud based equivalence.
* Experience with ETL and data warehousing like Databricks, Snowflake, or equivalent.
* Container\-based deployment experience using Docker and Kubernetes.
* Experience taking a project from inception and design to production.
* Strong verbal and written communication skills.
**NICE TO HAVE:** 
* Experience working with or data modeling for graph databases like Neo4J, Neptune, etc.
* API experience using FastAPI, Flask, Spring Boot or equivalent.
* Understanding of Elasticsearch data and query modeling.
* Interests or experience in Geopolitics, Sanction Compliance, or Financial Risk.
 Kharon is a highly disruptive and incredibly innovative organization that navigates risk at the intersection of global security threats \+ international commerce.
 What does that mean? Great question.
 Operating at the nexus of global security, Kharon is on a mission to revolutionize the current landscape. We take really complex data as it relates to global security and empower our clients to not only understand the risk associated with their potential business relationships but to operationalize that data so that they can make the best and most informed decisions possible. From financial crimes and sanctions to export controls and threat identifications, our tools optimize protection against the types of risks that could otherwise be incredibly dangerous and excessively costly to any business. Serving many of today’s leading global financial and multinational institutions, Kharon products are the most powerful in the space with a precision and depth that is absolutely unparalleled.
 When you look at any major global crisis event, we’re providing intelligence that’s at the heart of those circumstances. We connect the dots in a way that’s meaningful. Now, we’re experiencing unprecedented growth. As the world continues to evolve in complexity, so too does the demand for our products. Given the significance of our work and the increasing global reliance on our insights, we are looking for a Senior Data Engineer to join us as we work to shape the way businesses perceive and navigate global risks.
 Reporting to the
 **Associate Director of Data Engineering** 
 , this role is critical to driving the evolution of the data infrastructure that underpins our intelligence platform. In this senior engineering role, you will help lead in the design and implementation of scalable systems and resilient ETL pipelines that support a suite of analytic products. You’ll contribute to the architecture, tooling, and best practices that ensure structured and unstructured data is ingested, transformed, and delivered reliably, securely, and at scale. This position is ideal for an experienced data engineer who thrives on solving foundational engineering challenges, shaping data strategy and infrastructure, and mentoring engineers in building systems that are precise, performant, and built for the future.
 To the right person, this will be the perfect kind of challenge. Our mission is compelling, our product is powerful, and we’re growing at a rate that makes us unstoppable. If you’re looking to be surrounded by people who will inspire you to think and challenge you to grow then look no further. Our team is made up of some of the most visionary and uncompromising individuals you will ever encounter. We don’t take ourselves seriously but we’re serious about the work we do and there is absolutely no slowing us down.
 To keep that momentum going, we do our very best to make sure that each and every team member is completely taken care of. We’re nothing without our people and we strive to offer a package that reflects that. As a Kharon team member, you can expect:
* Fully sponsored medical, dental, and vision
* FSA program for both medical and dependent care
* 401k \+ Roth with matching and immediate vesting
* Paid time off \+ 11 paid holidays
 The base salary range at Kharon is set between $160,000 \- $200,000\. Please note that this figure does not necessarily include potential bonuses, commissions, benefits, or equity that may be part of the overall compensation package.
 If interested in pursuing this position, please visit
 www.kharon.com
 to apply.
 Kharon is committed to cultivating and maintaining a workplace that is free from harassment and discrimination. All qualified applicants will receive consideration for employment without regard to race, religion, color, national origin, ethnicity, gender, gender identity or expression, sexual orientation or identity, neurodiversity, appearances, age, protected veteran status, or status as a qualified individual with disability.</t>
        </is>
      </c>
    </row>
    <row r="88">
      <c r="A88" t="inlineStr">
        <is>
          <t>li-4369250321</t>
        </is>
      </c>
      <c r="B88" t="inlineStr">
        <is>
          <t>Data Engineer</t>
        </is>
      </c>
      <c r="C88" t="inlineStr">
        <is>
          <t>Hirenza</t>
        </is>
      </c>
      <c r="D88" t="inlineStr">
        <is>
          <t>linkedin</t>
        </is>
      </c>
      <c r="E88" t="inlineStr"/>
      <c r="F88" t="inlineStr"/>
      <c r="G88" t="inlineStr"/>
      <c r="H88" t="inlineStr"/>
      <c r="I88" t="inlineStr">
        <is>
          <t>**About The Company**
 Genesis10 is a leading professional staffing and technology solutions provider dedicated to connecting talented individuals with innovative organizations. With a focus on fostering growth and development, Genesis10 offers a wide range of opportunities across various industries, including finance, healthcare, technology, and more. Our commitment to excellence, diversity, and inclusion drives us to create a collaborative environment where professionals can thrive and advance their careers. We leverage our extensive network and industry expertise to deliver tailored staffing solutions that meet the evolving needs of our clients and candidates alike.
**About The Role**
 We are currently seeking motivated individuals to join our Data Engineer cohort starting in April 2026\. This role is designed for those eager to launch or accelerate their careers in Data Engineering by gaining hands\-on experience and technical expertise. As a Data Engineer at Genesis10, you will undergo comprehensive training in key technologies such as relational and non\-relational databases, APIs, Python, Pandas, Kafka, Airflow, Apache Spark, and Machine Learning. The program is structured to provide real\-world project experience, mentorship from senior engineers, and a clear pathway to a professional career in data engineering. This position requires a willingness to relocate anywhere within the United States and offers a unique opportunity to develop essential skills in a fast\-growing field.
**Qualifications**
 The ideal candidate will possess a minimum of a Bachelor's degree, with a strong foundation in programming. You should have at least six months of programming experience, demonstrated through academic coursework, personal projects, or professional work, in languages such as Python, Java, C, C\#, JavaScript, SQL, R, or similar. Additionally, candidates should have either a recent STEM degree (e.g., Computer Science, Engineering, Information Technology) or at least 12 months of professional experience in industries like finance, healthcare, insurance, banking, or technology. Authorization to work in the United States without current or future visa sponsorship and willingness to relocate across the country are essential requirements.
**Responsibilities**
 As a Data Engineer trainee, your responsibilities will include participating in immersive training sessions designed to develop your technical skills and industry knowledge. You will collaborate with senior engineers on client projects, applying learned concepts to real\-world scenarios. Your tasks will involve designing, building, and maintaining data pipelines, working with relational and non\-relational databases, and utilizing APIs to integrate data sources. You will also gain experience in data processing frameworks such as Apache Spark and workflow orchestration tools like Airflow. Throughout the program, you will be expected to actively engage in learning sessions, contribute to team projects, and demonstrate a strong commitment to professional growth. Post\-training, you will be equipped to support data\-driven decision\-making processes, optimize data workflows, and contribute to ongoing project success.
**Benefits**
 Genesis10 offers a comprehensive benefits package designed to support your health, well\-being, and career development. Benefits include health, vision, and dental insurance, a 401(k) retirement plan, and paid time off to promote work\-life balance. During the training period, you will receive paid instruction, earning $600 per week, with mentorship from experienced senior engineers. The program also provides $2,500 in relocation assistance to facilitate your move within the United States. Upon successful completion of the training, you will gain two years of client project experience, with an hourly pay rate of either $24\.04 ($50,000 annually) or $28\.85 ($60,000 annually), depending on your assigned location. Additionally, a dedicated Genesis10 manager will support your integration into the corporate culture and help guide your professional growth.
 Equal Opportunity
 Genesis10 is an equal opportunity employer committed to fostering a diverse and inclusive workplace. We do not discriminate on the basis of race, color, religion, gender, gender identity or expression, sexual orientation, national origin, age, disability, or any other protected status. We believe in providing equal access to employment opportunities and creating an environment where all individuals can thrive and succeed. Our hiring decisions are based solely on qualifications, skills, and experience, ensuring a fair and respectful process for all candidates.
 To apply, please submit a formal application through our website: Dev10 Apply Here Please note: Applications submitted through this job posting will not be reviewed. You must apply via our site. Important: This role requires willingness to relocate anywhere in the United States. Are you ready to break into the tech industry or take your technical skills to the next level? Dev10 provides a path for individuals who have a foundation in technical skills or professional experience and are eager to continue growing. Whether you've earned a technical degree, gained hands\-on programming experience, or worked professionally in industries like finance, healthcare, or insurance \- Dev10 is your opportunity to upskill and launch a career in Data Engineering. Dev10 provides a pathway for motivated learners to gain real\-world experience while developing technical skills through immersive training. Whether you're growing your existing programming knowledge or starting to build those skills for the first time, Dev10 equips you with the tools to succeed. You'll train in technologies including Relational and Non\-Relational Databases, APIs, Python, Pandas, Excel, Dash, Kafka, Airflow, Apache Spark, and Machine Learning. Now hiring for our Data Engineer cohort starting in April 2026\. To apply, please submit a formal application through our website: Dev10 Apply Here What We Require Willingness to relocate anywhere in the continental United States Authorization to work in the United States without current or future visa sponsorship Bachelor's degree Programming experience (minimum 6 months), shown on your resume, from academic coursework, hands\-on projects, or professional work.</t>
        </is>
      </c>
    </row>
    <row r="89">
      <c r="A89" t="inlineStr">
        <is>
          <t>li-4368747620</t>
        </is>
      </c>
      <c r="B89" t="inlineStr">
        <is>
          <t>Data Engineer</t>
        </is>
      </c>
      <c r="C89" t="inlineStr">
        <is>
          <t>Yakshna Solutions</t>
        </is>
      </c>
      <c r="D89" t="inlineStr">
        <is>
          <t>linkedin</t>
        </is>
      </c>
      <c r="E89" t="inlineStr"/>
      <c r="F89" t="inlineStr"/>
      <c r="G89" t="inlineStr">
        <is>
          <t>Herndon, VA</t>
        </is>
      </c>
      <c r="H89" t="inlineStr"/>
      <c r="I89" t="inlineStr">
        <is>
          <t>Data Engineer \- Fort Belvoir, VA
 YSI Jobs \- YSI Admin
**Yakshna Solutions, Inc** 
 .,
 **(YSI)** 
 is a CMMI Level 3 assessed, ISO 9001, 20000:1, 27001 certified, woman\-owned small business enterprises, headquartered in Herndon, Virginia, USA. YSI provides professional IT solutions and services to business corporations and government organizations. YSI is committed to serve its business communities as a leading IT vendor providing innovative, quality, and cost\-effective IT business solutions and services.
**YSI** 
 offers a competitive benefits package that includes the following: 401(k), health, dental, and vision insurance, Life insurance, short\-term and long\-term disability insurance, paid time off, training and professional development assistance.
 YSI is seeking a highly skilled and experienced
 **Data Engineer** 
 to support the
 **DTSS program** 
 at
 **Fort Belvoir, VA** 
 . The ideal candidate will play a key role in ensuring the quality and functionality of information systems, performing software testing, and recommending workflow and procedural improvements.
**Roles And Responsibilities**
* Ensure all information systems products and services meet organizational standards and end\-user requirements.
* Conduct thorough testing to verify software functionality and identify defects.
* Document and troubleshoot issues, working toward timely resolution.
* Report status on issue resolution to management.
* Develop improvements to existing processes and models for potential future configurations.
* Perform workflow analysis and recommend quality enhancements.
**Qualifications**
* Active Secret Clearance required.
* Ability to work onsite at Fort Belvoir, VA \- Hybrid
* Experience in Power BI development
* Hands\-on experience with ADVANA or Army VANTAGE platform
* Experience with Foundry
* Proven experience in ETL processes and data pipeline implementation
* Exposure to Tableau report (\* we will be migrating Tableau report into Power BI)
* Coding experience \- Python etc.
* Expert in SQL DB
* Strong analytical and problem\-solving skills with attention to detail.
* Experience in software testing, data analysis, and process improvement.
 Join us and contribute to mission\-critical operations while working in a collaborative and dynamic environment.
**Active Secret Clearance Required**
 Salary $100 – 120
 **k/A with benefits**
***US Citizenship***
***W\-2 Only***
*YSI is an Equal Opportunity Employer. All qualified applicants will receive consideration for employment without regard to race, color, religion, sex, pregnancy, sexual orientation, gender identity, national origin, age, protected veteran status, or disability status.*
**Job Description**
 ID Job Title Job Description 711129 Data Engineer
 Please e\-mail your profile / referrals to resumes@yakshna.com</t>
        </is>
      </c>
    </row>
    <row r="90">
      <c r="A90" t="inlineStr">
        <is>
          <t>li-4369275428</t>
        </is>
      </c>
      <c r="B90" t="inlineStr">
        <is>
          <t>Jr. Data Engineer</t>
        </is>
      </c>
      <c r="C90" t="inlineStr">
        <is>
          <t>Creative Artists Agency</t>
        </is>
      </c>
      <c r="D90" t="inlineStr">
        <is>
          <t>linkedin</t>
        </is>
      </c>
      <c r="E90" t="inlineStr"/>
      <c r="F90" t="inlineStr"/>
      <c r="G90" t="inlineStr">
        <is>
          <t>Los Angeles, CA</t>
        </is>
      </c>
      <c r="H90" t="inlineStr"/>
      <c r="I90" t="inlineStr">
        <is>
          <t>**Job Description**
**Who We Are**
 Creative Artists Agency (CAA) is the leading entertainment and sports agency, with global expertise in filmed and live entertainment, digital media, publishing, sponsorship sales and endorsements, media finance, consumer investing, fashion, brand management and consumer product licensing, and philanthropy. Distinguished by its culture of collaboration and exceptional client service, CAA’s diverse workforce identifies, innovates, and amplifies opportunities for the people and organizations that shape culture and inspire the world. The trailblazer of the agency business, CAA was the first to build a sports business, create an investment bank, launch a venture fund, found technology start\-up companies, establish a philanthropic arm, build a business in China, form a brand marketing services division, and launch a family office advisory practice, among other innovations. Named Most Valuable Sports Agency by Forbes for nine consecutive years, CAA represents more than 3,000 of the world’s top athletes in football, baseball, basketball, hockey, and soccer, in addition to coaches, on\-air broadcasters, and sports personalities and works in the areas of property sales and sponsorships, media advisory, brand consulting, venue development and strategic advisory, and executive search. Founded in 1975, CAA is headquartered in Los Angeles, and has offices in New York, London, Nashville, Shanghai, Beijing, Chicago, Washington D.C., Singapore, Toronto, Denver, Charlotte, Jacksonville, and Atlanta, among other locations globally.
**The Role**
 CAA is seeking a developer with excellent software architecture and data engineering skills to join our product development team. The product development team designs and builds software experiences for mobile and web that are uniquely valuable for CAA’s diverse, global, and high\- energy entertainment industry culture of agents, executives, artists, and business partners.
**Responsibilities**
 You and your teammates have the opportunity to work collaboratively with other developers to design and deliver data infrastructure (warehouse, schema, pipelines, data management tools) that supports CAA’s portfolio of applications and analytics. We need your help to build and maintain services and best practices for such infrastructure.
 You will be able to use your software development skills in an agile environment to develop new data pipelines and APIs, and your experience with continuous delivery will sustain the end\-to\-end lifecycle: design, deployment, test, operations, monitoring and support. You will have the chance to directly interact with the people who are using your applications.
**Languages and Frameworks**
 You should be proficient in Python with at least a year of experience delivering production Python data projects to production. We welcome candidates with experience in other languages such as Ruby, PHP, or Javascript. Experience with Javascript is a plus.  It would be great for you to have experience in the Azure data stack (Azure Data Factory, Azure Data Lake,  Tabular Model / DAX, Azure Analysis Services) but If you have strong experience with complementary open source data technologies such as Hadoop, Amazon Glue, Spark, Airflow and so on we would love to talk to you.
**Databases**
 We’d like to see real SQL and NoSQL production experience. We’re particularly interested in your expertise with SQL Server, Azure SQL, Azure Synapse, MongoDB. Having experience talking to customers and modeling data would be a plus.  If you bring specific skills in Kafka , Cassandra, or any other cloud based warehouse let’s talk.
**Tools**
 You should have experience with maintaining projects using a distributed version control system such as Git and Github. Experience in automated deployment of pipelines and schema into production environments  would be great.
**Techniques**
 You should be experienced with agile methods and the concepts behind continuous delivery. We expect you are passionate about developing data structures, pipelines, and APIs \-\- so we want to see your experience with security, testing,  performance, JSON, and REST. We are eager to hear about your experience and opinions around data quality, test strategy, and test automation.
**Education**
 We prefer you have a BS in Computer Science, or equivalent experience, which means between one to two years of delivering production data pipelines.
**Focus**
 We expect you to have a passion for and experience shipping and maintaining production software products to business users. You must have strong verbal, written and visual presentation skills. We are most interested in candidates who want to work in an environment where attention to detail, solving problems, simplicity, quality, and moving quickly are highly prized.
**Location**
 This position will be based in our LA office with a minimum of 1\-2 days a week in the office.
**Compensation**
 The annual base salary for this position is in the range of $72,000 \- $91,000 in Los Angeles, CA. This position is also eligible for benefits and a discretionary bonus. Ultimately, the salary may vary based upon, but not limited to, relevant experience, time in the role, business sector, and geographic location, among other criteria. Please talk with a CAA Recruiter to learn more.
 Creative Artists Agency, LLC (the “Company”) is committed to a policy of Equal Employment Opportunity and will not discriminate on the basis of race (inclusive of traits historically associated with race, including hair texture and protective hairstyles), color, religion, creed, gender or sex (including pregnancy, childbirth, breastfeeding or related medical conditions), national origin, ancestry, age, physical disability, mental disability, medical condition, genetic information, family and medical care leave status, military or veteran status, marital status, family status, sexual orientation, gender identity, gender expression, political affiliation, an employee’s or their dependent’s reproductive health decision making (e.g., the decision to use or access a particular drug, device or medical service), or any other characteristic protected by applicable law.
 The absence of a permanent address is not a bar to employment. The Company does not discriminate against individuals based on housing status, including the absence of a fixed address.
 The Company also complies with the Americans with Disabilities Act and applicable state and local laws with regard to providing reasonable accommodation for qualified individuals with disabilities.
 CAA does not accept unsolicited resumes from third\-party recruiters unless they were contractually engaged by CAA to provide candidates for a specified opening. Any such employment agency, person or entity that submits an unsolicited resume does so with the acknowledgement and agreement that CAA will have the right to hire that applicant at its discretion without any fee owed to the submitting employment agency, person or entity.</t>
        </is>
      </c>
    </row>
    <row r="91">
      <c r="A91" t="inlineStr">
        <is>
          <t>li-4354855639</t>
        </is>
      </c>
      <c r="B91" t="inlineStr">
        <is>
          <t>Data Engineer</t>
        </is>
      </c>
      <c r="C91" t="inlineStr">
        <is>
          <t>ProFocus Technology</t>
        </is>
      </c>
      <c r="D91" t="inlineStr">
        <is>
          <t>linkedin</t>
        </is>
      </c>
      <c r="E91" t="inlineStr"/>
      <c r="F91" t="inlineStr"/>
      <c r="G91" t="inlineStr">
        <is>
          <t>Portland, Oregon Metropolitan Area</t>
        </is>
      </c>
      <c r="H91" t="inlineStr"/>
      <c r="I91" t="inlineStr">
        <is>
          <t>**TITLE** 
 : Data Engineer
**LOCATION** 
 : Hybrid \- Portland, Oregon
**ENGAGEMENT TYPE** 
 : Direct Hire
**PAY** 
 : Target pay for this role varies based on experience.
 ProFocus is searching for a Data Engineer for full time position for our client in Beaverton, Oregon \- this position is remote or hybrid. We are looking for a creative, enthusiastic, adept, and motivated Data Engineer with strong SQL and ETL experience to join the Data Engineering team.
**What You’ll Be Doing**
* Contribute to the design and implementation of data models
* Build, test, and maintain data architectures
* Contribute to the alignment of architectures with business requirements
* Develop data set processes
* Extract data from divergent systems and load into a warehouse
* Work with QA to build in telemetry and quality
* Investigate and defuse time\-sensitive data incidents
* Work directly with Analysts, Quants, and Data Science and any other stakeholders to understand requirements and provide end\-to\-end data solutions
* Engage in the design process and identify opportunities for improvement
* Participate in CI/CD deployments.
* Provide ongoing support and maintenance for data pipelines.
* Continue to grow and improve the business’s data platforms
**Who We’re Looking For**
* 5\+ years of experience in data engineering
* Demonstrable experience building and maintaining scalable ETL platforms
* Expertise in Python and SQL
* Have strong verbal and written communication skills
* Exposure to Snowflake, Spark, Hadoop, and other Big Data technologies would be ideal, not required
**About Our Client**
* Our client is a local startup and growing company that provides financial data business intelligence (BI) solutions.
**WHY ProFocus**
* Candidates come first. ProFocus recently earned the Best in Staffing Award for Talent Satisfaction due to our World\-Class service to our amazing candidates.
* Quality process. We invest the time to learn about your skills, experience, and career goals in detail so we can find you a position that is a great fit.
* Access to hiring managers. We have close relationships with some of the most respected companies in Portland. Due to those relationships, we can provide direct access to managers and positions that may not be available anywhere else.
* Excellent benefits. We offer medical, dental, vision, 401k, education reimbursement, sick leave, and employer\-paid short\-term disability and life insurance.
**Want to learn more?** 
 Contact one of our recruiters here or email info@ProFocusTechnology.com.
**Please email us your resume to apply:** 
 Resume@ProFocusTechnology.com
 Visit our Job Seekers page to learn more and review other opportunities.
*ProFocus is an equal opportunity employer. We value diversity in our workplace and encourage all qualified applicants regardless of race, color, age, sex, religion, national origin, physical or mental disability, pregnancy, marital status, veteran or military status, genetic information, sexual orientation, or any other characteristic protected by federal, state, or local laws.*</t>
        </is>
      </c>
    </row>
    <row r="92">
      <c r="A92" t="inlineStr">
        <is>
          <t>li-4368753653</t>
        </is>
      </c>
      <c r="B92" t="inlineStr">
        <is>
          <t>1608 - Mid-level Data Engineer</t>
        </is>
      </c>
      <c r="C92" t="inlineStr">
        <is>
          <t>Sigma Defense Systems LLC</t>
        </is>
      </c>
      <c r="D92" t="inlineStr">
        <is>
          <t>linkedin</t>
        </is>
      </c>
      <c r="E92" t="inlineStr"/>
      <c r="F92" t="inlineStr"/>
      <c r="G92" t="inlineStr">
        <is>
          <t>San Diego, CA</t>
        </is>
      </c>
      <c r="H92" t="inlineStr"/>
      <c r="I92" t="inlineStr">
        <is>
          <t>Sigma Defense is seeking a highly skilled
 **Mid\-level Data Engineer** 
 to support the Readiness and Effectiveness Measuring (SHAREM) support contract at Surface and Mine Warfighting Development Center (SMWDC) in San Diego, CA. The ideal candidate should have database entry, management, and monitoring experience.
***Equal Opportunity Employer/Veterans/Disabled: Sigma Defense Systems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**Requirements**
 Mid\-level Data Scientist shall have a minimum of the following qualifications (which may be gained concurrently):
* 5\+ years of Navy experience managing Navy computer networks
* 3\+ years of experience using Python and other programming tools to script data analysis products
* Hold and maintain certifications and/or training to maintain FLANKSPEED IL6 AZURE Privileged Access to include:
+ AZURE Administrator Associate AZ\-104
+ IAT Level II iaw DoD 8750 Approved Baseline Certifications
+ Others as required by FLANKSPEED IL6 services
* Must be a U.S. citizen
**Computer Programs/Software:**
* Python
* Azure
**Personnel Clearance Level:**
* Candidate must possess or have the ability to obtain an active Secret security clearance or higher
* Clearance will be sponsored for the right candidate
**Essential Job Duties (** 
***not all\-inclusive***
**):**
* System administration for Naval Ship Tracking, Reporting and Analysis Tool (NSTRAT) System, to monitor the application and/or services and troubleshoot issues affecting availability
* Software Engineering and testing to develop data analysis tools and event reconstruction
* Performs database query analysis
**Salary Range:** 
 $75,000 \- $90,000 annually.
**Benefits**
* Dental and Vision Insurance
* Medical Insurance to Include HSA, FSA, and DFSA Plans
* Life and AD\&amp;D coverage
* Employee Assistance Program (EAP)
* 401(k) Plan with Company Matching Contributions
* 160 Hours of Paid Time Off (PTO)
* 12 (Floating) Holidays
* Educational Assistance
* Highly Competitive Salary</t>
        </is>
      </c>
    </row>
    <row r="93">
      <c r="A93" t="inlineStr">
        <is>
          <t>li-4344245551</t>
        </is>
      </c>
      <c r="B93" t="inlineStr">
        <is>
          <t>Data Engineer</t>
        </is>
      </c>
      <c r="C93" t="inlineStr">
        <is>
          <t>Berkshire Hathaway GUARD Insurance Companies</t>
        </is>
      </c>
      <c r="D93" t="inlineStr">
        <is>
          <t>linkedin</t>
        </is>
      </c>
      <c r="E93" t="inlineStr"/>
      <c r="F93" t="inlineStr"/>
      <c r="G93" t="inlineStr"/>
      <c r="H93" t="inlineStr"/>
      <c r="I93" t="inlineStr">
        <is>
          <t>**Overview**
 Good things are happening at Berkshire Hathaway GUARD Insurance Companies. We provide Property \&amp; Casualty insurance products and services through a nationwide network of independent agents and brokers. Our companies are all rated A\+ “Superior” by AM Best (the leading independent insurance rating organization) and ultimately owned by Warren Buffett’s Berkshire Hathaway group – one of the financially strongest organizations in the world! Headquartered in Wilkes\-Barre, PA, we employ over 1,000 individuals (and growing) and have offices across the country. Our vision is to be a leading small business insurance provider nationwide.
 Founded upon an exceptional culture and led by a collaborative and inclusive management team, our company’s success is grounded in our core values: accountability, service, integrity, empowerment, and diversity. We are always in search of talented individuals to join our team and embark on an exciting career path!
**Benefits**
 We are an equal opportunity employer that strives to maintain a work environment that is welcoming and enriching for all. You’ll be surprised by all we have to offer!
* Competitive compensation
* Healthcare benefits package that begins on first day of employment
* 401K retirement plan with company match
* Enjoy generous paid time off to support your work\-life balance plus 9 ½ paid holidays
* Up to 6 weeks of parental and bonding leave
* Hybrid work schedule (3 days in the office, 2 days from home)
* Longevity awards (every 5 years of employment, receive a generous monetary award to be used toward a vacation)
* Tuition reimbursement after 6 months of employment
* Numerous opportunities for continued training and career advancement
* And much more!
**Responsibilities**
 We are hiring a hands\-on senior level
 **Data Engineer** 
 to build trustworthy, well governed data products and turn them into insights that drive underwriting, claims, product, distribution, and operations for the organization. You will collaborate directly with business leaders to translate questions into curated datasets, intuitive Power BI models, analytic insights and clear narratives that influence decisions. You’ll context switch comfortably between data \&amp; analytic engineering and meeting with business stakeholders to understand their processes and needs.
**Key Responsibilities**
* Collaborate closely with cross\-functional teams; including Underwriting, Product, Claims, Finance, and Distribution/Operations\- to transform business questions into clearly documented requirements and actionable data solutions.
* Model and publish curated, analysis ready datasets, semantic models in Power BI or analytics delivery that illuminate small commercial metrics.
* Continuously learn and expand business knowledge to proactively produce automated analytic solutions to business challenges.
* Design, develop, and maintain scalable ELT/ETL pipelines and lakehouse structures in Microsoft Fabric; Follow platform standards, optimize for performance, reliability, and cost.
* Follow and implement documentation standards, governance and data quality controls across datasets.
* Use Azure DevOps (ADO) for CI/CD and version control (branching, pull requests, release pipelines) to harden delivery and improve repeatability.
* Document technical architecture and workflows with clear diagrams and runbooks to accelerate onboarding and reduce operational risk.
**Qualifications**
**Qualifications:**
* Bachelor’s degree in computer science, information technology, or a related field.
* 5\-10 years of experience in data engineering or a related role within the P\&amp;C insurance space
* Proficiency in Microsoft Fabric a significant plus.
* Exposure to Azure DevOps (ADO) and CI/CD practices.
* Strong SQL, Python and data modeling skills.
* Experience with cloud platforms, preferably Azure.
* Excellent problem\-solving and analytical skills.
* Strong communication and collaboration abilities.
**Preferred Skills**
* Experience with big data technologies such as Hadoop, Spark, or Databricks.
* Knowledge of data warehousing concepts and tools.
* Familiarity with programming languages such as Python or Scala.
* Understanding of data security and compliance requirements.
* Applicants must be authorized to work in the U.S. without current or future sponsorship\*
**Salary Range**
 $100,000 – $160,000\. The annual base salary range posted represents a broad range of salaries around the U.S. and is subject to many factors including but not limited to credentials, education, experience, geographic location, job responsibilities, performance, skills and/or training.
 The successful candidate is expected to work in one of our offices 3 days per week and also be available for travel as required.</t>
        </is>
      </c>
    </row>
    <row r="94">
      <c r="A94" t="inlineStr">
        <is>
          <t>li-4344245550</t>
        </is>
      </c>
      <c r="B94" t="inlineStr">
        <is>
          <t>Data Engineer</t>
        </is>
      </c>
      <c r="C94" t="inlineStr">
        <is>
          <t>Berkshire Hathaway GUARD Insurance Companies</t>
        </is>
      </c>
      <c r="D94" t="inlineStr">
        <is>
          <t>linkedin</t>
        </is>
      </c>
      <c r="E94" t="inlineStr"/>
      <c r="F94" t="inlineStr"/>
      <c r="G94" t="inlineStr"/>
      <c r="H94" t="inlineStr"/>
      <c r="I94" t="inlineStr">
        <is>
          <t>**Overview**
 Good things are happening at Berkshire Hathaway GUARD Insurance Companies. We provide Property \&amp; Casualty insurance products and services through a nationwide network of independent agents and brokers. Our companies are all rated A\+ “Superior” by AM Best (the leading independent insurance rating organization) and ultimately owned by Warren Buffett’s Berkshire Hathaway group – one of the financially strongest organizations in the world! Headquartered in Wilkes\-Barre, PA, we employ over 1,000 individuals (and growing) and have offices across the country. Our vision is to be a leading small business insurance provider nationwide.
 Founded upon an exceptional culture and led by a collaborative and inclusive management team, our company’s success is grounded in our core values: accountability, service, integrity, empowerment, and diversity. We are always in search of talented individuals to join our team and embark on an exciting career path!
**Benefits**
 We are an equal opportunity employer that strives to maintain a work environment that is welcoming and enriching for all. You’ll be surprised by all we have to offer!
* Competitive compensation
* Healthcare benefits package that begins on first day of employment
* 401K retirement plan with company match
* Enjoy generous paid time off to support your work\-life balance plus 9 ½ paid holidays
* Up to 6 weeks of parental and bonding leave
* Hybrid work schedule (3 days in the office, 2 days from home)
* Longevity awards (every 5 years of employment, receive a generous monetary award to be used toward a vacation)
* Tuition reimbursement after 6 months of employment
* Numerous opportunities for continued training and career advancement
* And much more!
**Responsibilities**
 We are hiring a hands\-on senior level
 **Data Engineer** 
 to build trustworthy, well governed data products and turn them into insights that drive underwriting, claims, product, distribution, and operations for the organization. You will collaborate directly with business leaders to translate questions into curated datasets, intuitive Power BI models, analytic insights and clear narratives that influence decisions. You’ll context switch comfortably between data \&amp; analytic engineering and meeting with business stakeholders to understand their processes and needs.
**Key Responsibilities**
* Collaborate closely with cross\-functional teams; including Underwriting, Product, Claims, Finance, and Distribution/Operations\- to transform business questions into clearly documented requirements and actionable data solutions.
* Model and publish curated, analysis ready datasets, semantic models in Power BI or analytics delivery that illuminate small commercial metrics.
* Continuously learn and expand business knowledge to proactively produce automated analytic solutions to business challenges.
* Design, develop, and maintain scalable ELT/ETL pipelines and lakehouse structures in Microsoft Fabric; Follow platform standards, optimize for performance, reliability, and cost.
* Follow and implement documentation standards, governance and data quality controls across datasets.
* Use Azure DevOps (ADO) for CI/CD and version control (branching, pull requests, release pipelines) to harden delivery and improve repeatability.
* Document technical architecture and workflows with clear diagrams and runbooks to accelerate onboarding and reduce operational risk.
**Qualifications**
**Qualifications:**
* Bachelor’s degree in computer science, information technology, or a related field.
* 5\-10 years of experience in data engineering or a related role within the P\&amp;C insurance space
* Proficiency in Microsoft Fabric a significant plus.
* Exposure to Azure DevOps (ADO) and CI/CD practices.
* Strong SQL, Python and data modeling skills.
* Experience with cloud platforms, preferably Azure.
* Excellent problem\-solving and analytical skills.
* Strong communication and collaboration abilities.
**Preferred Skills**
* Experience with big data technologies such as Hadoop, Spark, or Databricks.
* Knowledge of data warehousing concepts and tools.
* Familiarity with programming languages such as Python or Scala.
* Understanding of data security and compliance requirements.
* Applicants must be authorized to work in the U.S. without current or future sponsorship\*
**Salary Range**
 $100,000 – $160,000\. The annual base salary range posted represents a broad range of salaries around the U.S. and is subject to many factors including but not limited to credentials, education, experience, geographic location, job responsibilities, performance, skills and/or training.
 The successful candidate is expected to work in one of our offices 3 days per week and also be available for travel as required.</t>
        </is>
      </c>
    </row>
    <row r="95">
      <c r="A95" t="inlineStr">
        <is>
          <t>li-4369257840</t>
        </is>
      </c>
      <c r="B95" t="inlineStr">
        <is>
          <t>Principal Data Engineer</t>
        </is>
      </c>
      <c r="C95" t="inlineStr">
        <is>
          <t>CBSLLC</t>
        </is>
      </c>
      <c r="D95" t="inlineStr">
        <is>
          <t>linkedin</t>
        </is>
      </c>
      <c r="E95" t="inlineStr"/>
      <c r="F95" t="inlineStr"/>
      <c r="G95" t="inlineStr">
        <is>
          <t>Redmond, WA</t>
        </is>
      </c>
      <c r="H95" t="inlineStr"/>
      <c r="I95" t="inlineStr">
        <is>
          <t>**Key Responsibilities** 
* Architect, build, and own the enterprise data platform with a primary focus on
 **Microsoft Fabric** 
 , ensuring scalability, performance, reliability, and security.
* Design and implement
 **end\-to\-end data pipelines in Microsoft Fabric** 
 including ingestion, transformation, orchestration, and optimization.
* Own and manage the
 **Power BI reporting environment** 
 , including semantic models, datasets, governance, and performance optimization.
* Lead the organization’s efforts to make data
 **AI\-ready** 
 , including defining standards for data quality, semantic modeling, governance, and enablement for downstream use by Copilot, AI agents, and ML/AI systems.
* Define and implement enterprise\-wide
 **data modeling standards, governance frameworks, and metadata management** 
 .
* Partner closely with product, analytics, infrastructure, and business stakeholders to ensure data architecture directly supports business priorities.
* Lead and mentor data engineers, setting technical direction and enforcing best practices across delivery.
* Continuously evaluate and adopt modern Microsoft and Azure data capabilities to improve performance, scalability, and cost efficiency.</t>
        </is>
      </c>
    </row>
    <row r="96">
      <c r="A96" t="inlineStr">
        <is>
          <t>li-4369230610</t>
        </is>
      </c>
      <c r="B96" t="inlineStr">
        <is>
          <t>Data Engineer</t>
        </is>
      </c>
      <c r="C96" t="inlineStr">
        <is>
          <t>Daikin Applied Americas</t>
        </is>
      </c>
      <c r="D96" t="inlineStr">
        <is>
          <t>linkedin</t>
        </is>
      </c>
      <c r="E96" t="inlineStr"/>
      <c r="F96" t="inlineStr"/>
      <c r="G96" t="inlineStr">
        <is>
          <t>Plymouth, MN</t>
        </is>
      </c>
      <c r="H96" t="inlineStr"/>
      <c r="I96" t="inlineStr">
        <is>
          <t>*Join the world's largest HVAC company, named by Forbes as one of America's Best\-In\-State Employers 2025!*
*Make your mark at the world’s largest HVAC company*
 Daikin Applied is seeking a highly skilled Databricks Data Engineer to join our Data \&amp; Analytics team. The ideal candidate will have deep expertise in building scalable data pipelines, optimizing Lakehouse architecture, and enabling advanced analytics and AI use cases on the Databricks platform. You will collaborate with cross\-functional teams to deliver solutions that support analytics, machine learning, and business intelligence across the organization. This role focuses on designing, building, and maintaining complex data pipelines that ingest and curate data from diverse sources, delivering well‑governed and high‑quality data products. Come be a part of an exciting journey at Daikin Applied, where innovation and excellence drive everything we do!
**Location:** 
 Plymouth, MN \- Hybrid
**What You Will Do**
* Design, build, and maintain ETL/ELT pipelines to ingest, transform, curate and store data from multiple sources
* Optimize data processing workflows for performance, reliability, and scalability
* Implement real\-time and batch data processing using technologies like Apache Spark, Kafka, and Databricks
* Work with structured and unstructured data
* Implement data validation, cleansing, and monitoring to ensure high\-quality datasets
* Implement data governance, security, and compliance policies (e.g., GDPR, CCPA)
* Maintain metadata management, data lineage, and documentation for data assets
* Deploy and manage data solutions on cloud platforms (Azure, Databricks)
* Develop and maintain documentation, data models, and technical standards
* Optimize query performance, cost efficiency, and storage utilization
* Monitor, troubleshoot, and resolve issues in production data pipelines and environments
* Stay current with the latest advancements in data engineering, cloud computing, and analytics technologies on the Databricks ecosystem
* Partner with data analysts, and software engineers to support analytics initiatives
**Minimum Qualifications**
* Bachelor’s degree in Computer Science, Engineering, or a related field
* 8\+ years of Data Engineering, with a strong understanding of cloud\-based data solutions
* At least 3 years hands\-on experience building and delivering data products on Databricks
* Proven experience in data engineering and pipeline development on Databricks
* Hands\-on expertise across the data lifecycle: ingestion, transformation, modelling, governance, and consumption
* Deep expertise with the Databricks platform (SQL, Python and PySpark, Delta Lake, Unity Catalog, MLflow)
* Strong SQL and Python skills for data processing and data manipulation
* Strong problem\-solving skills and an analytical mindset
* Excellent verbal and written communication skills, with the ability to explain technical concepts to non\-technical audiences
* Extensive experience with data ingestion methodology including ADF
* Proficiency in Python, SQL, or Scala for data processing
* Experience with cloud data services (Azure Data Factory, Databricks)
* Hands\-on experience with big data frameworks (Databricks, Apache Spark)
* Strong knowledge of data modeling, database optimization, and API\-based data integration
* Proficiency in designing and implementing the Medallion Architecture on Databricks
* Experience with code repositories, CI/CD processes and release management
* Work visa sponsorship is not available for this position
 Daikin Applied offers the following benefits for this position, subject to applicable eligibility requirements:
* Multiple medical insurance plan options \+ dental and vision insurance
* 401K retirement plan with employer contributions matching 100% of the first 3% of employee contributions and 50% on the next 2% of employee contributions
* Company provided life insurance \+ optional employee paid voluntary life insurance, dependent life coverage and voluntary accident coverage
* Short term and long\-term disability
* 3 weeks of paid time off for new employees \+ 11 company paid holidays
* Vacation accrues on a monthly basis, unless applicable federal, state and local law requires a faster accrual
* Paid sick time in accordance of the federal, state and local law
* Paid parental leave and tuition reimbursement after 6 months of continuous service
 The typical annual base salary for this position ranges from $90,000 \- $148,000 (\+ 10% bonus) in Minnesota. The range displayed represents the pay range for all positions in the job grade which this position falls. Individual base pay will depend on a wide range of factors including your skills, qualifications, experience, and location.
 ,
 If you're looking for an engaging career with growth opportunities in a supportive environment, you'll love a career at Daikin Applied!</t>
        </is>
      </c>
    </row>
    <row r="97">
      <c r="A97" t="inlineStr">
        <is>
          <t>li-4368777302</t>
        </is>
      </c>
      <c r="B97" t="inlineStr">
        <is>
          <t>Senior Data Engineer</t>
        </is>
      </c>
      <c r="C97" t="inlineStr">
        <is>
          <t>Visa</t>
        </is>
      </c>
      <c r="D97" t="inlineStr">
        <is>
          <t>linkedin</t>
        </is>
      </c>
      <c r="E97" t="inlineStr"/>
      <c r="F97" t="inlineStr"/>
      <c r="G97" t="inlineStr">
        <is>
          <t>Foster City, CA</t>
        </is>
      </c>
      <c r="H97" t="inlineStr"/>
      <c r="I97"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Data and Artificial Intelligence Platform (DAP) group is a key component of Visa's Technology organization, providing the enabling technology and processes to handle Visa's data assets and deliver valuable information, products, and services to customers. Within DAP, the Data as a Service (DaaS) team consists of skilled data engineers focused on building data pipelines to meet Visa's data needs and delivers secure, high\-quality, and easy\-to\-use data assets.
 As a Senior Data Engineer, you'll join our Data \&amp; AI Platform – Data as a Service organization in Foster City, California. You will help design, enhance, and build our data infrastructure and pipelines within an agile development environment, using Gen AI regularly, and collaborating with colleagues who will support and challenge you daily.
 What We Offer:
* Exciting Challenges: We work at a scale rarely seen in the industry, solving complex data and AI problems across the entire stack, offering limitless opportunities to leverage and lead in this ever\-growing field.
* Teamwork and Fun: Each of us brings diverse and rich experiences to the team, enabling us to deliver much more than the sum of our parts and have fun at the same time.
* Fantastic People: With strong leadership, you will have the opportunity to learn, collaborate, and deliver together with some of the best and most creative minds in the industry.
 Primary responsibilities:
 As a Sr. Data Engineer, you will play a key role in the innovation, design, and development of comprehensive data pipeline solutions. Essential functions includes:
* Design, develop, and maintain robust and scalable data pipelines and ETL processes
* Design and develop conceptual, logical, and physical data models to map our data requirements into database structures
* Ensure data services are highly available, secure, scalable, and resilient.
* Improve and support production systems, ensuring that production issues are promptly resolved
* Collaborate with the agile team, user community, architects, and support teams to understand requirements and implement effective solutions
* Drive innovation to differentiate our data products and accelerate time\-to\-market delivery.
* Represent the team in various technical forums and build deep partnerships with product management.
* Adhere to established software development guidelines, security standards and responsible use of Gen AI tools and frameworks
* Help maintain atmosphere of mutual accountability
 This is a hybrid position. Expectation of days in the office will be confirmed by your Hiring Manager.
**Qualifications**
 Basic Qualifications:
 2 or more years of work experience with a Bachelor’s Degree or an Advanced Degree (e.g. Masters, MBA, JD, MD, or PhD)
 Preferred Qualifications:
 3 or more years of work experience with a Bachelor’s Degree or more than 2 years of work experience with an Advanced Degree (e.g. Masters, MBA, JD, MD)
 Strong programming skills in at least two of the following languages: Java, Python, Go, Scala
 Experience utilizing GenAI technologies in software development
 Hands\-on experience developing data processing pipeline, feature extraction, production deployment and monitoring.
 Expertise with Apache Spark, Kafka, Hadoop, Hive, Trino, Presto, Apache Airflow and NoSQL databases like Hbase working with PB level data volume.
 Hands on Experience in on\-prem (Hadoop) and cloud\-based data platforms (AWS, Azure, DataBricks) and related data storage (HDFS, S3\) and processing tools (Spark)
 Experience with GenAI or Agentic AI technologies (e.g., LLMs, NLP) and RAG\-based architecture and Vector DBs.
 Working experience in building solutions using MCP and A2A frameworks.
 Advanced proficiency and expertise in J2EE technologies, Microservices and REST APIs.
 Proven track record of building and deploying streaming and batch ETL pipelines using the latest Big Data technologies.
 Experience in an Agile environment, with a strong emphasis on best software development practices such as CI/CD, code reviews, and test automation, using tools like Jira and Jira Align
 Strong understanding of algorithms and data structures
 Excellent problem\-solving and troubleshooting abilities
 Excellent communication and interpersonal skills, and a strong team player.
 Should have key leadership behaviors like Positive attitude, Quick learner, Collaborative and Obsess with customer.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123,000\.00 to 190,900\.00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98">
      <c r="A98" t="inlineStr">
        <is>
          <t>li-4354863199</t>
        </is>
      </c>
      <c r="B98" t="inlineStr">
        <is>
          <t>Data Engineer II - Digital Technology</t>
        </is>
      </c>
      <c r="C98" t="inlineStr">
        <is>
          <t>GM Financial</t>
        </is>
      </c>
      <c r="D98" t="inlineStr">
        <is>
          <t>linkedin</t>
        </is>
      </c>
      <c r="E98" t="inlineStr"/>
      <c r="F98" t="inlineStr"/>
      <c r="G98" t="inlineStr">
        <is>
          <t>Fort Worth, TX</t>
        </is>
      </c>
      <c r="H98" t="inlineStr"/>
      <c r="I98" t="inlineStr">
        <is>
          <t>**Job Description**
**Why GM Financial Technology?**
 Innovation isn’t just a talking point at GM Financial, it’s how we operate. From generative AI and cloud\-native technologies to peer\-led learning and hackathons, our tech teams are building real solutions that make a difference. We’re committed to AI\-powered transformation, using advanced machine learning and automation to help us reimagine customer interactions and modernize operations, positioning GM Financial as a leader in digital innovation within a dynamic industry.
 Join us and discover a workplace where your ideas matter, your development is prioritized, and you can truly make a global impact.
**Responsibilities**
**About the role:**
 We are expanding our efforts into complementary data technologies for decision support in areas of ingesting and processing large data sets including data commonly referred to as semi\-structured or unstructured data. Our interests are in enabling data science and search\-based applications on large and low latent data sets in both a batch and streaming context for processing. To that end, this role will engage with team counterparts in exploring and deploying technologies for creating data sets using a combination of batch and streaming transformation processes. These data sets support both off\-line and in\-line machine learning training and model execution. Other data sets support search engine\-based analytics. Exploration and deployment of technologies activities include identifying opportunities that impact business strategy, collaborating on the selection of data solutions software, and contributing to the identification of hardware requirements based on business requirements. Responsibility also includes coding, testing, and documentation of new or modified scalable analytic data systems including automation for deployment and monitoring. This role partakes, along with team counterparts, in developing solutions in an end\-to\-end framework on a group of core data technologies.
**In This Role You Will**
* Contribute to the evaluation, research, experimentation efforts with batch and streaming data engineering technologies in a lab to keep pace with industry innovation
* Work with data engineering related groups to inform on and showcase capabilities of emerging technologies and to enable the adoption of these new technologies and associated techniques
* Contribute to the definition and refinement of processes and procedures for the data engineering practice
* Work closely with data scientists, data architects, ETL developers, other IT counterparts, and business partners to identify, capture, collect and format data from the external sources, internal systems, and the data warehouse to extract features of interest
* Code, test, deploy, monitor, document and troubleshoot data engineering processing and associated automation
**Qualifications**
**What makes you an ideal candidate?**
* ﻿Experience with Adobe solutions (ideally Adobe Experience Platform, XDM, RTCDP DTM/Launch) and REST APIs
* Digital technology solutions (DMPs, CDPs, Tag Management Platforms, Cross\-Device Tracking, SDKs, etc.) Knowledge of Real Time\-CDP and Journey Analytics solution
* SQL experience: querying data and sharing what insights can be derived
* Working knowledge of Agile development /SAFe, Scrum and Application Lifecycle Management.
* Experience with ingesting various source data formats such as JSON, Parquet, SequenceFile, Cloud Databases, MQ, Relational Databases such as Oracle.
* Experience with Cloud technologies (such as Azure, AWS, GCP) and native toolsets.
* Understanding of cloud computing technologies, business drivers and emerging computing trends.
* Thorough understanding of Hybrid Cloud Computing: virtualization technologies, Infrastructure as a Service, Platform as a Service and Software as a Service Cloud delivery models and the current competitive landscape.
* Working knowledge of Object Storage technologies to include but not limited to Data Lake Storage Gen2, S3, Minio, Ceph, ADLS etc.
* Strong background with source control management systems; Build Systems (Maven, Gradle, Webpack); Code Quality (Sonar); Artifact Repository Managers (Artifactory), Continuous Integration/ Continuous Deployment (Azure DevOps).
* Experience with processing large data sets using Hadoop, HDFS, Spark, Kafka, Flume or similar distributed systems.
* Experience with NoSQL data stores such as CosmosDB, MongoDB, Cassandra, Redis, Riak or other technologies that embed NoSQL with search such as MarkLogic or Lily Enterprise.
* Creating and maintaining ETL processes
* Knowledgeable of best practices in information technology governance and privacy compliance
* Troubleshoot complex problems and work across teams to meet commitments.
* Excellent computer skills and proficiency in digital data collection.
* Ability to work in an Agile/Scrum team environment
* Strong interpersonal, verbal, and writing skills.
* Understanding of big data platforms and architectures, data stream processing pipeline/platform, data lake and data lake houses
* Understanding of cloud solutions such as Google Cloud Platform, Microsoft Azure \&amp; Amazon AWS cloud architecture \&amp; services
* Understanding of GDPR, privacy \&amp; security topics
* Strong in the use of Microsoft Office software, data querying platforms (Databricks is a plus) and statistical programming tools such as Python
**Experience**
* 2\-4 years of hands\-on experience with data engineering required
* Bachelor’s degree in related field or equivalent experience required
**What We Offer:** 
 Generous benefits package available on day one to include: 401K matching, bonding leave for new parents (12 weeks, 100% paid), tuition assistance, training, GM employee auto discount, community service pay and nine company holidays.
**Our Culture:** 
 Our team members define and shape our culture — an environment that welcomes innovative ideas, fosters integrity, and creates a sense of community and belonging. Here we do more than work — we thrive.
**Compensation:** 
 Competitive pay and bonus eligibility
**Work Life Balance:** 
 Flexible hybrid work environment, 2 days a week in office in Irving, TX</t>
        </is>
      </c>
    </row>
    <row r="99">
      <c r="A99" t="inlineStr">
        <is>
          <t>li-4369242741</t>
        </is>
      </c>
      <c r="B99" t="inlineStr">
        <is>
          <t>Sr Data Engineer</t>
        </is>
      </c>
      <c r="C99" t="inlineStr">
        <is>
          <t>BridgeView</t>
        </is>
      </c>
      <c r="D99" t="inlineStr">
        <is>
          <t>linkedin</t>
        </is>
      </c>
      <c r="E99" t="inlineStr"/>
      <c r="F99" t="inlineStr"/>
      <c r="G99" t="inlineStr">
        <is>
          <t>New Windsor, NY</t>
        </is>
      </c>
      <c r="H99" t="inlineStr"/>
      <c r="I99" t="inlineStr">
        <is>
          <t>We’re hiring a
 **Senior Data Engineer** 
 to help design, build, and optimize modern data solutions in an Azure Databricks environment. This role focuses on creating scalable data pipelines, improving data quality, and enabling advanced analytics across the organization.
**What You’ll D** 
* oDesign and maintain data pipelines using
 **Databricks, Spark (PySpark), and Delta Lak**
* eBuild and optimize
 **Azure Data Lak** 
 e and lakehouse solution
* sImplement data quality, governance, and performance tuning best practice
* sPartner with analysts to deliver curated, analytics\-ready dataset
* sAutomate ingestion and deployment using
 **Azure DevOps and CI/C**
* DParticipate in agile development and technical design discussion
**sWhat We’re Looking Fo** 
* r4\+ years of experience as a Data Enginee
* rStrong
 **Python, PySpark, and SQL (SQL Server** 
 ) skill
* sHands\-on Databricks experienc
* eExperience with Azure (AWS or GCP considered
* )Git/version control and DevOps exposur
* eAzure or Databricks certifications preferre
 d</t>
        </is>
      </c>
    </row>
    <row r="100">
      <c r="A100" t="inlineStr">
        <is>
          <t>li-4368748317</t>
        </is>
      </c>
      <c r="B100" t="inlineStr">
        <is>
          <t>Data Engineer III</t>
        </is>
      </c>
      <c r="C100" t="inlineStr">
        <is>
          <t>Purpose Brands, LLC</t>
        </is>
      </c>
      <c r="D100" t="inlineStr">
        <is>
          <t>linkedin</t>
        </is>
      </c>
      <c r="E100" t="inlineStr"/>
      <c r="F100" t="inlineStr"/>
      <c r="G100" t="inlineStr">
        <is>
          <t>Boca Raton, FL</t>
        </is>
      </c>
      <c r="H100" t="inlineStr"/>
      <c r="I100" t="inlineStr">
        <is>
          <t>Purpose Brands, the parent company of Orangetheory, Anytime Fitness, Waxing the City, The Bar Method, and Basecamp Fitness, is seeking a Data Engineer III to join its team. This is a great position for someone who is looking to expand their career, and join a company with a fun, fast\-paced and inspirational culture.
 We are seeking a Data Engineer III to join our team as the technical and strategic anchor for our ERP and Financial data landscape. This is a high\-impact role requiring a blend of expert\-level technical execution and sophisticated stakeholder management. You won't just build pipelines; you will own the architectural integrity of our core financial datasets and act as a bridge between complex technical systems and executive business requirements.
 As a senior\-level individual contributor, you will operate with high autonomy, leading multi\-month projects, managing stakeholder expectations, and mentoring junior engineers. We are looking for a specialist who understands that data engineering at this level is a balance of software engineering rigor (CI/CD, modularity) and business consulting (stakeholder partnership, requirement gathering, and cross\-functional influence).
**Advanced ERP Modeling \&amp; Stakeholder Partnership**
* Core Data Architecture: Lead the end\-to\-end design and implementation of scalable "Gold\-layer" data models in Snowflake representing complex ERP processes.
* Stakeholder Interaction: Proactively lead meetings with Finance, Operations, and Franchise Administration leaders to translate abstract business needs into technical specifications. You are expected to influence technical direction and manage conflicting priorities across teams.
* Requirement Gathering \&amp; Consulting: Act as the SME and bridge between technical systems and business partners, ensuring that complex ERP logic is transparent, documented, and accessible to non\-technical stakeholders.
* Process Management: Establish project timelines, define the "Definition of Done," and provide authoritative status updates to leadership and Project Managers regarding project health and technical constraints.
 Ownership \&amp; Strategy
* Platform Evolution: Own the evolution of our dbt projects. Identify technical gaps in existing infrastructure and recommend/implement performant and reliable solutions. Implement rigorous automated testing and observability to ensure data products are 100% reliable for financial operations.
* Technical Mentorship: Act as a technical guide for junior resources. Conduct deep\-dive code reviews to ensure adherence to data engineering best practices, modularity, and
 the DRY principle.
* Independent Execution: Work with high autonomy to solve problems of diverse scope, establishing work priorities and timelines for assigned projects while remaining accountable for successful delivery.
**Required Qualifications \&amp; Experience**
* Bachelor’s degree in a quantitative or technical field (e.g., Computer Science, Engineering, Statistics) or equivalent professional experience.
* 7\+ years of progressive Data Engineering experience, with at least 4 years focused on Cloud Data Warehousing (Snowflake preferred).
* Strong fundamental understanding of data warehousing concepts, architectural patterns, and data modeling methodologies.
* Proven experience modeling data for Enterprise Resource Planning (ERP) domains, preferably Financial Operations and Franchise Management.
* Advanced proficiency in SQL for data automation.
* 3\+ years of production experience with dbt Cloud/Core, including experience managing large\-scale projects with Jinja and macros.
* Exceptional verbal and written communication skills with a proven ability to lead technical discussions with non\-technical stakeholders.
* Strong proficiency in Git workflows, code reviews, and CI/CD principles.
**OUR TECHNOLOGY STACK**
 Proficiency or experience in the following technologies is highly desirable:
* Warehouse: Snowflake (Expert level, or equivalent modern cloud data warehouse, required)
* Transformation and Orchestration: dbt Cloud (Expert level strongly preferred)
* Programming: Python
* Cloud Services: Amazon Web Services (AWS)
* Version Control: GitHub
* Project Management: Jira \&amp; Confluence
**What’s in it for you?**
 We offer a competitive salary along with exceptional benefits such as:
* Medical, Dental and Vision Coverage
* Hybrid Work Environment
* Life and Disability Insurance
* Unlimited Time off \+ Paid Holidays
* Fridays off between Memorial Day and Labor Day
* 401(K) Savings Plan Matching at 4%
* 10 Coaching and Therapy sessions
* Mental Health Benefits
* Brand Discounts \&amp; Reimbursements
* In\-house workout facilities
* Professional Development Opportunities
* Team Building, Employee Engagement Activities \&amp; so much more
**WORK SCHEDULE**
 Purpose Brands LLC, Currently Observe The Following Hybrid Work Model For Employees At Our Boca Raton (FL), Woodbury (MN), And Seattle (WA) Offices
* Remote optional: Wednesdays and Fridays
* On\-site days: Mondays, Tuesdays, and Thursdays
**DIVERSITY, EQUITY, AND INCLUSION STATEMENT**
 Purpose Brands is committed to encouraging, facilitating, and upholding an environment centered on diversity, equity, and inclusion across every facet of the Purpose Brands. We will work to create a sustainable culture that supports a healthy space for learning and growing, valuing, and empowering every employee, inspiring a diverse franchise network, and uplifting the members and communities we serve.
**EEO STATEMENT**
 Purpose Brands provides equal employment opportunity to all individuals regardless of their race, color, creed, religion, gender, age, sexual orientation, national origin, disability, veteran status, or any other characteristic protected by state, federal, or local law. Discrimination of any type will not be tolerated.</t>
        </is>
      </c>
    </row>
    <row r="101">
      <c r="A101" t="inlineStr">
        <is>
          <t>li-4368747505</t>
        </is>
      </c>
      <c r="B101" t="inlineStr">
        <is>
          <t>Staff Data Engineer</t>
        </is>
      </c>
      <c r="C101" t="inlineStr">
        <is>
          <t>Panasonic Automotive North America</t>
        </is>
      </c>
      <c r="D101" t="inlineStr">
        <is>
          <t>linkedin</t>
        </is>
      </c>
      <c r="E101" t="inlineStr"/>
      <c r="F101" t="inlineStr"/>
      <c r="G101" t="inlineStr"/>
      <c r="H101" t="inlineStr"/>
      <c r="I101" t="inlineStr">
        <is>
          <t>**Overview**
 Staff Data Engineer is responsible for leading the building of and maintaining the data infrastructure that enables an organization to efficiently collect, process, store, and analyze data for informed decision\-making. Their role is critical in ensuring data availability, quality, and reliability throughout the data lifecycle. This role will be responsible for leading a team of offshore resources.
**Responsibilities**
**A DAY IN THE LIFE:**
* Data Pipeline Architecture Design: responsible for designing and architecting data pipelines that move, transform, and process data from various sources to target data storage or analytics platforms and need to ensure scalability, reliability, and efficiency in these architectures.
* Data Modeling: Leads the design and implementation of data models that suit the requirements of the project and structuring data to support efficient querying and analysis.
* ETL (Extract, Transform, Load) Processes: Building robust ETL processes is a key responsibility. Staff Data Engineers lead the design and development of ETL workflows that extract data from source systems, transform it into the desired format, and load it into Azure Data Lake.
* Data Integration: integrating data from different sources, which may include databases, APIs, third\-party services, and more. Integration involves handling data in various formats and ensuring data consistency and accuracy.
* Data Quality and Monitoring: implement data quality checks and monitoring mechanisms to identify and rectify data quality issues. Also create alerts and notifications for anomalies in data processing.
* Performance Optimization: responsible for optimizing the performance of data pipelines and processing systems. This includes fine\-tuning queries, optimizing data storage, and managing resources effectively to ensure timely data processing.
* Data Security: Ensuring data security and implement security measures to protect sensitive data and ensure proper access controls.
* Collaboration: collaborate with cross\-functional teams, including data analysts, business analysts and software engineers, to understand data requirements and provide the necessary guidelines to support their work
* Technology Selection: assess and select appropriate tools, technologies, and frameworks for different aspects of the data engineering process and stay up to date with industry trends and emerging technologies.
* Leadership and Mentoring: As senior members of the team, will take on leadership roles by guiding and mentoring other data engineers, and works with department management to define and communicate work duties and objectives to the individuals within the team. Lead or participate in code reviews, best practice discussions, and training sessions. Responsible for leading a team of offshore resources.
* Troubleshooting and Support: When issues arise in data pipelines or systems, Senior Data Engineer is responsible for diagnosing and resolving these issues in a timely manner to minimize disruptions.
* Documentation: document data pipelines, workflows, architecture designs, and other relevant processes to ensure knowledge sharing and maintainable systems.
**Must\-haves**
* A Bachelor's or Master's degree in computer science, information technology, data science, or a related field with Eight (8\)\+ years of experience as a data engineer, with a significant portion of that experience specifically working with Azure data services.
* Expertise in Microsoft Azure services and tools related to data engineering, such as Azure Data Factory, Azure Databricks, Azure Analytical Service, Azure Synapse Analytics, Azure Cosmos DB, etc.
* Strong Experience in implementing data solutions in Azure Data Lake platform
* Experience with Data Governance tools like Azure Purview, Alation.etc are preferred.
* Expertise in SQL, T\-SQL and experience working with various database systems, including relational databases and NoSQL databases is required.
* Experience with data modeling, schema design, and performance optimization, especially creating tabular models for Self\-service analytics using Power BI.
* Strong skills in data integration, ETL (Extract, Transform, Load) processes, and data orchestration workflows.
* Expertise in data warehousing concepts and techniques.
* Programming skills in languages such as Python, PySpark, Java, Scala, or PowerShell for scripting and automation.
* Experience designing, building, and optimizing end\-to\-end data pipelines.
* Proven track record of implementing data solutions that meet performance, scalability, and reliability requirements.
* Experience with data migration, data warehousing, and data lake solutions.
* Experience in creating data pipelines to extract the data from SAP applications is preferred.
* Data accuracy and quality are paramount. A Senior Azure Data Engineer should be meticulous in ensuring that data pipelines and processes maintain high data integrity.
**Benefits \&amp; Perks \- We're All About You**
* Great Medical/Dental Benefits
* Company\-Matched 401K Retirement Savings
* Annual Bonus Program
* Educational Assistance
* Relaxed Dress Code
* Leadership \&amp; Mentorship Programs
* High5 Reward Recognition Program
* Onsite Happy Hours
* And many more benefits \&amp; perks found within the ‘Our Culture’ section…
**Who We Are**
 At Panasonic, our technology and engineering expertise delivers innovation across diverse industries. It's all about the consumer experience and making sure that we find ways to enhance that experience, either through audio enhancements or through safety enhancements inside the vehicle.
 Panasonic Automotive Systems Company of America (PASA) is an industry\-leading global supplier to Automotive Original Equipment Manufacturers (OEM’s) for infotainment systems and advanced connected car solutions. Our clients include Ford, GM, Chrysler, Daimler, Fiat, Tesla, Honda, Toyota.
**We Take Opportunity Seriously**
 Panasonic is an Equal Opportunity/Affirmative Action employer, and all qualified applicants will receive consideration for employment without regard to: race, color, religion, sex, sexual orientation, gender identity, national origin, age, genetic information, disability status, protected veteran status, or any other characteristics protected by law. All qualified individuals are required to perform the essential functions of the job with our without reasonable accommodations.
 Due to the high volume of responses, we will only be able to respond to candidates of interest. All candidates must have valid authorization to work in the U.S. Thank you for your interest in Panasonic Automotive Systems of America.
**Job ID**
 REQ\-152076</t>
        </is>
      </c>
    </row>
    <row r="102">
      <c r="A102" t="inlineStr">
        <is>
          <t>li-4358087879</t>
        </is>
      </c>
      <c r="B102" t="inlineStr">
        <is>
          <t>AWS Data Engineer (In-Person Interview at VA) -- Fulltime Only</t>
        </is>
      </c>
      <c r="C102" t="inlineStr">
        <is>
          <t>Visionary Innovative Technology Solutions LLC</t>
        </is>
      </c>
      <c r="D102" t="inlineStr">
        <is>
          <t>linkedin</t>
        </is>
      </c>
      <c r="E102" t="inlineStr"/>
      <c r="F102" t="inlineStr"/>
      <c r="G102" t="inlineStr">
        <is>
          <t>Virginia, United States</t>
        </is>
      </c>
      <c r="H102" t="inlineStr"/>
      <c r="I102" t="inlineStr">
        <is>
          <t>Seeking an AWS Data Engineer to design, build, and maintain scalable data pipelines and ETL solutions using Python/Pyspark and AWS managed services to support analytics and data product needs.</t>
        </is>
      </c>
    </row>
    <row r="103">
      <c r="A103" t="inlineStr">
        <is>
          <t>li-4361515375</t>
        </is>
      </c>
      <c r="B103" t="inlineStr">
        <is>
          <t>Principal Data Engineer</t>
        </is>
      </c>
      <c r="C103" t="inlineStr">
        <is>
          <t>IDR, Inc.</t>
        </is>
      </c>
      <c r="D103" t="inlineStr">
        <is>
          <t>linkedin</t>
        </is>
      </c>
      <c r="E103" t="inlineStr"/>
      <c r="F103" t="inlineStr"/>
      <c r="G103" t="inlineStr">
        <is>
          <t>Alpharetta, GA</t>
        </is>
      </c>
      <c r="H103" t="inlineStr"/>
      <c r="I103" t="inlineStr">
        <is>
          <t>IDR is seeking a Principal Data Engineer to join one of our top clients for an opportunity in Alpharetta, Georgia. This role is ideal for a highly experienced data professional with a strong background in designing and scaling complex data pipelines and APIs in cloud environments. The company operates within the data technology and analytics industry, focusing on innovative solutions for analytics and AI/ML use cases.
**Position Overview for the Principal Data Engineer:** 
* Drive the strategic design and evolution of highly optimized, secure, and scalable ETL/ELT data pipelines across diverse, complex data sources
* Architect and operationalize data marts and domain\-oriented data models that enable reliable, performant, and democratized access for analytics and AI/ML
* Lead the design and rollout of API\-based, event\-driven data services that power mission\-critical products and real\-time decisioning
* Establish enterprise\-grade observability frameworks, including automated testing, lineage tracking, and monitoring systems for proactive detection and rapid remediation of data issues
* Provide technical leadership, setting architectural direction and guiding multiple project teams to successful delivery
**Requirements for the Principal Data Engineer:** 
* 12\+ years of hands\-on experience in software development, data structures, and algorithms
* 5\+ years of Snowflake experience
* 5\+ years of Spark experience
* 4\+ years of experience in technical leadership, setting architectural direction, and guiding multiple project teams to successful delivery
* Deep expertise in cloud platforms and services such as AWS (Redshift, Kinesis, EMR) or GCP (BigQuery, Dataflow, Pub/Sub)
* Mastery of programming languages including Python, Node, Scala, or Go
* Proficiency in SQL and NoSQL databases including PostgreSQL, MySQL, MongoDB, Cassandra
**What's in it for you?** 
* Competitive compensation package
* Full Benefits; Medical, Vision, Dental, and more!
* Opportunity to get in with an industry leading organization.</t>
        </is>
      </c>
    </row>
    <row r="104">
      <c r="A104" t="inlineStr">
        <is>
          <t>li-4356527161</t>
        </is>
      </c>
      <c r="B104" t="inlineStr">
        <is>
          <t>Staff Data Engineer</t>
        </is>
      </c>
      <c r="C104" t="inlineStr">
        <is>
          <t>Inovalon</t>
        </is>
      </c>
      <c r="D104" t="inlineStr">
        <is>
          <t>linkedin</t>
        </is>
      </c>
      <c r="E104" t="inlineStr"/>
      <c r="F104" t="inlineStr"/>
      <c r="G104" t="inlineStr">
        <is>
          <t>Nashville, TN</t>
        </is>
      </c>
      <c r="H104" t="inlineStr"/>
      <c r="I104"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**Overview:** 
 The Staff Software Data will build and operate large\-scale ingestion and transformation pipelines that power our enterprise data platform. You’ll own end\-to\-end delivery of batch \+ CDC pipelines into Snowflake, with strong operational maturity (quality, reliability, cost, observability).
**Duties and Responsibilities:**
* Design, build, and support production ingestion pipelines (batch \+ incremental \+ CDC) using AWS services and orchestration frameworks.
* Design systems that operate reliably at scale, supporting high\-volume ingestion and multi‑tenant workloads
* Build repeatable patterns for schema evolution, idempotency, deduplication, late\-arriving data handling, backfills, and replay.
* Implement Snowflake\-side patterns: Snowpipe, Streams/Tasks, stored procedures, warehouse sizing, query tuning, and cost controls.
* Define and enforce data contracts and data quality gates (validation rules, reconciliation, anomaly detection, auditability).
* Drive operational excellence: dashboards, alerts, runbooks, incident analysis, and continuous improvements to reduce reruns and MTTR.
* Collaborate with platform engineers to standardize onboarding patterns and create reusable framework components for teams adopting Data Platform.
* Adhere to all confidentiality, HIPAA, regulatory, and other such policies, procedures, and requirements as outlined within Employer’s Operating Policies and Procedures in all ways and at all times with respect to any aspect of the data handled or services rendered in the scope of work.
* Maintain compliance with Inovalon’s policies, procedures and mission statement, and fulfill those responsibilities and/or duties that may be reasonably provided by Inovalon for the purpose of achieving operational and financial success.
* On Call Policy: Participate in an on\-call rotation to support critical issues, including outside standard business hours (evenings, weekends, and holidays), ensuring timely response and resolution as per defined SLAs.
**Job Requirements:** 
* 8–15 years in data engineering / data platform roles shipping production\-grade pipelines.
* Strong hands\-on experience with:
+ SQL (advanced) \+ performance\-oriented data modeling
+ Python (pipeline logic, automation; FastAPI is a plus)
+ Airflow (or equivalent orchestration) including retries/backfills and dependency patterns
+ Snowflake (query optimization, tasks/streams, Snowpipe, stored procedures)
+ CDC / incremental loading patterns and operational handling of real\-world edge cases
+ AWS: S3, MWAA, Glue, Lambda, Step Functions, ECS, EMR (plus IAM basics)
* Experience operating systems at scale with clear ownership, reliability mindset, and strong documentation.
**Education:**
* Bachelor's degree in computer science, Software Engineering, or Information Technology
**Physical Demands and Work Environment:**
* Sedentary work (i.e. sitting for long periods of time).
* Exerting up to 10 pounds of force occasionally and/or negligible amount of force.
* Subject to inside environmental conditions.
* Travel for this position will include less than 10% locally usually for training purposes.
**Inovalon Offers a Competitive Salary And Benefits Package**
*In addition to the base compensation, this position may be eligible for performance\-based incentives.*
*The actual base pay offered may vary depending on multiple factors including, but not limited to, job\-related knowledge/skills, experience, business needs, geographical location, and internal equity. At Inovalon, it is not typical for an individual to be hired at or near the top end of the range for their role, and compensation decisions are dependent upon the facts and circumstances of each position and candidate.*
*Inovalon invests in associates to help them stay healthy, save for long\-term financial goals, and manage the demands of work and personal commitments. That’s why Inovalon offers a valuable benefits package with a wide range of choices to meet associate needs, which may include health insurance, life insurance, company\-paid disability, 401k, 18\+ days of paid time off, and more.*
 Base Compensation Range
 $113,000—$181,715 USD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Inovalon is most interested in finding the best candidate for the job, and you may be just the right person for this or other roles.*
*By embracing inclusion, we enhance our work environment and drive business success. Inovalon strives to provide equal opportunities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row>
    <row r="105">
      <c r="A105" t="inlineStr">
        <is>
          <t>li-4358869683</t>
        </is>
      </c>
      <c r="B105" t="inlineStr">
        <is>
          <t>Software and Data Engineer</t>
        </is>
      </c>
      <c r="C105" t="inlineStr">
        <is>
          <t>Excelsia Injury Care</t>
        </is>
      </c>
      <c r="D105" t="inlineStr">
        <is>
          <t>linkedin</t>
        </is>
      </c>
      <c r="E105" t="inlineStr"/>
      <c r="F105" t="inlineStr"/>
      <c r="G105" t="inlineStr">
        <is>
          <t>Pleasant Grove, UT</t>
        </is>
      </c>
      <c r="H105" t="inlineStr"/>
      <c r="I105" t="inlineStr">
        <is>
          <t>**About Us**
 Excelsia Injury Care provides management services to a network of healthcare companies, supporting them in delivering comprehensive rehabilitation, diagnostic, surgical, and pain management services for individuals affected by post\-traumatic neuro\-musculoskeletal injuries. With 95 locations across Idaho, Illinois, Maryland, Missouri, Nevada, New Jersey, Pennsylvania, Utah, and Virginia, we ensure accessible, high\-quality care tailored to each patient’s unique needs. Our providers are leaders in personal injury and workers’ compensation care, with a proven track record of helping patients recover and reach their maximum recovery potential.
 Our mission is to restore quality of life through patient\-centric care, supporting those injured in motor vehicle or work\-related accidents. We take an interdisciplinary approach, ensuring patients receive coordinated care from evaluation through treatment, with the goal of achieving optimal recovery outcomes.
 Founded on the values of respect and trustworthiness, we are committed to delivering services that adhere to the highest legal, regulatory, and ethical standards. As responsible corporate citizens, we integrate environmental, social, and governance (ESG) considerations into our business practices, ensuring that we positively impact the healthcare companies we serve, our employees, and the communities we reach.
**Job Description**
 This Software and Data Engineer role is responsible for managing and maintaining the organization’s backend data infrastructure, with a primary focus on data sourced from Tebra. Responsibilities include ensuring data integrity, availability, and ongoing maintenance of core systems. The role involves designing, building, and maintaining internal tools to streamline processes, improve operational efficiency, and reduce manual workflows. It also includes coordinating with third\-party contractors by defining requirements, monitoring progress, and ensuring deliverables meet technical and business expectations. The role serves as a technical liaison between internal stakeholders and external partners to support reliable, scalable, and data\-driven operations.
**Job Duties**
* Design, code, test, integrate and document software
* Support software engineering activities including interface design, system integration, code reviews, and software testing
* Collaborate with various teams and senior leadership to integrate software solutions
* Any experience in the medical industry working with software development and data engineering is helpful
**Required Qualifications**
* Bachelor’s degree in Engineering, Computer Science, or a related field
* 3\+ years of experience in software and data engineering
**Diversity Statement**
 Excelsia Injury Care is an equal opportunity employer. We commit to a policy of nondiscrimination and equal opportunity for all employees and qualified applicants without regard to race, color, religion, creed, gender, pregnancy or related medical conditions, age, national origin, or ancestry, physical or mental disability, genetic predisposition, marital, civil union or partnership status, sexual orientation, gender identity, or any other consideration protected by federal, state or local laws.</t>
        </is>
      </c>
    </row>
    <row r="106">
      <c r="A106" t="inlineStr">
        <is>
          <t>li-4369221686</t>
        </is>
      </c>
      <c r="B106" t="inlineStr">
        <is>
          <t>Lead Data Engineer (AWS)</t>
        </is>
      </c>
      <c r="C106" t="inlineStr">
        <is>
          <t>SRM Digital LLC</t>
        </is>
      </c>
      <c r="D106" t="inlineStr">
        <is>
          <t>linkedin</t>
        </is>
      </c>
      <c r="E106" t="inlineStr"/>
      <c r="F106" t="inlineStr"/>
      <c r="G106" t="inlineStr"/>
      <c r="H106" t="inlineStr"/>
      <c r="I106" t="inlineStr">
        <is>
          <t>Must\-Have Technical \&amp; Functional Skills
* **Cloud Data Engineering (AWS):** 
 EMR, Glue, Redshift, Aurora, S3, Lambda
* **Data Processing \&amp; Programming:** 
 Spark (PySpark), Python, SQL
* **Data Platforms \&amp; Warehouses:** 
 Snowflake, Databricks
* **Data Governance \&amp; Cataloging:** 
 Collibra
* **Analytics \&amp; Visualization:** 
 Tableau
 Roles \&amp; Responsibilities
* Design, build, and maintain scalable data pipelines ingesting data from APIs, files/SFTP, and relational sources.
* Implement layered data architectures (raw, clean, serving) using
 **PySpark, SQL, dbt, and Python** 
 .
* Orchestrate workflows using
 **Prefect or Airflow** 
 , including scheduling, retries, SLAs, parameterization, and operational runbooks.
* Develop and operate cloud\-native data platforms leveraging object storage (S3/ADLS/GCS) and Spark\-based compute (Databricks or equivalent).
* Manage job configurations, secrets, access control, and environment\-specific deployments.
* Publish and manage governed data services using
 **Azure API Management (APIM)** 
 with authentication, authorization, versioning, quotas, and monitoring.
* Enforce data quality and governance through data contracts, automated validations, lineage, observability, and proactive alerting.
* Optimize performance and cost via partitioning, clustering, query tuning, workload management, and right\-sizing compute.
* Ensure security and compliance standards are met, including PII handling, encryption, masking, and access controls.
* Collaborate with analytics, AI/ML engineering, and business teams to deliver production\-ready, trusted datasets.
* Enable AI and LLM use cases by packaging datasets and metadata for downstream consumption, integrating with
 **Model Context Protocol (MCP)** 
 where applicable.
* Continuously improve platform reliability and developer productivity through automation, technical debt reduction, and strong documentation practices.
 Required Experience \&amp; Qualifications
* **12\+ years** 
 of professional experience in data engineering.
* Strong hands\-on expertise in
 **Python, SQL, and Spark (PySpark)** 
 ; Kafka experience is a plus.
* Experience with
 **Snowflake** 
 (Snowpipe, Streams, Tasks) as a complementary data warehouse.
* Hands\-on experience with
 **Databricks** 
 (Delta Lake, workflows, catalogs) or equivalent Spark platforms.
* Proven experience building ETL/ELT pipelines using
 **Prefect/Airflow, dbt, Spark, and/or Kafka** 
 .
* Experience onboarding datasets to cloud data platforms, including storage, compute, security, and governance.
* Familiarity with cloud data services across
 **AWS, Azure, or GCP** 
 (e.g., S3/ADLS/GCS, Redshift/BigQuery, Glue/ADF).
* Experience with
 **Git\-based CI/CD pipelines** 
 , containerization using
 **Docker** 
 (Kubernetes is a plus).</t>
        </is>
      </c>
    </row>
    <row r="107">
      <c r="A107" t="inlineStr">
        <is>
          <t>li-4369222591</t>
        </is>
      </c>
      <c r="B107" t="inlineStr">
        <is>
          <t>Senior Data Platform Engineer (Airflow) - Multi-Strat Hedge Fund - NY/Chicago</t>
        </is>
      </c>
      <c r="C107" t="inlineStr">
        <is>
          <t>Paragon Alpha - Hedge Fund Talent Business</t>
        </is>
      </c>
      <c r="D107" t="inlineStr">
        <is>
          <t>linkedin</t>
        </is>
      </c>
      <c r="E107" t="inlineStr"/>
      <c r="F107" t="inlineStr"/>
      <c r="G107" t="inlineStr">
        <is>
          <t>New York, United States</t>
        </is>
      </c>
      <c r="H107" t="inlineStr"/>
      <c r="I107" t="inlineStr">
        <is>
          <t>Paragon Alpha are partnered with a
 **$30 Billion Multi\-Strategy Hedge Fund** 
 who have consistently performed as one of the world's leading hedge funds for the past 10 years.
 They are hiring a Senior Data Platform Engineer with extensive Airflow experience to join their Data Platform team.
 You will own the Airflow control plane and developer experience end\-to\-end, and be an integral part of building automation infrastructure, underpinning data, trading and engineering teams to deliver critical pipelines at scale.
**Tech Stack: Python, Airflow (DAG), Linux** 
 The firm can offer market\-leading compensation and a flexible office arrangement.</t>
        </is>
      </c>
    </row>
    <row r="108">
      <c r="A108" t="inlineStr">
        <is>
          <t>li-4282846253</t>
        </is>
      </c>
      <c r="B108" t="inlineStr">
        <is>
          <t>Databricks Data Engineer - Senior - Consulting - Location Open</t>
        </is>
      </c>
      <c r="C108" t="inlineStr">
        <is>
          <t>EY</t>
        </is>
      </c>
      <c r="D108" t="inlineStr">
        <is>
          <t>linkedin</t>
        </is>
      </c>
      <c r="E108" t="inlineStr"/>
      <c r="F108" t="inlineStr"/>
      <c r="G108" t="inlineStr">
        <is>
          <t>Palo Alto, CA</t>
        </is>
      </c>
      <c r="H108" t="inlineStr"/>
      <c r="I10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09">
      <c r="A109" t="inlineStr">
        <is>
          <t>li-4358868634</t>
        </is>
      </c>
      <c r="B109" t="inlineStr">
        <is>
          <t>US_East | Data Engineer_L2</t>
        </is>
      </c>
      <c r="C109" t="inlineStr">
        <is>
          <t>Expedite Talent Solutions</t>
        </is>
      </c>
      <c r="D109" t="inlineStr">
        <is>
          <t>linkedin</t>
        </is>
      </c>
      <c r="E109" t="inlineStr"/>
      <c r="F109" t="inlineStr"/>
      <c r="G109" t="inlineStr">
        <is>
          <t>Bloomfield, NJ</t>
        </is>
      </c>
      <c r="H109" t="inlineStr"/>
      <c r="I109" t="inlineStr">
        <is>
          <t>"Possible 3 Month CTH \| No Fees \| Do Not Re\-Post\| Confidential
 TMR ID: PZT070
 Role: Operational Data Analyst
 Work location: Denver, CO
 Background and Meet and Greet: MANDATORY
 Job Description:
 "Qualifications:
* 8\+ years of IT project\-based team experience.
* 5\+ years of experience working with enterprise\-level projects. Cable industry experience preferred.
* Experience in data mastering tasks such as source identification, data collection, data transformation, normalization, rule administration, error detection and correction, data consolidation, data storage, data distribution, data classification, taxonomy services, data enrichment, hierarchy management, business semantics management and data governance.
* Experience with Jira and Remedy (or comparable) required. JQL experience is preferred.
* Experience with Confluence, creating pages \&amp; content preferred.
* Experience with Smartsheet, Lucidchart and Excel.
* Demonstrated experience in creating informative and consumable metrics communication content.
* Demonstrated process documentation skills such as flow charts, swim lane diagrams, sequence diagrams and data flow diagrams.
* Attention to detail.
* Obsession with achieving and maintaining clean and accurate data.
* Continuously seeks opportunities to improve features, performance, and usability of the metrics generation/distribution system and processes used by the team.
* Strong logical and analytic skills.
* Ability to work effectively in a matrixed environment and deal effectively with ambiguity.
* Exceptional people skills. Comfortable driving, coaching and working with a diverse group of people and serve as arbitrator when conflicts arise.
* Excellent written and verbal communication skills."
 Key Responsibilities:
 "Responsibilities:
* Assist the team in the collection, processing and distribution of the data, information and knowledge necessary to coordinate service deployment into the company’s private and public cloud infrastructure.
* Use analytical skills to turn data into information and information into knowledge is fundamental to this position.
* Support the team in the design and implementation of process improvements and introduction/operation of automated metrics generation.
 The automation environment is a combination of a proprietary collection of applications, Jira, Smartsheet (being deprecated), Remedy and Excel documented in Lucidchart, PowerPoint and/or Word.
 Easily accessible and understandable products such as status dashboards, data integrations, workflows, delivery metrics,
 customer satisfaction reporting and efficacy reports for both near\-real\-time and trending\-over\-time intervals are the end goal.
* Operate automated report dissemination and notifications.
* Troubleshoot and escalate issues related to process and technology.
* Establishment of an effective feedback plan for the tools and processes used by the team.
* Visualize and document the execution of complex business processes.
* Perform data collection, analysis, and validation.
* Respond to data inquiries from various groups within an organization.
* Documents reporting requirements and processes and validates data components as required. "
 What are the Mandatory skills and skill proficiencies required for this position?
 Data analysis, Smartsheet, Lucidchart, JIRA, data transformation, normalization, Data visualization,
 The following details must accompany your submission:
 First Name, Middle name, and Last Name:
 City and State:
 Open to Relocate?
 Rate:
 Availability:
 Phone \#:
 Mobile \#:
 Email address:
 Visa type:
 Visa Expiration Date:
 Hiring Status:
 Naysla Perez \- ERM
* North America
 Tel.: \+\*\*\*"</t>
        </is>
      </c>
    </row>
    <row r="110">
      <c r="A110" t="inlineStr">
        <is>
          <t>li-4368770848</t>
        </is>
      </c>
      <c r="B110" t="inlineStr">
        <is>
          <t>Lead Data Engineer</t>
        </is>
      </c>
      <c r="C110" t="inlineStr">
        <is>
          <t>Insight Global</t>
        </is>
      </c>
      <c r="D110" t="inlineStr">
        <is>
          <t>linkedin</t>
        </is>
      </c>
      <c r="E110" t="inlineStr"/>
      <c r="F110" t="inlineStr"/>
      <c r="G110" t="inlineStr">
        <is>
          <t>Plano, TX</t>
        </is>
      </c>
      <c r="H110" t="inlineStr"/>
      <c r="I110" t="inlineStr">
        <is>
          <t>**The Opportunity:** 
 As an Application Development Technical Lead, you will perform design and administration of our Azure data and analytics platform to ensure smooth system operations and be the guide for architectural principles and standards. As a technical expert for our data and analytics ecosystem, you will support our clients business line reporting teams and Technology Business data delivery teams. This hands\-on role will provide direction to other developers of data warehouse workloads and data related projects.
 You will help align department\-wide solutions to our clients enterprise priorities and survey the technology landscape and guide the evolution of current environment to support future capabilities and requirements. You will be a part of the team that plans the technology to ensure capacity and scalability as demand and usage evolves.
**The Day\-to\-Day:** 
* Work with business and technology partners to analyze how the data warehouse, analytics and application will meet our goals
* Evaluate all proposed requests to determine fit with data warehouse, analytics and application solution architecture
* Manage data warehouse and analytics technical platform on Azure, from implementation to enhancements and ongoing operations
* Develop and coordinate cloud data and application solutions/projects across diverse groups and areas including enterprise architecture, application development, identity and access management, network and data management
* Provide technical direction and guidance to database and application developers
* Develop cloud security and access control solution/policy, data and BI standards, guidelines and best practice for business groups and technical teams
* Perform maintenance and troubleshooting activities for data warehouse, BI platform and other data projects and resolve issues
* Review system application logs and identify potential issues and improvements to ensure smooth operations
* Perform capacity planning, cloud cost analysis and optimization and provide recommendations to management
* Provide after\-hour system and application support
* Develop multiple work plans for projects and prepare appropriate status reports and submit them to management
**Your Qualifications:** 
* 15\+ years' experience developing data\-related solutions and software
* Minimum of 8 years of experience as a System Architect or Application Architect focusing on data and cloud applications with direct experience with application development, data warehouse and BI design, implementation, and operation
* Experience with cloud data warehouse and analytics technologies, specifically Azure Synapse, Azure Data Factory, Azure Data Lake Storage, Power BI, and other Azure data solutions
* Knowledge or experience with infrastructure (operating system and networking) and cloud administration and automation such as Terraform for Infrastructure as Code.
* Knowledge of DevOps in application development such as GitHub Actions, PowerShell
* Experience with application development using Microsoft or cloud technologies (such as SQL, Azure, C\#, Python)
* Knowledge of Databricks, Microsoft Purview, and SecuritiAi
* Experience with Agile methodologies in a cloud, application, database, data warehousing and BI space
* BS or equivalent in Computer Science or related field or a combination of technical skills, cloud, operating system, networking, security, data application, data modeling and BI background</t>
        </is>
      </c>
    </row>
    <row r="111">
      <c r="A111" t="inlineStr">
        <is>
          <t>li-4282841816</t>
        </is>
      </c>
      <c r="B111" t="inlineStr">
        <is>
          <t>Databricks Data Engineer - Senior - Consulting - Location Open</t>
        </is>
      </c>
      <c r="C111" t="inlineStr">
        <is>
          <t>EY</t>
        </is>
      </c>
      <c r="D111" t="inlineStr">
        <is>
          <t>linkedin</t>
        </is>
      </c>
      <c r="E111" t="inlineStr"/>
      <c r="F111" t="inlineStr"/>
      <c r="G111" t="inlineStr">
        <is>
          <t>Phoenix, AZ</t>
        </is>
      </c>
      <c r="H111" t="inlineStr"/>
      <c r="I11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12">
      <c r="A112" t="inlineStr">
        <is>
          <t>li-4362332260</t>
        </is>
      </c>
      <c r="B112" t="inlineStr">
        <is>
          <t>FBI HR Reports Cleared Onsite Data Engineer (4955)</t>
        </is>
      </c>
      <c r="C112" t="inlineStr">
        <is>
          <t>SMX</t>
        </is>
      </c>
      <c r="D112" t="inlineStr">
        <is>
          <t>linkedin</t>
        </is>
      </c>
      <c r="E112" t="inlineStr"/>
      <c r="F112" t="inlineStr"/>
      <c r="G112" t="inlineStr">
        <is>
          <t>Washington, DC</t>
        </is>
      </c>
      <c r="H112" t="inlineStr"/>
      <c r="I112" t="inlineStr">
        <is>
          <t>SMX is seeking a Data Engineer to provide strategic and technical leadership for enterprise data architecture and analytics modernization efforts within the FBI’s Human Resources Reports Program. This individual will design, optimize, and oversee data solutions that enable advanced analytics, business intelligence, and reporting capabilities across multiple secure environments. The ideal candidate will have deep experience with data warehousing, cloud\-native architectures, and BI ecosystems such as MicroStrategy, ThoughtSpot, or Power BI. 
**This is a full\-time position requiring on\-site work five days a week at a client’s office in Washington, D.C. An active Top Secret clearance is mandatory.** 
**Essential Duties and Responsibilities:** 
* Lead the design and implementation of enterprise data architectures supporting analytical, operational, and reporting workloads.
* Develop and maintain data models, metadata standards, and integration strategies to ensure scalability, reliability, and data integrity across systems.
* Collaborate with data engineers, developers, and analysts to define data pipelines, warehouse structures, and schema management practices.
* Evaluate and recommend tools, technologies, and cloud services (AWS, Redshift, Glue, Athena, etc.) to support evolving mission and security requirements.
* Provide architectural oversight for ETL/ELT processes, data quality frameworks, and governance policies.
* Partner with program leadership and government stakeholders to translate business objectives into actionable data solutions.
* Support modernization of legacy data systems and migration toward cloud\-based, event\-driven architectures.
* Mentor technical staff and promote best practices for secure, efficient data engineering and analytics.
* Stay abreast of emerging trends in data architecture, AI/ML integration, and federal data management standards..
**Required Skills:** 
* 8\+ years of experience in data architecture, data warehousing, or enterprise analytics systems.
* Expert\-level proficiency in SQL and data modeling
* Hands\-on experience designing and implementing ETL/ELT frameworks (e.g., Apache Airflow, dbt, AWS Glue, Informatica).
* Demonstrated success architecting and optimizing large\-scale BI/reporting solutions (MicroStrategy, ThoughtSpot, Power BI, Tableau).
* Strong knowledge of AWS data ecosystem (Redshift, Athena, S3, Glue, Lambda) or similar cloud environments.
* Experience defining and enforcing data governance, quality, and security standards.
* Ability to design and document end\-to\-end data flows and integrations between transactional and analytical systems.
* Excellent communication, analytical, and problem\-solving skills.
* Bachelor’s degree in Computer Science, Information Systems, Engineering, or a related field.
**Desired Skills/Experience:** 
* Master’s degree in Computer Science, Information Systems, or related field.
* Experience leading federal data modernization or analytics programs.
* Familiarity with Python or other scripting languages for data processing and automation.
* Knowledge of data cataloging, metadata management, and data lineage tools.
* Exposure to AI/ML pipelines, predictive analytics, or natural language query tools such as ThoughtSpot Sage or AWS Bedrock.
* AWS Certified Solutions Architect, Data Analytics Specialty, or equivalent certification.
* Experience mentoring data engineers or architects in an Agile or SAFe environment.
***\*\****
*This position requires five days a week on site at customer location in Washington DC.* 
*Application deadline 2\-27\-2026* 
 \#cjpost
  The SMX salary determination process takes into account a number of factors, including but not limited to, geographic location, Federal Government contract labor categories, relevant prior work experience, specific skills, education and certifications. At SMX, one of our Core Values is to Invest in Our People so we offer a competitive mix of compensation, learning \&amp; development opportunities, and benefits. Some key components of our robust benefits include health insurance, paid leave, and retirement.
 The proposed salary for this position is:: $79,600 USD \- $133,800 USD
 SMX is an Equal Opportunity employer including disabilities and veterans.
 Selected applicant may be subject to a background investigation and/or education verification.
 SMX does not sponsor a new applicant for employment authorization or immigration related support for this position (i.e. H1B, F\-1 OPT, F\-1 STEM OPT, F\-1 CPT, J\-1, TN, E\-2, E\-3, L\-1 and O\-1, or any EADs or other forms of work authorization that require immigration support from an employer).</t>
        </is>
      </c>
    </row>
    <row r="113">
      <c r="A113" t="inlineStr">
        <is>
          <t>li-4282842622</t>
        </is>
      </c>
      <c r="B113" t="inlineStr">
        <is>
          <t>Databricks Data Engineer - Senior - Consulting - Location Open</t>
        </is>
      </c>
      <c r="C113" t="inlineStr">
        <is>
          <t>EY</t>
        </is>
      </c>
      <c r="D113" t="inlineStr">
        <is>
          <t>linkedin</t>
        </is>
      </c>
      <c r="E113" t="inlineStr"/>
      <c r="F113" t="inlineStr"/>
      <c r="G113" t="inlineStr">
        <is>
          <t>Baltimore, MD</t>
        </is>
      </c>
      <c r="H113" t="inlineStr"/>
      <c r="I11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14">
      <c r="A114" t="inlineStr">
        <is>
          <t>li-4361357157</t>
        </is>
      </c>
      <c r="B114" t="inlineStr">
        <is>
          <t>Senior Data Engineer (Spark, Python, SQL, CI/CD Pipeline)</t>
        </is>
      </c>
      <c r="C114" t="inlineStr">
        <is>
          <t>Capital One</t>
        </is>
      </c>
      <c r="D114" t="inlineStr">
        <is>
          <t>linkedin</t>
        </is>
      </c>
      <c r="E114" t="inlineStr"/>
      <c r="F114" t="inlineStr"/>
      <c r="G114" t="inlineStr">
        <is>
          <t>McLean, VA</t>
        </is>
      </c>
      <c r="H114" t="inlineStr"/>
      <c r="I114"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5">
      <c r="A115" t="inlineStr">
        <is>
          <t>li-4368744343</t>
        </is>
      </c>
      <c r="B115" t="inlineStr">
        <is>
          <t>Lead IT Data Engineer</t>
        </is>
      </c>
      <c r="C115" t="inlineStr">
        <is>
          <t>Brookdale</t>
        </is>
      </c>
      <c r="D115" t="inlineStr">
        <is>
          <t>linkedin</t>
        </is>
      </c>
      <c r="E115" t="inlineStr"/>
      <c r="F115" t="inlineStr"/>
      <c r="G115" t="inlineStr">
        <is>
          <t>Brentwood, TN</t>
        </is>
      </c>
      <c r="H115" t="inlineStr"/>
      <c r="I115" t="inlineStr">
        <is>
          <t>**Job Description**
**Recognized by Newsweek in 2024 and 2025 as one of America's Greatest Workplaces for Diversity**
 Make Lives Better Including Your Own. If you want to work in an environment where you can become your best possible self, join us! You’ll earn more than a paycheck; you can find opportunities to grow your career through professional development, as well as ongoing programs catered to your overall health and wellness. Full suite of health insurance, life insurance and retirement plans are available and vary by employment status.
**Part And Full Time Benefits Eligibility**
* Medical, Dental, Vision insurance
* 401(k)
* Associate assistance program
* Employee discounts
* Referral program
* Early access to earned wages for hourly associates (outside of CA)
* Optional voluntary benefits including ID theft protection and pet insurance
**Full Time Only Benefits Eligibility**
* Paid Time Off
* Paid holidays
* Company provided life insurance
* Adoption benefit
* Disability (short and long term)
* Flexible Spending Accounts
* Health Savings Account
* Optional life and dependent life insurance
* Optional voluntary benefits including accident, critical illness and hospital indemnity Insurance, and legal plan
* Tuition reimbursement
 Base pay in range will be determined by applicant’s skills and experience. Role is also eligible for team based bonus opportunities. Temporary associates are not benefits eligible but may participate in the company’s 401(k) program.
 Veterans, transitioning active duty military personnel, and military spouses are encouraged to apply. To support our associates in their journey to become a U.S. citizen, Brookdale offers to advance fees for naturalization (Form N\-400\) application costs, up to $725, less applicable taxes and withholding, for qualified associates who have been with us for at least a year.
 The application window is anticipated to close within 30 days of the date of the posting.
**Responsibilities**
 Leads and assists in the establishment, planning, coordination, analysis, architecture, development, configuration, implementation and support of data\-based solutions that benefit Brookdale business. Creates scripts for extracting, transforming and loading data throughout the operational and data warehouse structures. Conceptualizes, develops and owns the data architecture, data pipelines and centralized data warehouse with trustworthy datasets.
* Lead efforts involving analysis, design, development, testing, documenting, implementation and supportof new and existing applications andsolutions.
* Assist in the administration and management of application/server infrastructure andperformance.
* Lead and conduct application/architecture design and development reviews as appropriate to ensure working within appropriate technology/standards. Responsible for establishing best practices,standards, and architectures working with co\-developmentleads/architects.
* Support testing of application programs within the company’s development/unit test environmentsby ensuring that testing plans are developed according to the requiredmethodology.
* Defines problems and draws valid conclusions based on collected data and establishedfacts.
* Assist in the change management process. Serve as a change management role model by adhering to process guidelines andstandards.
* Work directly with functional users and leaders as required to ensure support of business objectives. Responsible for full technical knowledge of all phases of projects, also having a good understandingof related businessfunctions.
* Contribute skills to affect team’s success. Support other project teams and co\-team members as appropriate, and coordinate and participate in training for subject matter experts, technical and functionalalike.
* Lead the identification and resolution of application and technical issues while understanding and contributing to the architecture ofsystems.
* Defines application/architecture request projects as appropriate including scope, approach,deliverables, and detailed work plans. Prepares required resource estimates and/or aids in the estimation process to support projectmanagement.
* Utilize appropriate project management techniques and methodologies. Ensure that the appropriate documentation is completed for eachproject.
* Communicate effectively, verbally and written, with manager, peers, business users andcompany leadership.
* Understand and promote Brookdale culture and apply effectively when solving businessproblems.
* Provide leadership and mentoring to other members of IT and be passionate about finding problems in and improving IT efficiency. Work with other groups to help improve the knowledge, skills and efficiency of allteams.
*This job description represents an overview of the responsibilities for the above referenced position. It is not intended to represent a comprehensive list of responsibilities. An associate should perform all duties as assigned by his/her supervisor.*
**Qualifications**
**Education and Experience**
 Bachelor’s degree in information systems, computer science or related field and a minimum of seven to ten years of Data Engineering related experience; or equivalent combination of education and experience. Seven to ten years’ experience with standard development tools and languages with advanced proficiency in applicable technical platform is required (Informatica Power Center 10\.\* ETL tool, DAC Scheduling, Oracle SQL/DDL, Python API Coding, Scripting, Admin Informatica and DAC on Linux operating system, etc.). Seven to ten years’ experience in the design and development of complex business applications and solutions is required. Proven experience in leading larger projects.
**Certifications, Licenses, And Other Special Requirements**
 Relevant certifications are preferable but not required.
**Management/Decision Making**
 Able to mentor other team members. Ability to manage tasks, set technology direction and delegate as necessary. Knows how to manage issues and needs little to no manager involvement. Needs minimal manager guidance to assist with priority setting and issue resolution. Assists others with priority setting and issue resolution. Uses independent judgment to make decisions based on precedents and established guidelines. Solves problems using standard procedures and precedents. Has full understanding of all relevant company and department procedures and standards and is able to assist others to meet compliance.
**Knowledge And Skills**
 Has a working knowledge of a skill or discipline that requires basic analytic ability. Has an overall understanding of the work environment and process. Has a working knowledge of the organization. Proficient with tools and techniques to assist with problem resolution. Leads research, analysis, and translation of business drivers into business, information, and technical requirements. Facilitates what\-if / white\-boarding sessions to explore and share data architecture concepts with peers and stakeholders. Demonstrated ability in designing and implementing centralized modern data warehousing/platforms that support self\-service analytics Must be proficient in creating \&amp; maintaining data pipelines and have hands\-on experience on Informatica Power Center 10\.\* ETL Tool.Scheduling ETL Scripts with Oracle DAC. Experience with Oracle SQL, data manipulation with Oracle DDL, data profiling and data discovery, as well as Oracle Database Management Tools. Experience with scripting and administration of Informatica and DAC on Linux operating system (i.e. Red Hat RHEL 8\.\*).Must have hands\-on experience with various IT concepts of data management/engineering (ETL, data modeling, data warehousing, etc.) and have a strong understanding of data analytics and data wrangling. Proficient in developing packages, stored procedures, functions, triggers, and complex SQL statements. Conceptual and analytical thinker with the ability to define business requirements and extract, analyze, and synthesize complex business insights. Good communication skills including conflict resolution, interfacing with end users/consultants; writing discussion Documents (Spreadsheet, Flows, etc.); Excel; Visio; Word.
**Physical Demands and Working Conditions**
* Standing
* Walking
* Sitting
* Use hands and fingers to handle or feel
* Reach with hands and arms
* Talk or hear
* Ability to lift: up to 10 pounds
* Vision
* Requires interaction with co\-workers, residents or vendors
* Occasional weekend, evening or night work if needed to ensure shift coverage
* On\-Call on an as needed basis
 Brookdale is an equal opportunity employer and a drug\-free workplace.
**About Us**
 Brookdale is a Great Place to Be
 **:**
* Gracious hospitality and neighborliness for our residents and families.
* Home\-like feel and all\-around comfort for residents and visiting family members.
* Entertaining events and gatherings so our residents can find connections in groups and 1:1 settings.
* Industry leader in clinical care.
* Nationwide company with over 675 communities, offering many opportunities to grown and learn as a sales professional.
* Extensive corporate support including a robust training program.</t>
        </is>
      </c>
    </row>
    <row r="116">
      <c r="A116" t="inlineStr">
        <is>
          <t>li-4369222448</t>
        </is>
      </c>
      <c r="B116" t="inlineStr">
        <is>
          <t>Senior Data Engineer II - Electronic Health Records (EHR)</t>
        </is>
      </c>
      <c r="C116" t="inlineStr">
        <is>
          <t>BioSpace</t>
        </is>
      </c>
      <c r="D116" t="inlineStr">
        <is>
          <t>linkedin</t>
        </is>
      </c>
      <c r="E116" t="inlineStr"/>
      <c r="F116" t="inlineStr"/>
      <c r="G116" t="inlineStr">
        <is>
          <t>New York, NY</t>
        </is>
      </c>
      <c r="H116" t="inlineStr"/>
      <c r="I116" t="inlineStr">
        <is>
          <t>**About Formation Bio**
***Formation Bio is a tech and AI driven pharma company differentiated by radically more efficient drug development.***
 Advancements in AI and drug discovery are creating more candidate drugs than the industry can progress because of the high cost and time of clinical trials. Recognizing that this development bottleneck may ultimately limit the number of new medicines that can reach patients, Formation Bio, founded in 2016 as TrialSpark Inc., has built technology platforms, processes, and capabilities to accelerate all aspects of drug development and clinical trials. Formation Bio partners, acquires, or in\-licenses drugs from pharma companies, research organizations, and biotechs to develop programs past clinical proof of concept and beyond, ultimately helping to bring new medicines to patients. The company is backed by investors across pharma and tech, including a16z, Sequoia, Sanofi, Thrive Capital, Sam Altman, John Doerr, Spark Capital, SV Angel Growth, and others.
**You Can Read More At The Following Links**
* Our Vision for AI in Pharma
* Our Current Drug Portfolio
* Our Technology \&amp; Platform
 At Formation Bio, our values are the driving force behind our mission to revolutionize the pharma industry. Every team and individual at the company shares these same values, and every team and individual plays a key part in our mission to bring new treatments to patients faster and more efficiently.
**About The Position**
 We’re looking for a Senior Data Engineer to join the Data Platform team at Formation Bio to help transform Electronic Health Records (EHR) data into structured, analytics\-ready assets. In this role, you’ll be partnering closely with our Data Science team to model, transform, and refine data for operational and scientific use cases.
 This position sits at the intersection of healthcare data engineering, modern data platform infrastructure, and generative AI. While your initial focus will be on building high\-quality EHR models for Formation Bio platform, you’ll also contribute to our broader data architecture by leveraging tools like Snowflake, Dagster, and dbt to enable scalable, governed, and high\-reliability pipelines.
 The ideal candidate combines deep data engineering experience with both GenAI fluency (e.g., LLM\-based entity extraction, summarization, classification) and strong technical expertise with modern data tooling. You’ll play a key role in shaping how healthcare data becomes discoverable, structured, and impactful across the organization.
**Responsibilities**
* Model and transform raw EHR data into clean, canonical, and analytics\-ready datasets using SQL, Python, and clinical standards like FHIR, HL7, or OMOP.
* Build and manage scalable data pipelines using Dagster for orchestration, dbt for transformation, and Snowflake as the primary compute and storage engine.
* Collaborate with Data Science and product stakeholders to co\-develop cohort logic, derived features, and structured outputs that meet real\-world scientific needs.
* Apply Generative AI techniques within transformation layers—using LLMs for named entity recognition, document summarization, classification, and schema alignment.
* Write robust, testable, and version\-controlled code that adheres to CI/CD and data governance best practices.
* Implement data validation and observability frameworks to ensure quality, trust, and reproducibility of datasets.
* Document transformation logic, assumptions, and data lineage in collaboration with metadata and cataloging systems.
* Contribute to the evolution of the Data Platform by helping define standards, patterns, and best practices around GenAI and platform\-scale data engineering.
**About You**
* You have 5\+ years of experience in data engineering, ideally with at least 2 years working in healthcare or life sciences, including direct exposure to EHR datasets.
* Experience with ontologies and biomedical schemas (e.g. UMLS, LOINC, ICD9/10, MeSH, etc.)]
* Experience and understanding of modalities found within EHR datasets incl. Billing claims, lab results, visit notes, images
* Experience in biomedical feature engineering, e.g. variable transformations and derivatives
* You’re fluent in SQL and Python, and you’ve built and maintained production\-grade pipelines that support analytics, science, or operational workflows.
* You have hands\-on expertise with modern data infrastructure, including:
* You’re experienced in applying GenAI techniques within pipelines, including prompt engineering, LLM\-based entity extraction, and classification/summarization workflows.
* You value clarity, documentation, and structured thinking—especially when working with complex data like healthcare records.
* You have a growth mindset and are excited to build bridges between isolated data environments and governed, shared models that power scientific innovation.
* Bonus: You’ve worked in regulated or privacy\-sensitive data environments, and you’re familiar with governance models for PHI or sensitive data
 Formation Bio is prioritizing hiring in key hubs, primarily the New York City and Boston metro areas, with additional growth in the Research Triangle (NC) and San Francisco Bay Area.
 **Please only apply if you reside in these locations or are willing to relocate.**
**Compensation**
**The target salary range for this role is: $230,000 \- $280,000\.**
 Salary ranges are informed by a number of factors including geographic location. The range provided includes base salary only. In addition to base salary, we offer equity, comprehensive benefits, generous perks, hybrid flexibility, and more. If this range doesn't match your expectations, please still apply because we may have something else for you.
*You will receive consideration for employment without regard to race, color, religion, gender, gender identity or expression, sexual orientation, national origin, genetics, disability, age, or veteran status.*</t>
        </is>
      </c>
    </row>
    <row r="117">
      <c r="A117" t="inlineStr">
        <is>
          <t>li-4367700766</t>
        </is>
      </c>
      <c r="B117" t="inlineStr">
        <is>
          <t>Data Engineer 2</t>
        </is>
      </c>
      <c r="C117" t="inlineStr">
        <is>
          <t>Jobs via Dice</t>
        </is>
      </c>
      <c r="D117" t="inlineStr">
        <is>
          <t>linkedin</t>
        </is>
      </c>
      <c r="E117" t="inlineStr"/>
      <c r="F117" t="inlineStr"/>
      <c r="G117" t="inlineStr">
        <is>
          <t>Redmond, WA</t>
        </is>
      </c>
      <c r="H117" t="inlineStr"/>
      <c r="I117" t="inlineStr">
        <is>
          <t>**Overview**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Do you love the excitement and learning opportunity to study, analyze, and deal with the most complex threats to digital security in today's world? Do you have the "learner" mindset, are willing to un\-learn previous skills and learn new ones every day? Are you passionate about solving the challenges of security response teams? If yes, then this opportunity is for you.
 The Telemetry Enforcement Engineering team, within Cyber Defense Operations is looking for a Data Engineer to drive the centralization of access and curation of critical security data while applying operational rigor to ensure real\-time availability and accuracy of thousands of mission\-critical data sources. About CDO \- Cyber Defense Operations. An organization led by Microsoft's Chief Information Security Officer enables Microsoft to deliver the most trusted software and services. The CDO vision is to ensure all information and services are protected, secured, and available for appropriate use through innovation and a robust risk \&amp; management framework.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Data\-Driven Analysis \- Analyzes key metrics and key performance indicators (KPIs) and other data sources (e.g., bugs, unhealthy data pipeline) and identifies trends in security issues and escalates appropriately. Recommends improvements and/or metrics to address gaps in measurement.
* Leverages multiple sources of data in conducting and interpreting analysis. Evaluates data sets for anomalies and other patterns.
* Technical Insight: Provides technical insight on incident analysis and management, threat mitigation and an ability to translate into platform requirements, partnering closely with software development teams.
* Operational Rigor: Demonstrates exceptional operational rigor with real\-world experience in cyber security operations, threat mitigation and incident response.
* Stakeholder Management: Manages critical stakeholder calls and meetings (including non\-business hours) while addressing critical security incidents.
* Security Knowledge: Possesses extensive hands\-on knowledge of security concepts including cyber\-attacks, techniques, threat vectors, risk management, and incident management.
* Data Engineering \&amp; Management: Understand and administer data source access, availability, while proactively defining controls \&amp; policies to improve access and availability.
* Participate in oncall rotations/duties
**Other**
* Embody our culture and values.
**Qualifications**
**Required Minimum Qualifications:**
* Master's Degree in Computer Science, Math, Software Engineering, Computer Engineering, or related field AND 1\+ year(s) experience in business analytics, data science, software development, data modeling, or data engineering OR Bachelor's Degree in Computer Science, Math, Software Engineering, Computer Engineering, or related field AND 2\+ years experience in business analytics, data science, software development, data modeling, or data engineering OR equivalent experience.
* 1\+ years of experience in a Data Engineer or Software Engineer role with a focus on cloud\-based big data processing.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**Citizenship \&amp; Citizenship Verification** 
 : This role will require access to information that is controlled for export under export control regulations, potentially under the U.S. International Traffic in Arms Regulations or Export Administration Regulations, the EU Dual Use Regulation, and/or other export control regulations. As a condition of employment, the successful candidate will be required to provide either proof of their country of citizenship or proof of their U.S. permanent residency or other protected status (e.g., under 8 U.S.C. 1324b(a)(3\)) for assessment of eligibility to access the export controlled information. To meet this legal requirement, and as a condition of employment, the successful candidate's citizenship will be verified with a valid passport. Lawful permanent residents, refugees, and asylees may verify status using other documents, where applicable.
**Additional or Preferred Qualifications:**
* 3\+ years of experience in data engineering
* 3\+ years of hands\-on experience with Microsoft Kusto clusters (KQL), Azure Cosmos DB, Azure Access Control methods
* 3\+ years assisting in tuning and optimizing data source and data pipeline availability rules and alerts.
* 3\+ years collaborating with IT, DevOps, and other teams to remediate vulnerabilities and improve security controls/policies.
* 3\+ year pipeline experience, Synapse/Python
* 3\+ years of experience of DRI/Live site Engagement/Oncall experience
* 8\+ years of security operations work experience, with 5 years of experience collaborating with IR/SOC.
 Data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8">
      <c r="A118" t="inlineStr">
        <is>
          <t>li-4369259878</t>
        </is>
      </c>
      <c r="B118" t="inlineStr">
        <is>
          <t>Senior Data Engineer</t>
        </is>
      </c>
      <c r="C118" t="inlineStr">
        <is>
          <t>Chenega MIOS SBU</t>
        </is>
      </c>
      <c r="D118" t="inlineStr">
        <is>
          <t>linkedin</t>
        </is>
      </c>
      <c r="E118" t="inlineStr"/>
      <c r="F118" t="inlineStr"/>
      <c r="G118" t="inlineStr">
        <is>
          <t>Arlington, VA</t>
        </is>
      </c>
      <c r="H118" t="inlineStr"/>
      <c r="I118" t="inlineStr">
        <is>
          <t>**Summary**
**Senior Data Engineer**
**Arlington, VA**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level!
 The
 **Senior Data Engineer** 
 will serve as a senior technical expert responsible for architecting and implementing the data infrastructure that powers critical DARPA operational missions. This role requires translating complex data requirements from end\-users, data scientists, and mission operators into secure, scalable, and high\-performance data solutions. You will be responsible for the full lifecycle of data engineering—from building robust ETL/ELT pipelines and managing data warehouses in GovCloud environments to ensuring data integrity and compliance with stringent DoD security protocols. The position involves direct engagement with mission stakeholders to ensure the data ecosystem is optimized for advanced analytics, machine learning, and timely decision\-making in high\-stakes environments.
**Responsibilities**
* Design, build, and maintain secure, scalable, and reliable data pipelines within DoD\-compliant environments.
* Develop robust ETL/ELT processes to ingest, transform, and load data from diverse and often classified sources, ensuring data integrity and proper handling.
* Implement data quality checks and monitoring to guarantee the accuracy and availability of mission\-critical data.
* Build and manage data infrastructure in DoD cloud environments (e.g., AWS GovCloud, Azure Government) and on\-premises classified networks.
* Design and implement data warehousing, data lakes, and data models that are optimized for performance and security in a high\-stakes environment.
* Implement security controls, data governance, and access management compliant with DoD policies, STIGs (Security Technical Implementation Guides), and data classification levels.
* Collaborate with intelligence analysts, data scientists, and mission stakeholders to understand their data requirements and deliver effective solutions.
* Create and maintain comprehensive technical documentation for data architectures, pipelines, and processes in accordance with DoD standards.
* Automate manual processes and optimize data delivery to improve the efficiency and effectiveness of mission support operations.
* Other duties as assigned.
**Qualifications**
* Bachelor’s degree in computer science, Engineering, Information Systems, or a related technical field. A master’s degree is a plus.
* 7\+ years of progressive experience in data engineering, with a significant portion of that time spent in a DoD, IC, or other federal agency environment.
+ Demonstrated experience leading the design and architecture of complex, large\-scale data solutions from requirements gathering to deployment.
+ Proven track record of mentoring junior engineers and providing technical guidance to the team.
+ Extensive hands\-on experience building and optimizing data pipelines in government cloud environments (AWS GovCloud, Azure Government) and on\-premises classified networks.
+ Deep experience handling, processing, and securing data across various classification levels (CUI, Secret, TS/SCI).
* IAT/IAM Level II or III Certification.
* Active Top Secret with the ability to obtain TS/SCI clearance
**Knowledge, Skills, And Abilities**
* Strong proficiency in programming languages such as Python, Java, or Scala.
* Expertise with big data technologies such as Spark, Hadoop, and Kafka.
* Knowledge of data pipeline and workflow management tools like Airflow.
* Deep understanding of database systems (SQL and NoSQL), data warehousing concepts, and data modeling in a secure context.
 How you’ll grow
 At Chenega MIOS, our professional development plan focuses on helping our team members at every level of their careers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Chenega’s impact on the world.
 Chenega MIOS News\- https://chenegamios.com/news/
 Tips from your Talent Acquisition Team
 We Want Job Seekers Exploring Opportunities At Chenega MIOS To Feel Prepared And Confident. To Help You With Your Research, We Suggest You Review The Following Links
 Chenega MIOS web site \- www.chenegamios.com
 Glassdoor \- https://www.glassdoor.com/Overview/Working\-at\-Chenega\-MIOS\-EI\_IE369514\.11,23\.htm
 LinkedIn \- https://www.linkedin.com/company/1472684/
 Facebook \- https://www.facebook.com/chenegamios/</t>
        </is>
      </c>
    </row>
    <row r="119">
      <c r="A119" t="inlineStr">
        <is>
          <t>li-4368777056</t>
        </is>
      </c>
      <c r="B119" t="inlineStr">
        <is>
          <t>Actively looking for a AWS Data Engineer</t>
        </is>
      </c>
      <c r="C119" t="inlineStr">
        <is>
          <t>Jobs via Dice</t>
        </is>
      </c>
      <c r="D119" t="inlineStr">
        <is>
          <t>linkedin</t>
        </is>
      </c>
      <c r="E119" t="inlineStr"/>
      <c r="F119" t="inlineStr"/>
      <c r="G119" t="inlineStr"/>
      <c r="H119" t="inlineStr"/>
      <c r="I119" t="inlineStr">
        <is>
          <t>Dice is the leading career destination for tech experts at every stage of their careers. Our client, Arbor Tek Systems, is seeking the following. Apply via Dice today!
**Role: AWS Data Engineer**
**Location: Remote**
**Role Summary:**
 The Data Engineer will build and maintain secure, scalable, and automated data pipelines to support the ingestion, transformation, and curation of data products. This role will focus on implementing CI/CD pipelines, automated testing, and monitoring solutions.
**Key Responsibilities:**
 Data Pipelines:
 Develop configuration\-driven ingestion and transformation pipelines using AWS Glue, Lambda, and Redshift.
 Automation:
 Implement CI/CD pipelines for automated build, test, and deployment of data products.
 Testing:
 Establish automated test frameworks for schema validation, data quality, and performance testing.
 Monitoring:
 Set up monitoring and observability dashboards for product\-level metrics (CloudWatch, custom metrics).
 Collaboration:
 Work with data modelers and architects to ensure alignment with business requirements.
**Required Skills:**
 Programming:
 Proficiency in Python, SQL, and shell scripting.
 AWS Expertise:
 Hands\-on experience with AWS services (Glue, Redshift, S3, Lambda, CloudWatch).
 Automation:
 Experience with CI/CD tools (Terraform, Jenkins, AWS CodePipeline).
 Data Integration:
 Strong knowledge of ETL/ELT processes and frameworks.
 Soft Skills:
 Strong problem\-solving, collaboration, and communication skills.
**Qualifications:**
 Bachelor s degree in computer science, Data Engineering, or related field.
 5\+ years of experience in data engineering and pipeline development.
 AWS Certified Data Analytics or AWS Certified Developer is a plus.</t>
        </is>
      </c>
    </row>
    <row r="120">
      <c r="A120" t="inlineStr">
        <is>
          <t>li-4357558126</t>
        </is>
      </c>
      <c r="B120" t="inlineStr">
        <is>
          <t>Lead Data Engineer - Fisher Investments</t>
        </is>
      </c>
      <c r="C120" t="inlineStr">
        <is>
          <t>Jobs via eFinancialCareers</t>
        </is>
      </c>
      <c r="D120" t="inlineStr">
        <is>
          <t>linkedin</t>
        </is>
      </c>
      <c r="E120" t="inlineStr"/>
      <c r="F120" t="inlineStr"/>
      <c r="G120" t="inlineStr">
        <is>
          <t>Camas, WA</t>
        </is>
      </c>
      <c r="H120" t="inlineStr"/>
      <c r="I120" t="inlineStr">
        <is>
          <t>It's an exciting time to join Fisher Investments; we're investing in the future of our firm's technology and information security. Our business is growing internationally, which emphasizes the need to build an unparalleled team that promotes future global growth through strategic solutions and progress. We are important to supporting our firm's diverse businesses, and we're excited to continue solidifying that foundation as we add more experienced technologists to our Technology team.
 We are looking for an Application Development Technical Lead to plan the cloud architecture and solution design of enterprise data warehouses/data marts and analytics as part of a collection of systems in a large technology ecosystem. You will report to the AVP of Data Delivery and Data Governance.
**The Opportunity:**
 As a Application Development Technical Lead, you will perform design and administration of our Azure data and analytics platform to ensure smooth system operations and be the guide for architectural principles and standards. As a technical expert for our data and analytics ecosystem, you will support Fisher Investments business line reporting teams and Technology Business data delivery teams. This hands\-on role will provide direction to other developers of data warehouse workloads and data related projects.
 You will help align department\-wide solutions to Fisher's enterprise priorities and survey the technology landscape and guide the evolution of current environment to support future capabilities and requirements. You will be a part of the team that plans the technology to ensure capacity and scalability as demand and usage evolves.
**The Day\-to\-Day:**
* Work with business and technology partners to analyze how the data warehouse, analytics and application will meet our goals
* Evaluate all proposed requests to determine fit with data warehouse, analytics and application solution architecture
* Manage data warehouse and analytics technical platform on Azure, from implementation to enhancements and ongoing operations
* Develop and coordinate cloud data and application solutions/projects across diverse groups and areas including enterprise architecture, application development, identity and access management, network and data management
* Provide technical direction and guidance to database and application developers
* Develop cloud security and access control solution/policy, data and BI standards, guidelines and best practice for business groups and technical teams
* Perform maintenance and troubleshooting activities for data warehouse, BI platform and other data projects and resolve issues
* Review system application logs and identify potential issues and improvements to ensure smooth operations
* Perform capacity planning, cloud cost analysis and optimization and provide recommendations to management
* Provide after\-hour system and application support
* Develop multiple work plans for projects and prepare appropriate status reports and submit them to management
**Your Qualifications:**
* 15\+ years' experience developing data\-related solutions and software
* Minimum of 8 years of experience as a System Architect or Application Architect focusing on data and cloud applications with direct experience with application development, data warehouse and BI design, implementation, and operation
* Experience with cloud data warehouse and analytics technologies, specifically Azure Synapse, Azure Data Factory, Azure Data Lake Storage, Power BI, and other Azure data solutions
* Knowledge or experience with infrastructure (operating system and networking) and cloud administration and automation such as Terraform for Infrastructure as Code.
* Knowledge of DevOps in application development such as GitHub Actions, PowerShell
* Experience with application development using Microsoft or cloud technologies (such as SQL, Azure, C\#, Python)
* Knowledge of Databricks, Microsoft Purview, and SecuritiAi
* Experience with Agile methodologies in a cloud, application, database, data warehousing and BI space
* BS or equivalent in Computer Science or related field or a combination of technical skills, cloud, operating system, networking, security, data application, data modeling and BI background
**Compensation:**
* $175,000 \- $215,000 base salary per year in the state of WA. New hires should expect to start at the lower end of the range depending on experience.
* Eligible for a discretionary bonus based on firm and individual performance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t>
        </is>
      </c>
    </row>
    <row r="121">
      <c r="A121" t="inlineStr">
        <is>
          <t>li-4368777049</t>
        </is>
      </c>
      <c r="B121" t="inlineStr">
        <is>
          <t>Azure Data Engineer - Los Angeles CA -Hybrid</t>
        </is>
      </c>
      <c r="C121" t="inlineStr">
        <is>
          <t>Jobs via Dice</t>
        </is>
      </c>
      <c r="D121" t="inlineStr">
        <is>
          <t>linkedin</t>
        </is>
      </c>
      <c r="E121" t="inlineStr"/>
      <c r="F121" t="inlineStr"/>
      <c r="G121" t="inlineStr">
        <is>
          <t>Los Angeles, CA</t>
        </is>
      </c>
      <c r="H121" t="inlineStr"/>
      <c r="I121" t="inlineStr">
        <is>
          <t>Dice is the leading career destination for tech experts at every stage of their careers. Our client, Tror, is seeking the following. Apply via Dice today!
**Job Title: Azure Data Engineer**
**Location: Los Angeles CA \- Hybrid**
**Duration: Long Term Contract**
**Experience: 12 \- 15 Years**
**Job Description:**
 We are seeking highly skilled Azure Data Engineer with strong expertise in SQL, Python, Datawarehouse, Cloud ETL tools to join our data team. The ideal candidate will design, implement and optimize large\-scale data pipeline, ensuring scalability, reliability, and performance. This role involves working closely with multiple teams and business stakeholders to deliver cutting\-edge data solutions.
**Technical Skills:**
* Strong expertise in Databricks (Delta Lake, Unity Catalog, Lakehouse Architecture, Table Triggers, Delta Live Pipelines, Databricks Runtime etc.)
* Proficiency in Azure Cloud Services.
* Solid Understanding of Spark and PySpark for big data processing.
* Experience in relational databases.
* Knowledge on Databricks Asset Bundles and GitLab.
**Preferred Experience:**
* Familiarity with Databricks Runtimes and advanced configurations.
* Knowledge of streaming frameworks like Spark Streaming.
* Experience in developing real\-time data solutions.
**Certifications:**
 Azure Data Engineer Associate or Databricks certified Data Engineer Associate certification. (Optional)
**Key Responsibilities:**
**Data Pipeline Development:**
* Build and maintain scalable ETL/ELT pipelines using Databricks.
* Leverage PySpark/Spark and SQL to transform and process large datasets.
* Integrate data from multiple sources including Azure Blob Storage, ADLS and other relational/non\-relational systems.
**Collaboration \&amp; Analysis:**
* Work Closely with multiple teams to prepare data for dashboard and BI Tools.
* Collaborate with cross\-functional teams to understand business requirements and deliver tailored data solutions.
**Performance \&amp; Optimization:**
* Optimize Databricks workloads for cost efficiency and performance.
* Monitor and troubleshoot data pipelines to ensure reliability and accuracy.
**Governance \&amp; Security:**
* Implement and manage data security, access controls and governance standards using Unity Catalog.
* Ensure compliance with organizational and regulatory data policies.
**Deployment:**
* Leverage Databricks Asset Bundles for seamless deployment of Databricks jobs, notebooks and configurations across environments.
* Manage version control for Databricks artifacts and collaborate with team to maintain development best practices.</t>
        </is>
      </c>
    </row>
    <row r="122">
      <c r="A122" t="inlineStr">
        <is>
          <t>li-4367598701</t>
        </is>
      </c>
      <c r="B122" t="inlineStr">
        <is>
          <t>Principal Data Engineer (CoreAI)</t>
        </is>
      </c>
      <c r="C122" t="inlineStr">
        <is>
          <t>Jobs via Dice</t>
        </is>
      </c>
      <c r="D122" t="inlineStr">
        <is>
          <t>linkedin</t>
        </is>
      </c>
      <c r="E122" t="inlineStr"/>
      <c r="F122" t="inlineStr"/>
      <c r="G122" t="inlineStr">
        <is>
          <t>Redmond, WA</t>
        </is>
      </c>
      <c r="H122" t="inlineStr"/>
      <c r="I122" t="inlineStr">
        <is>
          <t>Dice is the leading career destination for tech experts at every stage of their careers. Our client, Microsoft Corporation, is seeking the following. Apply via Dice today!
**Overview**
 Core AI is at the forefront of Microsoft's mission to redefine how software is built and experienced. We are responsible for building the foundational platforms, services, programming models, and developer experiences that power the next generation of applications using Generative AI. Our work enables developers and enterprises to harness the full potential of AI to create intelligent, adaptive, and transformative software.
 The EngThrive Insights team is responsible for understanding the developer experience. Our mission is to deliver insights that enable Microsoft to be the best place to work as an engineer, where it is fast and easy to do great work.
 In this role, you will serve as one of the leads for the data platform that underpins EngThrive insights. Your responsibilities will include designing and maintaining data pipelines, curating high\-quality datasets, performing in\-depth data analysis, developing dashboards, and building the data and AI infrastructure that supports these capabilities and our missions.
 Success in this position requires versatility across multiple domains, including software engineering and data analytics, as well as a strong passion for, and understanding of, the tools and processes that shape the engineering workflow.
 At Microsoft, our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**Shape the Product Vision:** 
 Define and influence the product roadmap by aligning technical strategy with business goals and customer needs.
**Architect for Scale and Sustainability:** 
 Design and evolve durable, scalable system architectures that balance long\-term maintainability with short\-term delivery needs, making thoughtful engineering trade\-offs.
**Direct Impact:** 
 Leads by example and mentor others to produce extensible and maintainable code used across the platform. Creates and applies metrics to drive the quality and stability of code, as well as appropriate coding patterns and best practices.
**Foster Engineering Alignment:** 
 Build consensus across engineering teams and partner organizations by driving clarity, alignment, and shared ownership of technical direction.
**Build Foundational Capabilities:** 
 Contribute to and lead the development of core platform components and reusable building blocks that accelerate team velocity and product innovation.
**Mentor and Grow Talent:** 
 Support the growth of engineers through mentorship, knowledge sharing, and by enabling long\-term ownership of key systems.
**Champion Customer\-Centric Development:** 
 Engage directly with customers and product teams to capture feedback, understand demand signals, and refine product messaging\-ensuring the voice of the customer shapes product evolution.
**Operational Excellence:** 
 Drive operational excellence in managing and operating large\-scale data systems with a high bar for data quality, stability, security and privacy. Set high standards for reliability and performance.
**Qualifications**
**Required Qualifications:**
* Master's Degree in Computer Science, Math, Software Engineering, Computer Engineering, or related field AND 4\+ years experience in business analytics, data science, software development, data modeling, or data engineering OR Bachelor's Degree in Computer Science, Math, Software Engineering, Computer Engineering, or related field AND 6\+ years experience in business analytics, data science, software development, data modeling, or data engineering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Demonstrated expertise in building, evolving and leading complex data platforms.
* Experience with data visualization technologies such as PowerBI, Tableau, Grafana, or similar.
* 4\+ years of experience working with complex data sets, data pipelines and solving challenging data problems at scale.
* 4\+ years of experience and expertise working with data products such as Microsoft Fabric, Databricks, or similar.
 Data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3">
      <c r="A123" t="inlineStr">
        <is>
          <t>li-4356560332</t>
        </is>
      </c>
      <c r="B123" t="inlineStr">
        <is>
          <t>Senior Data Engineer with Credit Risk - Synechron Inc.</t>
        </is>
      </c>
      <c r="C123" t="inlineStr">
        <is>
          <t>Jobs via eFinancialCareers</t>
        </is>
      </c>
      <c r="D123" t="inlineStr">
        <is>
          <t>linkedin</t>
        </is>
      </c>
      <c r="E123" t="inlineStr"/>
      <c r="F123" t="inlineStr"/>
      <c r="G123" t="inlineStr">
        <is>
          <t>New York, NY</t>
        </is>
      </c>
      <c r="H123" t="inlineStr"/>
      <c r="I123"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16,400\+, and has 60 offices in 20 countries within key global markets.
**Our challenge**
 We are seeking a highly skilled and experienced Senior Data Engineer to join our dynamic Team.
 Additional Information\*
 The base salary for this position will vary based on geography and other factors. In accordance with law, the base salary for this role if filled within New York, NY is $140k \- $155k/year \&amp; benefits (see below).
**The Role**
**Responsibilities:**
* Understand technical specifications.
* Business requirements discussion with business analyst and business users.
* Python/SQL Server/Snowflake/Databricks application development and system design.
* Develop and maintain data models and schemas to support data integration and analysis.
* Implement data quality and validation checks to ensure accuracy and consistency of data.
* Execution of UT and SIT with business analysts to ensure of high\-quality testing.
* Support for UAT with business users.
* Production support and maintenance of application platform.
**Requirements:**
* Around 12\+ years IT industry experience.
* Strong communication skills.
* Agile methodology and SDLC processes.
* Design and Architecture experience.
* Experience working in global delivery model (onshore/offshore/nearshore).
* Strong problem\-solving and analytical skills.
* Self\-starter, collaborative team player and works with minimal guidance.
* Mandatory (Strong): Python, SQL server and relational database concepts, Azure Databricks, Snowflake, Scheduler (Autosys/Control\-M), ETL, CI/CD.
* Plus: PySpark, Financial systems/capital markets/credit risk/regulatory application development experience.
**We offer:**
* A highly competitive compensation and benefits package.
* A multinational organization with 60 offices in 20 countries and the possibility to work abroad.
* 10 days of paid annual leave (plus sick leave and national holidays).
* Maternity \&amp;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t>
        </is>
      </c>
    </row>
    <row r="124">
      <c r="A124" t="inlineStr">
        <is>
          <t>li-4368773153</t>
        </is>
      </c>
      <c r="B124" t="inlineStr">
        <is>
          <t>Sr. Google Cloud Platform Data Engineer</t>
        </is>
      </c>
      <c r="C124" t="inlineStr">
        <is>
          <t>Jobs via Dice</t>
        </is>
      </c>
      <c r="D124" t="inlineStr">
        <is>
          <t>linkedin</t>
        </is>
      </c>
      <c r="E124" t="inlineStr"/>
      <c r="F124" t="inlineStr"/>
      <c r="G124" t="inlineStr">
        <is>
          <t>Bentonville, AR</t>
        </is>
      </c>
      <c r="H124" t="inlineStr"/>
      <c r="I124" t="inlineStr">
        <is>
          <t>Dice is the leading career destination for tech experts at every stage of their careers. Our client, Spiceorb, is seeking the following. Apply via Dice today!
**Role: Google Cloud Platform Data Engineer
 Location: Bentonville, AR – Onsite**
**Duration: 6\+Months**
 Need W2 Candidates who will work on our payroll (No Visa Restrictions)
**Must Have Skills:**
 Data Engineer: 9 Years
 Google Cloud Platform: 3\+ Years
 PySpark: 5\+ Years
 Scala: 5\+ Years
 ETL: 5
 SQL: 8
 Build and manage data pipelines for ingesting, transforming, and loading data for analytics and operations.
 Transform and integrate data from multiple sources into usable formats.
 Design and deploy ETL/ELT workflows using modern tools and orchestration (e.g., Airflow).
 Develop and optimize data models for scalability and performance.
 Ensure data quality, governance, and security across systems.
 Collaborate with cross‐functional teams (analytics, science, product) to support data needs.
 Participate in planning, documentation, testing, and support of data infrastructure solutions.</t>
        </is>
      </c>
    </row>
    <row r="125">
      <c r="A125" t="inlineStr">
        <is>
          <t>li-4353191818</t>
        </is>
      </c>
      <c r="B125" t="inlineStr">
        <is>
          <t>Technical Product Owner / Data Engineering Analyst</t>
        </is>
      </c>
      <c r="C125" t="inlineStr">
        <is>
          <t>IHG Hotels &amp; Resorts</t>
        </is>
      </c>
      <c r="D125" t="inlineStr">
        <is>
          <t>linkedin</t>
        </is>
      </c>
      <c r="E125">
        <f>HYPERLINK("https://www.linkedin.com/jobs/view/4353191818", "https://www.linkedin.com/jobs/view/4353191818")</f>
        <v/>
      </c>
      <c r="F125">
        <f>HYPERLINK("https://careers.ihg.com/en/job-details/?jobref=Technical+Product+Owner++Data+Engineering+Analyst%7cUS%7c157204&amp;urlHash=NWZu", "https://careers.ihg.com/en/job-details/?jobref=Technical+Product+Owner++Data+Engineering+Analyst%7cUS%7c157204&amp;urlHash=NWZu")</f>
        <v/>
      </c>
      <c r="G125" t="inlineStr">
        <is>
          <t>Atlanta, GA</t>
        </is>
      </c>
      <c r="H125" t="inlineStr"/>
      <c r="I125" t="inlineStr">
        <is>
          <t>**Your day to day**
* Responsible for identifying and analyzing gaps between current data capabilities and desired business outcomes, documenting requirements for complex, cross\-functional data projects.
* Perform analysis of data sources, data models, and ETL/ELT processes to design and propose effective data solutions. Develop alternative designs, advising on options, risks, costs, and impacts on the broader data ecosystem.
* Maintain expert knowledge of our data platform, with a deep technical understanding of Google Cloud Platform (GCP) services and BigQuery.
* Maintain deep technical and architectural understanding of the data products, especially at points of interface with internal systems and processes.
* Responsible for collaborating with business partners and stakeholders to empower a data engineering team to produce technical solutions that address complex business needs.
* Effectively translate complex data concepts into a compelling business narrative for stakeholders, and conversely, translate business requirements into clear technical specifications for the engineering team.
* Create and validate data quality test scripts and user acceptance testing scenarios, working closely with data quality and business teams.
* Create and prioritize Features and User Stories, conveying the vision and requirements for our data products to the development team.
**What We Need From You**
* Advanced knowledge of product ownership within a data engineering context and a proficient understanding of modern data architecture, systems, and processes.
* Strong proficiency with Google Cloud Platform (GCP) and BigQuery.
* Expertise in SQL for complex data analysis and a strong understanding of data modeling, data warehousing, and ETL/ELT concepts.
* Ability to understand highly complex data and technical problems and build scalable, cross\-functional solutions.
* Ability to strategically demonstrate analytical and conceptual skills needed to develop efficient and effective solutions for a variety of complex business problems.
* Exceptional storytelling and communication skills, with the ability to craft a clear narrative that translates technical information into business\-friendly language and distills business needs into technical requirements.
* Ability to collaborate with Technical SMEs to deliver large, cross\-functional data projects and initiatives.
* Experience working in Agile or, ideally, Scaled Agile Framework (SAFe) environments.
* Demonstrated proficiency in writing and presenting User Stories and Features, creating the right level of supporting artifacts to enable team understanding.
* Proven experience working with cloud\-based data platforms is required.
* SAFe PO/PM certification preferred.
* SAFe Agilist certification preferred.
**Travel \- none**
**Location \- Our hybrid work structure is an expectation of three (3\) days a week in the ATLANTA office. This expectation may be adjusted to evolve with the changing needs of the business.**
**The salary range for this role is $106,000 to $140,000\. This role is also eligible for bonus pay. We offer a comprehensive package of benefits including paid time off, medical/dental/vision insurance, 401K and other benefits to employees.**
 At IHG Hotels \&amp; Resorts, we work together to deliver True Hospitality for Good on a global scale. With corporate offices and over 6,000 hotel destinations worldwide, a career at IHG is the perfect way to broaden your horizons. You’ll experience our unique culture and brilliant colleagues who will support and inspire you. With a host of corporate opportunities to choose from, wherever you are on your career journey, and whatever you want to achieve there’s Room for You at IHG.
 Over recent years, we’ve transformed our company. We have bold ambitions to drive performance and maintain our relentless focus on growth in order to be the hotel company of choice that guests \&amp; owners love.
 We are a hospitality business at our core and value connections and being together helps us foster a unique sense of belonging that also supports productivity. That’s why here at IHG, we give our colleagues flexibility and balance – working in a hybrid way, blending office and remote working collectively. We recognise that every role is different, that’s why leaders work with teams to determine how and when they collaborate.
 We provide a wide range of benefits designed to help you live your best work life. These include impressive room discounts across our many properties, recharge days and volunteering days throughout the year. Through our myWellbeing framework, we are committed to supporting wellbeing in your health, lifestyle, and workplace. We offer a unique and inclusive culture, where there is always Room for You to belong, grow and make a difference.
 Our mission is to welcome everyone and create inclusive teams where we celebrate difference and encourage colleagues to bring their whole selves to work. IHG Hotels \&amp; Resorts provides equal employment opportunities to applicants and employees without regards to race, color, religion, sex, sexual orientation, gender identity, national origin, protected veteran status, disability, or any other category protected by applicable laws. We promote a culture of trust, support, and acceptance. Always welcoming different backgrounds, experiences, and perspectives.
 Don't quite meet every single requirement, but still believe you'd be a great fit for the job? We'll never know unless you hit the 'Apply' button. Start your journey with us today.
**Important information** 
 :
* The salary range listed is the lowest to highest pay scale we, in good faith, believe we would pay for this role at the time of this posting. We may ultimately pay more or less than the posted range, and the range may be modified in the future. An employee’s pay position within the pay range will be based on several factors, including relevant education, qualifications, certifications, experience, skills, seniority, geographic location, performance, shift, travel requirements, sales or revenue\-based metrics, and business or organizational needs.
* No amount of pay is considered to be wages or compensation until it is earned, vested, and determinable. The amount and availability of any bonus, commission, or other form of compensation allocable to a particular employee remain in the Company's sole discretion unless and until paid and may be modified at the Company’s sole discretion, consistent with the law.
* If you require reasonable accommodation during the application process, please click here.
* IHG does not accept applications, inquiries, or unsolicited CVs/resumes from staffing or recruiting agencies. Please click here for our agency policy.
* If you are a resident of or applying to a job opening in the State of Washington, please click here to read about applicable benefits.</t>
        </is>
      </c>
    </row>
    <row r="126">
      <c r="A126" t="inlineStr">
        <is>
          <t>li-4369276949</t>
        </is>
      </c>
      <c r="B126" t="inlineStr">
        <is>
          <t>Technical Program  Manager (Data Engineering)</t>
        </is>
      </c>
      <c r="C126" t="inlineStr">
        <is>
          <t>Tredence Inc.</t>
        </is>
      </c>
      <c r="D126" t="inlineStr">
        <is>
          <t>linkedin</t>
        </is>
      </c>
      <c r="E126">
        <f>HYPERLINK("https://www.linkedin.com/jobs/view/4369276949", "https://www.linkedin.com/jobs/view/4369276949")</f>
        <v/>
      </c>
      <c r="F126" t="inlineStr"/>
      <c r="G126" t="inlineStr">
        <is>
          <t>Palm Beach County, FL</t>
        </is>
      </c>
      <c r="H126" t="inlineStr"/>
      <c r="I126" t="inlineStr">
        <is>
          <t>Job Summary
 We are seeking a Technical Project Manager with strong experience in
 **data engineering initiatives** 
 to lead the planning, execution, and delivery of data platforms, pipelines, and analytics solutions. This role sits at the intersection of
 **engineering, analytics, and business** 
 , ensuring data projects are delivered on time, within scope, and with high technical quality.
 Key Responsibilities
* Lead end\-to\-end delivery of data engineering projects, including data pipelines, data warehouses, lakes, and analytics platforms
* Partner closely with data engineers, analytics engineers, data scientists, and stakeholders to define scope, milestones, and success criteria
* Translate business requirements into clear technical project plans and roadmaps
* Manage project timelines, dependencies, risks, and budgets
* Facilitate agile ceremonies (stand\-ups, sprint planning, retrospectives) and ensure delivery against sprint commitments
* Track and report project status, KPIs, and risks to leadership
* Coordinate cross\-functional teams including Engineering, Product, Security, and Operations
* Ensure data quality, reliability, scalability, and compliance requirements are met
* Drive continuous improvement in delivery processes and tooling
 Required Qualifications
* Bachelor’s degree in Computer Science, Engineering, Information Systems, or related field
* 5\+ years of experience in project or program management, with
 **at least 2–3 years in data engineering or analytics projects**
* Strong understanding of data engineering concepts:
* ETL/ELT pipelines
* Data warehouses and data lakes
* SQL and data modeling
* Cloud data platforms (AWS, Azure, or GCP)
* Hands\-on experience with agile delivery methodologies (Scrum, Kanban)
* Excellent communication and stakeholder management skills</t>
        </is>
      </c>
    </row>
    <row r="127">
      <c r="A127" t="inlineStr">
        <is>
          <t>li-4369281199</t>
        </is>
      </c>
      <c r="B127" t="inlineStr">
        <is>
          <t>Data Engineer</t>
        </is>
      </c>
      <c r="C127" t="inlineStr">
        <is>
          <t>The Value Maximizer</t>
        </is>
      </c>
      <c r="D127" t="inlineStr">
        <is>
          <t>linkedin</t>
        </is>
      </c>
      <c r="E127">
        <f>HYPERLINK("https://www.linkedin.com/jobs/view/4369281199", "https://www.linkedin.com/jobs/view/4369281199")</f>
        <v/>
      </c>
      <c r="F127" t="inlineStr"/>
      <c r="G127" t="inlineStr">
        <is>
          <t>Austin, TX</t>
        </is>
      </c>
      <c r="H127" t="inlineStr"/>
      <c r="I127" t="inlineStr">
        <is>
          <t>Job Title: Data Engineer \- MEM SQL Location: New Jersey / Irving, TX / Tampa, FL
 **Job Description:** 
 We are looking for an experienced Data Engineer with strong expertise in MEM SQL (SingleStore) to join our team supporting Incedo projects. The ideal candidate will be responsible for designing, building, and optimizing scalable data pipelines and high\-performance data platforms.
 **Responsibilities:**
* Design, develop, and maintain scalable data pipelines and ETL processes
* Work extensively with MEM SQL (SingleStore) for real\-time and large\-scale data processing
* Optimize database performance, queries, and data models
* Collaborate with data scientists, analysts, and application teams to support data needs
* Ensure data quality, reliability, and security across data platforms
* Monitor and troubleshoot data pipeline and system issues
* Support data migration and integration activities
**Required Skills:**
* Strong experience as a Data Engineer
* Hands\-on experience with MEM SQL (SingleStore)
* Strong SQL skills and database optimization experience
* Experience with ETL tools and data pipeline frameworks
* Knowledge of data modeling and data warehousing concepts
* Experience working with large datasets and real\-time data processing
**Preferred Skills:**
* Experience with cloud platforms (AWS / Azure / GCP)
* Knowledge of Big Data technologies (Spark, Kafka, etc.)
* Telecom domain experience (preferred, not mandatory)</t>
        </is>
      </c>
    </row>
    <row r="128">
      <c r="A128" t="inlineStr">
        <is>
          <t>li-4369295026</t>
        </is>
      </c>
      <c r="B128" t="inlineStr">
        <is>
          <t>Data Engineer</t>
        </is>
      </c>
      <c r="C128" t="inlineStr">
        <is>
          <t>The Value Maximizer</t>
        </is>
      </c>
      <c r="D128" t="inlineStr">
        <is>
          <t>linkedin</t>
        </is>
      </c>
      <c r="E128">
        <f>HYPERLINK("https://www.linkedin.com/jobs/view/4369295026", "https://www.linkedin.com/jobs/view/4369295026")</f>
        <v/>
      </c>
      <c r="F128" t="inlineStr"/>
      <c r="G128" t="inlineStr">
        <is>
          <t>Florida, United States</t>
        </is>
      </c>
      <c r="H128" t="inlineStr"/>
      <c r="I128" t="inlineStr">
        <is>
          <t>Job Title: Data Engineer \- MEM SQL Location: New Jersey / Irving, TX / Tampa, FL
 **Job Description:** 
 We are looking for an experienced Data Engineer with strong expertise in MEM SQL (SingleStore) to join our team supporting Incedo projects. The ideal candidate will be responsible for designing, building, and optimizing scalable data pipelines and high\-performance data platforms.
 **Responsibilities:**
* Design, develop, and maintain scalable data pipelines and ETL processes
* Work extensively with MEM SQL (SingleStore) for real\-time and large\-scale data processing
* Optimize database performance, queries, and data models
* Collaborate with data scientists, analysts, and application teams to support data needs
* Ensure data quality, reliability, and security across data platforms
* Monitor and troubleshoot data pipeline and system issues
* Support data migration and integration activities
**Required Skills:**
* Strong experience as a Data Engineer
* Hands\-on experience with MEM SQL (SingleStore)
* Strong SQL skills and database optimization experience
* Experience with ETL tools and data pipeline frameworks
* Knowledge of data modeling and data warehousing concepts
* Experience working with large datasets and real\-time data processing
**Preferred Skills:**
* Experience with cloud platforms (AWS / Azure / GCP)
* Knowledge of Big Data technologies (Spark, Kafka, etc.)
* Telecom domain experience (preferred, not mandatory)</t>
        </is>
      </c>
    </row>
    <row r="129">
      <c r="A129" t="inlineStr">
        <is>
          <t>li-4369284170</t>
        </is>
      </c>
      <c r="B129" t="inlineStr">
        <is>
          <t>Data Engineer</t>
        </is>
      </c>
      <c r="C129" t="inlineStr">
        <is>
          <t>The Value Maximizer</t>
        </is>
      </c>
      <c r="D129" t="inlineStr">
        <is>
          <t>linkedin</t>
        </is>
      </c>
      <c r="E129">
        <f>HYPERLINK("https://www.linkedin.com/jobs/view/4369284170", "https://www.linkedin.com/jobs/view/4369284170")</f>
        <v/>
      </c>
      <c r="F129" t="inlineStr"/>
      <c r="G129" t="inlineStr">
        <is>
          <t>New Jersey, United States</t>
        </is>
      </c>
      <c r="H129" t="inlineStr"/>
      <c r="I129" t="inlineStr">
        <is>
          <t>Job Title: Data Engineer \- MEM SQL Location: New Jersey / Irving, TX / Tampa, FL
 **Job Description:** 
 We are looking for an experienced Data Engineer with strong expertise in MEM SQL (SingleStore) to join our team supporting Incedo projects. The ideal candidate will be responsible for designing, building, and optimizing scalable data pipelines and high\-performance data platforms.
 **Responsibilities:**
* Design, develop, and maintain scalable data pipelines and ETL processes
* Work extensively with MEM SQL (SingleStore) for real\-time and large\-scale data processing
* Optimize database performance, queries, and data models
* Collaborate with data scientists, analysts, and application teams to support data needs
* Ensure data quality, reliability, and security across data platforms
* Monitor and troubleshoot data pipeline and system issues
* Support data migration and integration activities
**Required Skills:**
* Strong experience as a Data Engineer
* Hands\-on experience with MEM SQL (SingleStore)
* Strong SQL skills and database optimization experience
* Experience with ETL tools and data pipeline frameworks
* Knowledge of data modeling and data warehousing concepts
* Experience working with large datasets and real\-time data processing
**Preferred Skills:**
* Experience with cloud platforms (AWS / Azure / GCP)
* Knowledge of Big Data technologies (Spark, Kafka, etc.)
* Telecom domain experience (preferred, not mandatory)</t>
        </is>
      </c>
    </row>
    <row r="130">
      <c r="A130" t="inlineStr">
        <is>
          <t>li-4369230673</t>
        </is>
      </c>
      <c r="B130" t="inlineStr">
        <is>
          <t>Data Engineer</t>
        </is>
      </c>
      <c r="C130" t="inlineStr">
        <is>
          <t>Straive</t>
        </is>
      </c>
      <c r="D130" t="inlineStr">
        <is>
          <t>linkedin</t>
        </is>
      </c>
      <c r="E130">
        <f>HYPERLINK("https://www.linkedin.com/jobs/view/4369230673", "https://www.linkedin.com/jobs/view/4369230673")</f>
        <v/>
      </c>
      <c r="F130" t="inlineStr"/>
      <c r="G130" t="inlineStr"/>
      <c r="H130" t="inlineStr"/>
      <c r="I130" t="inlineStr">
        <is>
          <t>**Straive** 
 is a global leader in enterprise\-grade data analytics and AI solutions, committed to empowering businesses across various industries with cutting\-edge technology and expert insights. Backed by EQT, a top private equity firm, we are uniquely positioned to drive innovation through significant investments and an entrepreneurial spirit
 Our core focus is on delivering advanced Data Analytics \&amp; AI Solutions. By combining sophisticated technology with subject matter expertise, we deliver material impact on our clients' topline and streamline their operations. We specialize in providing tailored solutions across financial services, CPG, legal, pharma, life sciences, retail and logistics, helping them build robust data analytics and AI capabilities.
 With a client base spanning 30 countries, Straive's strategically located teams operate from eight countries and is headquartered in Singapore. This global presence enables us to offer localized expertise with a worldwide perspective.
 Join Straive to be part of a dynamic team at the forefront of data analytics and AI innovation. Here, you'll have the opportunity to contribute to transformative projects, supported by significant investments and an entrepreneurial drive fueled by our partnership with EQT.
**Website: https://www.straive.com/** 
**Job Title:** 
 Data Engineer
**Location:** 
 San Francisco Bay Area, CA (or) New York City, NY.
**Experience:** 
 4\-7 Years
**Primary focus :**
 Model reproduction, feature engineering logic, performance validation, and ensuring alignment with client's’s established modelling frameworks.
 • Rebuild and port existing client's Python based models into customer’s Databricks platform.
 • Develop, train, and validate predictive models using Python, PySpark, and ML frameworks such as scikitlearn, XGBoost, and Spark MLlib.
 • Develop, validate and reproduce feature engineering logic and ensure parity with
 client's models.
 • Train, retain, validate, and benchmark model performance using customer provided datasets while maintain performance parity with baseline models.
 • Work with data engineers to define feature requirements and ensure datasets support model needs.
 • Perform model diagnostics, bias checks, stability checks, and accuracy assessments.
 • Prepare model documentation, validation summaries, and stakeholder ready insights.
 • Support scoring pipeline design and ensure reproducibility across Dev/QA/Prod.
 • Collaborate with compliance and platform teams to ensure adherence to governance.
 • Perform model diagnostics, hyperparameter tuning, and stability analysis.
 • Evaluate model performance across population segments and time periods.
 • Work with platform and engineering teams to support scoring pipeline deployment across
 Dev/QA/Prod.
**Qualifications:**
 • 4–6 years of experience in applied machine learning or data science.
 • Strong hands\-on experience with Python, scikit\-learn, XGBoost, LightGBM,
 CatBoost, or similar libraries.
 • Experience developing ML models in Databricks with Python or PySpark.
 • Strong knowledge of feature engineering, model training workflows, and evaluation techniques.
 • Experience working with large structured datasets (financial or transactional data preferred).
 • Ability to write clear documentation and communicate technical results to non\-technical
 stakeholders.
 • 4\+ years of hands\-on experience developing, deploying, and maintaining machine\-learning models.
 • Advanced proficiency in Python (NumPy, pandas, scikit\-learn, PyTorch or TensorFlow).
 • Strong statistical and mathematical foundation, including regression, classification,
 probability,
 optimization, etc.
 • Experience building end\-to\-end ML pipelines: data ingestion, cleaning, feature engineering,
 modeling, evaluation, deployment.
 • Experience working within client environments, including adapting to unfamiliar infrastructure,
 constraints, and security requirements.
 • Experience with cloud platforms (AWS, Azure, or GCP) and on\-prem environments.
 • Advanced SQL ability and experience with big\-data tools (Spark, Databricks, Hadoop).
 This job description is not intended to cover or contain a comprehensive listing of all responsibilities, duties, or activities that are required. Responsibilities, duties, and/or activities may change, or new ones may be added at any time with or without notice.
 If you are a motivated professional with a passion for delivering impactful solutions, we’d love to hear from you. Apply today to be part of a dynamic and forward\-thinking team at Straive.
 “
 **Straive** 
 is an Equal Opportunity Employer. Our policy is clear: there shall be no discrimination based on age, disability, sex, race, religion or belief, gender reassignment, marriage/civil partnership, pregnancy/maternity, or sexual orientation.
 We are an inclusive organization and actively promote equality of opportunity for all with the right mix of talent, skills and potential. We welcome all applications from a wide range of candidates. Selection for roles will be based on individual merit alone.”</t>
        </is>
      </c>
    </row>
    <row r="131">
      <c r="A131" t="inlineStr">
        <is>
          <t>li-4369251264</t>
        </is>
      </c>
      <c r="B131" t="inlineStr">
        <is>
          <t>Analytics Engineer</t>
        </is>
      </c>
      <c r="C131" t="inlineStr">
        <is>
          <t>Orchard Analytics</t>
        </is>
      </c>
      <c r="D131" t="inlineStr">
        <is>
          <t>linkedin</t>
        </is>
      </c>
      <c r="E131">
        <f>HYPERLINK("https://www.linkedin.com/jobs/view/4369251264", "https://www.linkedin.com/jobs/view/4369251264")</f>
        <v/>
      </c>
      <c r="F131" t="inlineStr"/>
      <c r="G131" t="inlineStr">
        <is>
          <t>New York, NY</t>
        </is>
      </c>
      <c r="H131" t="inlineStr"/>
      <c r="I131" t="inlineStr">
        <is>
          <t>**What Orchard Does** 
 Orchard Analytics is an established boutique data engineering and analytics agency. Our top\-tier portfolio of clients range from the most exciting brands in Consumer to growth stage Series\-C tech startups – and they rely on us as their data team. You get a front row seat to how companies doing a billion dollars in aggregate revenue operate and a business school style exposure to different industries (consumer, healthcare, software, real estate, etc.) 
 We use a modern stack: Fivetran, Prefect, BigQuery/Snowflake, Cursor, dbt, Looker, Omni. We move fast and ship work every week that actually gets used.
**The Role** 
 At Orchard, Analytics Engineers own client relationships and are responsible for the implementation of scalable data models and reporting that turn raw data into clear, actionable insights. They effectively play a “Head of Data” role for the clients they work with and manage.
**Client Ownership** 
* Own the full analytics relationship for your clients – learn their business and figure out how they should leverage data and select appropriate tools.
* Run weekly syncs with stakeholders (marketing, finance, ops) to understand priorities and deliver against them
* Translate ambiguous business questions into concrete data requirements
* Push back when needed, prioritize ruthlessly, and ship work that actually moves the needle
**Analytics Engineering** 
* Build and maintain dbt models with an emphasis on clarity and maintainability
* Define and implement core business metrics that stakeholders trust
* Build dashboards and reporting in Looker or Omni that people actually use
* Troubleshoot data quality issues and fix problems at the source
* Help figure out how clients should interact with their data through AI – this is an active area we're experimenting with, not a solved problem
**Who This Is For** 
 This role is a fit if:
* You want to get extremely good at what you do – managing business relationships, communication, data infrastructure, data models, dashboards, and analysis
* You thrive in a fast\-paced environment where ownership is expected and strong performance is rewarded.
* You have 2\-4 years of experience in analytics, BI, or data
* You're solid in SQL – not necessarily a wizard, but you can write and debug complex queries on your own.
* You've built dashboards and actually had to defend the numbers to stakeholders
* You can handle ambiguity. Our clients don't always know what they want. You help them figure it out
* You’re excited about AI and what it can do
**dbt experience is a plus but not required. If you've been itching to learn it, you'll get plenty of reps here.**
**Who This Is NOT For** 
* **If you don't like client\-facing work** 
 , this is the wrong role. You'll be on calls. You'll get requests that are vague or last\-minute. You'll need to push back diplomatically and deliver anyway.
* **If you're optimizing for work\-life balance above all else** 
 , we're not the right fit. The pace is real. We are expected to be responsive and sharp
**Why You Might Love This** 
 A few things that might not be obvious:
**You'll learn faster here than almost anywhere else.** 
 You're not going to sit in a corner running the same dashboards for one company. You'll work across clients with totally different data, business models, and stakeholders. In 2 years, you'll have the experience to be a Head of Data somewhere.
**You'll work on interesting problems.** 
 Our clients range from beauty brands to marketplaces to B2B SaaS. Different data, different questions, different challenges, different business models.
**Small team, high trust** 
 . We’re a small, high performing team. No politics, no layers. You own your clients. Your work matters.
**You'll be rewarded for strong performance.** 
 High performers make good money here.
**How to Apply** 
 Send an email to
 ryan@orchardanalytics.co
 with:
1. Your resume
2. A few sentences on why this sounds interesting to you
 No cover letter necessary. We'll get back to you within a few days.</t>
        </is>
      </c>
    </row>
    <row r="132">
      <c r="A132" t="inlineStr">
        <is>
          <t>li-4369282332</t>
        </is>
      </c>
      <c r="B132" t="inlineStr">
        <is>
          <t>Data Engineer</t>
        </is>
      </c>
      <c r="C132" t="inlineStr">
        <is>
          <t>Bonafide Health</t>
        </is>
      </c>
      <c r="D132" t="inlineStr">
        <is>
          <t>linkedin</t>
        </is>
      </c>
      <c r="E132">
        <f>HYPERLINK("https://www.linkedin.com/jobs/view/4369282332", "https://www.linkedin.com/jobs/view/4369282332")</f>
        <v/>
      </c>
      <c r="F132" t="inlineStr"/>
      <c r="G132" t="inlineStr">
        <is>
          <t>New York, United States</t>
        </is>
      </c>
      <c r="H132" t="inlineStr"/>
      <c r="I132" t="inlineStr">
        <is>
          <t>**About Women’s Health**
 Bonafide, Uqora and Equelle comprise Pharmavite's Women's Health portfolio. Collectively, these brands are driven by their promise to champion women's health and joy at every age.
**Our People**
 Our Women’s Health team is composed of highly experienced professionals dedicated to making a meaningful impact. Bring your whole self to our Women’s Health brands — you’ll be welcomed by a team that shares your passion, purpose, and pride in our products while embracing your unique talents, creativity, and collaborative spirit.
**This role is not available for sponsorship, including I\-983 participation.**
**Job Summary**
 The
 **Data Engineer** 
 is responsible for designing, building, and maintaining scalable, reliable data models and transformation pipelines that support analytics, reporting, and advanced analytical use cases across the organization. This role focuses primarily on SQL\-based transformation and modeling using dbt within a modern cloud data stack. The Data Engineer partners closely with analytics and business stakeholders to ensure data is accurate, well\-structured, and accessible, and supports advanced analytics and machine learning initiatives through high\-quality data foundations. The Data Engineer reports to a Senior Data Engineer.
**Key Responsibilities**
**Critical contributions this role is counted on to deliver include:**
* Design, develop, and maintain scalable analytics\-ready data models using dbt
* Write, optimize, and maintain SQL transformations that convert raw data into clean, reliable datasets
* Collaborate with analysts and business stakeholders to gather requirements and translate business needs into data models
* Ensure data reliability, accuracy, and freshness through testing, monitoring, and troubleshooting data pipelines
* Support advanced analytics and machine learning initiatives by preparing well\-structured, high\-quality datasets
* Implement and maintain best practices for version control, testing, and documentation within dbt
* Contribute to the ongoing evolution of the data platform to support scalability and future growth
**What Success Looks Like In The Role**
* Delivers trusted, high\-quality datasets used across analytics and advanced analytical workflows
* Builds data models that are performant, maintainable, and aligned with downstream use cases
* Proactively identifies and resolves data quality or modeling issues
* Collaborates effectively with analysts and business partners
* Strengthens the organization’s ability to make data\-driven and model\-informed decisions
**Required Qualifications**
**In order to take on these challenges, you’ll need to have:**
* Bachelor’s degree in Computer Science, Information Systems, Data Science, or equivalent practical experience
* 2\+ years of professional experience writing and maintaining SQL
* 1\+ years of experience using dbt to build and manage data models
* Strong understanding of data warehousing concepts and analytical data modeling
* Experience working with cloud data warehouses such as Snowflake, Redshift, or BigQuery
* Familiarity with data requirements for advanced analytics or machine learning use cases
* Experience using Git or other version control systems
* Strong problem\-solving skills, attention to detail, and ability to work cross\-functionally
**OUR OFFER**
 Here, career paths aren't predefined, and bureaucratic limitations don't exist \-\- you have the opportunity to grow, learn from industry pioneers, and develop the way you want to. Our Women's Health brands are investing more in the development of our team \-\- to help us deliver on our purpose and help you achieve your career aspirations. Our environment is geared to fuel curiosity, encourage experimentation, and generate learning as this is the way we develop ourselves and our organization. We are committed to meeting the needs of our employees and their families with a Total Rewards package that's as comprehensive as the vitamins and supplements we deliver to consumers. With competitive compensation programs and standout benefits, we provide employees with optimal health and well\-being \-\- as well as peace of mind. These rewards \-\- plus our new recognition program \-\- ensure employees feel supported both at work and home.
**SALARY RANGE**
**National Target Base Pay Range: $94,000\.00 \- $156,000\.00** 
 . The salary range for this position is based on national standards.
 **For candidates in California and New York metro the Target Base Pay Range is $104,000 \- $173,000** 
 , to reflect the cost of living and market conditions in those areas.
 Actual compensation will take into account a wide range of factors that are unique to each candidate, including but not limited to geographic location, education, experience, qualifications and job\-related skills. It is not typical for an individual to be hired above the midpoint of the range for their role and compensation decisions depend on the facts and circumstances of each case. This information is provided to applicants in accordance with state and local laws.
 Base pay is only one component of our total rewards offerings, and we will take the full offering into consideration when presenting an offer of employment. Our total rewards package for this position may also include an annual performance bonus, Medical, dental and vision benefits, 401K match, and other wellness benefits.
 This represents the minimum and maximum base salary range for this role, plus annual incentive. Various elements are used to determine a candidate’s starting salary such as job experience, specific skills, and comparison to internal incumbents currently in the role. This information is provided to applicants in accordance with state and local laws.
 Bonafide is an equal opportunity employer. We prohibit employment discrimination and harassment based on race, color, religion, age, sex, sexual orientation, gender, national origin, and any other basis protected by state and federal law. Bonafide recruits, hires, employs, trains, promotes, and compensates individuals solely based on job\-related qualifications and abilities.
 Bonafide also provides reasonable accommodation to qualified individuals with disabilities or based on a sincerely held religious belief, in accordance with applicable laws. If you need to inquire about an accommodation to complete the application process, please email recruiter@pharmavite.com.
*Disclaimer*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of employees assigned to this job.
**California Fair Chance Act**
 Qualified Applicants with arrest or conviction records will be considered for Employment in accordance with the Los Angeles County Fair Chance Ordinance for Employers and the California Fair Chance Act.
**Job Alert Fraud**
 We have become aware of scams from individuals, organizations, and internet sites claiming to represent Bonafide in recruitment activities in return for disclosing financial information.
 Our hiring process does not include text\-based conversations or interviews and never requires payment or fees from job applicants. All of our career opportunities are regularly published and updated on Bonafide’s Careers section.
 If you have already provided your personal information, please report it to your local authorities. Any fraudulent activity should be reported to: recruiter@pharmavite.com.</t>
        </is>
      </c>
    </row>
    <row r="133">
      <c r="A133" t="inlineStr">
        <is>
          <t>li-4368777684</t>
        </is>
      </c>
      <c r="B133" t="inlineStr">
        <is>
          <t>Data Engineer</t>
        </is>
      </c>
      <c r="C133" t="inlineStr">
        <is>
          <t>Kharon</t>
        </is>
      </c>
      <c r="D133" t="inlineStr">
        <is>
          <t>linkedin</t>
        </is>
      </c>
      <c r="E133">
        <f>HYPERLINK("https://www.linkedin.com/jobs/view/4368777684", "https://www.linkedin.com/jobs/view/4368777684")</f>
        <v/>
      </c>
      <c r="F133" t="inlineStr"/>
      <c r="G133" t="inlineStr">
        <is>
          <t>Denver, CO</t>
        </is>
      </c>
      <c r="H133" t="inlineStr"/>
      <c r="I133" t="inlineStr">
        <is>
          <t>**TL;DR** 
 Kharon is seeking a full\-time
 **Data Engineer** 
 based in
 **Denver, Colorado.** 
 This role requires in\-office attendance at least 3 days a week.
**RESPONSIBILITIES:** 
* Help build large\-scale distributed automated data processing systems and data lakes, while optimizing for both computational and storage efficiency on AWS Databricks.
* Create data pipelines, infrastructure, and overall workflow orchestration to pull data from a diverse set of data sources into the Kharon Data Lake.
* Build systems to track, monitor and validate the quality of data coming into or going out of Kharon Data Lake.
* Collaborate with engineers, architects, and data scientists to implement scalable solutions to solve complex problems.
* Interact and develop with internal and external APIs.
* Work with product and business teams to define novel and critical metrics for the business.
* Follow good engineering practices like documentation, diagrams, and unit/validation tests
* Take full responsibilities for the development, deployment, adoption monitoring and maintenance of the data systems and services you build.
**QUALIFICATIONS:** 
* 2\+ years of experience, not including internships, as a software engineer or a data engineer and a strong passion to learn.
* BS/MS in Computer Science or equivalent experience in related fields.
* Experience in Python, Pandas, PySpark, and Notebooks.
* SQL knowledge and experience working with relational databases including schema design, access patterns, query performance optimization, etc.
* Experience with data pipeline technologies like AWS Glue, Airflow, Kafka, or other cloud based equivalence.
* Experience with ETL and data warehousing like Databricks, Snowflake, or equivalent.
* Container\-based deployment experience using Docker and Kubernetes.
* Strong verbal and written communication skills.
**NICE TO HAVE:** 
* Experience working with or data modeling for graph databases like Neo4J, Neptune, etc.
* API experience using FastAPI, Flask, Spring Boot or equivalent.
* Understanding of elasticsearch data and query modeling is a big plus.
* Interests or experience in Geopolitics, Sanction Compliance, or Financial Risk.
 Kharon is a highly disruptive and incredibly innovative organization that navigates risk at the intersection of global security threats \+ international commerce.
 What does that mean? Great question.
 Operating at the nexus of global security, Kharon is on a mission to revolutionize the current landscape. We take really complex data as it relates to global security and empower our clients to not only understand the risk associated with their potential business relationships but to operationalize that data so that they can make the best and most informed decisions possible. From financial crimes and sanctions to export controls and threat identifications, our tools optimize protection against the types of risks that could otherwise be incredibly dangerous and excessively costly to any business. Serving many of today’s leading global financial and multinational institutions, Kharon products are the most powerful in the space with a precision and depth that is absolutely unparalleled.
 When you look at any major global crisis event, we’re providing intelligence that’s at the heart of those circumstances. We connect the dots in a way that’s meaningful. Now, we’re experiencing unprecedented growth. As the world continues to evolve in complexity, so too does the demand for our products. Given the significance of our work and the increasing global reliance on our insights, we are looking for a Data Engineer to join us as we work to shape the way businesses perceive and navigate global risks.
 Reporting to the
 **Associate Director of Data Engineering** 
 , the Data Engineer will excel in designing, evaluating, and executing on solutions to open\-ended problems through superior analytical skills, resourcefulness, and tenacity. They will be innately curious and have demonstrated an entrepreneurial spirit through academic, professional, or extracurricular experiences. This person should be able to demonstrate their ability to quickly learn new skills and familiarize themselves with new subjects.
 To the right person, this will be the perfect kind of challenge. Our mission is compelling, our product is powerful, and we’re growing at a rate that makes us unstoppable. If you’re looking to be surrounded by people who will inspire you to think and challenge you to grow then look no further. Our team is made up of some of the most visionary and uncompromising individuals you will ever encounter. We don’t take ourselves seriously but we’re serious about the work we do and there is absolutely no slowing us down.
 To keep that momentum going, we do our very best to make sure that each and every team member is completely taken care of. We’re nothing without our people and we strive to offer a package that reflects that. As a Kharon team member, you can expect:
* Fully sponsored medical, dental, and vision
* FSA program for both medical and dependent care
* 401k \+ Roth with matching and immediate vesting
* Paid time off \+ 11 paid holidays
 The base salary range at Kharon is set between $120,000 \- $160,000\. Please note that this figure does not necessarily include potential bonuses, commissions, benefits, or equity that may be part of the overall compensation package.
 If interested in pursuing this position, please visit
 www.kharon.com
 to apply.
 Kharon is committed to cultivating and maintaining a workplace that is free from harassment and discrimination. All qualified applicants will receive consideration for employment without regard to race, religion, color, national origin, ethnicity, gender, gender identity or expression, sexual orientation or identity, neurodiversity, appearances, age, protected veteran status, or status as a qualified individual with disability.</t>
        </is>
      </c>
    </row>
    <row r="134">
      <c r="A134" t="inlineStr">
        <is>
          <t>li-4369240082</t>
        </is>
      </c>
      <c r="B134" t="inlineStr">
        <is>
          <t>Senior Data Engineer</t>
        </is>
      </c>
      <c r="C134" t="inlineStr">
        <is>
          <t>Bitfarms</t>
        </is>
      </c>
      <c r="D134" t="inlineStr">
        <is>
          <t>linkedin</t>
        </is>
      </c>
      <c r="E134">
        <f>HYPERLINK("https://www.linkedin.com/jobs/view/4369240082", "https://www.linkedin.com/jobs/view/4369240082")</f>
        <v/>
      </c>
      <c r="F134" t="inlineStr"/>
      <c r="G134" t="inlineStr">
        <is>
          <t>New York, NY</t>
        </is>
      </c>
      <c r="H134" t="inlineStr"/>
      <c r="I134" t="inlineStr">
        <is>
          <t>**The Future Runs on Bitfarms**
 As demand for AI and high\-performance computing (HPC) accelerates, Bitfarms is building the infrastructure to meet the moment. Our US expansion and global operations are laying the foundation for scalable, energy\-optimized compute designed to support next generation workloads and long\-term growth.
**Who We Are**
 Bitfarms (NASDAQ/TSX: BITF) is a global energy and compute infrastructure company that develops, owns, and operates high\-performance data centers.
 With data centers across North and South America, we manage every stage of development from securing energy, producing power, and designing facilities to running world class operations. This vertically integrated approach allows us to innovate faster, operate more efficiently, and deliver infrastructure that can scale with the future of compute.
**Why Join Our Team**
 At Bitfarms, voted a Great Place to Work, you will be part of a team shaping the next generation of digital infrastructure. We are at the intersection of energy and technology, two industries undergoing massive transformation. Here, your work will have real impact, powering advanced workloads that are driving AI, machine learning, and the digital economy forward.
 We value people who are curious, collaborative, and committed to building solutions that last. With offices in New York City, Pittsburgh, Montreal and Buenos Aires, Bitfarms offers the chance to grow your career while helping power AI and shape the future of high\-performance computing.
**What You Can Expect at Bitfarms**
* A fast\-moving environment where innovation and execution go hand in hand.
* Opportunities to work on cutting edge projects in HPC, AI, and energy infrastructure.
* A collaborative, cross border team that thrives on solving complex challenges.
* A commitment to efficiency, operational excellence, and long\-term value creation.
 Bitfarms continues to seek operational and financial improvements through decentralization and diversification, and using ethical and innovative initiatives to unlock value for both our clients and employees.
**What We Offer**
* Competitive salary and bonus opportunities along with career advancement
* Top tier group insurance plan with employer cost sharing
* Group retirement savings with employer contribution
* Employee referral program
* Telemedicine \&amp; employee assistance program (EAP)
* An inclusive, safe and diverse work environment
 We are currently looking for a
 **Senior Data Engineer** 
 to join our team.
**Compensation:**
 Expected Salary: $120,000 \- $170,000 USD
**What You Can Expect from This Role**
 The Senior Data Engineer will play a critical role in designing, building, and operating Bitfarms’ next\-generation data platform. This role is responsible for architecting and implementing a modern Data Lakehouse, establishing a data classification program aligned with a new Data Loss Prevention (DLP) initiative, and partnering closely with business and technical stakeholders to understand, classify, and govern data across the organization.
 This position requires strong technical depth in data engineering and architecture, combined with the ability to translate business needs, compliance requirements, and security objectives into scalable and well\-governed data solutions.
**Key Responsibilities**
**Data Platform \&amp; Lakehouse Architecture**
* Design, implement, and maintain a scalable Data Lakehouse architecture supporting analytics, reporting, and advanced workloads.
* Define data ingestion, transformation, and storage patterns for structured, semi\-structured, and unstructured data.
* Establish best practices for data modeling, partitioning, performance optimization, and cost efficiency.
* Ensure high availability, reliability, and data quality across the data platform.
**Data Classification \&amp; DLP Enablement**
* Lead the design and implementation of a data classification framework aligned with Bitfarms’ security, compliance, and business requirements.
* Partner with Cybersecurity and Compliance teams to support the rollout of a Data Loss Prevention (DLP) program.
* Identify, tag, and manage sensitive data (e.g., financial, operational, personal, or regulated data) throughout the data lifecycle.
* Ensure data classification is embedded into ingestion pipelines, storage layers, and access controls.
**Stakeholder Engagement \&amp; Data Assessment**
* Work closely with business stakeholders, IT, Security, and Compliance teams to:
* Assess existing and new data sources.
* Understand data usage, criticality, and sensitivity.
* Define classification levels, retention rules, and access requirements.
* Translate stakeholder needs into technical data models, pipelines, and governance controls.
* Act as a trusted advisor on data architecture, data governance, and data protection topics.
**Data Governance \&amp; Security**
* Implement data access controls, lineage, and auditability in alignment with internal policies and regulatory requirements.
* Support SOX, ITGC, and other compliance\-driven data controls as applicable.
* Contribute to the definition of data standards, naming conventions, and documentation.
**Operations \&amp; Continuous Improvement**
* Monitor and optimize data pipelines for performance, reliability, and cost.
* Troubleshoot and resolve complex data\-related issues across environments.
* Continuously evaluate new tools, technologies, and patterns to improve the data ecosystem.
* Mentor junior engineers and contribute to internal knowledge sharing.
**What We Are Looking For**
* 7\+ years of experience in data engineering or data platform roles.
* Proven experience designing and implementing data lake and/or lakehouse architectures.
* Strong experience with data ingestion, ETL/ELT pipelines, and large\-scale data processing.
* Solid understanding of data classification, data governance, and data security concepts.
* Experience collaborating with security or compliance teams on data protection initiatives (e.g., DLP, data privacy).
* Ability to communicate complex technical concepts clearly to non\-technical stakeholders.
**More Details**
* Work schedule: Monday\-Friday, New York City office, 4 days on\-site, 1 WFH
* Job type: Full Time, Permanent
 Bitfarms is more than a workplace. It is where people come together to power the future.
 NYC: $120,000 USD \- $170,000 USD</t>
        </is>
      </c>
    </row>
    <row r="135">
      <c r="A135" t="inlineStr">
        <is>
          <t>li-4369265537</t>
        </is>
      </c>
      <c r="B135" t="inlineStr">
        <is>
          <t>Senior Data Engineer</t>
        </is>
      </c>
      <c r="C135" t="inlineStr">
        <is>
          <t>Prompt Health</t>
        </is>
      </c>
      <c r="D135" t="inlineStr">
        <is>
          <t>linkedin</t>
        </is>
      </c>
      <c r="E135">
        <f>HYPERLINK("https://www.linkedin.com/jobs/view/4369265537", "https://www.linkedin.com/jobs/view/4369265537")</f>
        <v/>
      </c>
      <c r="F135" t="inlineStr"/>
      <c r="G135" t="inlineStr"/>
      <c r="H135" t="inlineStr"/>
      <c r="I135" t="inlineStr">
        <is>
          <t>**Job Title: Senior Data Engineer**
 Prompt is a mission\-driven startup looking for an experienced Senior Data Engineer to help push forward an ambitious set of data initiatives in healthcare, with a particular emphasis on making data actionable to drive decision making.
 Prompt delivers highly automated and modern B2B enterprise software to rehab therapy businesses, their teams, and most importantly the patients they serve. We’ve established ourselves as the go\-to platform in the space and are rapidly growing our market share by delivering software people love.
 As we scale, data is becoming increasingly central to how we make decisions and drive improvement. We’re looking for a Sr. Data Engineer who can operate broadly across the team, with a product\-focused mindset in building and maintaining data pipelines and data transformations from complex data sources. Comfort developing hypotheses, modeling datasets, and analyzing that data to guide client and internal decision making is essential. This role will contribute to internal and external facing data and analytic products – helping drive extraordinary outcomes for our clients and their patients while internally driving efficiency and decision\-making across Product, Client Success, Growth, and Operations.
 This is a high\-ownership role focused on iteratively building systems, partnering closely with stakeholders, and ensuring our data products deliver real value.
**Responsibilities**
* Drive Prompt’s mission to improve healthcare through high\-quality, actionable data that informs client and internal decision\-making
* Own the design, development, and iteration of complex data systems — from raw data ingestion through transformation, modeling, and downstream analysis
* Perform exploratory analysis and hypothesis\-driven investigations to surface insights and guide both client\-facing and internal decision\-making
* Leverage modern AI and LLM\-powered tools (e.g., code assistants, agents, automation frameworks) to accelerate data transformation, analysis, and iteration — while maintaining high standards for reliability, security, and maintainability
* Develop and evolve well\-modeled datasets, complex transformations, and metrics
* Design and implement data quality checks, monitoring, and observability to ensure correctness, freshness, and trust in data products
* Partner with stakeholders across the company to understand client and internal workflows, define success criteria, and deliver data products to drive improvement
**Qualifications**
* 4\+ years of experience building data systems, including data pipelines, transformations, and analytical datasets
* Strong experience designing, building, and operating end\-to\-end data workflows—from raw data ingestion through transformation, modeling, and downstream analysis
* Proven ability to work with complex, messy, and evolving data sources and turn them into reliable, well\-modeled datasets
* Experience performing exploratory and hypothesis\-driven analysis to inform product, operational, or client\-facing decisions
* Strong judgment around data quality, correctness, observability, and maintainability in production data systems
* Strong proficiency in Python and SQL for data transformation, analysis, and pipeline development
* Experience leveraging modern AI and LLM\-powered tools (e.g., code assistants, agents, automation frameworks) to accelerate data engineering and analysis workflows
* Strong problem\-solving mindset and ability to operate effectively in ambiguous, fast\-paced environments
* Interest in a hands\-on, high code\-contribution role; this is not an engineering management position, though growth opportunities exist over time
**Nice\-to\-Haves**
* Experience with complex healthcare datasets – including patient care, operations, and billing data
* Hands\-on experience with analytics engineering tools such as dbt for data transformations and metabase for building analytics dashboards (or other data transformation and dashboarding tools)
* Experience working in AWS (e.g., S3, Athena, RDS, Redshift, DMS, Glue, ECS, Lambda, or similar services)
* Experience working with relational databases and warehouses (e.g., PostgreSQL, Athena, Redshift, Snowflake, BigQuery)
* Experience building internal or client\-facing analytics products used by multiple teams or customers
**Perks \- What you can expect:**
* Competitive salaries
* Remote/hybrid environment
* Potential equity compensation for outstanding performance
* Flexible PTO
* Company\-wide sponsored lunches
* Company paid disability and life insurance benefits
* Company paid family and medical leave
* Medical, dental, and vision insurance benefits
* Discounted pet insurance
* FSA/DCA and commuter benefits
* 401k
* Complimentary subscription to digital fitness classes and wellness content
* Recovery suite at HQ – includes a cold plunge, sauna, and shower
*Here at Prompt, we are committed to fostering a fair and respectful work environment. As part of this commitment, it is our policy not to hire individuals from Prompt Customers unless they have obtained their current employer's explicit consent. We believe in upholding strong professional relationships and respecting the agreements and commitments our customers have with their employees. We appreciate your understanding and cooperation regarding this policy. Please don't hesitate to inquire with our team.*
*Prompt Therapy Solutions, Inc is an equal opportunity employer, indiscriminate of race, color, religion, ethnicity, ancestry, national origin, sex, gender, gender identity, sexual orientation, age, marital status, veteran status, disability, medical condition, or any other protected characteristic. We celebrate diversity and are committed to creating an inclusive environment for all employees.*
*Prompt Therapy Solutions, Inc is an E\-Verify Employer.*
 Compensation Range: $170K \- $190K</t>
        </is>
      </c>
    </row>
    <row r="136">
      <c r="A136" t="inlineStr">
        <is>
          <t>li-4369283456</t>
        </is>
      </c>
      <c r="B136" t="inlineStr">
        <is>
          <t>Data Engineer</t>
        </is>
      </c>
      <c r="C136" t="inlineStr">
        <is>
          <t>Bespoke Technologies, Inc.</t>
        </is>
      </c>
      <c r="D136" t="inlineStr">
        <is>
          <t>linkedin</t>
        </is>
      </c>
      <c r="E136">
        <f>HYPERLINK("https://www.linkedin.com/jobs/view/4369283456", "https://www.linkedin.com/jobs/view/4369283456")</f>
        <v/>
      </c>
      <c r="F136" t="inlineStr"/>
      <c r="G136" t="inlineStr">
        <is>
          <t>McLean, VA</t>
        </is>
      </c>
      <c r="H136" t="inlineStr"/>
      <c r="I136" t="inlineStr">
        <is>
          <t>**BT\-166 – Data Engineer**
 Location: McLean (fully on\-site, no remote option)
* MUST HAVE A POLY CLEARANCE TO APPLY. Those who do not have a Poly clearance will not be considered.\*\*
 Bespoke Technologies is seeking a
 **Data Engineer** 
 who will provide highly technical and in\-depth data engineering support.
**Key Must Haves**
* The candidate MUST have experience with data engineering, to include designing and building data infrastructure, developing data pipelines, transforming and preparing data, ensuring data quality and security, and monitoring and optimizing systems.
* The candidate MUST have extensive experience with Python and AWS.
* Experience with SQL, multi\-data source queries with database technologies (PostgreSQL, MySQL, RDS, etc.), NiFi, Git, Elasticsearch, Kibana, Jupyter Notebooks, NLP, AI, and any data visualization tools (Tableau, Kibana, Qlik, etc.) are desired.
**Required Skills And Demonstrated Experience**
* Demonstrated experience with data engineering, to include designing and building data infrastructure, developing data pipelines, transforming/preparing data, ensuring data quality and security, and monitoring/optimizing systems.
* Demonstrated experience with data management and integration, including designing and operating robust data layers for application development across local and cloud or web data sources.
* Demonstrated work experience programming with Python
* Demonstrated experience building scalable ETL and ELT workflows for reporting and analytics.
* Demonstrated experience with general Linux computing and advanced bash scripting
* Demonstrated experience with SQL.
* Demonstrated experience constructing complex multi\-data source queries with database technologies such as PostgreSQL, MySQL, Neo4J or RDS
* Demonstrated experience processing data sources containing structured or unstructured data
* Demonstrated experience developing data pipelines with NiFi to bring data into a central environment
* Demonstrated experience delivering results to stakeholders through written documentation and oral briefings
* Demonstrated experience using code repositories such as Git
* Demonstrated experience using Elastic and Kibana technologies
* Demonstrated experience working with multiple stakeholders
* Demonstrated experience documenting such artifacts as code, Python packages and methodologies
* Demonstrated experience using Jupyter Notebooks
* Demonstrated experience with machine learning techniques including natural language processing
* Demonstrated experience explaining complex technical issues to more junior data scientists, in graphical, verbal, or written formats
* Demonstrated experience developing tested, reusable and reproducible work
* Work or educational background in one or more of the following areas: mathematics, statistics, hard sciences (e.g. Physics, Computational Biology, Astronomy, Neuroscience, etc.) computer science, data science, or business analytics
**Desired Skills And Demonstrated Experience**
* Demonstrated experience with cloud services, such as AWS, as well as cloud data technologies and architecture.
* Demonstrated experience using big data processing tools such as Apache Spark or Trino
* Demonstrated experience with machine learning algorithms
* Demonstrated experience with using container frameworks such as Docker or Kubernetes
* Demonstrated experience with using data visualizations tools such as Tableau, Kibana or Apache Superset
* Demonstrated experience creating learning objectives and creating teaching curriculum in technical or scientific fields</t>
        </is>
      </c>
    </row>
    <row r="137">
      <c r="A137" t="inlineStr">
        <is>
          <t>li-4369216883</t>
        </is>
      </c>
      <c r="B137" t="inlineStr">
        <is>
          <t>Data Engineer</t>
        </is>
      </c>
      <c r="C137" t="inlineStr">
        <is>
          <t>Mass General Brigham</t>
        </is>
      </c>
      <c r="D137" t="inlineStr">
        <is>
          <t>linkedin</t>
        </is>
      </c>
      <c r="E137">
        <f>HYPERLINK("https://www.linkedin.com/jobs/view/4369216883", "https://www.linkedin.com/jobs/view/4369216883")</f>
        <v/>
      </c>
      <c r="F137" t="inlineStr"/>
      <c r="G137" t="inlineStr">
        <is>
          <t>Somerville, MA</t>
        </is>
      </c>
      <c r="H137" t="inlineStr"/>
      <c r="I137" t="inlineStr">
        <is>
          <t>Site: Mass General Brigham Incorporated
 Mass General Brigham relies on a wide range of professionals, including doctors, nurses, business people, tech experts, researchers, and systems analysts to advance our mission. As a not\-for\-profit, we support patient care, research, teaching, and community service, striving to provide exceptional care. We believe that high\-performing teams drive groundbreaking medical discoveries and invite all applicants to join us and experience what it means to be part of Mass General Brigham.
 Mass General Brigham Digital, in partnership with the Office of the Chief Medical Officer (OCMO), is seeking an experienced Data Engineer who has a passion for healthcare data and will thrive as a member of an experienced, high performing and highly motivated team. This person will have a desire to learn and a flexibility to adjust to the fast\-changing analytic and reporting demands of our system. The best candidate has solid analytical and communication skills, and experience working with health care data.
****Job Summary****
 Reporting to the Data Engineering Manager, the Data Engineer will be a member of a cross\-functional team responsible for developing new clinical data products. The areas of focus include Quality, Safety, Health Equity, Community Health, Patient Experience, Provider Wellbeing, Credentialing, and Pharmacy and Formulary.
 The ideal candidate will collaborate with a multidisciplinary team to define and achieve strategic objectives. They will be responsible for developing the Quality Data Hub within our cloud\-based data warehouse. They will collaborate closely with solutions architects, analytics engineers, and visualization developers to understand requirements, establish robust change management practices, and implement rigorous quality assurance measures. Additionally, the role involves proactive performance monitoring, troubleshooting data issues, and adhering to MGB Digital’s standards and practices.
****Qualifications****
**Principal Duties and Responsibilities**
* Design, build, test and maintain data models within the ‘Quality Data Hub’ of our cloud\-based enterprise data warehouse.
* Partners with solutions architects, analytics engineers, and data visualization developers to fully understand our data transformation needs and final model design to competently implement said design.
* In collaboration with analytic staff, performs thorough quality assurance, testing and peer review procedures to ensure the accuracy, reliability, and validity of end products.
* Adheres to the processes and tooling through which our enterprise curated data models are built and maintained. Participates in related process improvement efforts.
* Adheres to established change management and versioning processes for code promotion. Participates in related process improvement efforts as well.
* Collaborates on ingestion design for OCMO related data and handle related monitoring and support duties.
* Accrues advanced knowledge of the OCMO product domains and can quickly apply development strategies to meet the stakeholder requirements for the data products.
* Helps identify potential bottlenecks within the development lifecycle and propose high\-level strategies to overcome them.
* Triage, troubleshoot and resolve data issues from end users and internal team members.
* Follows MGB Digital guidelines and standard practices to leverage existing tools and methods to efficiently develop modeling solutions, ensure that work is not duplicated, and is appropriately transitioned between teams.
* Uses the Mass General Brigham values to govern decisions, actions, and behaviors. These values guide how we get our work done: Patients, Affordability, Accountability \&amp; Service Commitment, Decisiveness, Innovation \&amp; Thoughtful Risk; and how we treat each other: Diversity \&amp; Inclusion, Integrity \&amp; Respect, Learning, Continuous Improvement \&amp; Personal Growth, Teamwork \&amp; Collaboration.
* Other duties and responsibilities as assigned.
****Qualifications****
**Additional Job Details (if applicable)**
* Bachelor’s or master’s degree in computer science, informatics, statistics, or related field and an interest in healthcare and the use of technology to support clinical care.
* 1\-3 years of experience as an Analytics Engineer, Data Engineer, or similar role.
* 1\-3 years of experience in business intelligence/analytics, preferably working with healthcare data.
* Proficiency in querying complex data structures using SQL is required.
* Experience with transforming and modeling workflow tools, such as DBT or Informatica.
* Experience working with cloud data platforms such as Snowflake, Azure Synapse, Amazon Redshift, etc.
* Experience with general source control principles and implementing CI/CD pipelines.
* Experience with implementing scalable ETL/ELT pipelines.
* Working knowledge of traditional data warehousing and cloud data warehousing concepts.
* Strong programming skills and proficient in other programming languages (e.g., SAS, R, and Python)
* Experience developing/configuring agentic AI a plus.
* Working knowledge of data visualization (Tableau) software a plus.
* Proficiency or Certification in Epic Clarity / Caboodle data model a plus.
****Skills/Abilities/Competencies****
* Ability to function effectively and independently in a fast\-paced environment, organize and prioritize work independently, and meet tight deadlines.
* Ability to manage multiple projects simultaneously, set priorities, and collaborate with team members and others throughout the organization.
* Possess strong interpersonal skills to effectively communicate with cross functional teams including staff at all levels of the organization.
* Willing to contribute to and foster a team player culture where all are encouraged and willing to share information accurately.
* Able and motivated to mentor/train junior staff members.
* Knowledge of agile principles and experience working within an agile team is preferred.
* Practical problem\-solving abilities, i.e. the ability to formulate hypotheses, test options and move forward in a fast\-paced environment.
* Excellent interpersonal skills, including strong customer service orientation and the ability to translate complex technical concepts to non\-technical audiences.
* Advanced SQL DML skills required, with comparable experience in writing data functions (e.g. TSQL procs, Snowflake UDFs, etc.).
**Working Conditions**
* Hybrid with onsite work required in office, candidate must be flexible for weekly or monthly business needs
* M\-F Eastern business hours required
* On remote workdays, employees must use a stable, secure, and compliant workstation in a quiet environment. Teams video is required and must be accessed using MGB\-provided equipment
**Remote Type**
 Hybrid
**Work Location**
 399 Revolution Drive
**Scheduled Weekly Hours**
 40
**Employee Type**
 Regular
**Work Shift**
 Day (United States of America)
**Pay Range**
 $75,275\.20 \- $109,553\.60/Annual
**Grade**
 6
 At Mass General Brigham, we believe in recognizing and rewarding the unique value each team member brings to our organization. Our approach to determining base pay is comprehensive, and any offer extended will take into account your skills, relevant experience if applicable, education, certifications and other essential factors. The base pay information provided offers an estimate based on the minimum job qualifications; however, it does not encompass all elements contributing to your total compensation package. In addition to competitive base pay, we offer comprehensive benefits, career advancement opportunities, differentials, premiums and bonuses as applicable and recognition programs designed to celebrate your contributions and support your professional growth. We invite you to apply, and our Talent Acquisition team will provide an overview of your potential compensation and benefits package.
****EEO Statement:****
 0100 Mass General Brigham Incorporated is an Equal Opportunity Employer. All qualified applicants will receive consideration for employment without regard to race, color, religious creed, national origin, sex, age, gender identity, disability, sexual orientation, military service, genetic information, and/or other status protected under law. We will ensure that all individuals with a disability are provided a reasonable accommodation to participate in the job application or interview process, to perform essential job functions, and to receive other benefits and privileges of employment. To ensure reasonable accommodation for individuals protected by Section 503 of the Rehabilitation Act of 1973, the Vietnam Veteran’s Readjustment Act of 1974, and Title I of the Americans with Disabilities Act of 1990, applicants who require accommodation in the job application process may contact Human Resources at (857\)\-282\-7642\.
**Mass General Brigham Competency Framework**
 At Mass General Brigham, our competency framework defines what effective leadership “looks like” by specifying which behaviors are most critical for successful performance at each job level. The framework is comprised of ten competencies (half People\-Focused, half Performance\-Focused) and are defined by observable and measurable skills and behaviors that contribute to workplace effectiveness and career success. These competencies are used to evaluate performance, make hiring decisions, identify development needs, mobilize employees across our system, and establish a strong talent pipeline.</t>
        </is>
      </c>
    </row>
    <row r="138">
      <c r="A138" t="inlineStr">
        <is>
          <t>li-4369216572</t>
        </is>
      </c>
      <c r="B138" t="inlineStr">
        <is>
          <t>Data Engineer</t>
        </is>
      </c>
      <c r="C138" t="inlineStr">
        <is>
          <t>Whatnot</t>
        </is>
      </c>
      <c r="D138" t="inlineStr">
        <is>
          <t>linkedin</t>
        </is>
      </c>
      <c r="E138">
        <f>HYPERLINK("https://www.linkedin.com/jobs/view/4369216572", "https://www.linkedin.com/jobs/view/4369216572")</f>
        <v/>
      </c>
      <c r="F138" t="inlineStr"/>
      <c r="G138" t="inlineStr"/>
      <c r="H138" t="inlineStr"/>
      <c r="I138" t="inlineStr">
        <is>
          <t>**About The Company**
 Join the Future of Commerce with Whatnot! Whatnot is the largest live shopping platform operating across North America and Europe, revolutionizing the way people buy, sell, and discover their favorite items. By seamlessly blending community engagement, entertainment, and e\-commerce, Whatnot creates a dynamic marketplace experience tailored to diverse interests, including fashion, beauty, electronics, collectibles such as trading cards and comic books, and even live plants. With a focus on innovation and community, Whatnot is building the future of online marketplaces. The company operates as a remote co\-located team with hubs in the US, UK, Germany, Ireland, and Poland, fostering a culture of forward\-thinking problem solving and collaboration. As one of the fastest\-growing marketplaces, Whatnot offers an exciting environment for bold individuals eager to contribute to a transformative industry.
**About The Role**
 As a Data Engineer at Whatnot, you will play a pivotal role in empowering the company's data\-driven decision\-making processes. Your primary responsibility will be to design, develop, and scale robust data systems that support internal operations and external growth initiatives. You will work closely with cross\-functional teams such as product, sales, marketing, finance, and trust to create reliable data architectures, develop resilient data pipelines, and produce foundational data products. Your expertise will enable stakeholders to access high\-quality, real\-time data insights, fostering innovation and operational excellence. The role offers a unique opportunity to impact all facets of the business by building scalable, efficient, and secure data solutions that underpin the company's mission to bring people together through commerce.
**Qualifications**
* 3\+ years of experience as a data or software engineer, focusing on data warehouses, distributed data systems, or event\-driven architectures
* Proficiency in designing and implementing data models using techniques such as dimensional modeling, Data Vault, or ledger\-style approaches
* Deep hands\-on experience with modern data tooling including Kafka, Debezium, dbt, Spark, Flink, Dagster, Airflow, Monte Carlo, and Great Expectations
* Experience operating cloud data warehouses like Snowflake, BigQuery, or Redshift, including schema design, cost optimization, and workload tuning
* Strong coding skills in Python and SQL, with the ability to integrate with CI/CD pipelines and infrastructure\-as\-code workflows
* Ability to collaborate effectively across disciplines such as engineering, product, and analytics to translate complex business requirements into elegant data solutions
* Self\-starter mentality with the ability to thrive in fast\-paced environments, owning both technical design and operational outcomes
**Responsibilities**
* Own end\-to\-end data architecture, defining how critical business data is captured, modeled, and served, and implementing solutions in production
* Develop and maintain mission\-critical streaming and batch data pipelines that process high\-volume events across various domains, ensuring low latency, completeness, and accuracy
* Design and enforce canonical data models that serve as the source of truth for analytics, machine learning, and real\-time applications, establishing standards and ownership boundaries
* Build and maintain data quality systems, including lineage, monitoring, testing, and reconciliation, to ensure datasets are observable and anomalies are actionable
* Automate operational workflows by collaborating with business systems and platform teams to eliminate manual data handoffs and reconcile data across systems
* Support analytics, machine learning, and product engineering teams by providing high\-quality, low\-latency data through semantic layers, APIs, and real\-time query systems
* Continuously evaluate and improve data systems for scalability, reliability, and cost\-efficiency, aligning with company growth and strategic goals
**Benefits**
* Generous holiday and time\-off policies
* Comprehensive health insurance options including medical, dental, and vision coverage
* Support for remote work, including home office setup allowances and monthly stipends for cell phone and internet expenses
* Care benefits such as wellness allowances and annual childcare support
* Lifetime family planning benefits covering adoption and fertility expenses
* Retirement plans including 401(k) with employer matching in the US and pension plans internationally
* Monthly allowances for app usage and wellness activities
* Paid parental leave of 16 weeks, with a gradual return\-to\-work program
* Opportunities for professional development and growth within a dynamic, innovative environment
 Equal Opportunity
 Whatnot is proud to be an Equal Opportunity Employer. We value diversity and are committed to creating an inclusive environment for all employees. We do not discriminate based on race, religion, color, national origin, gender, sexual orientation, age, marital status, veteran status, parental status, disability, or any other protected characteristic. We believe that embracing diverse skills, perspectives, and experiences enhances our company culture and drives our success. All qualified applicants are encouraged to apply and will receive consideration for employment without regard to any protected status.</t>
        </is>
      </c>
    </row>
    <row r="139">
      <c r="A139" t="inlineStr">
        <is>
          <t>li-4369248128</t>
        </is>
      </c>
      <c r="B139" t="inlineStr">
        <is>
          <t>Data Engineer</t>
        </is>
      </c>
      <c r="C139" t="inlineStr">
        <is>
          <t>Dallas College</t>
        </is>
      </c>
      <c r="D139" t="inlineStr">
        <is>
          <t>linkedin</t>
        </is>
      </c>
      <c r="E139">
        <f>HYPERLINK("https://www.linkedin.com/jobs/view/4369248128", "https://www.linkedin.com/jobs/view/4369248128")</f>
        <v/>
      </c>
      <c r="F139" t="inlineStr"/>
      <c r="G139" t="inlineStr">
        <is>
          <t>Texas, United States</t>
        </is>
      </c>
      <c r="H139" t="inlineStr"/>
      <c r="I139" t="inlineStr">
        <is>
          <t>All Job Postings will close at 12:01 a.m. CT on the specified Closing Date.
**Weekly Work Hours**
 40
**Compensation Range**
 Staff Range N06
**Salary Minimum**
 $66,900\.00 Annually
**FLSA**
 United States of America (Exempt)
**Position Type**
 Staff
**Job Summary**
 This role will help maintain and improve data pipelines, Lakehouse tables, and quality checks that feed HR dashboards and reporting. The Data Engineer I will work with the People Analytics team, HRIS, and IT to ensure that HR data is accurate, reliable, and ready for analysis.
 This is a hands\-on learning role ideal for someone early in their data engineering or analytics career who wants experience with cloud data platforms, HR workflows, and enterprise\-scale reporting. The Data Engineer I will assist senior staff with pipeline development, data modeling, and data governance activities while gaining exposure to advanced tools such as Microsoft Fabric, Delta Lake, and Workday RaaS integrations.
**Required Qualifications For Role (necessary Or Mandatory)**
*Technical Knowledge*
* Foundational understanding of data pipelines, ETL/ELT, and data modeling.
* Ability to write Python/R scripts and SQL queries.
* Willingness to learn Delta Lake, distributed computing, and cloud analytics architecture.
* Exposure to API concepts and structured data formats (JSON, CSV, XML).
* Ability to quickly learn HR business logic and translate it into structured data.
*Analytical and Architectural Skills*
* Ability to document logic, follow modeling patterns, and understand existing data flows.
* Skill in building clean, reproducible datasets with clear lineage.
* Ability to think through upstream/downstream impacts when modifying logic.
*Operational and Engineering Skills*
* Ability to test and validate data pipelines and identify root causes of errors.
* Willingness to work with version control, CI/CD concepts, and notebook\-based workflows.
* Ability to produce maintainable, well\-documented code.
*Collaboration and Communication*
* Clear communication with partners who have varying levels of technical expertise.
* Ability to translate technical steps into meaningful explanations.
* Reliability in meeting deadlines and coordinating with HR, IT, and People Analytics teams.
*Professional Attributes*
* High attention to detail and a strong sense of responsibility for data quality.
* Desire to grow technical skills and take on progressively complex engineering work.
 Adaptability in a fast\-evolving analytics environment with new tools and technologies.
**Physical Requirements**
 Normal physical job functions performed within a standard office environment. Reasonable accommodation(s) may be made to individuals with physical challenges to perform the essential duties and responsibilities
**Minimum Requirements For Position (necessary Or Mandatory)**
* 0–2 years of experience in data engineering, data analytics, or related technical work (internship or project experience acceptable).
* Foundational knowledge of Python or R and SQL.
* Familiarity with cloud data tools (e.g., Microsoft Fabric, Databricks, Snowflake, Azure, or similar) preferred.
* Understanding of basic ETL/ELT concepts, data cleaning, and data transformation.
* Ability to learn REST APIs, JSON parsing, and automated ingestion patterns.
* Basic understanding of data modeling concepts such as tables, joins, relational structure, and time\-series data.
* Familiarity with Git/GitHub or willingness to learn.
* Bachelor’s degree in Computer Science, Information Systems, Data Analytics, Statistics, or related field.
* Equivalent experience or technical certifications (e.g., Azure, Databricks, Python) also considered.
**Other Preferred Qualifications For Role (not Mandatory, But Advantageous)**
* Exposure to HRIS or enterprise systems (e.g., Workday, PeopleSoft, SAP).
* Experience with Power BI, semantic models, or dashboard development.
* Coursework or project experience with Delta Lake or distributed computing.
* Some knowledge of DAX, R, PySpark/SparkR, or statistical modeling.
* Exposure to data governance concepts (data quality, metadata, lineage).
 \*\*\* Will be subject to a criminal background check. Some positions may be subject to a fingerprint check. \*\*\*
 Key Responsibilities
 Data Engineering \&amp; Pipeline Support (50%)
* Assist in maintaining automated data ingestion from HR source systems (e.g., Workday RaaS, Qualtrics, ServiceNow) using REST APIs and scheduled notebooks.
* Help build and troubleshoot ETL/ELT processes using Python, PySpark/SparkR, SQL, and Microsoft Fabric notebooks.
* Support the creation and maintenance of Delta Lake/Lakehouse tables, including basic schema updates and monthly snapshots.
* Monitor pipeline executions and assist with logging, error handling, and basic performance improvements.
* Contribute to data quality checks to ensure timely and accurate HR datasets.
 Data Modeling \&amp; Data Preparation (25%)
* Help transform raw HR data into structured, analysis\-ready datasets for headcount, turnover, recruitment, learning, compensation, and other domains.
* Support development of semantic layers, shared dimensions, and metric definitions used by Power BI dashboards.
* Follow established data governance practices, including naming conventions, documentation, and metadata capture.
 Analytics Enablement (15%)
* Assist analysts by preparing clean datasets, writing optimized queries, and supporting reproducible analytics workflows.
* Help maintain trended metrics, time\-series tables, and other recurring data structures needed for enterprise reporting.
* Ensure that models are structured to support Power BI dashboard needs and self\-service analytics.
 Collaboration \&amp; Learning (10%)
* Work with People Analytics team, HRIS, and IT to support Dallas College’s People Analytics roadmap.
* Participate in data governance efforts, security reviews, and documentation updates.
* Contribute to knowledge transfer by writing clear notes, process guides, and pipeline documentation.
* Engage in professional development to learn best practices in data engineering, cloud analytics, and HR data structures.
* This position requires regular on\-site presence to fulfill essential duties that cannot be performed remotely. Duties must be executed in\-person to ensure effective collaboration, supervision, and service delivery, in accordance with Texas SB 2615\.
* If physical presence is not essential:
* This position may be eligible for remote work only under conditions permitted by Texas SB 2615, including temporary illness, disability accommodations, or assignment to approved remote instruction programs.
+ Required Dallas College Professional Development Hours per Academic Year.
+ All employees are required to complete a minimum of 19 hours.
*The intent of this job description is to provide a representative summary of the major duties and responsibilities performed by incumbents of this job and shall not be construed as a declaration of the total of the specific duties and responsibilities of any particular position. Incumbents may be directed to perform job\-related tasks other than those specifically presented in this description. Position requires regular and predictable attendance.*
**About Us**
 Since 1965, Dallas College, formerly Dallas County Community College District, has served more than three (3\) million students. Comprising seven campuses located around the Dallas/Fort Worth area, we are one of the largest community college systems in the state of Texas. We strive to be a leader in the community college space, placing students at the center of everything we do.
 Dallas College is committed to cultivating an environment of opportunity and belonging for all students and employees. We recognize that the Dallas College workforce, and the diverse talent that stems from it, is directly linked to our success. We are part of an equal opportunity system that provides education and employment opportunities without discrimination on the basis of any protected attribute, including race, color, religion, national origin, sex, disability, age, sexual orientation, gender identity or gender expression, veteran status, pregnancy or any other basis protected under applicable law. In accordance with applicable law, Dallas College will make reasonable accommodations for applicants and employees’ religious practices and beliefs, as well as any mental health or physical disability needs.
**Applications Deadline**
 February 20, 2026</t>
        </is>
      </c>
    </row>
    <row r="140">
      <c r="A140" t="inlineStr">
        <is>
          <t>li-4369281342</t>
        </is>
      </c>
      <c r="B140" t="inlineStr">
        <is>
          <t>Staff Data Engineer - Information Security</t>
        </is>
      </c>
      <c r="C140" t="inlineStr">
        <is>
          <t>LinkedIn</t>
        </is>
      </c>
      <c r="D140" t="inlineStr">
        <is>
          <t>linkedin</t>
        </is>
      </c>
      <c r="E140">
        <f>HYPERLINK("https://www.linkedin.com/jobs/view/4369281342", "https://www.linkedin.com/jobs/view/4369281342")</f>
        <v/>
      </c>
      <c r="F140" t="inlineStr"/>
      <c r="G140" t="inlineStr">
        <is>
          <t>Sunnyvale, CA</t>
        </is>
      </c>
      <c r="H140" t="inlineStr"/>
      <c r="I140"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job requires an engineer who is adept at both building software solutions as well as understanding and integrating with industry standard tools and methods around security monitoring. The ideal candidate will have professional experience with Python, Java and/or other programming languages and be ready to expand their breadth of knowledge as the team and role evolves. Our ideal candidate will also be comfortable working in Azure environments and data pipeline solutions and will have a strong background in data engineering and security. We are looking for an Engineer with a growth mindset. This is a dynamic role on a dynamic team, we do what it takes to solve the security challenges we are faced with.
 Responsibilities:
* You will lead, drive, and implement secure software solutions for security monitoring, detection and remediation using Java, Python and other languages when necessary.
* You are expected to collaborate with partners within the team as well as across the organization and company to collect requirements and provide mutually beneficial outcomes.
* You will execute on the goals of the team, delivering end to end solutions that balance the needs of the business and the maintainability of software.
* You are expected to participate and contribute to the projects owned by other team members and partners.
**Qualifications**
 Basic Qualifications:
* BA/BS Degree in Computer Science or related technical discipline, or related practical experience.
* 4\+ years experience in software design, development, and algorithm related solutions.
* 4\+ years programming experience in object\-oriented programming languages such as GoLang, Python, Java, Javascript, C/C\+\+, C\#, Rust.
 Preferred Qualifications:
* BS and 8\+ years of relevant work experience, MS and 7\+ years of relevant work experience, or PhD and 4\+ years of relevant work experience.
* Experience in designing and building infrastructure and web services at large scale, especially across hybrid cloud and on\-premise environments.
* Expert knowledge of computer science, with strong competencies in data structures, algorithms, and software design.
* Prior experience with Security and/or Data Engineering strongly preferred.
 Suggested Skills:
* Data Pipelines \&amp; Big Data Engineering
* Information Security
* Detection and Response
* SIEM Management/Engineering
* Cloud infrastructure management and architecture
* Incident Management
**Additional Information**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$152,000 \- $248,000\.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41">
      <c r="A141" t="inlineStr">
        <is>
          <t>li-4368791114</t>
        </is>
      </c>
      <c r="B141" t="inlineStr">
        <is>
          <t>Data Engineer, Data &amp; Analytics</t>
        </is>
      </c>
      <c r="C141" t="inlineStr">
        <is>
          <t>Cast &amp; Crew</t>
        </is>
      </c>
      <c r="D141" t="inlineStr">
        <is>
          <t>linkedin</t>
        </is>
      </c>
      <c r="E141">
        <f>HYPERLINK("https://www.linkedin.com/jobs/view/4368791114", "https://www.linkedin.com/jobs/view/4368791114")</f>
        <v/>
      </c>
      <c r="F141" t="inlineStr"/>
      <c r="G141" t="inlineStr"/>
      <c r="H141" t="inlineStr"/>
      <c r="I141" t="inlineStr">
        <is>
          <t>**About Us**
 At Cast \&amp; Crew, we’ve empowered creativity and supported the global entertainment industry for decades. Together with our family of brands \- Backstage, CAPS, Checks \&amp; Balances, Final Draft, Media Services, Sargent\-Disc, and The TEAM Companies – we operate as a combined entertainment technology and services provider offering industry standard screenwriting accounting software, digital payroll products, data \&amp; reporting, and a host of creative tools. The industry continues to move faster than ever, and the need for our expertise, our technology, and our people has never been greater. We are a production’s best ally every step of the way. \#OneCastOneCrew
 Backstage is seeking a Data Engineer to help build and evolve the data foundation that supports many aspects of our business — enabling intelligent customer interactions, powering customer\-facing products, and driving insights for fast\-moving teams across the company.
 You will join our Data \&amp; Analytics team, which currently includes two Data Engineers, a Data Scientist, a Data Analyst and a Director, and sits within the larger Product \&amp; Engineering department of high\-performance engineers, designers, product managers, analysts, and QA specialists. We value curiosity, trust, and impact, and we foster a culture of constant learning and improvement where teammates work together to accomplish user\-focused initiatives in a supportive, open, and respectful environment. Our teams are experienced, nimble, collaborative, and considerate, and we actively create opportunities for everyone to learn and build new skills.
 Backstage’s Data team has strategically built a data foundation that supports many aspects of the business. As a Data Engineer, you’ll play a key role in maintaining and expanding this foundation with an unwavering commitment to data quality, consistency, and scalability. You’ll not only answer business questions but also design durable data solutions that grow with the company’s needs.
 You’ll own major parts of Backstage’s analytics data stack and partner closely with the BI, marketing, and product teams. You’ll transform complex, raw data from multiple systems into clean, meaningful models that drive actionable insight across a growing global organization. This role requires top\-tier SQL capabilities — someone skilled at writing advanced queries with layered business logic and translating ambiguous requirements into structured, reusable datasets.
 You’ll report to Backstage’s Director of Data and Analytics, and work cross\-functionally to build sustainable, future\-proof data infrastructure for marketing attribution, customer analytics, and operational reporting.
**What You’ll Do**
* Build, maintain, and optimize ETL pipelines that integrate and transform data from varied first\- and third\-party sources into analytics\-ready models.
* Work with both structured data (e.g., relational tables) and unstructured event data (e.g., clickstream, telemetry) to create coherent, user\-level datasets and customer journeys.
* Partner with analytics, finance, marketing, and product teams to design data models that reflect real business logic and connect customer behavior across systems.
* Transform event\-level telemetry data into actionable customer journeys aggregated across time windows for product and marketing insight.
* Develop and manage data integration pipelines, including reverse ETL workflows using tools like Hightouch.
* Define audience segments, customer profiles, and attribution logic using SQL and dbt in a modern cloud data warehouse (e.g., Redshift).
* Implement and maintain CI/CD, version control, and automated data quality tests to ensure consistent, trustworthy reporting.
* Collaborate with marketing and BI to design dashboards in Looker and Amplitude that track campaign performance, segmentation, and ROI.
* Document data models and transformation logic for transparency and scalability.
* Balance short\-term delivery with long\-term maintainability, evolving models to support new business questions efficiently.
* Monitor data compliance impacts on tracking and reporting, ensuring alignment with privacy standards (such as GDPR and CCPA).
**What We’re Looking For**
* 7\+ years of professional experience in data engineering, analytics engineering, or related roles supporting marketing or product analytics.
* Expert\-level SQL skills, demonstrated through real\-world examples of complex transformations and business logic implementation.
* Strong understanding of event\-based data structures and experience modeling user\-level metrics from raw telemetry or clickstream data.
* Proficiency in modern ELT tools and frameworks (dbt), including writing modular, tested transformations.
* Experience configuring and optimizing large\-scale cloud data warehouses (Redshift, Snowflake, or BigQuery).
* Hands\-on experience with customer behavior event tracking and marketing attribution.
* Familiarity with reverse ETL patterns, marketing activation, and identity resolution workflows.
* Strong data governance mindset — aware of naming conventions, semantic definitions, and data lifecycle management.
* Excellent written and verbal communication skills; able to translate complex transformations into accessible explanations for technical and non\-technical audiences alike.
* Driven by curiosity and a desire to help others make smarter, faster decisions through data.
**Special Work Conditions**
* Sedentary – Involves sitting most of the time but may involve walking or standing for brief periods of time. Some positions may entail exerting up to 15 lbs. of force occasionally and/or a negligible amount of force to lift, carry, push, or pull.
**Benefits**
 Cast \&amp; Crew provides a comprehensive package of employee benefits including: Medical, Dental, Vision, PTO, health and wellness programs, employee discounts, and more! Note: Cast \&amp; Crew benefits are subject to eligibility requirements.
 Cast \&amp; Crew is an equal opportunity employer committed to hiring a diverse workforce and sustaining an inclusive culture. It is our policy to provide equal employment opportunities to all individuals based on job\-related qualifications and ability to perform a job, without regard to age, gender, gender identity, sexual orientation, race, color, religion, creed, national origin, disability, genetic information, veteran status, citizenship or marital status, and to maintain a non\-discriminatory environment free from intimidation, harassment or bias based upon these grounds.
**CA residents**
 Your personal information may be collected in connection with certain services provided by Cast \&amp; Crew or its affiliated companies. A summary of your California privacy rights can be found at: https://www.castandcrew.com/privacy\-policy/
 Compensation is commensurate with various factors including, but not limited to, relevant experience, qualifications, skills, training, licensure, certifications, geographic cost of labor, and other business and organizational needs. Compensation range for candidates in other locations may differ based on the cost of labor in that location. The compensation range for this position is: $135,000\.00 \- $155,000\.00 per year.</t>
        </is>
      </c>
    </row>
    <row r="142">
      <c r="A142" t="inlineStr">
        <is>
          <t>li-4369279407</t>
        </is>
      </c>
      <c r="B142" t="inlineStr">
        <is>
          <t>Data Engineer</t>
        </is>
      </c>
      <c r="C142" t="inlineStr">
        <is>
          <t>Bonafide Health</t>
        </is>
      </c>
      <c r="D142" t="inlineStr">
        <is>
          <t>linkedin</t>
        </is>
      </c>
      <c r="E142">
        <f>HYPERLINK("https://www.linkedin.com/jobs/view/4369279407", "https://www.linkedin.com/jobs/view/4369279407")</f>
        <v/>
      </c>
      <c r="F142" t="inlineStr"/>
      <c r="G142" t="inlineStr">
        <is>
          <t>Harrison, NY</t>
        </is>
      </c>
      <c r="H142" t="inlineStr"/>
      <c r="I142" t="inlineStr">
        <is>
          <t>**About Women’s Health**
 Bonafide, Uqora and Equelle comprise Pharmavite's Women's Health portfolio. Collectively, these brands are driven by their promise to champion women's health and joy at every age.
**Our People**
 Our Women’s Health team is composed of highly experienced professionals dedicated to making a meaningful impact. Bring your whole self to our Women’s Health brands — you’ll be welcomed by a team that shares your passion, purpose, and pride in our products while embracing your unique talents, creativity, and collaborative spirit.
**This role is not available for sponsorship, including I\-983 participation.**
**Job Summary**
 The
 **Data Engineer** 
 is responsible for designing, building, and maintaining scalable, reliable data models and transformation pipelines that support analytics, reporting, and advanced analytical use cases across the organization. This role focuses primarily on SQL\-based transformation and modeling using dbt within a modern cloud data stack. The Data Engineer partners closely with analytics and business stakeholders to ensure data is accurate, well\-structured, and accessible, and supports advanced analytics and machine learning initiatives through high\-quality data foundations. The Data Engineer reports to a Senior Data Engineer.
**Key Responsibilities**
**Critical contributions this role is counted on to deliver include:**
* Design, develop, and maintain scalable analytics\-ready data models using dbt
* Write, optimize, and maintain SQL transformations that convert raw data into clean, reliable datasets
* Collaborate with analysts and business stakeholders to gather requirements and translate business needs into data models
* Ensure data reliability, accuracy, and freshness through testing, monitoring, and troubleshooting data pipelines
* Support advanced analytics and machine learning initiatives by preparing well\-structured, high\-quality datasets
* Implement and maintain best practices for version control, testing, and documentation within dbt
* Contribute to the ongoing evolution of the data platform to support scalability and future growth
**What Success Looks Like In The Role**
* Delivers trusted, high\-quality datasets used across analytics and advanced analytical workflows
* Builds data models that are performant, maintainable, and aligned with downstream use cases
* Proactively identifies and resolves data quality or modeling issues
* Collaborates effectively with analysts and business partners
* Strengthens the organization’s ability to make data\-driven and model\-informed decisions
**Required Qualifications**
**In order to take on these challenges, you’ll need to have:**
* Bachelor’s degree in Computer Science, Information Systems, Data Science, or equivalent practical experience
* 2\+ years of professional experience writing and maintaining SQL
* 1\+ years of experience using dbt to build and manage data models
* Strong understanding of data warehousing concepts and analytical data modeling
* Experience working with cloud data warehouses such as Snowflake, Redshift, or BigQuery
* Familiarity with data requirements for advanced analytics or machine learning use cases
* Experience using Git or other version control systems
* Strong problem\-solving skills, attention to detail, and ability to work cross\-functionally
**OUR OFFER**
 Here, career paths aren't predefined, and bureaucratic limitations don't exist \-\- you have the opportunity to grow, learn from industry pioneers, and develop the way you want to. Our Women's Health brands are investing more in the development of our team \-\- to help us deliver on our purpose and help you achieve your career aspirations. Our environment is geared to fuel curiosity, encourage experimentation, and generate learning as this is the way we develop ourselves and our organization. We are committed to meeting the needs of our employees and their families with a Total Rewards package that's as comprehensive as the vitamins and supplements we deliver to consumers. With competitive compensation programs and standout benefits, we provide employees with optimal health and well\-being \-\- as well as peace of mind. These rewards \-\- plus our new recognition program \-\- ensure employees feel supported both at work and home.
**SALARY RANGE**
**National Target Base Pay Range: $94,000\.00 \- $156,000\.00** 
 . The salary range for this position is based on national standards.
 **For candidates in California and New York metro the Target Base Pay Range is $104,000 \- $173,000** 
 , to reflect the cost of living and market conditions in those areas.
 Actual compensation will take into account a wide range of factors that are unique to each candidate, including but not limited to geographic location, education, experience, qualifications and job\-related skills. It is not typical for an individual to be hired above the midpoint of the range for their role and compensation decisions depend on the facts and circumstances of each case. This information is provided to applicants in accordance with state and local laws.
 Base pay is only one component of our total rewards offerings, and we will take the full offering into consideration when presenting an offer of employment. Our total rewards package for this position may also include an annual performance bonus, Medical, dental and vision benefits, 401K match, and other wellness benefits.
 This represents the minimum and maximum base salary range for this role, plus annual incentive. Various elements are used to determine a candidate’s starting salary such as job experience, specific skills, and comparison to internal incumbents currently in the role. This information is provided to applicants in accordance with state and local laws.
 Bonafide is an equal opportunity employer. We prohibit employment discrimination and harassment based on race, color, religion, age, sex, sexual orientation, gender, national origin, and any other basis protected by state and federal law. Bonafide recruits, hires, employs, trains, promotes, and compensates individuals solely based on job\-related qualifications and abilities.
 Bonafide also provides reasonable accommodation to qualified individuals with disabilities or based on a sincerely held religious belief, in accordance with applicable laws. If you need to inquire about an accommodation to complete the application process, please email recruiter@pharmavite.com.
*Disclaimer*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of employees assigned to this job.
**California Fair Chance Act**
 Qualified Applicants with arrest or conviction records will be considered for Employment in accordance with the Los Angeles County Fair Chance Ordinance for Employers and the California Fair Chance Act.
**Job Alert Fraud**
 We have become aware of scams from individuals, organizations, and internet sites claiming to represent Bonafide in recruitment activities in return for disclosing financial information.
 Our hiring process does not include text\-based conversations or interviews and never requires payment or fees from job applicants. All of our career opportunities are regularly published and updated on Bonafide’s Careers section.
 If you have already provided your personal information, please report it to your local authorities. Any fraudulent activity should be reported to: recruiter@pharmavite.com.</t>
        </is>
      </c>
    </row>
    <row r="143">
      <c r="A143" t="inlineStr">
        <is>
          <t>li-4359571258</t>
        </is>
      </c>
      <c r="B143" t="inlineStr">
        <is>
          <t>Data Engineer</t>
        </is>
      </c>
      <c r="C143" t="inlineStr">
        <is>
          <t>Next Ventures</t>
        </is>
      </c>
      <c r="D143" t="inlineStr">
        <is>
          <t>linkedin</t>
        </is>
      </c>
      <c r="E143">
        <f>HYPERLINK("https://www.linkedin.com/jobs/view/4359571258", "https://www.linkedin.com/jobs/view/4359571258")</f>
        <v/>
      </c>
      <c r="F143" t="inlineStr"/>
      <c r="G143" t="inlineStr"/>
      <c r="H143" t="inlineStr"/>
      <c r="I143" t="inlineStr">
        <is>
          <t>***This role will require you to have experience in Sports and Entertainment or experience with ticketing data, sensor data, customer data or financial data. Alternatively, if you have been an early hire in a Start\-Up environment, they will look at that experience as well.***
 I am partnered with a company who have built a technology platform that provides the end to end orchestration of data, systems and applications to manage connected spaces as an integrated technology platform.
 They are looking for a Senior Data Engineer to join their Data Platform Team, where you will take ownership of the design, implementation and optimizing of their data solutions for Sports and Entertainment venues.
 You will be responsible for architecting their analytics data platform, building pipelines and implement scalable ETL processes. Due to the variety in data sets you will be collecting, if you have experience with a variety of data e.g sensor data, financial data, customer data, spatial data, that would be a huge benefit.
**Responsibilities** 
* Design and implement scalable data pipelines using Azure Data Factory and Synapse Analytics
* Build real\-time streaming solutions
* Architect and maintain data storage solutions in Databricks
* Collaborate cross\-functionally with product managers, data scientists, and engineering teams to translate business requirements into scalable data solutions
**Qualifications** 
* 5\+ years Data engineering experience
* Demonstrated experience in PySpark Pandas and building data pipelines
* SQL and Spark Experience \- query optimization, performance tuning and experience with dbt
* Experience with Real Time data</t>
        </is>
      </c>
    </row>
    <row r="144">
      <c r="A144" t="inlineStr">
        <is>
          <t>li-4368752365</t>
        </is>
      </c>
      <c r="B144" t="inlineStr">
        <is>
          <t>Senior Data Engineer</t>
        </is>
      </c>
      <c r="C144" t="inlineStr">
        <is>
          <t>Panasonic Automotive North America</t>
        </is>
      </c>
      <c r="D144" t="inlineStr">
        <is>
          <t>linkedin</t>
        </is>
      </c>
      <c r="E144">
        <f>HYPERLINK("https://www.linkedin.com/jobs/view/4368752365", "https://www.linkedin.com/jobs/view/4368752365")</f>
        <v/>
      </c>
      <c r="F144">
        <f>HYPERLINK("https://careers.panasonicautomotive.com/jobs/45679/Senior%20Data%20Engineer?lang=en-US&amp;mode=apply&amp;iis=LinkedIn&amp;urlHash=IeIV", "https://careers.panasonicautomotive.com/jobs/45679/Senior%20Data%20Engineer?lang=en-US&amp;mode=apply&amp;iis=LinkedIn&amp;urlHash=IeIV")</f>
        <v/>
      </c>
      <c r="G144" t="inlineStr"/>
      <c r="H144" t="inlineStr"/>
      <c r="I144" t="inlineStr">
        <is>
          <t>**Overview**
 Sr. Data Engineer executes the building and maintaining of the data infrastructure that enables an organization to efficiently collect, process, store, and analyze data for informed decision\-making. Their role is critical in ensuring data availability, quality, and reliability throughout the data lifecycle.
**Responsibilities**
 A DAY IN THE LIFE:
* Data Pipeline Architecture Design: executes the architecting and supports the design of data pipelines that move, transform, and process data from various sources to target data storage or analytics platforms and need to ensure scalability, reliability, and efficiency in these architectures.
* Data Modeling: Design and implement data models that suit the requirements of the project and structuring data to support efficient querying and analysis.
* ETL (Extract, Transform, Load) Processes: Building robust ETL processes is a key responsibility. Senior Data Engineers design and develop ETL workflows that extract data from source systems, transform it into the desired format, and load it into Azure Data Lake.
* Data Integration: integrating data from different sources, which may include databases, APIs, third\-party services, and more. Integration involves handling data in various formats and ensuring data consistency and accuracy.
* Data Quality and Monitoring: implement data quality checks and monitoring mechanisms to identify and rectify data quality issues. Also create alerts and notifications for anomalies in data processing.
* Performance Optimization: responsible for optimizing the performance of data pipelines and processing systems. This includes fine\-tuning queries, optimizing data storage, and managing resources effectively to ensure timely data processing.
* Data Security: Ensuring data security and implement security measures to protect sensitive data and ensure proper access controls.
* Collaboration: collaborate with cross\-functional teams, including data analysts, business analysts and software engineers, to understand data requirements and provide the necessary guidelines to support their work.
* Technology Selection: assess and select appropriate tools, technologies, and frameworks for different aspects of the data engineering process and stay up to date with industry trends and emerging technologies.
* Leadership and Mentoring: As senior members of the team, should be able take on project leadership roles by guiding and mentoring other data engineers. Participate in code reviews, best practice discussions, and training sessions.
* Troubleshooting and Support: When issues arise in data pipelines or systems, Senior Data Engineer is responsible for diagnosing and resolving these issues in a timely manner to minimize disruptions.
**Must\-haves**
* A Bachelor's or Master's degree in computer science, information technology, data science, or a related field with Five (5\)\+ years of experience as a data engineer, with a significant portion of that experience specifically working with Azure data services.
* Proficiency in Microsoft Azure services and tools related to data engineering, such as Azure Data Factory, Azure Databricks, Azure Analytical Service, Azure Synapse Analytics, Azure Cosmos DB, etc.
* Strong Experience in implementing data solutions in Azure Data Lake platform
* Experience with Data Governance tools like Azure Purview, Alation.etc are preferred.
* Expertise in SQL, T\-SQL and experience working with various database systems, including relational databases and NoSQL databases is required.
* Experience with data modeling, schema design, and performance optimization, especially creating tabular models for Self\-service analytics using Power BI.
* Strong skills in data integration, ETL (Extract, Transform, Load) processes, and data orchestration workflows.
* Expertise in data warehousing concepts and techniques.
* Programming skills in languages such as Python, PySpark, Java, Scala, or PowerShell for scripting and automation.
* Experience designing, building, and optimizing end\-to\-end data pipelines.
* Proven track record of implementing data solutions that meet performance, scalability, and reliability requirements.
* Experience with data migration, data warehousing, and data lake solutions.
* Experience in creating data pipelines to extract the data from SAP applications is preferred.
* The ability to analyze complex data engineering challenges and develop innovative solutions.
* Strong troubleshooting skills to identify and resolve issues in data pipelines and systems.
* Effective communication skills to work collaboratively with cross\-functional teams, including data scientists, analysts, and business stakeholders.
* The ability to translate technical concepts into understandable terms for non\-technical team members.
* Data accuracy and quality are paramount. A Senior Azure Data Engineer should be meticulous in ensuring that data pipelines and processes maintain high data integrity.
* As a senior role, this individual might be required to lead and mentor junior members of the data engineering team.
**Benefits \&amp; Perks \- We're All About You**
* Great Medical/Dental Benefits
* Company\-Matched 401K Retirement Savings
* Annual Bonus Program
* Educational Assistance
* Relaxed Dress Code
* PASATalks Speaker Summits
* Leadership \&amp; Mentorship Programs
* High5 Reward Recognition Program
* Onsite Happy Hours
* And many more benefits \&amp; perks found within the ‘Our Culture’ section…
**Who We Are**
 At Panasonic, our technology and engineering expertise delivers innovation across diverse industries. It's all about the consumer experience and making sure that we find ways to enhance that experience, either through audio enhancements or through safety enhancements inside the vehicle.
 Panasonic Automotive Systems Company of America (PASA) is an industry\-leading global supplier to Automotive Original Equipment Manufacturers (OEM’s) for infotainment systems and advanced connected car solutions. Our clients include Ford, GM, Chrysler, Daimler, Fiat, Tesla, Honda, Toyota.
**We Take Opportunity Seriously**
 Panasonic is an Equal Opportunity/Affirmative Action employer, and all qualified applicants will receive consideration for employment without regard to: race, color, religion, sex, sexual orientation, gender identity, national origin, age, genetic information, disability status, protected veteran status, or any other characteristics protected by law. All qualified individuals are required to perform the essential functions of the job with our without reasonable accommodations.
 Due to the high volume of responses, we will only be able to respond to candidates of interest. All candidates must have valid authorization to work in the U.S. Thank you for your interest in Panasonic Automotive Systems of America.
**Job ID**
 REQ\-152077</t>
        </is>
      </c>
    </row>
    <row r="145">
      <c r="A145" t="inlineStr">
        <is>
          <t>li-4368746990</t>
        </is>
      </c>
      <c r="B145" t="inlineStr">
        <is>
          <t>Analytics Engineer</t>
        </is>
      </c>
      <c r="C145" t="inlineStr">
        <is>
          <t>Vouch Insurance</t>
        </is>
      </c>
      <c r="D145" t="inlineStr">
        <is>
          <t>linkedin</t>
        </is>
      </c>
      <c r="E145">
        <f>HYPERLINK("https://www.linkedin.com/jobs/view/4368746990", "https://www.linkedin.com/jobs/view/4368746990")</f>
        <v/>
      </c>
      <c r="F145" t="inlineStr"/>
      <c r="G145" t="inlineStr"/>
      <c r="H145" t="inlineStr"/>
      <c r="I145" t="inlineStr">
        <is>
          <t>**About Vouch**
 Vouch is the insurance broker that powers ambition.
 We’re a tech\-enabled insurance advisory and brokerage purpose\-built for growing companies in technology, life sciences, and professional services. Our clients are ambitious leaders building complex businesses, and we help them manage risk with tailored advice, smart coverage, and responsive service.
 Backed by over $200M from world\-class investors, Vouch combines deep industry expertise with AI\-powered tools to deliver a better insurance experience. Our digital workflows reduce friction, speed up decisions, and give our clients the confidence to move faster.
****Why should you join our team and Vouch?****
 Not only is this an exciting and growing team where you can drive a real impact on our operational scalability, but Vouch is also the preferred insurance provider to customers of Y Combinator, Brex, Carta, and WeWork. We’re a quickly growing startup that believes in transparency and acknowledgment with our team members and cultivating a values\-driven company. Our values are "Be Client Obsessed", "Own it together", "Act with integrity and empathy", "Stay Curious and Grow", and "Empower People."
****What does a work environment look like at Vouch?****
 Vouch has employees located across the U.S., with offices in San Francisco, Chicago, and New York City. This role can be based anywhere in the U.S. as long as you can work our Vouch core collaboration hours (8:30 am\-2:30 pm Pacific Time) when most internal meetings are held.
**Role Responsibilities**
 Vouch is looking for an Analytics Engineer to join our team. We’re looking for someone who lives and breathes data and gets excited about data warehouses, building infrastructure to manage fast\-changing data assets, and maintaining data quality. You will be the bridge between our data platform and the analysts that rely on it. You will be responsible for modeling complex, interconnected datasets in a scalable, auditable, and reliable manner, ensuring that our data warehouse is both robust and adaptable to support data\-driven culture. You will need to balance technical rigor, domain understanding, and stakeholder communication to maintain and enhance the integrity, reliability, and utility of our analytical data assets.
**What You'll Do**
* Architect, build and optimize robust data models in dbt to power business reporting processes and analytics use cases
* Effectively speak with, and listen to, business stakeholders, engineers, designers, executives, etc., so that you can
* 
+ Understand business context and support analysts/business stakeholders across GTM, Finance, and Product to design and build single\-source\-of\-truth data assets to drive Vouch’s business
+ Act as a liaison between Engineering and Analytics to define source and target fields for data assets
* Partner with upstream Engineering teams to develop new and adapt existing data models as our technology and business evolve
* Clearly document specs and data models with source, description, and field definitions to enhance collaboration, scalability, and usability
* Set up tests to ensure data quality, monitor daily job execution, and diagnose/fix issues to ensure SLAs are met
* Perform root cause analysis for data quality issues, and partner with upstream teams and business stakeholders to rectify dirty, incomplete, or unreliable data
* Maintain and enforce consistent data modelling standards, best practices, and design patterns
* Provide and receive constructive feedback through code reviews, technical specifications, and pair programming sessions
* Use software development best practices with a focus on version control, testing, reliability and maintainability
* Work in dbt, SQL, Snowflake, git, Airflow, Python, Stitch, Mode, and we welcome new ideas!
**About You**
* 3\+ years experience developing ETL/ELT workflows as a data analytics engineer, data engineer, or data analyst, supporting a variety of business domains
* Advanced experience in SQL, dbt, Snowflake, and git
* Intermediate experience building business reporting processes (e.g. for Finance, GTM, etc.).
* Intermediate experience leveraging data pipeline services like Stitch and orchestration tools like Airflow
* Are excited to learn about Vouch’s business models, and dig into our business processes to understand how data is generated
* Are energized by business impact \&amp; a self\-starter
* Advanced communication skills and the ability to explain complex concepts to both technical and non\-technical audiences
* Thrive in cross\-functional projects that have a heavy combination of technical requirements and user\-focused workflow
* Basic experience with business intelligence tools such as Mode Analytics
* Basic experience in Python, Airflow, Stitch
* (BONUS) Familiarity with insurance or financial services data modeling
* (BONUS) Exposure to and passion for early\-stage startups and/or high growth environments
**Analytics Tools \&amp; Technologies At Vouch**
* SQL, dbt, Python
* Snowflake, Airflow, Stitch, Mode Analytics, Postgres, Kafka (Confluent)
* AWS, GitHub, Atlassian Stack (Jira, Confluence)
****Vouch provides several benefits to help you bring your best self to work:****
* 💰 Competitive compensation and equity packages
* ⚕️ Health, dental, and vision insurance
* 🍼 Parental leave
* 🌴 Flexible vacation time
* 🪷 Wellness allowance
* 🛜 Technology allowance
* 📚 Company\-sponsored personal and professional development
* 🏫 L\&amp;D: Partnerships with Ethena and monthly Lunch \&amp; Learns
* 🧘 Wellbeing: access to many wellbeing perks, including Peloton, Fetch, OneMedical, Headspace care\+, etc.
* 🤗 Caregiver Support: company seed into the dependent care FSA and company sponsored Care.com membership.
* 📊 Regular performance reviews: Vouch conducts regular performance discussions with all team members, offering goal setting and check\-ins, development discussions, and promotion opportunities.
**What To Expect In a Typical Interview Process**
**(Please note these steps may vary slightly depending on the role)**
* 30\-minute phone call with our recruiting team
* 60\- minute video interview with the hiring manager
* Technical screen
* Meet the team! 30\-45 min 1:1 video discussion with 3\-4 team members you’d work closely with in the role
**Compensation Philosophy**
 Our salary ranges are based on paying competitively for our size and industry and are part of our total compensation package, which also includes benefits and other perks. We also include stock options in all compensation packages and believe all Vouch employees should have the opportunity to become owners in the company. Individual pay decisions are based on a number of factors, including qualifications for the role, experience level, skill set, location, and business need. The pay range provided is subject to change and may be modified in the future.
**Vouch believes in putting our people first, and building a diverse team is at the front of everything we do. We welcome people from different backgrounds, experiences, perspectives, and ranges of abilities. We are an equal\-opportunity employer and celebrate the diversity of our growing team.**
**If you require reasonable accommodation to complete this application, interview, complete any pre\-employment testing, or otherwise participate in the employee selection process, please direct your inquiries to**
**recruiting@vouch.us**
 .
**The Pay Range For This Role Is**
 150,000 \- 165,000 USD per year (Remote (United States))</t>
        </is>
      </c>
    </row>
    <row r="146">
      <c r="A146" t="inlineStr">
        <is>
          <t>li-4368793152</t>
        </is>
      </c>
      <c r="B146" t="inlineStr">
        <is>
          <t>Data Engineer Sr</t>
        </is>
      </c>
      <c r="C146" t="inlineStr">
        <is>
          <t>Sundt Construction</t>
        </is>
      </c>
      <c r="D146" t="inlineStr">
        <is>
          <t>linkedin</t>
        </is>
      </c>
      <c r="E146">
        <f>HYPERLINK("https://www.linkedin.com/jobs/view/4368793152", "https://www.linkedin.com/jobs/view/4368793152")</f>
        <v/>
      </c>
      <c r="F146" t="inlineStr"/>
      <c r="G146" t="inlineStr">
        <is>
          <t>Phoenix, AZ</t>
        </is>
      </c>
      <c r="H146" t="inlineStr"/>
      <c r="I146" t="inlineStr">
        <is>
          <t>**Job Description**
 As a 100% employee\-owned contractor, when you work at Sundt, you’re not just hiring on at a company, you’re joining a culture. Because everyone at Sundt is part owner, you’ll join a team of people who are deeply invested in their work. From apprentices to managers, we’re passionate about the details and deliberate in everything we do.
**Job Summary**
 The Senior Data Engineer leads the design, implementation, and optimization of enterprise\-scale data solutions that enable analytics, reporting, and data\-driven decision\-making across the organization. This role provides technical leadership in building robust data architectures, pipelines, and data models while ensuring high standards for data quality, performance, security, and governance. Senior Data Engineers partner closely with business leaders, architects, and development teams to translate complex requirements into scalable solutions, mentor junior engineers, and drive the adoption of best practices and emerging data technologies that advance the organization's data strategy.
**Key Responsibilities**
* Architect, build, and govern scalable data pipelines to ensure reliability, performance, and data quality.
* Define and enforce standards for data modeling, documentation, and data quality validation.
* Lead development of Power Bl semantic models, optimized datasets, dashboards, and complex DAX measures.
* Lead the design and optimization of databases and data solutions supporting enterprise integrations and applications.
* Mentor junior engineers and drive adoption of best practices and emerging data technologies.
* Oversee and optimize data platforms, including Azure cloud\-native solutions and Azure Data Factory pipelines, with a focus on scalability, reliability, and cost optimization.
* Own and evolve data warehouse architectures to support advanced analytics and reporting.
* Partner with business and technical leaders to translate complex requirements into secure, scalable data solutions.
**Minimum Job Requirements**
* 5\+ years of professional experience using SQL to design, optimize, and support complex data models, queries, and transformations in production data environments.
* Advanced experience with modern data and analytics tools such as Databricks/Spark, Power Bl, Git, Python, Azure data services, and Cl/CD pipelines.
* Bachelor's Degree in Computer Science, Information Systems, Data Analytics, or a related field OR an equivalent combination of education and significant relevant experience.
* Proven ability to independently lead and deliver complex data engineering solutions, manage competing priorities, and troubleshoot high\-impact data issues.
* Strong verbal and written communication skills, with the ability to influence technical decisions, collaborate with business leaders, and mentor junior engineers.
 Note: Job Description is subject to change at any time and may include other duties as assigned.
**Physical Requirements**
* May stoop, kneel, or bend, on an occasional basis
* Must be able to comply with all safety standards and procedures
* Required to use hands to grasp, lift, handle, carry or feel objects on a frequent basis
* Will interact with people and technology frequently during a shift/work day
* Will lift, push or pull objects up to 501bs on an occasional basis.
* Will sit, stand or walk short distances for up to the entire duration of a shift/work day.
* Will use telephone, computer system, email, and other electronic devices on a frequent basis to communicate with internal and external customers or vendors
**Equal Opportunity Employer Statement:** 
 Sundt is committed to the equal treatment of all employees, and/or applicants for employment, and prohibits discrimination based on race, religion, sex (including pregnancy), sexual orientation, gender identity, color, age, disability, national origin, covered veteran status, genetic information; or any other classification protected by applicable Federal, state, or local laws.
**Benefit list:**
 Market Competitive Salary (paid weekly)
 Bonus Eligibility based on company, group, and individual performance
 Employee Stock Ownership Plan \&amp; 401K
 Industry Leading Health Coverage Starting Your First Day
 Flexible Time Off (FTO)
 Medical, Health Savings, and Wellness credits
 Flexible Spending Accounts
 Employee Assistance Program
 Workplace Wellness Programs
 Mental Health Program
 Life and Disability Insurance
 Employee\-Owner Perks
 Educational Assistance
 Sundt Foundation \- Charitable Employee\-Owner's program
**About Us**
 As a 100% employee\-owned contractor, when you work at Sundt, you’re not just hiring on at a company, you’re joining a culture. Because everyone at Sundt is part owner, you’ll join a team of people who are deeply invested in their work. From apprentices to managers, we’re passionate about the details and deliberate in everything we do.
 At Sundt we focus on building long\-term prosperity for our clients, communities and employee\-owners. We offer competitive pay, industry\-leading benefits including a 401k and employee stock ownership plan, incentive programs for craft and administrative employees as well as training that focuses on your personal and professional growth. We’re driven by skill, grit and purpose. Join us as we strive to be the most skilled builder in America.
**Equal Opportunity Employer Statement:** 
 Sundt is committed to the equal treatment of all employees, and/or applicants for employment, and prohibits discrimination based on race, religion, sex (including pregnancy), sexual orientation, gender identity, color, age, disability, national origin, covered veteran status, genetic information; or any other classification protected by applicable Federal, state, or local laws.
**Benefit list:**
* Market Competitive Salary (paid weekly)
* Bonus Eligibility based on company, group, and individual performance
* Employee Stock Ownership Plan \&amp; 401K
* Industry Leading Health Coverage Starting Your First Day
* Flexible Time Off (FTO)
* Medical, Health Savings, and Wellness credits
* Flexible Spending Accounts
* Employee Assistance Program
* Workplace Wellness Programs
* Mental Health Program
* Life and Disability Insurance
* Employee\-Owner Perks
* Educational Assistance
* Sundt Foundation \- Charitable Employee\-Owner's program</t>
        </is>
      </c>
    </row>
    <row r="147">
      <c r="A147" t="inlineStr">
        <is>
          <t>li-4369275428</t>
        </is>
      </c>
      <c r="B147" t="inlineStr">
        <is>
          <t>Jr. Data Engineer</t>
        </is>
      </c>
      <c r="C147" t="inlineStr">
        <is>
          <t>Creative Artists Agency</t>
        </is>
      </c>
      <c r="D147" t="inlineStr">
        <is>
          <t>linkedin</t>
        </is>
      </c>
      <c r="E147">
        <f>HYPERLINK("https://www.linkedin.com/jobs/view/4369275428", "https://www.linkedin.com/jobs/view/4369275428")</f>
        <v/>
      </c>
      <c r="F147" t="inlineStr"/>
      <c r="G147" t="inlineStr">
        <is>
          <t>Los Angeles, CA</t>
        </is>
      </c>
      <c r="H147" t="inlineStr"/>
      <c r="I147" t="inlineStr">
        <is>
          <t>**Job Description**
**Who We Are**
 Creative Artists Agency (CAA) is the leading entertainment and sports agency, with global expertise in filmed and live entertainment, digital media, publishing, sponsorship sales and endorsements, media finance, consumer investing, fashion, brand management and consumer product licensing, and philanthropy. Distinguished by its culture of collaboration and exceptional client service, CAA’s diverse workforce identifies, innovates, and amplifies opportunities for the people and organizations that shape culture and inspire the world. The trailblazer of the agency business, CAA was the first to build a sports business, create an investment bank, launch a venture fund, found technology start\-up companies, establish a philanthropic arm, build a business in China, form a brand marketing services division, and launch a family office advisory practice, among other innovations. Named Most Valuable Sports Agency by Forbes for nine consecutive years, CAA represents more than 3,000 of the world’s top athletes in football, baseball, basketball, hockey, and soccer, in addition to coaches, on\-air broadcasters, and sports personalities and works in the areas of property sales and sponsorships, media advisory, brand consulting, venue development and strategic advisory, and executive search. Founded in 1975, CAA is headquartered in Los Angeles, and has offices in New York, London, Nashville, Shanghai, Beijing, Chicago, Washington D.C., Singapore, Toronto, Denver, Charlotte, Jacksonville, and Atlanta, among other locations globally.
**The Role**
 CAA is seeking a developer with excellent software architecture and data engineering skills to join our product development team. The product development team designs and builds software experiences for mobile and web that are uniquely valuable for CAA’s diverse, global, and high\- energy entertainment industry culture of agents, executives, artists, and business partners.
**Responsibilities**
 You and your teammates have the opportunity to work collaboratively with other developers to design and deliver data infrastructure (warehouse, schema, pipelines, data management tools) that supports CAA’s portfolio of applications and analytics. We need your help to build and maintain services and best practices for such infrastructure.
 You will be able to use your software development skills in an agile environment to develop new data pipelines and APIs, and your experience with continuous delivery will sustain the end\-to\-end lifecycle: design, deployment, test, operations, monitoring and support. You will have the chance to directly interact with the people who are using your applications.
**Languages and Frameworks**
 You should be proficient in Python with at least a year of experience delivering production Python data projects to production. We welcome candidates with experience in other languages such as Ruby, PHP, or Javascript. Experience with Javascript is a plus.  It would be great for you to have experience in the Azure data stack (Azure Data Factory, Azure Data Lake,  Tabular Model / DAX, Azure Analysis Services) but If you have strong experience with complementary open source data technologies such as Hadoop, Amazon Glue, Spark, Airflow and so on we would love to talk to you.
**Databases**
 We’d like to see real SQL and NoSQL production experience. We’re particularly interested in your expertise with SQL Server, Azure SQL, Azure Synapse, MongoDB. Having experience talking to customers and modeling data would be a plus.  If you bring specific skills in Kafka , Cassandra, or any other cloud based warehouse let’s talk.
**Tools**
 You should have experience with maintaining projects using a distributed version control system such as Git and Github. Experience in automated deployment of pipelines and schema into production environments  would be great.
**Techniques**
 You should be experienced with agile methods and the concepts behind continuous delivery. We expect you are passionate about developing data structures, pipelines, and APIs \-\- so we want to see your experience with security, testing,  performance, JSON, and REST. We are eager to hear about your experience and opinions around data quality, test strategy, and test automation.
**Education**
 We prefer you have a BS in Computer Science, or equivalent experience, which means between one to two years of delivering production data pipelines.
**Focus**
 We expect you to have a passion for and experience shipping and maintaining production software products to business users. You must have strong verbal, written and visual presentation skills. We are most interested in candidates who want to work in an environment where attention to detail, solving problems, simplicity, quality, and moving quickly are highly prized.
**Location**
 This position will be based in our LA office with a minimum of 1\-2 days a week in the office.
**Compensation**
 The annual base salary for this position is in the range of $72,000 \- $91,000 in Los Angeles, CA. This position is also eligible for benefits and a discretionary bonus. Ultimately, the salary may vary based upon, but not limited to, relevant experience, time in the role, business sector, and geographic location, among other criteria. Please talk with a CAA Recruiter to learn more.
 Creative Artists Agency, LLC (the “Company”) is committed to a policy of Equal Employment Opportunity and will not discriminate on the basis of race (inclusive of traits historically associated with race, including hair texture and protective hairstyles), color, religion, creed, gender or sex (including pregnancy, childbirth, breastfeeding or related medical conditions), national origin, ancestry, age, physical disability, mental disability, medical condition, genetic information, family and medical care leave status, military or veteran status, marital status, family status, sexual orientation, gender identity, gender expression, political affiliation, an employee’s or their dependent’s reproductive health decision making (e.g., the decision to use or access a particular drug, device or medical service), or any other characteristic protected by applicable law.
 The absence of a permanent address is not a bar to employment. The Company does not discriminate against individuals based on housing status, including the absence of a fixed address.
 The Company also complies with the Americans with Disabilities Act and applicable state and local laws with regard to providing reasonable accommodation for qualified individuals with disabilities.
 CAA does not accept unsolicited resumes from third\-party recruiters unless they were contractually engaged by CAA to provide candidates for a specified opening. Any such employment agency, person or entity that submits an unsolicited resume does so with the acknowledgement and agreement that CAA will have the right to hire that applicant at its discretion without any fee owed to the submitting employment agency, person or entity.</t>
        </is>
      </c>
    </row>
    <row r="148">
      <c r="A148" t="inlineStr">
        <is>
          <t>li-4369277594</t>
        </is>
      </c>
      <c r="B148" t="inlineStr">
        <is>
          <t>Staff Data Engineer</t>
        </is>
      </c>
      <c r="C148" t="inlineStr">
        <is>
          <t>BLACKBIRD.AI</t>
        </is>
      </c>
      <c r="D148" t="inlineStr">
        <is>
          <t>linkedin</t>
        </is>
      </c>
      <c r="E148">
        <f>HYPERLINK("https://www.linkedin.com/jobs/view/4369277594", "https://www.linkedin.com/jobs/view/4369277594")</f>
        <v/>
      </c>
      <c r="F148" t="inlineStr"/>
      <c r="G148" t="inlineStr">
        <is>
          <t>Seattle, WA</t>
        </is>
      </c>
      <c r="H148" t="inlineStr"/>
      <c r="I148" t="inlineStr">
        <is>
          <t>Blackbird.AI helps organizations discover emergent threats and stay one step ahead of real\-world harm through our AI\-powered Narrative and Risk Intelligence Platform. Our commitment is to prioritize safety and security, providing the tools to identify potential risks and ensure a safer environment proactively. No matter the job or where it's located, we're all connected by a shared vision: To lead and enhance the landscape of risk intelligence.
 As a Staff Data Engineer, you will play a critical role in architecting and scaling our data platform and AI/ML processing infrastructure. You'll be a technical leader responsible for our entire data ecosystem—from ingestion pipelines that process diverse data sources to the lakehouse architecture that powers our narrative analysis capabilities. You'll architect systems that seamlessly support batch and streaming data patterns while building real time alerting on generated insights.
 You'll work at the intersection of data engineering, AI\-powered data transformation, and platform engineering, making architectural decisions that will shape our ability to detect misinformation, disinformation, and narrative attacks at scale while managing costs effectively. A key aspect of this role involves building intelligent pipelines that use traditional AI and generative AI to cluster, enrich, classify, and extract insights from data as it flows through our system.
 As a Staff Data Engineer you will:
* Design and implement scalable data platform architecture on Databricks, supporting both batch and streaming ingestion
* Build robust, fault\-tolerant data ingestion pipelines that integrate with multiple third\-party APIs and data providers
* Design and implement AI\-powered enrichment stages within pipelines—applying ML clustering, generative AI summarization, classification, and entity extraction to transform raw data into actionable intelligence
* Build analytical systems with full\-text search capabilities using Elasticsearch for rapid querying and analysis of enriched data
* Work with AI/ML researchers to implement, integrate and scaling AI processing
* Expose data platform capabilities as APIs and other interfaces for downstream consumption by applications and services
* Optimize data lake and lakehouse architecture for performance, cost\-efficiency, and scalability
* Design and implement data quality frameworks, monitoring, and alerting systems
* Design efficient architectures for calling external AI APIs and managing rate limits, costs, and reliability
* Architect solutions with cost\-efficiency as a first\-class concern, implementing monitoring and optimization strategies for compute and storage
* Make critical build\-vs\-buy decisions and establish architectural standards for the data organization
* Mentor engineers and elevate the team's technical capabilities through code reviews, design discussions, and knowledge sharing
**Requirements**
* 8\+ years of software engineering experience with 5\+ years focused on data platforms or data engineering
* Deep expertise with Databricks, Apache Spark, and data lakehouse architectures
* Strong experience building and operating data pipelines at scale (handling TBs\+ of data)
* Experience integrating AI/ML capabilities into data pipelines (clustering, LLM APIs, classification, summarization)
* Proficiency in Python, DBT, and SQL for data processing and pipeline development
* Experience with both batch and streaming large scale data processing patterns
* Strong understanding of cloud platforms (AWS, Azure)
* Excellent communication skills and ability to mentor engineers
**Preferred Qualifications:**
* Experience designing both batch and streaming/near real\-time data architectures
* Proficiency with Elasticsearch for building analytical systems with full\-text search capabilities
* Hands\-on experience with LLM APIs and understanding of rate limiting and cost optimization
* Experience with Agentic AI, context engineering, and evaluation
* Background in trust \&amp; safety, security, or content moderation domains
* Experience with data observability tools and building comprehensive monitoring systems
* Prior experience at a startup or fast\-paced environment
* Apply agentic coding tools for day to day development
* Familiarity with Databricks' Lakeflow, Agent Bricks, and vector databases
**What's in it for you:**
 Blackbird.AI is embarking on an exciting growth journey with numerous opportunities for career development within the company. You will join a nurturing, inclusive, and experienced team.
 Join us as we soar to new heights!
**Values:**
 At Blackbird.AI, our core values shape how we work and make decisions. Our values inspire us to be authentic and continue improving.
 We embrace a strong sense of responsibility to society, recognizing the vital role our services play in empowering governments, communities, and individuals to foster critical thinking and empowerment. We believe in integrating personal and professional lives with societal needs, emphasizing the importance of creating an environment that attracts top talent and provides substantial growth opportunities. We are motivated by the potential of science and technology to impact humanity positively.
**Benefits**
* Competitive compensation package, 401(k), and equity \- everyone has a stake in our growth!
* Comprehensive health benefits for you and your loved ones, including wellness days and monthly wellness reimbursements \- an apple a day doesn't always keep the doctor away!
* Generous vacation policy, encouraging you to take the time you need \- we trust you to strike the right work/life balance!
* A flexible work environment with opportunities to collaborate with your team in person \- you can have it all!
* Inclusion and Impact \- soar to new heights!
* Professional development stipend \- never stop learning!
**Location \&amp; Work Eligibility:**
 We are only able to hire candidates currently residing in the U.S. Unfortunately, we cannot offer visa sponsorship for this role. Applicants must be legally authorized to work in the U.S. without future sponsorship. Candidates applying for this position should meet the residency requirement and be able to provide proof of U.S. work authorization.
**Pay Transparency:** 
 \[NEW YORK ONLY]
 For individuals assigned and/or hired to work in New York, Blackbird.AI is required by law to include a reasonable estimate of the compensation range for this role. This compensation range is specific to New York. It takes into account the wide range of factors that are considered in making compensation decisions, including, but not limited to, skill sets, experience and training, licensure and certifications, and other business and organizational needs. At Blackbird.AI, it is not typical for an individual to be hired at or near the top of the range for their role, and compensation decisions are dependent on the facts and circumstances of each case. A reasonable estimate of the current compensation range for this position is expected to be $160,000 \- $190,000\. This range may vary for positions outside of New York and as it has not been adjusted for the applicable geographic differential associated with the location where the position may be filled.
 Regardless of location, candidates can expect during the first few conversations with Blackbird.AI's Talent Team and Hiring Managers to share any approved budget.
 Apply Today
 Equal Opportunity Employer</t>
        </is>
      </c>
    </row>
    <row r="149">
      <c r="A149" t="inlineStr">
        <is>
          <t>li-4354877749</t>
        </is>
      </c>
      <c r="B149" t="inlineStr">
        <is>
          <t>Data Engineer</t>
        </is>
      </c>
      <c r="C149" t="inlineStr">
        <is>
          <t>Slalom</t>
        </is>
      </c>
      <c r="D149" t="inlineStr">
        <is>
          <t>linkedin</t>
        </is>
      </c>
      <c r="E149">
        <f>HYPERLINK("https://www.linkedin.com/jobs/view/4354877749", "https://www.linkedin.com/jobs/view/4354877749")</f>
        <v/>
      </c>
      <c r="F149" t="inlineStr"/>
      <c r="G149" t="inlineStr">
        <is>
          <t>Massachusetts, United States</t>
        </is>
      </c>
      <c r="H149" t="inlineStr"/>
      <c r="I149" t="inlineStr">
        <is>
          <t>**Who You'll Work With**
 At Slalom we co\-create custom software, data and cloud products with clients who are ready to accelerate their digital transformation. We're passionate about technology, compelled by its potential as we help create the digital products, experiences, and technology\-driven organizations that drive true change. We’re thrilled by the opportunity to build the future we want to see, with anyone willing to join us.
 Slalom's Data Engineering Discipline Is Focused On Injecting Intelligence Into Products, Engineering Systems That Support Learning And Insight And Creating Innovative Data Products. Within Data Engineering We Help Customers Build World\-class Products Through Effective Use Of
* Data engineering consisting of streaming / real\-time data solutions, modern data platforms and data systems within products (i.e., database systems, graph databases, key\-value stores, document databases and transactional systems)
* Machine Learning and Artificial Intelligence
**What You’ll Do**
 Slalom Data Engineering discipline is comprised of passionate, flexible technologists who love to practice and hone their craft. As tools evolve and technologies emerge, we work to stay in front of innovations in data platform development and delivery.
 As a Data Engineer for Slalom, you will work in collaborative teams to deliver innovative solutions on Amazon Web Services, Microsoft Azure, and Google Cloud Platform using core cloud data warehouse tools, distributed processing engines, event streaming platforms, and other modern data technologies. In addition to building the next generation of data platforms, you will be working with some of the most forward\-thinking organizations in data and analytics.
 You will be engaged to participate in design sessions and be responsible for the timely completion of development items assigned to you in a project backlog.
* You will work in a hybrid environment, with expectation to be in\-person with Slalom teams and clients as needed.
* You also must be within commutable distance to one of Slalom's Atlanta, Boston or New York City's office locations.
**What You’ll Bring**
 You will have an interest to become the best at what you do and will have many opportunities to gain hands\-on experience with new data platforms and programming languages as you explore the range of technologies that we help our clients with including:
* Big Data Platforms (Apache Spark, Presto, Amazon EMR)
* Cloud Data Warehouses (Amazon Redshift, Snowflake, Google BigQuery)
* Object Oriented Coding (Java, Python)
* NoSQL Databases (DynamoDB, Cosmos DB, MongoDB)
* Container Management Systems (Kubernetes, Amazon ECS)
* Artificial Intelligence / Machine Learning (Amazon Sagemaker, Azure ML Studio)
* Streaming Data Ingestion and Analytics (Amazon Kinesis, Apache Kafka)
* Visual Analytics (Tableau, PowerBI)
* Modern Data Workflows (Apache Airflow, dbt, Dagster)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**Role**
*Slalom is committed to fair and equitable compensation practices. For this role, we are hiring at the following levels and salary ranges:*
* Atlanta, Miami:
+ Consultant: $91,000\-$112,000
+ Senior Consultant: $119,000\-$146,000
+ Principal: $150,000\-$183,000
* New York, Boston:
+ Consultant: $99,000\-$122,000
+ Senior Consultant: $130,000\-$159,000
+ Principal: $163,000\-$200,000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t>
        </is>
      </c>
    </row>
    <row r="150">
      <c r="A150" t="inlineStr">
        <is>
          <t>li-4354855639</t>
        </is>
      </c>
      <c r="B150" t="inlineStr">
        <is>
          <t>Data Engineer</t>
        </is>
      </c>
      <c r="C150" t="inlineStr">
        <is>
          <t>ProFocus Technology</t>
        </is>
      </c>
      <c r="D150" t="inlineStr">
        <is>
          <t>linkedin</t>
        </is>
      </c>
      <c r="E150">
        <f>HYPERLINK("https://www.linkedin.com/jobs/view/4354855639", "https://www.linkedin.com/jobs/view/4354855639")</f>
        <v/>
      </c>
      <c r="F150" t="inlineStr"/>
      <c r="G150" t="inlineStr">
        <is>
          <t>Portland, Oregon Metropolitan Area</t>
        </is>
      </c>
      <c r="H150" t="inlineStr"/>
      <c r="I150" t="inlineStr">
        <is>
          <t>**TITLE** 
 : Data Engineer
**LOCATION** 
 : Hybrid \- Portland, Oregon
**ENGAGEMENT TYPE** 
 : Direct Hire
**PAY** 
 : Target pay for this role varies based on experience.
 ProFocus is searching for a Data Engineer for full time position for our client in Beaverton, Oregon \- this position is remote or hybrid. We are looking for a creative, enthusiastic, adept, and motivated Data Engineer with strong SQL and ETL experience to join the Data Engineering team.
**What You’ll Be Doing**
* Contribute to the design and implementation of data models
* Build, test, and maintain data architectures
* Contribute to the alignment of architectures with business requirements
* Develop data set processes
* Extract data from divergent systems and load into a warehouse
* Work with QA to build in telemetry and quality
* Investigate and defuse time\-sensitive data incidents
* Work directly with Analysts, Quants, and Data Science and any other stakeholders to understand requirements and provide end\-to\-end data solutions
* Engage in the design process and identify opportunities for improvement
* Participate in CI/CD deployments.
* Provide ongoing support and maintenance for data pipelines.
* Continue to grow and improve the business’s data platforms
**Who We’re Looking For**
* 5\+ years of experience in data engineering
* Demonstrable experience building and maintaining scalable ETL platforms
* Expertise in Python and SQL
* Have strong verbal and written communication skills
* Exposure to Snowflake, Spark, Hadoop, and other Big Data technologies would be ideal, not required
**About Our Client**
* Our client is a local startup and growing company that provides financial data business intelligence (BI) solutions.
**WHY ProFocus**
* Candidates come first. ProFocus recently earned the Best in Staffing Award for Talent Satisfaction due to our World\-Class service to our amazing candidates.
* Quality process. We invest the time to learn about your skills, experience, and career goals in detail so we can find you a position that is a great fit.
* Access to hiring managers. We have close relationships with some of the most respected companies in Portland. Due to those relationships, we can provide direct access to managers and positions that may not be available anywhere else.
* Excellent benefits. We offer medical, dental, vision, 401k, education reimbursement, sick leave, and employer\-paid short\-term disability and life insurance.
**Want to learn more?** 
 Contact one of our recruiters here or email info@ProFocusTechnology.com.
**Please email us your resume to apply:** 
 Resume@ProFocusTechnology.com
 Visit our Job Seekers page to learn more and review other opportunities.
*ProFocus is an equal opportunity employer. We value diversity in our workplace and encourage all qualified applicants regardless of race, color, age, sex, religion, national origin, physical or mental disability, pregnancy, marital status, veteran or military status, genetic information, sexual orientation, or any other characteristic protected by federal, state, or local laws.*</t>
        </is>
      </c>
    </row>
    <row r="151">
      <c r="A151" t="inlineStr">
        <is>
          <t>li-4368792341</t>
        </is>
      </c>
      <c r="B151" t="inlineStr">
        <is>
          <t>Senior Big Data Engineer</t>
        </is>
      </c>
      <c r="C151" t="inlineStr">
        <is>
          <t>Blueprint</t>
        </is>
      </c>
      <c r="D151" t="inlineStr">
        <is>
          <t>linkedin</t>
        </is>
      </c>
      <c r="E151">
        <f>HYPERLINK("https://www.linkedin.com/jobs/view/4368792341", "https://www.linkedin.com/jobs/view/4368792341")</f>
        <v/>
      </c>
      <c r="F151" t="inlineStr"/>
      <c r="G151" t="inlineStr"/>
      <c r="H151" t="inlineStr"/>
      <c r="I151" t="inlineStr">
        <is>
          <t>**Who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**In This Role** 
 In this role, you will work closely with senior engineers and an engineering manager to design, develop, validate, and deploy features across large\-scale data platforms. You will be responsible for executing high\-priority engineering tasks, addressing security and governance requirements, and maintaining reliable data pipelines. The work is highly execution\-focused, with an emphasis on fast ramp\-up, independent ownership, and delivering production\-ready solutions that meet strict security, compliance, and reliability standards. You will operate within established engineering practices, follow deployment rules, and collaborate with full\-time engineers who will support onboarding and accelerate your ramp\-up. Access to secure environments (pre\-production and production) will be required as part of this role.
**Responsibilities** 
* Design, develop, test, and deploy features across distributed data platforms.
* Maintain and enhance data pipelines running on big data and cloud data technologies.
* Perform security\-related engineering work, including fixing code vulnerabilities, updating secrets and identities, and ensuring secure endpoints.
* Implement governance and compliance updates, including data partitioning, access controls, and physical access restrictions.
* Write, modify, debug, and troubleshoot production code and services.
* Follow standard engineering lifecycle practices, including CI/CD, monitoring, and deployment workflows.
* Execute tasks independently with minimal oversight and deliver high\-priority items on aggressive timelines.
* Collaborate with engineers to ramp up quickly and take ownership of execution work.
* Operate within secure environments and follow all access, security, and compliance requirements.
**Qualifications** 
* Minimum 5 years of experience working with large\-scale big data platforms and distributed systems.
* Strong experience with cloud data technologies such as Cosmos (MapReducer), Spark, HDI, and ADLS Gen2\.
* Minimum 5 years of hands\-on experience with SQL and at least one high\-level programming language (C\#, Scala, Java, or Python).
* Minimum 5 years of experience with CI/CD pipelines, debugging, monitoring, and engineering lifecycle practices.
* Proven ability to troubleshoot complex production issues and deliver reliable solutions.
* Experience working in high\-reliability data engineering environments.
* Ability to work independently in a high\-execution, fast\-paced environment.
* Experience following security, governance, and compliance standards in production systems.
**Preferred Qualifications** 
* Experience working on large\-scale telemetry or data processing platforms.
* Prior experience in security remediation, secret rotation, endpoint hardening, and compliance\-driven engineering.
* Hands\-on experience with data governance, access control, and data partitioning strategies.
* Experience maintaining and improving production pipelines across cloud data platforms.
* Background in high\-volume, high\-throughput distributed systems.
* Familiarity with enterprise engineering processes, internal tooling, and secure deployment environments.
* Ability to ramp up quickly and immediately contribute to independent execution work.
**Salary Range** 
 At Blueprint, we strive to offer competitive pay that reflects the value of our team members. Compensation for this role is influenced by a variety of factors, including skills, education, responsibilities, experience, and geographic market. For candidates based in Washington State, California and other states the anticipated salary range is
 **$48\.08 to $57\.69 Hourly** 
 . Please note that we typically do not hire new employees at the top of the posted range. Actual starting pay will be determined based on experience, skills, and internal equity. The final salary and job title may vary depending on the selected candidate’s qualifications and could fall outside the stated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 in the importance of a healthy and happy team, which is why our comprehensive benefits package includes:
* Medical, dental, and vision coverage
* Flexible Spending Account
* 401k program
* Competitive PTO offerings
* Parental Leave
* Opportunities for professional growth and development</t>
        </is>
      </c>
    </row>
    <row r="152">
      <c r="A152" t="inlineStr">
        <is>
          <t>li-4369207699</t>
        </is>
      </c>
      <c r="B152" t="inlineStr">
        <is>
          <t>Data Engineer II</t>
        </is>
      </c>
      <c r="C152" t="inlineStr">
        <is>
          <t>BD</t>
        </is>
      </c>
      <c r="D152" t="inlineStr">
        <is>
          <t>linkedin</t>
        </is>
      </c>
      <c r="E152">
        <f>HYPERLINK("https://www.linkedin.com/jobs/view/4369207699", "https://www.linkedin.com/jobs/view/4369207699")</f>
        <v/>
      </c>
      <c r="F152" t="inlineStr"/>
      <c r="G152" t="inlineStr"/>
      <c r="H152" t="inlineStr"/>
      <c r="I152" t="inlineStr">
        <is>
          <t>**About The Company**
 Becton, Dickinson, and Company (BD) is a leading global medical technology company dedicated to advancing healthcare worldwide. With a rich history of innovation and a commitment to improving patient outcomes, BD develops, manufactures, and sells a wide range of medical devices, instrument systems, and reagents. The company’s focus on cutting\-edge solutions and data\-driven insights positions it at the forefront of the healthcare industry, enabling healthcare professionals to deliver safer, more effective care. BD’s culture emphasizes collaboration, integrity, and continuous improvement, fostering an environment where employees are empowered to contribute meaningfully to healthcare advancements.
**About The Role**
 We are seeking a skilled Data Engineer to join our dynamic team. In this role, you will be responsible for designing, building, and implementing scalable data pipelines and modern data warehouse architectures. Your expertise will support data integration, standardization, and delivery processes critical to our healthcare data initiatives. You will utilize scripting tools such as Python and Matlab to develop automated solutions that optimize data processing workflows. The ideal candidate will have a strong background in signal processing, data transformation, and cloud\-based data solutions, enabling BD to harness the full potential of its data assets for strategic decision\-making and innovation.
**Qualifications**
* 4\+ years of experience supporting data transformations, data structures, dependencies, and workload management
* Advanced proficiency in MATLAB
* Advanced proficiency in Python
* Experience in signal processing
* Proficient in SQL and data integration with relational databases
* Working knowledge of at least one of the following databases: Redshift, Synapse, Snowflake, Postgres
* Strong analytical skills for working with structured and unstructured datasets
* Experience with cloud platforms such as AWS, Azure, or GCP (preferred)
**Responsibilities**
* Develop standardization code using Python and Matlab for integrating large datasets from various sources into cloud platforms
* Automate and optimize data standardization processes to improve efficiency and accuracy
* Design and implement audit processes for data ingestion to ensure data quality and compliance
* Design, build, and maintain modern data pipelines and data streams utilizing scripting tools
* Create and manage data warehouse solutions leveraging cloud services to support analytics and reporting
* Collaborate with cross\-functional teams to translate business requirements into scalable data solutions
* Monitor and troubleshoot data pipelines to ensure seamless data flow and integrity
* Implement best practices for data security, privacy, and compliance in all data processes
**Benefits**
* Competitive salary package aligned with experience and role
* Comprehensive health insurance coverage
* Retirement savings plans with company contributions
* Opportunities for professional development and continuous learning
* Collaborative and innovative work environment
* Flexible work arrangements where applicable
 Equal Opportunity
 Becton, Dickinson, and Company is an Equal Opportunity Employer. We evaluate applicants without regard to race, color, religion, age, sex, creed, national origin, ancestry, citizenship status, marital or domestic or civil union status, familial status, affectional or sexual orientation, gender identity or expression, genetics, disability, military eligibility, veteran status, or other legally protected characteristics.</t>
        </is>
      </c>
    </row>
    <row r="153">
      <c r="A153" t="inlineStr">
        <is>
          <t>li-4368771535</t>
        </is>
      </c>
      <c r="B153" t="inlineStr">
        <is>
          <t>Data Engineer I</t>
        </is>
      </c>
      <c r="C153" t="inlineStr">
        <is>
          <t>Stirista</t>
        </is>
      </c>
      <c r="D153" t="inlineStr">
        <is>
          <t>linkedin</t>
        </is>
      </c>
      <c r="E153">
        <f>HYPERLINK("https://www.linkedin.com/jobs/view/4368771535", "https://www.linkedin.com/jobs/view/4368771535")</f>
        <v/>
      </c>
      <c r="F153">
        <f>HYPERLINK("https://recruiting.paylocity.com/Recruiting/Jobs/Details/3894126?src=LinkedIn&amp;urlHash=Ik24", "https://recruiting.paylocity.com/Recruiting/Jobs/Details/3894126?src=LinkedIn&amp;urlHash=Ik24")</f>
        <v/>
      </c>
      <c r="G153" t="inlineStr">
        <is>
          <t>Pompano Beach, FL</t>
        </is>
      </c>
      <c r="H153" t="inlineStr"/>
      <c r="I153" t="inlineStr">
        <is>
          <t>Job Type
 Full\-time
**Description**
 The Data Engineer modernizes and scales our data infrastructure by architecting robust pipelines that bridge legacy on\-premises systems with modern cloud environments. This role is responsible for the end\-to\-end implementation of the client’s data mart and customer analytics platform, ensuring seamless integration between Microsoft SQL Server and Google Cloud Platform (GCP). You will serve as a technical linchpin, turning raw data into a strategic asset through high\-performance architecture and cloud\-native modernization.
**Core Responsibilities**
* Architect \&amp; Deploy Solutions: Design scalable technical architectures for data marts. Define and implement critical components including data maps, transformation logic, and aggregation strategies.
* Engineer ETL/ELT Pipelines: Build and maintain high\-volume data pipelines using the language of your choice (Python, C\#, Java, etc.) and BigQuery.
* Drive Cloud Modernization: Lead migration initiatives from legacy on\-premises environments to Google Cloud Platform (GCP), ensuring data harmony across hybrid infrastructures.
* Optimize Data Performance: Develop and tune data warehousing solutions to ensure maximum efficiency, reliability, and cost\-effectiveness.
* Collaborate Strategically: Partner with Data Architects and Analysts to translate high\-level business requirements into technical specifications that align with organizational goals.
* Establish Data Governance: Enforce rigorous data quality standards and maintain comprehensive documentation to ensure transparency and system maintainability.
**Requirements**
**Technical Skills \&amp; Experience**
* Experience: 3\+ years in data engineering, data warehousing, and business intelligence.
* Language Mastery: Advanced proficiency in T\-SQL and either Python, C\# or Java.
* Modern Data Stack: Expert\-level experience with Google BigQuery and cloud services (GCP, AWS, Azure, etc.).
* Cloud Expertise: Proven proficiency in GCP services (BigQuery, Cloud Storage) and orchestration tools like Google Cloud Composer.
* Modeling: Deep understanding of dimensional modeling, ETL/ELT best practices, and hybrid data integration.
**Professional Abilities**
* Strategic Execution: Ability to translate complex business needs into technical roadmaps and specific requirements..
* Agility: Proven success in high\-paced environments, managing shifting priorities and ambiguous requirements with poise.
* Communication: Exceptional ability to articulate technical concepts to non\-technical stakeholders and negotiate project scopes.
**Education**
* Bachelor’s degree in Computer Science, Information Technology, or a related technical field (or equivalent professional experience).
**Compensation And Benefits**
 The estimated salary range for this role is $15,080 \- $100,000\. At Stirista, we provide a good faith estimate of the pay range for this position. The final salary offer for this position will be uniquely determined by the combination of candidate's work location, specialized skills and seniority, and a review of internal salary benchmarks to ensure fair and competitive pay. Our total rewards package includes comprehensive medical/dental/vision insurance, 401K matching, Flexible Time Off Policy and paid parental leave.
 Salary Description
 15,080\-100,000</t>
        </is>
      </c>
    </row>
    <row r="154">
      <c r="A154" t="inlineStr">
        <is>
          <t>li-4369265867</t>
        </is>
      </c>
      <c r="B154" t="inlineStr">
        <is>
          <t>Data Engineer</t>
        </is>
      </c>
      <c r="C154" t="inlineStr">
        <is>
          <t>Guild Mortgage</t>
        </is>
      </c>
      <c r="D154" t="inlineStr">
        <is>
          <t>linkedin</t>
        </is>
      </c>
      <c r="E154">
        <f>HYPERLINK("https://www.linkedin.com/jobs/view/4369265867", "https://www.linkedin.com/jobs/view/4369265867")</f>
        <v/>
      </c>
      <c r="F154">
        <f>HYPERLINK("https://recruiting.ultipro.com/GUI1001/JobBoard/634382fd-6424-ec1b-8e37-2aa4ce4c10de/OpportunityDetail?opportunityId=a69fe8b8-e08e-4f11-8e18-ac7ab73b1a8f&amp;source=LinkedIn&amp;urlHash=2UMS", "https://recruiting.ultipro.com/GUI1001/JobBoard/634382fd-6424-ec1b-8e37-2aa4ce4c10de/OpportunityDetail?opportunityId=a69fe8b8-e08e-4f11-8e18-ac7ab73b1a8f&amp;source=LinkedIn&amp;urlHash=2UMS")</f>
        <v/>
      </c>
      <c r="G154" t="inlineStr"/>
      <c r="H154" t="inlineStr"/>
      <c r="I154" t="inlineStr">
        <is>
          <t>**Guild Mortgage Company** 
 , closing loans and opening doors since 1960\. As a mortgage banking firm we are dedicated to serving the home owner/buyer. Our goal is to provide affordable home financing for our customers, utilizing the best terms available while providing a level of professionalism and service unsurpassed in the lending industry.
**Position Summary**
 The Data Engineer is a key technical position and plays an important role in the organization by performing several activities related to the company’s Information Technology functions. The role is primarily responsible, under limited supervision, for executing the data strategy and analysis efforts within the company’s enterprise data platform by expanding and optimizing data and data pipeline architecture, as well as optimizing data flow and collection from cross functional areas. Responsibilities include supporting software developer, database architects, data analysts and data scientists on various data initiatives as well as ensuring optimal data delivery architecture is maintained as needs grow.
**Compensation**
 This role is an exempt position with a Targeted Salary Range of $92,000 \- $132,000 annually.
 Compensation at Guild is influenced by a wide array of factors including but not limited to local and federal minimum wage requirements, education, level of experience, and applicant’s geographical location.
**Essential Functions**
* Collaborate with key stakeholders, including the business unit leaders, Product, Data \&amp; Technology teams, to assist with their data\-related technical issues and support their data infrastructure needs by collecting data from primary sources and optimizing the data architecture, improving quality of sourced data, and ensuring consistent delivery of data to key stakeholders in a timely manner.
* Extract, Load \&amp; Transform (ELT) data from various primary data sources (internal \&amp; 3rd party) into the data lake to create optimal data pipeline architecture utilizing Snowflake and Informatica tool suites.
* Assemble large, complex data sets that meet functional / non\-functional business requirements.
* Identify, design, and implement internal process improvements: automating manual processes, optimizing data delivery, re\-designing infrastructure for greater scalability, etc.
* Build the infrastructure required for optimal extraction, transformation, and loading of data from a wide variety of data sources using SQL and leading ELT tools. This will include set up and configure Informatica Intelligent Cloud Services Environment and Tools.
* Design and Implement Processes to govern usage of the tools and platform at enterprise level for performance, security and audit compliance.
* Build analytics tools that utilize the data pipeline to provide actionable insights into customer acquisition, operational efficiency and other key business performance metrics.
* Keep our Personally Identifiable Information (PII) data separated and secured through table splitting, data masking, access control restrictions and redundancy (high availability across multiple zones).
* Create data tools for data scientist and analytics team members that assist them in building and optimizing data analysis and reporting.
* Improve the quality of data used for analysis by assessing the accuracy of new data sources and the effectiveness of new data gathering techniques.
* Develop processes and tools to monitor and analyze data warehouse performance and data accuracy.
* Contribute to the team of data professionals by using expertise to answer questions and sharing repeatable design patterns with less experienced teammates, enhancing skillsets and competencies of team members, and sharing technical knowledge throughout the team.
* Participate in stakeholder reviews, and design sessions.
* Provide data, reports, and information to management as needed.
* Identify, track, and monitor trends and avoidable technology\-related errors; work across functions to develop complex solutions, improvements, and stop\-gaps.
* Focus on the continual improvement of policies, procedures, and processes falling under scope of authority.
* Stay abreast of latest technology trends and participate in high\-level decisions impacting the direction of Information Technology function.
* Consistently monitor and model platform usage, database sizes, compute resources and third\-party costs to ensure that the data teams spend is as cost\-efficient as possible.
* Champion data transformation to new ways of working and generating insights.
* Drive strong communications, partnerships, and stakeholder management with senior leaders, functional managers, and staff.
* Perform other duties as assigned.
**Qualifications**
* Bachelors Degree directly related to the position or equivalent, required. BS in Statistics, Computer Science, Data Science, or related quantitative field is required.
* Minimum three years' experience to five years' experience in Data Engineer related role(s).
* Proficient in building and optimizing Big Data pipelines, architecture, and data sets.
* Proficient with data loading, processing, and data warehouse design techniques: star or snowflake schema designs, etc.
* Well versed in Informatica Intelligent Cloud Services, Administration, Environment configuration and set up of various tool suite (Mass Ingestion, CDC, Data Catalog, Data Quality, Data Integration, API Management).
* Proven expertise in developing in Informatica Intelligent Cloud Services and various tools.
* Proven experience with data lake and warehouse best practices and leading products in the marketplace.
* Expert at creating data integrations using Extract, Transform and Load (ETL) tools and modern data pipes.
* Strong knowledge of Kafka, Sparks, ESB and/or other messaging queues, real\-time data integration \&amp; stream processing technologies.
* Proven experience with querying and analyzing data from SQL relational databases such as AuroraDB, IBM DB2, MemSQL, MS SQL Server, MySQL, Postgres, Redshift or Snowflake, and NoSQL Databases such as Cassandra, DynamoDB, Redis, or MongoDB
* Experience with data science languages such as R, and Python as well as general purpose languages such as Java, Scala, C\# or JavaScript.
* Experience collecting structured, semi\-structured and unstructured data in various popular formats and sourced from internal core systems as well as 3rd partner providers such as Google Analytics, Facebook Insights, Zillow, CoreLogic, MLS Data, Public Records, and Property Data
* Experience with data pipeline and workflow management tools: Azkaban, Luigi, Airflow, etc.
* Experience performing root cause analysis on internal and external data and processes to answer specific business questions and identify opportunities for improvement.
* Strong analytical skills to build processes supporting data transformation, data structures, metadata, dependency, and workload management.
* Strong data governance skills to ensure highest quality of data is made available for data analysis and accuracy in reporting.
* Problem solver with an ability to work as a team towards a solution.
* Ability to prioritize multiple tasks in a deadline\-driven environment, strong sense of urgency and responsiveness.
* Strong detail orientation and highly organized with proven ability to lead effectively and drive results in a matrixed management environment.
* Ability to think critically, including the ability to evaluate facts and data to draw conclusions, determine the downstream impact of decisions and associated risks.
* Excellent verbal and written communication skills plus demonstrate strong leadership capabilities.
* Strong interpersonal and team building skills.
* Self\-starter with the demonstrated ability to learn/adapt to new technologies and techniques.
* Highly organized and detail\-oriented; ability to work in a fast\-paced, metrics\-driven environment required.
* Proficiency in Microsoft Office Suite, Word, Excel, Wiki, collaborative cloud\-based programs, and third\-party software applications required.
* Commitment to company values.
* Customer Service \- Proactive attention to each person
* Integrity \- Do and say what's right
* Respect \- Treat others with dignity
* Collaboration \- Listen and work together
* Learning \- Seek knowledge and strive for improvement
* Excellence – Deliver the unexpected
**Supervision**
* Job Scope: Responsible for understanding the department/functional area objectives and goals and how own job contributes to achievement of these goals; may recommend changes and enhancements based on analysis and evaluation of circumstances.
* Complexity: General precedents may exist for most problems; conducts independent research/analysis to identify the appropriate approach.
* Impact: Decisions and actions primarily impact own work with limited impact on peers in their area, contributes as team member rather than leader.
* Interaction/Supervision: Acts as a mentor/guide to less experienced professional contributor staff in a similar role; works independently and only under general direction; guided by professional standards, desired outcomes, and project plan specifications.
**Requirements**
 Physical: Work is primarily sedentary; mobility in an office setting.
 Manual Dexterity: Frequent use of computer keyboard and mouse.
 Audio/Visual: Ability to accurately interpret sounds and associated meanings at a volume consistent with interpersonal conversation. Regularly required to accurately perceive, distinguish and interpret information received visually and through audio, e.g., words, numbers and other data broadcasted aloud/viewed on a screen, as well as print and other media.
 Environmental: Office environment – moderate noise, no substantial exposure to adverse environmental conditions.
 Mental: Learn new tasks, remember processes, maintain focus, complete tasks independently, and make timely decisions in the context of a workflow. This role requires effective adaptation to workplace stressors, including customer service complaints, security responsibilities, and competing priorities. Must be able to adhere to process protocol. Must be able to apply established protocols in a timely manner.
 Schedules: Work is primarily performed during the business week, Monday \- Friday.
 Travel: 5% or less
 Guild offers a pleasant work environment, competitive compensation and excellent benefits package; including medical, dental, vision, life insurance, AD\&amp;D, LTD and 401(k) with employer match.
 Guild Mortgage Company is an Equal Opportunity Employer.
 REQ\#: DATAE017824</t>
        </is>
      </c>
    </row>
    <row r="155">
      <c r="A155" t="inlineStr">
        <is>
          <t>li-4353065500</t>
        </is>
      </c>
      <c r="B155" t="inlineStr">
        <is>
          <t>Sr. Data Engineer I (6290)</t>
        </is>
      </c>
      <c r="C155" t="inlineStr">
        <is>
          <t>MetroStar</t>
        </is>
      </c>
      <c r="D155" t="inlineStr">
        <is>
          <t>linkedin</t>
        </is>
      </c>
      <c r="E155">
        <f>HYPERLINK("https://www.linkedin.com/jobs/view/4353065500", "https://www.linkedin.com/jobs/view/4353065500")</f>
        <v/>
      </c>
      <c r="F155" t="inlineStr"/>
      <c r="G155" t="inlineStr">
        <is>
          <t>Aurora, CO</t>
        </is>
      </c>
      <c r="H155" t="inlineStr"/>
      <c r="I155" t="inlineStr">
        <is>
          <t>As a
 **Sr. Data Engineer I** 
 , you’ll work with team members to build, deploy, and operate data pipelines and data engineering components to enable data brokering and exchange capabilities across a diverse range of producers and consumers. In this role, you will be responsible for building robust, scalable data pipelines while working collaboratively with cross\-functional teams to ensure seamless integration, optimized performance, and efficient delivery of solutions.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Work with team members to operationalize data pipelines and supporting cloud infrastructure
* Collaborate with external data producers and consumers to obtain and provide data through interfaces such as REST APIs and S3
* Provide day\-to\-day support of deploying Python\-native data pipelines and performing data engineering tasks to enable data brokering and exchange capabilities
* Provide Tier 2/3 troubleshooting and incident resolution support for data pipelines in Production
**What you’ll need to succeed:**
* Active TS/SCI required with CI poly preferred
* 4\+ years of proven experience in data engineering, with expertise in designing, developing, and maintaining data ingestion, transformation, and loading pipelines and components
* Demonstrated experience in designing and deploying data pipelines leveraging AWS cloud infrastructure across multiple classification domains (e.g., IL5 to IL6\+)
* Experience with Infrastructure\-as\-Code (IaC) tools, including Terraform, CloudFormation, or Ansible, to automate deployment of data pipeline cloud infrastructure
* Understanding of RMF security principles and hands\-on experience implementing security controls for data pipelines in cloud environments
* Strong scripting and programming skills in languages such as Go, Python, and Bash
* Experience with data pipeline tools and technologies such as Nifi, Hadoop, HDFS, and Kafka. Experience implementing data pipelines in the Cloudera Data Platform environment is highly preferred.
* Strong communication skills, with the ability to clearly convey complex technical concepts
 SALARY RANGE: $125,000 \- $167,000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156">
      <c r="A156" t="inlineStr">
        <is>
          <t>li-4369297118</t>
        </is>
      </c>
      <c r="B156" t="inlineStr">
        <is>
          <t>Staff Data Engineer</t>
        </is>
      </c>
      <c r="C156" t="inlineStr">
        <is>
          <t>BLACKBIRD.AI</t>
        </is>
      </c>
      <c r="D156" t="inlineStr">
        <is>
          <t>linkedin</t>
        </is>
      </c>
      <c r="E156">
        <f>HYPERLINK("https://www.linkedin.com/jobs/view/4369297118", "https://www.linkedin.com/jobs/view/4369297118")</f>
        <v/>
      </c>
      <c r="F156" t="inlineStr"/>
      <c r="G156" t="inlineStr">
        <is>
          <t>New York, NY</t>
        </is>
      </c>
      <c r="H156" t="inlineStr"/>
      <c r="I156" t="inlineStr">
        <is>
          <t>Blackbird.AI helps organizations discover emergent threats and stay one step ahead of real\-world harm through our AI\-powered Narrative and Risk Intelligence Platform. Our commitment is to prioritize safety and security, providing the tools to identify potential risks and ensure a safer environment proactively. No matter the job or where it's located, we're all connected by a shared vision: To lead and enhance the landscape of risk intelligence.
 As a Staff Data Engineer, you will play a critical role in architecting and scaling our data platform and AI/ML processing infrastructure. You'll be a technical leader responsible for our entire data ecosystem—from ingestion pipelines that process diverse data sources to the lakehouse architecture that powers our narrative analysis capabilities. You'll architect systems that seamlessly support batch and streaming data patterns while building real time alerting on generated insights.
 You'll work at the intersection of data engineering, AI\-powered data transformation, and platform engineering, making architectural decisions that will shape our ability to detect misinformation, disinformation, and narrative attacks at scale while managing costs effectively. A key aspect of this role involves building intelligent pipelines that use traditional AI and generative AI to cluster, enrich, classify, and extract insights from data as it flows through our system.
 As a Staff Data Engineer you will:
* Design and implement scalable data platform architecture on Databricks, supporting both batch and streaming ingestion
* Build robust, fault\-tolerant data ingestion pipelines that integrate with multiple third\-party APIs and data providers
* Design and implement AI\-powered enrichment stages within pipelines—applying ML clustering, generative AI summarization, classification, and entity extraction to transform raw data into actionable intelligence
* Build analytical systems with full\-text search capabilities using Elasticsearch for rapid querying and analysis of enriched data
* Work with AI/ML researchers to implement, integrate and scaling AI processing
* Expose data platform capabilities as APIs and other interfaces for downstream consumption by applications and services
* Optimize data lake and lakehouse architecture for performance, cost\-efficiency, and scalability
* Design and implement data quality frameworks, monitoring, and alerting systems
* Design efficient architectures for calling external AI APIs and managing rate limits, costs, and reliability
* Architect solutions with cost\-efficiency as a first\-class concern, implementing monitoring and optimization strategies for compute and storage
* Make critical build\-vs\-buy decisions and establish architectural standards for the data organization
* Mentor engineers and elevate the team's technical capabilities through code reviews, design discussions, and knowledge sharing
**Requirements**
* 8\+ years of software engineering experience with 5\+ years focused on data platforms or data engineering
* Deep expertise with Databricks, Apache Spark, and data lakehouse architectures
* Strong experience building and operating data pipelines at scale (handling TBs\+ of data)
* Experience integrating AI/ML capabilities into data pipelines (clustering, LLM APIs, classification, summarization)
* Proficiency in Python, DBT, and SQL for data processing and pipeline development
* Experience with both batch and streaming large scale data processing patterns
* Strong understanding of cloud platforms (AWS, Azure)
* Excellent communication skills and ability to mentor engineers
**Preferred Qualifications:**
* Experience designing both batch and streaming/near real\-time data architectures
* Proficiency with Elasticsearch for building analytical systems with full\-text search capabilities
* Hands\-on experience with LLM APIs and understanding of rate limiting and cost optimization
* Experience with Agentic AI, context engineering, and evaluation
* Background in trust \&amp; safety, security, or content moderation domains
* Experience with data observability tools and building comprehensive monitoring systems
* Prior experience at a startup or fast\-paced environment
* Apply agentic coding tools for day to day development
* Familiarity with Databricks' Lakeflow, Agent Bricks, and vector databases
**What's in it for you:**
 Blackbird.AI is embarking on an exciting growth journey with numerous opportunities for career development within the company. You will join a nurturing, inclusive, and experienced team.
 Join us as we soar to new heights!
**Values:**
 At Blackbird.AI, our core values shape how we work and make decisions. Our values inspire us to be authentic and continue improving.
 We embrace a strong sense of responsibility to society, recognizing the vital role our services play in empowering governments, communities, and individuals to foster critical thinking and empowerment. We believe in integrating personal and professional lives with societal needs, emphasizing the importance of creating an environment that attracts top talent and provides substantial growth opportunities. We are motivated by the potential of science and technology to impact humanity positively.
**Benefits**
* Competitive compensation package, 401(k), and equity \- everyone has a stake in our growth!
* Comprehensive health benefits for you and your loved ones, including wellness days and monthly wellness reimbursements \- an apple a day doesn't always keep the doctor away!
* Generous vacation policy, encouraging you to take the time you need \- we trust you to strike the right work/life balance!
* A flexible work environment with opportunities to collaborate with your team in person \- you can have it all!
* Inclusion and Impact \- soar to new heights!
* Professional development stipend \- never stop learning!
**Location \&amp; Work Eligibility:**
 We are only able to hire candidates currently residing in the U.S. Unfortunately, we cannot offer visa sponsorship for this role. Applicants must be legally authorized to work in the U.S. without future sponsorship. Candidates applying for this position should meet the residency requirement and be able to provide proof of U.S. work authorization.
**Pay Transparency:** 
 \[NEW YORK ONLY]
 For individuals assigned and/or hired to work in New York, Blackbird.AI is required by law to include a reasonable estimate of the compensation range for this role. This compensation range is specific to New York. It takes into account the wide range of factors that are considered in making compensation decisions, including, but not limited to, skill sets, experience and training, licensure and certifications, and other business and organizational needs. At Blackbird.AI, it is not typical for an individual to be hired at or near the top of the range for their role, and compensation decisions are dependent on the facts and circumstances of each case. A reasonable estimate of the current compensation range for this position is expected to be $160,000 \- $190,000\. This range may vary for positions outside of New York and as it has not been adjusted for the applicable geographic differential associated with the location where the position may be filled.
 Regardless of location, candidates can expect during the first few conversations with Blackbird.AI's Talent Team and Hiring Managers to share any approved budget.
 Apply Today
 Equal Opportunity Employer</t>
        </is>
      </c>
    </row>
    <row r="157">
      <c r="A157" t="inlineStr">
        <is>
          <t>li-4369269462</t>
        </is>
      </c>
      <c r="B157" t="inlineStr">
        <is>
          <t>Sr. Data Platform Engineer</t>
        </is>
      </c>
      <c r="C157" t="inlineStr">
        <is>
          <t>Loloi Rugs</t>
        </is>
      </c>
      <c r="D157" t="inlineStr">
        <is>
          <t>linkedin</t>
        </is>
      </c>
      <c r="E157">
        <f>HYPERLINK("https://www.linkedin.com/jobs/view/4369269462", "https://www.linkedin.com/jobs/view/4369269462")</f>
        <v/>
      </c>
      <c r="F157" t="inlineStr"/>
      <c r="G157" t="inlineStr">
        <is>
          <t>Dallas, TX</t>
        </is>
      </c>
      <c r="H157" t="inlineStr"/>
      <c r="I157" t="inlineStr">
        <is>
          <t>**About Us:** 
 Loloi Rugs is a leading textile brand that designs and crafts rugs, pillows, and throws for the thoughtfully layered home. Family\-owned and led since 2004, Loloi is growing more quickly than ever. To date, we’ve expanded our diverse team to hundreds of employees, invested in multiple distribution facilities, introduced thousands of products, and earned the respect and business of retailers and designers worldwide. A testament to our products and our team, Loloi has earned the ARTS Award for “Best Rug Manufacturer” in 2010, 2011, 2015, 2016, 2018, 2023, and 2025\.
***Security Advisory: Beware of Frauds***
*Protect yourself from potential fraud and verify the authenticity of any job offer you receive from Loloi. Rest assured that we never request payment or demand any sensitive personal information, such as bank details or social security numbers, at any stage of the recruiting process. To ensure genuine communication, our recruiters will solely reach out to applicants using an* 
***@loloirugs.com***
*email address. Your security is of paramount importance to us at Loloi, and we are committed to maintaining a safe and trustworthy hiring experience for all candidates.* 
 We are building the data backbone across Loloi Rugs and Joon Loloi. You won’t just move data; you’ll architect a Lakehouse environment using Microsoft Fabric to power our next generation of Analytics \&amp; AI.
 As a Senior Data Platform Engineer, you will serve as a cornerstone of our small but high\-impact data organization. Reporting to the Director of Data Platform Engineering, you will play a dual role: acting as a hands\-on technical expert within the Azure cloud\-native data ecosystem while also enabling analytics, reporting, and AI/ML initiatives across the business. You will bridge the gap between raw data ingestion and business\-ready intelligence by building reliable, scalable, and governed data foundations. If you thrive in modern data platforms, enjoy solving complex architectural challenges, and take pride in production\-grade engineering, this role is for you.
**Responsibilities**
 Technical Execution
* Enterprise Fabric Management: Lead the implementation, optimization, and operation of Microsoft Fabric artifacts, including Lakehouses, Warehouses, and Notebooks, within a production environment. Ensure performance, scalability, and cost efficiency across capacities and OneLake.
* Pipeline Engineering: Design, build, and monitor end\-to\-end ELT/ETL workflows using Azure Data Factory and Fabric Data Factory. Integrate new data sources reliably while maintaining data quality, observability, and fault tolerance.
* Medallion Architecture: Refine, scale, and enforce Medallion Architecture patterns (Bronze, Silver, Gold) to ensure data quality, lineage, and performance at every stage of the data lifecycle.
* Semantic Layer Ownership: Design and maintain high\-performance Fabric Semantic Models that translate complex data structures into intuitive, analytics\-ready business layers.
 Leadership \&amp; Operations
* Production Reliability: Serve as a primary steward of the production data environment. Proactively monitor system health, resolve incidents, and optimize SQL and Spark workloads to ensure platform stability and performance.
* Platform Standards: Partner with the Director of Data Platform Engineering to define architectural patterns, tooling standards, and operational processes that scale with the organization.
* DevOps \&amp; Governance: Drive engineering excellence through Azure DevOps by managing CI/CD pipelines, Git\-based source control, and automated testing for data products. Adhere to development standards and deployment best practices.
 Stakeholder Collaboration
* Cross\-Functional Enablement: Collaborate closely with analytics, reporting, and AI/ML teams to ensure data products meet downstream requirements for Ecommerce, ERP, and Operations (etc.) use cases.
* Technical Communication: Translate technical architecture and platform decisions into clear, accessible documentation and explanations for non\-technical stakeholders.
**Experience, Skills, \&amp; Ability Requirements**
* 5–7 years of experience in Data Engineering with a primary focus on the Azure ecosystem.
* Deep expertise in Azure\-native tools, including Azure Data Factory (ADF), ADLS Gen2, Microsoft Fabric, Synapse, and Azure SQL.
* Strong SQL skills and proficiency in Python, including PySpark, for data transformation and optimization.
* Hands\-on experience with Microsoft Fabric in a production environment, including OneLake concepts and capacity management.
* Strong understanding of data modeling concepts, including Star Schema design and semantic layer development using DAX.
* Experience using Azure DevOps for CI/CD, version control, and engineering workflow management.
* Excellent communication skills with the ability to explain complex technical concepts clearly and concisely.
* Experience supporting AI/ML initiatives by building feature\-ready datasets or managing infrastructure for experimentation and deployment.
* Advanced proficiency in data modeling for analytics\-ready and reporting\-friendly datasets.
* Familiarity with data requirements for predictive modeling or advanced statistical analysis.
* Microsoft Certified: Azure Data Engineer Associate or Fabric Analytics Engineer Associate.
**What We Offer**
* Health, dental, and vision benefits
* Paid parental leave
* 401(k) with employer match
* A culture of meritocracy that fosters ongoing growth opportunities
* A stable, growing family\-owned company that looks after its employees
 Loloi Rugs does not discriminate on the basis of race, sex, color, religion, age, national origin, marital status, disability, veteran status, genetic information, sexual orientation, gender identity or any other reason prohibited by law in provision of employment opportunities and benefits. We seek a diverse pool of applicants and consider all qualified candidates regardless of race, ancestry, color, gender identity or expression, sexual orientation, religion, national origin, citizenship, disability, Veteran status, marital status, or any other protected status. If you have a special need or disability that requires accommodation, please let us know.</t>
        </is>
      </c>
    </row>
    <row r="158">
      <c r="A158" t="inlineStr">
        <is>
          <t>li-4369248745</t>
        </is>
      </c>
      <c r="B158" t="inlineStr">
        <is>
          <t>Senior Data Engineer</t>
        </is>
      </c>
      <c r="C158" t="inlineStr">
        <is>
          <t>Kanak Elite Services</t>
        </is>
      </c>
      <c r="D158" t="inlineStr">
        <is>
          <t>linkedin</t>
        </is>
      </c>
      <c r="E158">
        <f>HYPERLINK("https://www.linkedin.com/jobs/view/4369248745", "https://www.linkedin.com/jobs/view/4369248745")</f>
        <v/>
      </c>
      <c r="F158" t="inlineStr"/>
      <c r="G158" t="inlineStr">
        <is>
          <t>Virginia, United States</t>
        </is>
      </c>
      <c r="H158" t="inlineStr"/>
      <c r="I158" t="inlineStr">
        <is>
          <t>Hello There,
 My name is
 **Himanshu Sharma** 
 , and I serve as the
 **Recruitment Lead** 
 at
 **Kanak\-IT INC.** 
 I am reaching out to share an excellent career opportunity for the role of
 **Sr. Data Engineer** 
 with our esteemed client. If you are interested then please share your updated resume.
****Job Description****
**Position :** 
 Sr. Data Engineer
**Location :** 
 Washington, DC Onsite (Must be local to DC, MD or VA)
**Duration :** 
 Long term contract
****Description:****
 The client is looking for a senior data engineer for its data modernization efforts associated with its Medicaid data ecosystem.
* Position Purpose
 The Senior Data Engineer serves as the primary technical engine for the agency's Medicaid data ecosystem. This role is unique: it requires a high\-level mastery of our current legacy environment\-characterized by SSIS ETL processes managed via Team Foundation Server (TFS)\-while actively spearheading the execution of our cloud modernization roadmap. Under the direction of the Lead Data Warehouse Solution Architect, you will ensure the stability of current Medicaid reporting while building the future\-state Azure Synapse and Databricks Lakehouse.
* Key Responsibilities
* Legacy Maintenance \&amp; Operational Excellence (Current State)
* ETL Management: Maintain, troubleshoot, and modify complex SSIS packages handling high\-volume Medicaid claims, provider, and member data.
* Version Control: Manage code deployments and branching strategies within TFS, ensuring continuous integration of legacy SQL assets.
* Legacy Reporting Support: Support and optimize SSRS report queries and SSAS tabular/multidimensional models to ensure federal and state compliance reporting remains uninterrupted.
* Modernization \&amp; Migration Execution (Future State)
* Cloud Development: Implement "Medallion Architecture" (Bronze/Silver/Gold) using Azure Databricks (PySpark/SQL) as designed by the Lead Architect.
* Pipeline Refactoring: Lead the transition of legacy SSIS logic into Azure Data Factory (ADF) and Databricks notebooks.
* DevOps Transformation: Facilitate the migration of source control and CI/CD pipelines from TFS to Azure DevOps (Git).
* Synapse Integration: Build and tune Dedicated and Serverless SQL Pools within Azure Synapse to facilitate advanced analytics and AI\-readiness.
* Data Governance \&amp; Security
* Medicaid Compliance: Implement Row\-Level Security (RLS) and automated data masking for PHI/PII in accordance with HIPAA, CMS MARS\-E, and NIST standards.
* Data Quality: Develop automated data validation frameworks to ensure data parity between legacy SQL systems and the new Cloud Lakehouse.
* Competencies for Success
* Technical Agility: The ability to pivot between a 10\-year\-old SSIS package and a modern Databricks Spark job in the same day.
* Collaboration: Ability to take high\-level architectural blueprints from the Lead Architect and translate them into high\-performance, production\-ready code.
* Attention to Detail: Absolute precision in Medicaid data handling, where an error in logic can impact member benefits or federal funding.
****Responsibilities:****
* Leads the adoption or implementation of an advanced technology or platform.
* Expert on the functionality or usage of a particular system, platform, or technology product.
* Serves as a consultant to clients, guiding the efficient use or adoption of a particular IT product or platform.
* Creates implementation, testing, and/or integration plans.
* Demonstrates expertise in a particular IT platform or service, allowing for maximum IT investment.
****Minimum Education/ Certification Requirements:****
 Bachelor's degree in Information Technology or related field or equivalent experience
 Training or certification in a particular product or IT platform/service, as required
**Skill**
****Required / Desired****
**Required Years Experience**
****Candidate Years Experience****
 Maintaining SQL Server (SSIS/SSAS/SSRS) while concurrently deploying Azure cloud solutions.
**Required**
 7
 Expert\-level proficiency in SSIS and T\-SQL. Advanced proficiency in Azure Databricks (Unity Catalog, Delta Lake) and Azure Synapse.
**Required**
 7
 Deep experience with TFS (Team Foundation Server) and a strong desire to migrate workflows to Git/Azure DevOps.
**Required**
 7
 Mastery of SQL and Python (PySpark).
**Required**
 7
 6\-10 yrs. leading advanced technology projects or service projects
**Required**
 7
 6\-10 yrs. full system engineering lifecycle
**Required**
 7
 Bachelor's degree
**Required**
 Experience with Microsoft Purview for data cataloging.
 Highly desired
 3
 Extensive experience with Medicaid/Medicare data structures (e.g., MMIS, EDI 837/835, claims processing).
 Highly desired
 3
 Microsoft Certified: Azure Data Engineer Associate or Databricks Certified Professional Data Engineer.
 Highly desired
 Experience in a government or highly regulated environment.
 Highly desired
 7
**Thanks \&amp; Regards**
**Himanshu Sharma**
**Recruitment Lead**
 Email : Himanshu01@kanakits.com
 LinkedIn : https://www.linkedin.com/in/himanshustaffingexpert/
***Kanak IT is an equal opportunity employer. We consider all applicants for employment without regard to citizenship, immigration status, race, gender, disability, or any other protected category.***</t>
        </is>
      </c>
    </row>
    <row r="159">
      <c r="A159" t="inlineStr">
        <is>
          <t>li-4368779096</t>
        </is>
      </c>
      <c r="B159" t="inlineStr">
        <is>
          <t>Sr. Data Engineer- with ETL Data Stage 11.7</t>
        </is>
      </c>
      <c r="C159" t="inlineStr">
        <is>
          <t>People Consultancy Services (PCS)</t>
        </is>
      </c>
      <c r="D159" t="inlineStr">
        <is>
          <t>linkedin</t>
        </is>
      </c>
      <c r="E159">
        <f>HYPERLINK("https://www.linkedin.com/jobs/view/4368779096", "https://www.linkedin.com/jobs/view/4368779096")</f>
        <v/>
      </c>
      <c r="F159" t="inlineStr"/>
      <c r="G159" t="inlineStr"/>
      <c r="H159" t="inlineStr"/>
      <c r="I159" t="inlineStr">
        <is>
          <t>**Position \- Sr. Data Engineer** 
**Location \- Remote (Pleasanton, CA)** 
**Duration \- 12\+ Months** 
**Top 3\-5 Must Haves** 
* Experience working with large\-scale data pipelines and cloud infrastructure ( cloud ETL tools like Glue etc., and Data Warehousing solutions like Redshift etc., )
* Knowledge of Deploying and maintaining cloud\-based infrastructure for data workflows (e.g., AWS, GCP, Azure, RedShift)
* 2 years of technical expertise in Cloud applications, Data ingestion, and Databricks Data Lakehouse platform
* 4 years of extensive hands\-on experience in building ETL interfaces using DataStage version 11\.7 to aggregate, cleanse and migrate data across enterprise\-wide Big Data, and Data Warehousing systems using staged data processing techniques, patterns, and best practices.
* Combined 4 years of experience of advanced SQL and stored procedures (in DB2, SQL Server, and Oracle Database Platforms) with hands\-on experience of designing solutions for optimal performance and handling other non\-functional aspects of availability, reliability, and security of DATASTAGE ETL Platform.
**TECHNICAL KNOWLEDGE AND SKILLS:** 
 \*\* Over all experience required Min. 12\+ Yrs. in data developments candidates.
* Strong analytical skills with the ability to analyze information, identify and formulate solutions to problems. Provides more in\-depth analysis with a high\-level view of goals and end deliverables.
* Over 5 years of proven work experience in DataStage, with version 11\.0 or above, including over two years of DataStage version 11\.7 is a must.
* Over 3 years of proven work experience on scripting languages such as Perl, Shell, and Linux/Unix servers, files structure, and scheduling.</t>
        </is>
      </c>
    </row>
    <row r="160">
      <c r="A160" t="inlineStr">
        <is>
          <t>li-4362324877</t>
        </is>
      </c>
      <c r="B160" t="inlineStr">
        <is>
          <t>Sr. Data Engineer I</t>
        </is>
      </c>
      <c r="C160" t="inlineStr">
        <is>
          <t>iHerb</t>
        </is>
      </c>
      <c r="D160" t="inlineStr">
        <is>
          <t>linkedin</t>
        </is>
      </c>
      <c r="E160">
        <f>HYPERLINK("https://www.linkedin.com/jobs/view/4362324877", "https://www.linkedin.com/jobs/view/4362324877")</f>
        <v/>
      </c>
      <c r="F160">
        <f>HYPERLINK("https://job-boards.greenhouse.io/iherb/jobs/7578260003&amp;urlHash=N5PW", "https://job-boards.greenhouse.io/iherb/jobs/7578260003&amp;urlHash=N5PW")</f>
        <v/>
      </c>
      <c r="G160" t="inlineStr"/>
      <c r="H160" t="inlineStr"/>
      <c r="I160" t="inlineStr">
        <is>
          <t>**Job Description**
 We are looking for a Senior Data Engineer to help evolve and scale our modern data ecosystem, including our data lake, data warehouse, and machine\-learning enablement platforms. This role will contribute to the company’s data\-driven culture, bring innovative approaches to cloud\-native engineering, and help advance our MLOps capabilities to support production\-grade AI/ML initiatives. You will collaborate closely with data scientists, analytics engineers, and cross\-functional partners to deliver reliable, high\-quality data and operationalized machine\-learning solutions.
**Responsibilities**
* Designs and builds scalable data extracts, integrations, transformations, and data models.
* Ensures successful deployment and provisioning of data solutions across required environments.
* Designs and implements data architectures and applications that enable speed, quality, and operational efficiency.
* Interacts with cross\-functional stakeholders to gather and define requirements and translate them into technical designs.
* Develops deep familiarity with enterprise datasets, builds domain knowledge, and advances data quality.
* Reviews requirements, identifies gaps, and drives resolution with stakeholders.
* Identifies and recommends continuous improvement opportunities, ensuring integrations are automated, governed, and observable.
* Serves as a key team member in designing and deploying a ground\-up cloud data platform and pipeline.
* Partners with data scientists to design, build, and maintain reproducible machine\-learning pipelines, including feature engineering, model training, validation, deployment, and monitoring.
* Implements CI/CD for data and ML workflows (model packaging, automated testing, environment management, release automation).
* Builds and maintains production\-grade ML infrastructure such as feature stores, model registries, data versioning, and experiment tracking frameworks (e.g., MLflow).
* Ensures ML models follow best\-practice governance, including automated model performance monitoring, drift detection, logging, observability, and alerting.
* Designs scalable data pipelines optimized for ML workloads, such as batch, streaming, and real\-time inference use cases.
* Establishes MLOps standards, coding practices, and automation patterns that scale across teams.
**Qualifications**
* Bachelor or Master\`s degree in technical discipline such as Computer Science, Information Systems or another technical field
* People person, team player with a strong can\-do mentality
* 5\+ years of experience as a Data Engineer within a data and analytics environment.
* Strong interpersonal skills with a collaborative, proactive, and solution\-driven mindset.
* Proficiency in data modeling concepts and techniques.
* Expertise with Databricks and other cloud data warehousing solutions such as S3, Redshift, or BigQuery.
* Hands\-on experience building data pipelines and ETL/ELT workflows using PySpark for semi\-structured data (merge, delete, combine, wrangling).
* Advanced knowledge of Python and advanced working SQL skills including query optimization.
* Ability to write, test, and debug RESTful APIs.
* Experience working in agile, cross\-functional environments.
* Strong analytical, problem\-solving, and critical\-thinking capabilities.
* Ability to guide junior engineers and contribute to technical design reviews.
* Strong communication skills with the ability to present complex concepts clearly.
* Experience in data quality initiatives such as Master Data Management (MDM).
* Experience operationalizing machine\-learning models in production environments.
* Hands\-on experience with ML tooling such as MLflow, SageMaker, Databricks ML, Kubeflow, or similar.
* Experience implementing CI/CD pipelines for data and ML workloads, including automated testing, deployment pipelines, and environment configuration.
* Understanding of model lifecycle management, data versioning, feature store design, and model monitoring concepts.
* Experience containerizing ML workloads using Docker and deploying them via cloud\-native services or orchestrators.
* Familiarity with monitoring frameworks, experiment tracking, and performance observability for ML models.
**Highly Desired AWS Certifications (any)**
* DevOps experience with CICD \&amp; unit/integration testing, Docker containerization, workflow orchestration
* Databricks certifications – Associate/Professional
* AWS Certified Solutions Architect – Associate/Professional
* AWS Certified Developer – Associate/Professional
* AWS Certified DevOps Engineer
* AWS Certified Solutions Architect
* AWS Certified Data Analytics
* AWS Certified Security \- Specialty
* AWS Certified Cloud Practitioner
 The anticipated pay scale for this position can be found below, however the pay range applicable to you may vary by geographic location based on where the job is located or where you work. The final pay offered to a successful candidate will be dependent on several factors that may include but are not limited to the type and years of experience within the job, the type of years and experience within the industry, education, etc. iHerb, LLC is a multi\-state employer and this pay scale may not reflect positions that work in other states or locations.
 Employees (and their families) that meet eligibility criteria as outlined in applicable plan documents are eligible to participate in our medical, dental, vision, and basic life insurance programs and may enroll in our company’s 401(k) plan. Employees will also be eligible for Time Off and Paid Sick Leave pursuant to the company’s policies. Employees will enjoy paid holidays throughout the calendar year. Eligibility requirements for these benefits will be controlled by applicable plan documents.
 Hired applicant may be awarded Restrict Stock Units and receive annual bonuses pursuant to eligibility and performance criteria defined in the respective plan documents and policies.
 For more information on iHerb benefits, visit us at iHerbBenefits.com.
**Anticipated Pay Scale**
 $115,850—$184,307 USD
**Staffing Agency Submission Notice**
 iHerb does not accept unsolicited 3rd party ("Agency") candidates. If you are an Agency, please send any requests to be considered as a supplier in our Vendor Management System to staffingvendors@iherb.com. Do not contact iHerb employees directly. If requested to work on a role, any Agency candidates would be presented through the internal recruiting organization.
**About IHerb**
 iHerb is on a mission to make health and wellness accessible to all. We offer Earth’s best\-curated selection of health and wellness products, at the best possible value, delivered with the most convenient experience.
 We’re the world’s largest eCommerce platform dedicated to vitamins, minerals, and supplements, and other health and wellness products. For more than 25 years, we’ve been making it simple for people all over the world to purchase the highest quality products. From supplements to skincare to grocery items, we ship over 50,000 products, from over 1,800 brands direct to our customers in 180\+ countries.
 Our vision is to become the \#1 destination for health and wellness across the world.
 With a Passion For Wellness And a Mind For Innovative Solutions, IHerb Team Members Share a Vision For a Healthier World That Drives Them Each Day. Our 5 Shared Values Unite Our Global Team
 Focus on the Customer
* Empower Our People
* Be Entrepreneurial \&amp; Pivot Quickly
* Embrace Diversity \&amp; Inclusion
* Strive for Simplicity
**IHerb Benefits**
 At iHerb, we are dedicated to offering programs designed to help our employees and their families stay healthy, live well, and plan for their financial future. Built on a strong foundation, our programs provide options and upgrades with flexibility, protection, and security in mind. For the comprehensive benefits list, visit www.iHerbBenefits.com. For our international team members, you may be eligible for benefits depending on the country where you are employed. The Talent Acquisition Partner/local HR representative will go over the benefits you are eligible for.
 iHerb is an Equal Opportunity employer. All qualified applicants will receive consideration for employment without regard to race, color, religion, sex, sexual orientation, gender identity, national origin, disability or veteran status. iHerb provides equal employment opportunities to all applicants for employment and prohibits discrimination and harassment.</t>
        </is>
      </c>
    </row>
    <row r="161">
      <c r="A161" t="inlineStr">
        <is>
          <t>li-4368766428</t>
        </is>
      </c>
      <c r="B161" t="inlineStr">
        <is>
          <t>Analytics Engineer</t>
        </is>
      </c>
      <c r="C161" t="inlineStr">
        <is>
          <t>RemoteHunter</t>
        </is>
      </c>
      <c r="D161" t="inlineStr">
        <is>
          <t>linkedin</t>
        </is>
      </c>
      <c r="E161">
        <f>HYPERLINK("https://www.linkedin.com/jobs/view/4368766428", "https://www.linkedin.com/jobs/view/4368766428")</f>
        <v/>
      </c>
      <c r="F161" t="inlineStr"/>
      <c r="G161" t="inlineStr"/>
      <c r="H161" t="inlineStr"/>
      <c r="I161"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62">
      <c r="A162" t="inlineStr">
        <is>
          <t>li-4362740696</t>
        </is>
      </c>
      <c r="B162" t="inlineStr">
        <is>
          <t>Big Data Engineer / Developer</t>
        </is>
      </c>
      <c r="C162" t="inlineStr">
        <is>
          <t>Accenture Federal Services</t>
        </is>
      </c>
      <c r="D162" t="inlineStr">
        <is>
          <t>linkedin</t>
        </is>
      </c>
      <c r="E162">
        <f>HYPERLINK("https://www.linkedin.com/jobs/view/4362740696", "https://www.linkedin.com/jobs/view/4362740696")</f>
        <v/>
      </c>
      <c r="F162">
        <f>HYPERLINK("https://boards.greenhouse.io/accenturefederalservices/jobs/4623444006?gh_jid=4623444006&amp;gh_src=17d6aa496us&amp;urlHash=eYfR", "https://boards.greenhouse.io/accenturefederalservices/jobs/4623444006?gh_jid=4623444006&amp;gh_src=17d6aa496us&amp;urlHash=eYfR")</f>
        <v/>
      </c>
      <c r="G162" t="inlineStr">
        <is>
          <t>Washington, DC</t>
        </is>
      </c>
      <c r="H162" t="inlineStr"/>
      <c r="I162"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a technology company and part of global Accenture, to do work that matters in a collaborative and caring community, where you feel like you belong and are empowered to grow, learn and thrive through hands\-on experience, certifications, industry training and more.
 Join us to drive positive, lasting change that moves missions and the government forward!
**Job Overview:** 
 As a GCP Data Pipeline Developer \&amp; BigQuery Data Engineer, you will be responsible for designing, developing, and maintaining data pipelines on Google Cloud Platform (GCP). Your role will involve working with BigQuery to analyze and optimize large datasets, as well as implementing ETL processes to ensure data quality and integrity. Proficiency in foundational GCP services, BigQuery, data engineering principles, SQL, and PySpark will be essential for success in this position. Additionally, experience with ETL tools such as Qlik Data Integration or FiveTran would be a valuable asset in this role.
 In this role, you will have the opportunity to work on complex data projects that require a deep understanding of cloud\-based data processing and analysis. Your expertise in GCP and BigQuery will be crucial in developing efficient data pipelines that meet the organization's data processing needs. Strong SQL skills will be necessary for querying and manipulating data within BigQuery, while experience with PySpark will enable you to perform advanced data transformations and analytics. Overall, your ability to leverage these tools and technologies effectively will be key to driving data\-driven decision\-making within the organization.
**Key Responsibilities:**
* Develop and maintain GCP data pipelines.
* Design and optimize BigQuery data structures.
* Utilize SQL and PySpark for data processing.
* Collaborate with team members on data engineering projects.
* Implement ETL processes using tools like GCP Dataflow, Qlik Data Integration, or FiveTran.
**Here's What You Need:**
* Proficiency in foundational GCP services.
* Strong experience with BigQuery.
* Solid understanding of data engineering principles.
* Advanced SQL skills for querying and manipulating data.
* Experience with PySpark for data transformations and analytics.
* Familiarity with ETL tools such as Qlik Data Integration or FiveTran.
* Ability to design and implement scalable data solutions.
* Strong analytical and problem\-solving skills.
* Excellent collaboration and communication skills.
* US Citizenship required, No Dual Citizenship
**Bonus points if you have:**
* Experience with other cloud platforms and big data technologies.
* Previous experience in a similar role within a data\-driven organization.
* Certifications related to GCP, BigQuery, or data engineering.
 As required by local law, Accenture Federal Services provides reasonable ranges of compensation for hired roles based on labor costs in the states of
 **California, Colorado, Hawaii, Illinois, Maryland, Massachusetts, Minnesota, New Jersey, New York, Washington, Vermont, the District of Columbia, and the city of Cleveland** 
 . The base pay range for this position in these locations is shown below. Compensation for roles at Accenture Federal Services varies depending on a wide array of factors, including but not limited to office location, role, skill set, and level of experience. Accenture Federal Services offers a wide variety of benefits. You can find more information on benefits here. We accept applications on an on\-going basis and there is no fixed deadline to apply.
 The pay range for the states of California, Colorado, Hawaii, Illinois, Maryland, Massachusetts, Minnesota, New Jersey, New York, Washington, Vermont, the District of Columbia, and the city of Cleveland is:
 $76,100—$136,700 USD
***What We Believe***
*As a company wholly dedicated to serving the US federal government, we bring together the best talent to help reinvent how federal agencies operate and deliver greater value for their mission and the American people. We have an unwavering commitment to creating a culture in which all our people are respected, feel a sense of belonging, and have equal opportunity. As a business imperative, every person at Accenture Federal Services has the responsibility to create and sustain a culture where everyone feels welcomed and included. This is grounded in our core values and our experience that hiring and developing great people who reflect different perspectives, experiences, and backgrounds is key to driving innovation and delivering the results that our clients and the country count on.*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Federal Services Equal Opportunity Policy Statement.*
*Accenture Federal Services is an Equal Employment Opportunity employer. Additionally, as an Affirmative Action Employer for Veterans and Individuals with Disabilities, Accenture Federal Services is committed to providing veteran employment opportunities to our service men and women.*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t>
        </is>
      </c>
    </row>
    <row r="163">
      <c r="A163" t="inlineStr">
        <is>
          <t>li-4369280372</t>
        </is>
      </c>
      <c r="B163" t="inlineStr">
        <is>
          <t>Staff Data Engineer</t>
        </is>
      </c>
      <c r="C163" t="inlineStr">
        <is>
          <t>BLACKBIRD.AI</t>
        </is>
      </c>
      <c r="D163" t="inlineStr">
        <is>
          <t>linkedin</t>
        </is>
      </c>
      <c r="E163">
        <f>HYPERLINK("https://www.linkedin.com/jobs/view/4369280372", "https://www.linkedin.com/jobs/view/4369280372")</f>
        <v/>
      </c>
      <c r="F163" t="inlineStr"/>
      <c r="G163" t="inlineStr">
        <is>
          <t>Dallas, TX</t>
        </is>
      </c>
      <c r="H163" t="inlineStr"/>
      <c r="I163" t="inlineStr">
        <is>
          <t>Blackbird.AI helps organizations discover emergent threats and stay one step ahead of real\-world harm through our AI\-powered Narrative and Risk Intelligence Platform. Our commitment is to prioritize safety and security, providing the tools to identify potential risks and ensure a safer environment proactively. No matter the job or where it's located, we're all connected by a shared vision: To lead and enhance the landscape of risk intelligence.
 As a Staff Data Engineer, you will play a critical role in architecting and scaling our data platform and AI/ML processing infrastructure. You'll be a technical leader responsible for our entire data ecosystem—from ingestion pipelines that process diverse data sources to the lakehouse architecture that powers our narrative analysis capabilities. You'll architect systems that seamlessly support batch and streaming data patterns while building real time alerting on generated insights.
 You'll work at the intersection of data engineering, AI\-powered data transformation, and platform engineering, making architectural decisions that will shape our ability to detect misinformation, disinformation, and narrative attacks at scale while managing costs effectively. A key aspect of this role involves building intelligent pipelines that use traditional AI and generative AI to cluster, enrich, classify, and extract insights from data as it flows through our system.
 As a Staff Data Engineer you will:
* Design and implement scalable data platform architecture on Databricks, supporting both batch and streaming ingestion
* Build robust, fault\-tolerant data ingestion pipelines that integrate with multiple third\-party APIs and data providers
* Design and implement AI\-powered enrichment stages within pipelines—applying ML clustering, generative AI summarization, classification, and entity extraction to transform raw data into actionable intelligence
* Build analytical systems with full\-text search capabilities using Elasticsearch for rapid querying and analysis of enriched data
* Work with AI/ML researchers to implement, integrate and scaling AI processing
* Expose data platform capabilities as APIs and other interfaces for downstream consumption by applications and services
* Optimize data lake and lakehouse architecture for performance, cost\-efficiency, and scalability
* Design and implement data quality frameworks, monitoring, and alerting systems
* Design efficient architectures for calling external AI APIs and managing rate limits, costs, and reliability
* Architect solutions with cost\-efficiency as a first\-class concern, implementing monitoring and optimization strategies for compute and storage
* Make critical build\-vs\-buy decisions and establish architectural standards for the data organization
* Mentor engineers and elevate the team's technical capabilities through code reviews, design discussions, and knowledge sharing
**Requirements**
* 8\+ years of software engineering experience with 5\+ years focused on data platforms or data engineering
* Deep expertise with Databricks, Apache Spark, and data lakehouse architectures
* Strong experience building and operating data pipelines at scale (handling TBs\+ of data)
* Experience integrating AI/ML capabilities into data pipelines (clustering, LLM APIs, classification, summarization)
* Proficiency in Python, DBT, and SQL for data processing and pipeline development
* Experience with both batch and streaming large scale data processing patterns
* Strong understanding of cloud platforms (AWS, Azure)
* Excellent communication skills and ability to mentor engineers
**Preferred Qualifications:**
* Experience designing both batch and streaming/near real\-time data architectures
* Proficiency with Elasticsearch for building analytical systems with full\-text search capabilities
* Hands\-on experience with LLM APIs and understanding of rate limiting and cost optimization
* Experience with Agentic AI, context engineering, and evaluation
* Background in trust \&amp; safety, security, or content moderation domains
* Experience with data observability tools and building comprehensive monitoring systems
* Prior experience at a startup or fast\-paced environment
* Apply agentic coding tools for day to day development
* Familiarity with Databricks' Lakeflow, Agent Bricks, and vector databases
**What's in it for you:**
 Blackbird.AI is embarking on an exciting growth journey with numerous opportunities for career development within the company. You will join a nurturing, inclusive, and experienced team.
 Join us as we soar to new heights!
**Values:**
 At Blackbird.AI, our core values shape how we work and make decisions. Our values inspire us to be authentic and continue improving.
 We embrace a strong sense of responsibility to society, recognizing the vital role our services play in empowering governments, communities, and individuals to foster critical thinking and empowerment. We believe in integrating personal and professional lives with societal needs, emphasizing the importance of creating an environment that attracts top talent and provides substantial growth opportunities. We are motivated by the potential of science and technology to impact humanity positively.
**Benefits**
* Competitive compensation package, 401(k), and equity \- everyone has a stake in our growth!
* Comprehensive health benefits for you and your loved ones, including wellness days and monthly wellness reimbursements \- an apple a day doesn't always keep the doctor away!
* Generous vacation policy, encouraging you to take the time you need \- we trust you to strike the right work/life balance!
* A flexible work environment with opportunities to collaborate with your team in person \- you can have it all!
* Inclusion and Impact \- soar to new heights!
* Professional development stipend \- never stop learning!
**Location \&amp; Work Eligibility:**
 We are only able to hire candidates currently residing in the U.S. Unfortunately, we cannot offer visa sponsorship for this role. Applicants must be legally authorized to work in the U.S. without future sponsorship. Candidates applying for this position should meet the residency requirement and be able to provide proof of U.S. work authorization.
**Pay Transparency:** 
 \[NEW YORK ONLY]
 For individuals assigned and/or hired to work in New York, Blackbird.AI is required by law to include a reasonable estimate of the compensation range for this role. This compensation range is specific to New York. It takes into account the wide range of factors that are considered in making compensation decisions, including, but not limited to, skill sets, experience and training, licensure and certifications, and other business and organizational needs. At Blackbird.AI, it is not typical for an individual to be hired at or near the top of the range for their role, and compensation decisions are dependent on the facts and circumstances of each case. A reasonable estimate of the current compensation range for this position is expected to be $160,000 \- $190,000\. This range may vary for positions outside of New York and as it has not been adjusted for the applicable geographic differential associated with the location where the position may be filled.
 Regardless of location, candidates can expect during the first few conversations with Blackbird.AI's Talent Team and Hiring Managers to share any approved budget.
 Apply Today
 Equal Opportunity Employer</t>
        </is>
      </c>
    </row>
    <row r="164">
      <c r="A164" t="inlineStr">
        <is>
          <t>li-4367408660</t>
        </is>
      </c>
      <c r="B164" t="inlineStr">
        <is>
          <t>Senior Data Engineer | Remote</t>
        </is>
      </c>
      <c r="C164" t="inlineStr">
        <is>
          <t>King's Insurance Staffing</t>
        </is>
      </c>
      <c r="D164" t="inlineStr">
        <is>
          <t>linkedin</t>
        </is>
      </c>
      <c r="E164">
        <f>HYPERLINK("https://www.linkedin.com/jobs/view/4367408660", "https://www.linkedin.com/jobs/view/4367408660")</f>
        <v/>
      </c>
      <c r="F164" t="inlineStr"/>
      <c r="G164" t="inlineStr">
        <is>
          <t>New Jersey, United States</t>
        </is>
      </c>
      <c r="H164" t="inlineStr"/>
      <c r="I164" t="inlineStr">
        <is>
          <t>Our client, a highly respected A\-rated P\&amp;C Insurance Company, is seeking an experienced Senior Data Engineer (Azure) to join their growing IT department. This is a unique opportunity to spearhead data engineering initiatives and lead a team responsible for building and optimizing scalable data pipelines and architectures. The ideal candidate will bring a blend of technical depth, strategic thinking, and leadership experience to drive the company's data strategy forward. This role offers the flexibility to work remotely but candidate MUST reside in New Jersey or New York.
**Key Responsibilities:** 
* Drive cloud\-based data solutions using platforms such as Microsoft Azure (e.g., Data Factory, Synapse Analytics, Databricks).
* Actively design, build, and deploy application solutions by writing, testing, and maintaining code across the full stack or within low\-code/no\-code platforms as appropriate.
* Work directly with stakeholders and technical partners to gather requirements and turn them into practical, scalable technical solutions.
* Implement and refine application architectures, contributing code and configurations that improve performance, reliability, and maintainability.
* Develop and execute automated unit and integration tests, and contribute directly to regression testing efforts to ensure high\-quality releases.
* Perform detailed code reviews, provide technical feedback, and apply best practices to improve overall code quality.
* Collaborate daily with engineers, QA, automation specialists, analysts, and project managers to deliver features and enhancements on schedule.
* Engage directly with external vendors and contract resources, supporting implementation efforts and ensuring alignment with technical standards.
**Qualifications / Requirements:** 
* 5 \- 10\+ years of hands\-on experience in data engineering with advanced proficiency in SQL, Python, and big data tools (e.g., Spark, Databricks). Proven experience designing and managing ETL/ELT processes and pipelines in Azure or other cloud environments.
* Strong foundation in application architecture and system design, with the ability to evaluate, structure, and scale solutions effectively.
* Hands\-on experience applying established design patterns to implement business logic within middle\-tier services, leveraging web services and modern architectural principles as appropriate.
* Experience building and supporting cloud\-native solutions using Microsoft Azure, with exposure to services such as App Services, Azure Functions, AKS, Azure DevOps, Azure SQL, and related platform or infrastructure components.
* Solid programming experience with C\# and SQL, including hands\-on work with SQL Server environments and associated tooling.
* Demonstrated capability in designing, developing, and maintaining REST\-based backend services, with familiarity in multi\-layered API architectures that separate process and experience concerns.
* Strong background in automated testing practices, including writing unit tests with dependency injection and mocking frameworks, as well as contributing to integration and regression testing strategies.
* Practical knowledge of DevOps concepts, including CI/CD automation, pipeline configuration, and experience working within Agile delivery models.
* Bachelor’s degree in Computer Science, Data Engineering, Information Systems, or a related technical field from an accredited U.S. institution.
* Microsoft Azure Data Engineering certification is strongly preferred.
**Salary / Benefits:** 
* $175,000 \- $200,000\+ annual base salary plus 10–20% performance bonus
* Flex schedule and ability to work remote
* Extremely competitive Medical, Dental, Vision, and Life insurance plans
* Employer matching 401(k) plan
* Generous PTO plan</t>
        </is>
      </c>
    </row>
    <row r="165">
      <c r="A165" t="inlineStr">
        <is>
          <t>li-4359860451</t>
        </is>
      </c>
      <c r="B165" t="inlineStr">
        <is>
          <t>Senior Data Engineer</t>
        </is>
      </c>
      <c r="C165" t="inlineStr">
        <is>
          <t>Spring Venture Group</t>
        </is>
      </c>
      <c r="D165" t="inlineStr">
        <is>
          <t>linkedin</t>
        </is>
      </c>
      <c r="E165">
        <f>HYPERLINK("https://www.linkedin.com/jobs/view/4359860451", "https://www.linkedin.com/jobs/view/4359860451")</f>
        <v/>
      </c>
      <c r="F165" t="inlineStr"/>
      <c r="G165" t="inlineStr">
        <is>
          <t>Kansas City, MO</t>
        </is>
      </c>
      <c r="H165" t="inlineStr"/>
      <c r="I165" t="inlineStr">
        <is>
          <t>**Company Description**
**Who We Are:**
 Spring Venture Group is a leading digital direct\-to\-consumer sales and marketing company with product offerings focused on the senior market. We specialize in distributing Medicare Supplement, Medicare Advantage, and related products via our family of brands and dedicated team of licensed insurance agents. Powered by our unique technologies that combine sophisticated marketing, comparison shopping, sales execution, and customer engagement – we help thousands of seniors across the country navigate the complex world of Medicare every day.
**Job Description**
**This person has the opportunity to work primarily remote in the Kansas City or surrounding areas, making occasional visits to the office, but must CURRENTLY be in the Kansas City area.**
**We are unable to sponsor for this role, this includes international students.**
**Overview**
 The Data Management team is responsible for all things data at Spring Venture Group. Most importantly, our team is responsible for constructing high quality datasets that enable our business stakeholders and world\-class Analytics department to make data informed decisions. Data engineers, combining Software Engineering and Database Engineering, serve as a primary resource for expertise with writing scripts and SQL queries, monitoring our database stability, and assisting with data governance ensuring availability for business\-critical systems. The DE III works with a team of engineers of varying levels to design, develop, test, and maintain software applications and programs. The DE III will be expected to work independently when needed to solve the most complex problems encountered. They will be expected to be a leader and a mentor.
**Essential Duties**
*The essential duties for this role include, but are not limited to:*
* Serve as a primary advisor to Data Engineering Manager to identify and bring attention to opportunities for technical improvements, reduction of technical debt, or automation of repeated tasks.
* Build advanced data pipelines utilizing the medallion architecture to create high quality single source of truth data sources in Snowflake
* Architect replacements of current Data Management systems with respect to all aspects of data governance
* Design advanced services with multiple data pipelines to securely and appropriately store company assets in our enterprise data stores.
* Technically advise any member of the data engineering department, providing direction when multiple paths forward present themselves.
* Actively participate as a leader in regular team meetings, listening and ensuring that one is assisting others at every chance for growth and development.
* Write advanced ETL/ELT scripts where appropriate to integrate data of various formats into enterprise data stores.
* Take ownership (both individually and as part of a team) of services and applications
* Write complex SQL queries, scripts, and stored procedures to reliably and consistently modify data throughout our organization according to business requirements
* Collaborate directly and independently with stakeholders to build familiarity, fully understand their needs, and create custom, modular, and reliable solutions to resolve their requests
* Document and demonstrate solutions by developing documentation, flowcharts, layouts, diagrams, charts, code comments and clear code
* Work with Project Managers, Solution Architects, and Software Development teams to build solutions for Company Initiatives on time, on budget, and on value.
* Independently architect solutions to problems of high complexity, and advise junior and mid\-level engineers on problems of medium complexity.
* Create data pipelines using appropriate and applicable technologies from Amazon Web Services (AWS) to serve the specific needs of the business.
* Ensure 99\.95% uptime of our company’s services monitoring data anomalies, batch failures, and our support chat for one week per team cycle from 8am\-9pm.
* Follow and embrace procedures of both the Data Management team and SVG Software Development Life Cycle (SDLC), including obtaining and retaining IT Security Admin III clearance.
* Support after hours and weekend releases from our internal Software Development teams.
* Actively participate in code review and weekly technicals with another more senior engineer or manager.
* Assist departments with time\-critical SQL execution and debug database performance problems.
**ROLE COMPETENCIES**
 The competencies for this role include, but are not limited to:
* Emotional Intelligence
* Drive for Results
* Continuous Improvement
* Communication
* Strategic Thinking
* Teamwork and Collaboration
**Qualifications**
**POSITION REQUIREMENTS**
**The Requirements To Fulfill This Position Are As Follows**
* Bachelor's degree in Computer Science, or a related technical field.
* 4\-7 years of practical production work in Data Engineering.
* Expertise of the Python programming language.
* Expertise of Snowflake
* Expertise of SQL, databases, \&amp; query optimization.
* Must have experience in a large cloud provider such as AWS, Azure, GCP.
* Advanced at reading code independently and understanding its intent.
* Advanced at writing readable, modifiable code that solves business problems.
* Ability to construct reliable and robust data pipelines to support both scheduled and event based workflows.
* Working directly with stakeholders to create solutions.
* Mentoring junior and mid\-level engineers on best practices in programming, query optimization, and business tact.
**Benefits**
**Additional Information**
*The Company offers the following benefits for this position, subject to applicable eligibility requirements:*
* Competitive Compensation
* Medical, Dental and vision benefits after a short waiting period
* 401(k) matching program
* Life Insurance, and Short\-term and Long\-term Disability Insurance
* Optional enrollment includes HSA/FSA, AD\&amp;D, Spousal/Dependent Life Insurance, Travel Assist and Legal Plan
* Generous paid time off (PTO) program starting off at 15 days your first year
* 15 paid Holidays (includes holiday break between Christmas and New Years)
* 15 days of Paid Parental Leave
* Annual Volunteer Time Off (VTO) and a donation matching program
* Employee Assistance Program (EAP) \- health and well\-being on and off the job
* Rewards and Recognition
* Diverse, inclusive and welcoming culture
* Training program and ongoing support throughout your Venture Spring Venture Group career
**Security Responsibilities**
* Operating in alignment with policies and standards
* Reporting Security Incidents Completing assigned training
* Protecting assigned organizational assets
 Spring Venture Group is an Equal Opportunity Employer</t>
        </is>
      </c>
    </row>
    <row r="166">
      <c r="A166" t="inlineStr">
        <is>
          <t>li-4369235460</t>
        </is>
      </c>
      <c r="B166" t="inlineStr">
        <is>
          <t>Data Engineer Co-Op</t>
        </is>
      </c>
      <c r="C166" t="inlineStr">
        <is>
          <t>Freudenberg Sealing Technologies</t>
        </is>
      </c>
      <c r="D166" t="inlineStr">
        <is>
          <t>linkedin</t>
        </is>
      </c>
      <c r="E166">
        <f>HYPERLINK("https://www.linkedin.com/jobs/view/4369235460", "https://www.linkedin.com/jobs/view/4369235460")</f>
        <v/>
      </c>
      <c r="F166" t="inlineStr"/>
      <c r="G166" t="inlineStr">
        <is>
          <t>Plymouth, MI</t>
        </is>
      </c>
      <c r="H166" t="inlineStr"/>
      <c r="I1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Save for retirement with the company's help.
**Health Insurance:** 
 Rely on comprehensive services whenever you need it.
**Vacation:** 
 We offer time off to refresh and recharge.
**Sustainability \&amp; Social Commitment:** 
 We support social and sustainable projects and encourage employee involvement.
**Paid Holidays:** 
 With paid\-time off, local holidays are all the way more relaxing.
 Plymouth, MI
 On\-Site
 Freudenberg\-NOK General Partnership
**Data Engineer Co\-Op**
**Responsibilities**
* Assist with extracting, cleaning, and transforming datasets from Excel, CSV, SQL databases, and JSON‑based APIs.
* Support Databricks Bronze → Silver data pipeline development (i.e. Moving data from local sources to cloud storage)
* Perform basic data modeling tasks such as identifying keys and schema understanding. (i.e. Structuring Data)
* Write Python scripts for transformation, automation, and API interaction (i.e. connecting local to cloud software).
* Use SQL for querying operational and analytical data systems (i.e. searching through structured data)
* Assist with unit tests and simple system validation scripts (i.e. robust code development \&amp; testing)
* Perform validation checks such as nulls, duplicates, schema mismatches (i.e. making sure data recovered is clean \&amp; usable)
* Maintain data dictionaries and transformation notes (i.e. maintaining thorough documentation \&amp; handover)
**Qualifications**
* Currently pursuing a degree in Computer Science, Data Science, Engineering, Information Systems, or a related field
* Python experience, including writing scripts for data processing or analysis
* SQL fundamentals, including basic queries, joins, and aggregations
* Familiarity with CSV and JSON data formats
* Experience using Git for version control (coursework or projects acceptable)
* Strong Excel skills, including formulas, pivot tables, and data validation
* Basic understanding of data concepts such as schemas, transformations, and data quality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row>
    <row r="167">
      <c r="A167" t="inlineStr">
        <is>
          <t>li-4369270759</t>
        </is>
      </c>
      <c r="B167" t="inlineStr">
        <is>
          <t>Staff AI Data Engineer - Rockerbox</t>
        </is>
      </c>
      <c r="C167" t="inlineStr">
        <is>
          <t>DoubleVerify</t>
        </is>
      </c>
      <c r="D167" t="inlineStr">
        <is>
          <t>linkedin</t>
        </is>
      </c>
      <c r="E167">
        <f>HYPERLINK("https://www.linkedin.com/jobs/view/4369270759", "https://www.linkedin.com/jobs/view/4369270759")</f>
        <v/>
      </c>
      <c r="F167" t="inlineStr"/>
      <c r="G167" t="inlineStr"/>
      <c r="H167" t="inlineStr"/>
      <c r="I167" t="inlineStr">
        <is>
          <t>Rockerbox is building the next generation of marketing intelligence, and we’re looking for someone to help us build the AI systems everyone else just theorizes about. As a Staff AI Data Engineer, you’ll research, design, and architect data systems purpose\-built for AI agents, automations, and decisioning engines. You’ll also apply data science and model\-tuning techniques to optimize LLMs and solve complex marketing challenges for our clients.
 If you enjoy turning high\-volume data into clean, powerful systems—and you want your work to drive real business outcomes rather than just dashboards—this role puts you right at the center of the action.
**What You’ll Do**
* Apply bleeding edge AI theory to the design and implementation of large\-scale data systems that feed AI agents and autonomous workflows.
* Use data science techniques to fine\-tune, evaluate, and optimize LLMs for marketing\-specific tasks: attribution insights, anomaly detection, summarization, classification, and automated recommendations.
* Build end\-to\-end automations using LLMs, internal data, and external signals to eliminate repetitive human tasks.
* Build AI\-driven automations that reduce manual work across Rockerbox and unlock new client\-facing capabilities.
* Design retrieval, orchestration, and memory layers that make our AI agents smarter over time.
* Establish best practices for AI data quality, observability, experiments, and safety.
* Lead R\&amp;D initiatives: rapid prototyping, experimentation, model evaluations, and productionization.
* Mentor data scientists and engineers across organization to raise the bar on LLM use company\-wide.
**What You Bring**
* 8\+ years of experience in data engineering, AI, ML platforms, or large\-scale distributed systems.
* Hands\-on experience integrating LLMs into production systems (OpenAI, fine\-tuning, embeddings, RAG, vector stores, or custom agent orchestration).
* Strong understanding of experimentation, model evaluation, and performance tuning.
* You think in systems: storage, retrieval, metadata, reliability, latency, failure modes.
* Ability to work from ambiguity to execution — you’re comfortable being the first to figure something out.
* Strong communication skills: you can explain tradeoffs, scope decisions, and technical strategy clearly.
 The successful candidate’s starting salary will be determined based on a number of non\-discriminating factors, including qualifications for the role, level, skills, experience, location, and balancing internal equity relative to peers at DV.
 The estimated salary range for this role based on the qualifications set forth in the job description is between \[$128,000 \- $230,000]. This role will also be eligible for bonus/commission (as applicable), equity, and benefits.
 The range above is for the expectations as laid out in the job description; however, we are often open to a wide variety of profiles, and recognize that the person we hire may be more or less experienced than this job description as posted.
 Why You’ll Love Rockerbox: At Rockerbox, you’ll find a fast\-paced, results\-driven environment where your work has a direct impact on our growth and the success of our clients. Our iterative development process means you’ll see your contributions come to life quickly. You’ll join a supportive, light\-hearted team that values collaboration and innovation. We are committed to professional growth and will actively support your development in both technical and business domains.
**Not\-so\-fun fact:** 
 Research shows that while men apply to jobs when they meet an average of 60% of job criteria, women and other marginalized groups tend to only apply when they check every box. So if you think you have what it takes but you’re not sure that you check every box, apply anyway!</t>
        </is>
      </c>
    </row>
    <row r="168">
      <c r="A168" t="inlineStr">
        <is>
          <t>li-4361628925</t>
        </is>
      </c>
      <c r="B168" t="inlineStr">
        <is>
          <t>Operational Excellence Data Engineer</t>
        </is>
      </c>
      <c r="C168" t="inlineStr">
        <is>
          <t>Novelis</t>
        </is>
      </c>
      <c r="D168" t="inlineStr">
        <is>
          <t>linkedin</t>
        </is>
      </c>
      <c r="E168">
        <f>HYPERLINK("https://www.linkedin.com/jobs/view/4361628925", "https://www.linkedin.com/jobs/view/4361628925")</f>
        <v/>
      </c>
      <c r="F168" t="inlineStr"/>
      <c r="G168" t="inlineStr">
        <is>
          <t>Guthrie, KY</t>
        </is>
      </c>
      <c r="H168" t="inlineStr"/>
      <c r="I168" t="inlineStr">
        <is>
          <t>Novelis is one of the world leaders in aluminum recycling and rolling and a leading sustainable aluminum solutions provider. Driven by our purpose of shaping a sustainable world together, we work alongside our customers to provide innovative solutions to the aerospace, automotive, beverage packaging and specialty markets. Headquartered in Atlanta, Georgia, Novelis has approximately 13,000 employees in 32 operating facilities on 4 continents.
**Responsibilities \&amp; Qualifications**
 The Novelis Guthrie, KY team is seeking an experienced Operational Excellence Data Engineer to join our automotive finishing plant. In this role, you will identify high\-value improvement projects, coordinate training, and support the development of the site’s loss intelligence system to prioritize initiatives. You will play a key role in driving continuous improvement and operational excellence across the facility.
 Additionally, you will collaborate with the Operational Excellence Manager to implement the Novelis Operating System (NOS), including plant\-wide value stream analysis and improvement planning cycles. This position requires strong coordination skills to manage numerous projects and provide regular updates to leadership.
**Responsibilities**
* Develop and enhance Operational Excellence methodologies and tools for the Guthrie facility.
* Conduct assessments to identify high\-impact improvement opportunities across manufacturing areas.
* Equip area managers with tools to identify issues and implement corrective actions to prevent recurrence.
* Collaborate with operations leadership to define technical problems and test hypotheses.
* Monitor and maintain model performance to meet operational requirements and adapt to changing conditions.
* Serve as a resource for operations, maintenance, EHS, and supply chain teams to achieve business objectives.
* Drive loss intelligence development by identifying and prioritizing projects aligned with business goals.
* Lead improvement teams and coach others to lead successful initiatives.
* Communicate deviations in planning or results promptly to collaborators.
* Translate complex findings into actionable insights for non\-technical audiences.
* Master improvement tools and deliver training to empower employees at all levels to embrace a ZERO LOSS culture.
* Prepare and report weekly and monthly KPI updates to leadership.
* Identify and share best guidelines to align site performance with global standards.
**Qualifications**
* Bachelor’s Degree required, Engineering or related field preferred.
* 3–5 years of experience in process engineering, automation, or manufacturing.
* Strong understanding of statistical analysis techniques (e.g., distributions, linear regression).
* Proficiency in analysis tools such as MS Excel, PowerBI, Minitab, and Project.
* Familiarity with programming languages such as SQL, Python, R, and MATLAB.
* Strong critical thinking skills and ability to collaborate on complex problem\-solving.
* Minimum 2 years of experience leading Lean, TPM, Kaizen, or Six Sigma initiatives with proven results in manufacturing.
* Six Sigma Green Belt required; Black Belt certification preferred.
* Demonstrated ability to work independently and lead multi\-functional teams to deliver improvements on time.
* Strong leadership, communication, and interpersonal skills.
* Highly organized, energetic, data\-driven, and results\-oriented professional.
****What We Offer:****
**Benefits**
 Novelis' benefits say a lot about how we care for each other. Our employees and their families have many different needs. As a result, our benefits offer choices on many levels and are high in quality, driven by the marketplace, and affordable. In addition to core benefits, we provide these unique to the industry benefits:
* Family Growth Programs: Paid parental Leave, Adoption Assistance, Fertility Treatment, Childcare Discount and Nursing Mom Support
* Employee Assistance Programs: free resources available 24/7 to you and your family in the areas of mental health, family life, and career and financial guidance
* Wellness Programs: incentives for wellness activities, wellness spending account, programs for building healthy habits, virtual physical therapy for joint, back, and pelvic health, health management programs and more.
* Diabetes Management Program
* Pet insurance
* Identity Theft Protection
* PerkSpot Discount Program
* Tuition assistance and career development programs
**Location Profile**
 Novelis’ Guthrie facility is located in Guthrie Kentucky approximately 30 minutes from the Tennessee state line near Clarksville Tennessee and Hopkinsville Kentucky. As Novelis’ newest facility Guthrie will house a heat treatment and pretreatment line that will serve the North American automotive market and employ 125 residents. In addition to hunting fishing and hiking residents enjoy the Guthrie Transportation Museum which is the hub of the city’s renewal efforts. The Guthrie team enjoys partnerships with Hopkinsville Community College Todd County High School Guthrie Fire Department and several local Rotary Clubs.
 Novelis recognizes its talented and diverse workforce as a key competitive advantage. . Novelis provides equal employment opportunities to all employees and applicants. All terms and conditions of employment at Novelis including recruiting hiring placement promotion termination layoffs recalls transfers leaves of absence compensation and training are without regard to race color religion age sex national origin disability status genetics protected veteran status sexual orientation gender identity or expression or any other characteristic protected by federal provincial or local laws.
**Disclaimer**
 We encourage all potential candidates to follow the protocols below and to be diligent when sharing any personal information:
* Check the job posting is live and valid via our careers page: Careers \- Novelis
* Verify any communication with us by contacting our talent team at Careers \- Novelis</t>
        </is>
      </c>
    </row>
    <row r="169">
      <c r="A169" t="inlineStr">
        <is>
          <t>li-4352444822</t>
        </is>
      </c>
      <c r="B169" t="inlineStr">
        <is>
          <t>Data Engineer - Databricks</t>
        </is>
      </c>
      <c r="C169" t="inlineStr">
        <is>
          <t>Jobs via eFinancialCareers</t>
        </is>
      </c>
      <c r="D169" t="inlineStr">
        <is>
          <t>linkedin</t>
        </is>
      </c>
      <c r="E169">
        <f>HYPERLINK("https://www.linkedin.com/jobs/view/4352444822", "https://www.linkedin.com/jobs/view/4352444822")</f>
        <v/>
      </c>
      <c r="F169" t="inlineStr"/>
      <c r="G169" t="inlineStr">
        <is>
          <t>Bedminster, NJ</t>
        </is>
      </c>
      <c r="H169" t="inlineStr"/>
      <c r="I169" t="inlineStr">
        <is>
          <t>**Benefits Summary**
* Flexible and hybrid work arrangements
* Paid time off/Paid company holidays
* Medical plan options/prescription drug plan
* Dental plan/vision plan options
* Flexible spending and health savings accounts
* 401(k) retirement savings plan with a Roth savings option and company matching contributions
* Educational assistance program
**Overview**
 The Data Engineer is responsible for designing, building, and optimizing scalable data solutions to support a wide range of business needs. This role requires a strong ability to work both independently and collaboratively in a fast\-paced, agile environment. The ideal candidate will engage with cross\-functional teams to gather data requirements, propose enhancements to existing data pipelines and structures, and ensure the reliability and efficiency of data processes.
**Responsibilities**
* Assist with leading the team's transition to the Databricks platform and utilize the newer features of Delta Live Tables, Workflows etc
* Design and develop data pipelines that extract data from Oracle, load it into the data lake, transform it into the desired format, and load it into Databricks data lakehouse
* Optimize data pipelines and data processing workflows for performance, scalability, and efficiency
* Implement data quality checks and validations within data pipelines to ensure the accuracy, consistency, and completeness of data
* Help create and maintain documentation for data mappings, data definitions, architecture and data flow diagrams
* Build proof\-of\-concepts to determine viability of possible new processes and technologies
* Deploy and manage code in non\-prod and prod environments
* Investigate and troubleshoot data related issues and fix or provide solutions to fix defects
* Identify and resolve performance bottlenecks, which could include suggesting ways to optimize and performance tune databases and queries to enhance query performance
**Qualifications**
* Bachelor's Degree in Computer Science, Data Science, Software Engineering, Information Systems, or related quantitative field
* 4 plus years of experience working as a Data Engineer, ETL Engineer, Data/ETL Architect or similar roles
* Must hold a current/active Databricks Data Engineer/Analyst certification
**Skills**
* 4\+ years of solid continuous experience in Python
* 3\+ years working with Databricks with knowledge and expertise of data structures, data storage and change data capture gained from prior production implementations of data pipelines, optimizations, and best practices
* 3\+ years of experience in Kimball dimensional modeling (star\-schema comprising of facts, type1 and type2 dimensions, aggregates, etc.) with solid understanding of ELT/ETL
* 3\+ years of solid experience writing SQL and PL/SQL code
* 2\+ years of experience with Airflow
* 3\+ years of experience working with relational databases (Oracle preferred)
* 2\+ years of experience working with NoSQL databases: MongoDB, Cosmos DB, DocumentDB or similar
* 2\+ years of cloud experience (Azure preferred)
* Experience with CI/CD utilizing git/Azure DevOps
* Experience with storage formats including Parquet/Arrow/Avro
* Effectively collaborate with team members while being able to work independently with minimal supervision
* Must have a creative mindset, knack to solve complex problems, passion to work with data, and a positive attitude
* Ability to collaborate within and across teams of different technical knowledge to support delivery and educate end users on data products
* Expert problem\-solving skills, including debugging skills, allowing the determination of sources of issues in unfamiliar code or systems
 Pluses, but not required: Any work experience in the following:
 ETL / ELT tools: Spark, Kafka, Azure Data Factory (ADF)
 Languages: R, Java, Scala
 Databases: Redis, Elasticsearch</t>
        </is>
      </c>
    </row>
    <row r="170">
      <c r="A170" t="inlineStr">
        <is>
          <t>li-4357681573</t>
        </is>
      </c>
      <c r="B170" t="inlineStr">
        <is>
          <t>Senior Data Engineer</t>
        </is>
      </c>
      <c r="C170" t="inlineStr">
        <is>
          <t>Healthfirst</t>
        </is>
      </c>
      <c r="D170" t="inlineStr">
        <is>
          <t>linkedin</t>
        </is>
      </c>
      <c r="E170">
        <f>HYPERLINK("https://www.linkedin.com/jobs/view/4357681573", "https://www.linkedin.com/jobs/view/4357681573")</f>
        <v/>
      </c>
      <c r="F170" t="inlineStr"/>
      <c r="G170" t="inlineStr">
        <is>
          <t>New Jersey, United States</t>
        </is>
      </c>
      <c r="H170" t="inlineStr"/>
      <c r="I170" t="inlineStr">
        <is>
          <t>The Senior Data Engineer leads and implements best\-in\-class data management strategies and practices through various forms of integration, data acquisition//ingestion, data cleansing//refinements, data transformations//conversions, data migrations, data purging, and back\-ups. The incumbent works with a variety of users and stakeholders to understand data requirements and supports the data architecture to translate into the data management practice at Healthfirst. The Sr. Data Engineer authors artifacts defining standards and definitions for storing, processing, and moving data including associated processes and business rules. Additionally, the Sr. Data Engineer maps the details within these artifacts to business processes, non\-functional characteristics, qualitative criteria, and technical enablement. He//she must constantly think through the needs of the business to support efficient and error\-free processes. The Sr. Data Engineer finds trends in datasets and develops workflows and algorithms to highlight strategic raw data as useful to the enterprise. The Sr. Data Engineer creates data acquisition strategy and develops dataset processes in a robust manner according to best practices of standardization.
**Duties And Responsibilities**
* Designs and implements standardized data management procedures around data staging, data ingestion, data preparation, data provisioning, and data destruction (e.g., scripts, programs, automation, etc.)
* Ensures quality of technical solutions as data moves across multiple zones and environments
* Provides insight into the changing data environment, data processing, data storage and utilization requirements for the company, and offer suggestions for solutions
* Ensures managed analytic assets to support the company’s strategic goals by creating and verifying data acquisition requirements and strategy
* Develops, constructs, tests, and maintains architectures
* Aligns architecture with business requirements and uses programming language and tools
* Identifies ways to improve data reliability, efficiency, and quality
* Conducts research for industry and business questions
* Deploys sophisticated analytics programs, machine learning, and statistical methods to efficiently implement solutions
* Prepares data for predictive and prescriptive modeling and find hidden patterns using data
* Uses data to discover tasks that can be automated
* Creates data monitoring capabilities for each business process and works with data consumers on updates
* Aligns data architecture to the solution architecture; contributes to overall solution architecture
* Develops patterns for standardizing the environment technology stack
* Helps maintain the integrity and security of company data
* Additional duties as assigned or required
**Minimum Qualifications**
* 8\+ Years overall IT experience
* Enterprise experience in scripting languages primarily Python and Pyspark building enterprise frameworks
* Enterprise experience in data ingestion methodologies using different etl tools(Glue,DBT or any other)
* Enterprise experience in data warehousing concepts and big data technologies like EMR, Hadoop
* Enterprise experience in any cloud infrastructure like AWS,GCP,Azure
* Strong SQL expertise across different relational and NoSQL Databases.
**Preferred Qualifications**
* Strong knowledge of data security, encryption, and compliance standards.
* Hands\-on experience with CI//CD pipelines and DevOps practices in a data engineering environment.
* Experience in API building
* Experience building stream platform Compliance and Regulatory Responsibilities: N//A License//Certification: N//A
**Hiring Range\*:**
+ Greater New York City Area (NY, NJ, CT residents): $134,600 \- $194,480
+ All Other Locations (within approved locations): $119,600 \- $177,905 As a candidate for this position, your salary and related elements of compensation will be contingent upon your work experience, education, licenses and certifications, and any other factors Healthfirst deems pertinent to the hiring decision. In addition to your salary, Healthfirst offers employees a full range of benefits such as, medical, dental and vision coverage, incentive and recognition programs, life insurance, and 401k contributions (all benefits are subject to eligibility requirements). Healthfirst believes in providing a competitive compensation and benefits package wherever its employees work and live.
+ The hiring range is defined as the lowest and highest salaries that Healthfirst in “good faith” would pay to a new hire, or for a job promotion, or transfer into this role.</t>
        </is>
      </c>
    </row>
    <row r="171">
      <c r="A171" t="inlineStr">
        <is>
          <t>li-4368387260</t>
        </is>
      </c>
      <c r="B171" t="inlineStr">
        <is>
          <t>Data Architect - Data Engineer III - AI/ML Engineer</t>
        </is>
      </c>
      <c r="C171" t="inlineStr">
        <is>
          <t>Truist</t>
        </is>
      </c>
      <c r="D171" t="inlineStr">
        <is>
          <t>linkedin</t>
        </is>
      </c>
      <c r="E171">
        <f>HYPERLINK("https://www.linkedin.com/jobs/view/4368387260", "https://www.linkedin.com/jobs/view/4368387260")</f>
        <v/>
      </c>
      <c r="F171" t="inlineStr"/>
      <c r="G171" t="inlineStr">
        <is>
          <t>Richmond, VA</t>
        </is>
      </c>
      <c r="H171" t="inlineStr"/>
      <c r="I171"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The Data Engineer 3 is responsible for sourcing, analyzing, documenting and maintaining data assets related to Corporate and Institutional Group portfolio and operational processes. Ensure processes deliver data that are accurate, complete, current, understandable and accessible. This role will leverage extensive knowledge across multiple lines of business and data expertise. Responsible for leading projects end to end independently. As an entry‑level AI/ML Engineer, you will help design, build, and support AI‑driven applications across AWS and Azure cloud environments. Working alongside senior engineers and architects, you’ll contribute to machine learning pipelines, LLM\-based agent workflows, and distributed application components using AWS AgentCore and Azure Service Fabric. This role is ideal for early‑career engineers who are eager to learn modern AI engineering practices and grow into more advanced responsibilities.
**Essential Duties And Responsibilities**
 Following is a summary of the essential functions for this job. Other duties may be performed, both major and minor, which are not mentioned below. Specific activities may change from time to time.
* Lead research, analyze, design, develop and/or maintain data assets in support of projects, information needs and business requirements. Perform analysis, validation and interpretation of outputs.
* Take ownership of issues through resolution, including close coordination with line of business (LOB) partners, Enterprise Data Office and Enterprise Information Services.
* Have a deep understanding of critical application systems and ability to transform data assets to aid in consumption by BI developers, decision \&amp; data scientists across the bank.
* Utilize the full array of data tools including static, SQL, R, Python, SAS to organize and format data assets by defining requirements and implementing automated repeatable solutions.
* Conduct business analysis, respond to change; solve highly complex business and data problems
* Manage appropriate security, compliance, privacy considerations and follow data management guidance. Train junior team members in coding efficiently and accurately.
* Prioritize and manage ad hoc data pulls, in depth analysis and reporting efforts to LOB partners and management.
* Develop solutions and recommendations for improving data integrity issues. Analyze data issues and work with development teams for problem resolutions. Identify problematic areas and conduct research to determine the best course of action to correct the data, identify, analyze and interpret trends and patterns in complex datasets.
* Foster communication and partnership across multiple levels of the organization including engagement with mid\-level managers.
* Work closely with senior AI/ML engineers, cloud engineers, and data scientists to learn architecture patterns, coding standards, and best practices.
* Participate in team standups, design discussions, and code reviews to build strong engineering fundamentals.
* Collaborate with product managers and cross‑functional teams to understand requirements and support feature development.
* Ask questions proactively and contribute to a supportive, curiosity‑driven team culture focused on growth and innovation.
* Partner with more experienced team members to break down tasks, estimate work, and deliver high‑quality code on schedule.
* Share learnings, create documentation, and help strengthen team knowledge through demos or internal presentations.
**Qualifications**
**Required Qualifications:**
 The incumbent must demonstrate a combination of academic aptitude, quantitative skills, business acumen, working knowledge of key application systems, strategic and creative thinking and excellent written and oral communications skills. Specific requirements are listed below. Reasonable accommodations may be made to enable individuals with disabilities to perform the essential functions.
* Bachelor's degree and 8\+ years of experience in a quantitative field such as Finance, Mathematics, Analytics, Data Science, Computer Science, or Engineering.
* Demonstrated knowledge and skill in strategic data assets warehousing and transactional application data concepts and technology.
* Proven experience with data engineering and ability to manage large data volumes.
* Demonstrate understanding of data analytics life cycle methodologies including data cleansing and preparation methodologies
* Strong familiarity with data extraction in a variety of environments (e.g., SQL, SAS, etc.).
* Experience in managing multiple projects with tight deadlines in a collaborative environment.
* Maintain a high level of competency in analytical principles, tools, and techniques.
**Preferred Qualifications:**
* Master's degree in field such as Finance, Mathematics, Analytics, Data Science, Computer Science, or Engineering.
* 10\+ years of experience in a quantitative field such as Finance, Mathematics, Analytics, Data Science, Computer Science or Engineering
* Strong foundation in Python and basic experience with ML libraries such as Scikit‑learn, TensorFlow, PyTorch, or HuggingFace.
* Understanding of machine learning concepts: dataset preparation, training/validation, evaluation, and inference.
* Familiarity with cloud fundamentals (AWS or Azure), containers (Docker), Git, and command‑line workflows.
* Eagerness to learn AWS AgentCore, Azure Service Fabric, and enterprise‑scale AI application development.
* Ability to write clean, maintainable code and follow software engineering best practices.
* Strong analytical thinking, curiosity, and willingness to explore new AI and cloud technologies.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72">
      <c r="A172" t="inlineStr">
        <is>
          <t>li-4368393220</t>
        </is>
      </c>
      <c r="B172" t="inlineStr">
        <is>
          <t>Data Architect - Data Engineer III - AI/ML Engineer</t>
        </is>
      </c>
      <c r="C172" t="inlineStr">
        <is>
          <t>Truist</t>
        </is>
      </c>
      <c r="D172" t="inlineStr">
        <is>
          <t>linkedin</t>
        </is>
      </c>
      <c r="E172">
        <f>HYPERLINK("https://www.linkedin.com/jobs/view/4368393220", "https://www.linkedin.com/jobs/view/4368393220")</f>
        <v/>
      </c>
      <c r="F172" t="inlineStr"/>
      <c r="G172" t="inlineStr">
        <is>
          <t>Atlanta, GA</t>
        </is>
      </c>
      <c r="H172" t="inlineStr"/>
      <c r="I172"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The Data Engineer 3 is responsible for sourcing, analyzing, documenting and maintaining data assets related to Corporate and Institutional Group portfolio and operational processes. Ensure processes deliver data that are accurate, complete, current, understandable and accessible. This role will leverage extensive knowledge across multiple lines of business and data expertise. Responsible for leading projects end to end independently. As an entry‑level AI/ML Engineer, you will help design, build, and support AI‑driven applications across AWS and Azure cloud environments. Working alongside senior engineers and architects, you’ll contribute to machine learning pipelines, LLM\-based agent workflows, and distributed application components using AWS AgentCore and Azure Service Fabric. This role is ideal for early‑career engineers who are eager to learn modern AI engineering practices and grow into more advanced responsibilities.
**Essential Duties And Responsibilities**
 Following is a summary of the essential functions for this job. Other duties may be performed, both major and minor, which are not mentioned below. Specific activities may change from time to time.
* Lead research, analyze, design, develop and/or maintain data assets in support of projects, information needs and business requirements. Perform analysis, validation and interpretation of outputs.
* Take ownership of issues through resolution, including close coordination with line of business (LOB) partners, Enterprise Data Office and Enterprise Information Services.
* Have a deep understanding of critical application systems and ability to transform data assets to aid in consumption by BI developers, decision \&amp; data scientists across the bank.
* Utilize the full array of data tools including static, SQL, R, Python, SAS to organize and format data assets by defining requirements and implementing automated repeatable solutions.
* Conduct business analysis, respond to change; solve highly complex business and data problems
* Manage appropriate security, compliance, privacy considerations and follow data management guidance. Train junior team members in coding efficiently and accurately.
* Prioritize and manage ad hoc data pulls, in depth analysis and reporting efforts to LOB partners and management.
* Develop solutions and recommendations for improving data integrity issues. Analyze data issues and work with development teams for problem resolutions. Identify problematic areas and conduct research to determine the best course of action to correct the data, identify, analyze and interpret trends and patterns in complex datasets.
* Foster communication and partnership across multiple levels of the organization including engagement with mid\-level managers.
* Work closely with senior AI/ML engineers, cloud engineers, and data scientists to learn architecture patterns, coding standards, and best practices.
* Participate in team standups, design discussions, and code reviews to build strong engineering fundamentals.
* Collaborate with product managers and cross‑functional teams to understand requirements and support feature development.
* Ask questions proactively and contribute to a supportive, curiosity‑driven team culture focused on growth and innovation.
* Partner with more experienced team members to break down tasks, estimate work, and deliver high‑quality code on schedule.
* Share learnings, create documentation, and help strengthen team knowledge through demos or internal presentations.
**Qualifications**
**Required Qualifications:**
 The incumbent must demonstrate a combination of academic aptitude, quantitative skills, business acumen, working knowledge of key application systems, strategic and creative thinking and excellent written and oral communications skills. Specific requirements are listed below. Reasonable accommodations may be made to enable individuals with disabilities to perform the essential functions.
* Bachelor's degree and 8\+ years of experience in a quantitative field such as Finance, Mathematics, Analytics, Data Science, Computer Science, or Engineering.
* Demonstrated knowledge and skill in strategic data assets warehousing and transactional application data concepts and technology.
* Proven experience with data engineering and ability to manage large data volumes.
* Demonstrate understanding of data analytics life cycle methodologies including data cleansing and preparation methodologies
* Strong familiarity with data extraction in a variety of environments (e.g., SQL, SAS, etc.).
* Experience in managing multiple projects with tight deadlines in a collaborative environment.
* Maintain a high level of competency in analytical principles, tools, and techniques.
**Preferred Qualifications:**
* Master's degree in field such as Finance, Mathematics, Analytics, Data Science, Computer Science, or Engineering.
* 10\+ years of experience in a quantitative field such as Finance, Mathematics, Analytics, Data Science, Computer Science or Engineering
* Strong foundation in Python and basic experience with ML libraries such as Scikit‑learn, TensorFlow, PyTorch, or HuggingFace.
* Understanding of machine learning concepts: dataset preparation, training/validation, evaluation, and inference.
* Familiarity with cloud fundamentals (AWS or Azure), containers (Docker), Git, and command‑line workflows.
* Eagerness to learn AWS AgentCore, Azure Service Fabric, and enterprise‑scale AI application development.
* Ability to write clean, maintainable code and follow software engineering best practices.
* Strong analytical thinking, curiosity, and willingness to explore new AI and cloud technologies.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73">
      <c r="A173" t="inlineStr">
        <is>
          <t>li-4359001513</t>
        </is>
      </c>
      <c r="B173" t="inlineStr">
        <is>
          <t>Senior Data Engineer</t>
        </is>
      </c>
      <c r="C173" t="inlineStr">
        <is>
          <t>Healthfirst</t>
        </is>
      </c>
      <c r="D173" t="inlineStr">
        <is>
          <t>linkedin</t>
        </is>
      </c>
      <c r="E173">
        <f>HYPERLINK("https://www.linkedin.com/jobs/view/4359001513", "https://www.linkedin.com/jobs/view/4359001513")</f>
        <v/>
      </c>
      <c r="F173" t="inlineStr"/>
      <c r="G173" t="inlineStr">
        <is>
          <t>Florida, United States</t>
        </is>
      </c>
      <c r="H173" t="inlineStr"/>
      <c r="I173" t="inlineStr">
        <is>
          <t>The Senior Data Engineer leads and implements best\-in\-class data management strategies and practices through various forms of integration, data acquisition//ingestion, data cleansing//refinements, data transformations//conversions, data migrations, data purging, and back\-ups. The incumbent works with a variety of users and stakeholders to understand data requirements and supports the data architecture to translate into the data management practice at Healthfirst. The Sr. Data Engineer authors artifacts defining standards and definitions for storing, processing, and moving data including associated processes and business rules. Additionally, the Sr. Data Engineer maps the details within these artifacts to business processes, non\-functional characteristics, qualitative criteria, and technical enablement. He//she must constantly think through the needs of the business to support efficient and error\-free processes. The Sr. Data Engineer finds trends in datasets and develops workflows and algorithms to highlight strategic raw data as useful to the enterprise. The Sr. Data Engineer creates data acquisition strategy and develops dataset processes in a robust manner according to best practices of standardization.
**Duties And Responsibilities**
* Designs and implements standardized data management procedures around data staging, data ingestion, data preparation, data provisioning, and data destruction (e.g., scripts, programs, automation, etc.)
* Ensures quality of technical solutions as data moves across multiple zones and environments
* Provides insight into the changing data environment, data processing, data storage and utilization requirements for the company, and offer suggestions for solutions
* Ensures managed analytic assets to support the company’s strategic goals by creating and verifying data acquisition requirements and strategy
* Develops, constructs, tests, and maintains architectures
* Aligns architecture with business requirements and uses programming language and tools
* Identifies ways to improve data reliability, efficiency, and quality
* Conducts research for industry and business questions
* Deploys sophisticated analytics programs, machine learning, and statistical methods to efficiently implement solutions
* Prepares data for predictive and prescriptive modeling and find hidden patterns using data
* Uses data to discover tasks that can be automated
* Creates data monitoring capabilities for each business process and works with data consumers on updates
* Aligns data architecture to the solution architecture; contributes to overall solution architecture
* Develops patterns for standardizing the environment technology stack
* Helps maintain the integrity and security of company data
* Additional duties as assigned or required
**Minimum Qualifications**
* 8\+ Years overall IT experience
* Enterprise experience in scripting languages primarily Python and Pyspark building enterprise frameworks
* Enterprise experience in data ingestion methodologies using different etl tools(Glue,DBT or any other)
* Enterprise experience in data warehousing concepts and big data technologies like EMR, Hadoop
* Enterprise experience in any cloud infrastructure like AWS,GCP,Azure
* Strong SQL expertise across different relational and NoSQL Databases.
**Preferred Qualifications**
* Strong knowledge of data security, encryption, and compliance standards.
* Hands\-on experience with CI//CD pipelines and DevOps practices in a data engineering environment.
* Experience in API building
* Experience building stream platform Compliance and Regulatory Responsibilities: N//A License//Certification: N//A
**Hiring Range\*:**
+ Greater New York City Area (NY, NJ, CT residents): $134,600 \- $194,480
+ All Other Locations (within approved locations): $119,600 \- $177,905 As a candidate for this position, your salary and related elements of compensation will be contingent upon your work experience, education, licenses and certifications, and any other factors Healthfirst deems pertinent to the hiring decision. In addition to your salary, Healthfirst offers employees a full range of benefits such as, medical, dental and vision coverage, incentive and recognition programs, life insurance, and 401k contributions (all benefits are subject to eligibility requirements). Healthfirst believes in providing a competitive compensation and benefits package wherever its employees work and live.
+ The hiring range is defined as the lowest and highest salaries that Healthfirst in “good faith” would pay to a new hire, or for a job promotion, or transfer into this role.</t>
        </is>
      </c>
    </row>
    <row r="174">
      <c r="A174" t="inlineStr">
        <is>
          <t>li-4368758906</t>
        </is>
      </c>
      <c r="B174" t="inlineStr">
        <is>
          <t>Sr. BI Analytics Engineer</t>
        </is>
      </c>
      <c r="C174" t="inlineStr">
        <is>
          <t>Jobs via Dice</t>
        </is>
      </c>
      <c r="D174" t="inlineStr">
        <is>
          <t>linkedin</t>
        </is>
      </c>
      <c r="E174">
        <f>HYPERLINK("https://www.linkedin.com/jobs/view/4368758906", "https://www.linkedin.com/jobs/view/4368758906")</f>
        <v/>
      </c>
      <c r="F174">
        <f>HYPERLINK("https://click.appcast.io/t/iUlsk2kPdAUuvCVpVkmiH_17Ipg5pbE_bKBapmBUY8g=&amp;urlHash=m8QY", "https://click.appcast.io/t/iUlsk2kPdAUuvCVpVkmiH_17Ipg5pbE_bKBapmBUY8g=&amp;urlHash=m8QY")</f>
        <v/>
      </c>
      <c r="G174" t="inlineStr"/>
      <c r="H174" t="inlineStr"/>
      <c r="I174" t="inlineStr">
        <is>
          <t>Dice is the leading career destination for tech experts at every stage of their careers. Our client, AIT Global, Inc., is seeking the following. Apply via Dice today!
**Job Title: Sr. BI Analytics Engineer
 Location: Remote**
**Experience:**
* 7\+ years of experience in BI, analytics engineering, or data analytics roles.
* Strong expertise in Power BI: DAX, Power Query (M), Data modeling and performance optimization
* Extensive experience with Snowflake: Analytics data modeling, Query optimization and cost management, Secure data sharing
* Advanced SQL skills.
* Proficiency in Python or R for analytics and ML development.
* Hands\-on experience with machine learning frameworks (scikit\-learn, TensorFlow, PyTorch, or similar).
* Strong understanding of statistical analysis and predictive modeling techniques.
* Experience with ETL/ELT concepts and analytics engineering workflows.
* Familiarity with Git and CI/CD for analytics and ML solutions.
* Excellent communication and stakeholder management skills.</t>
        </is>
      </c>
    </row>
    <row r="175">
      <c r="A175" t="inlineStr">
        <is>
          <t>li-4341086737</t>
        </is>
      </c>
      <c r="B175" t="inlineStr">
        <is>
          <t>Data Engineering Architect, Senior (INDG)</t>
        </is>
      </c>
      <c r="C175" t="inlineStr">
        <is>
          <t>Bloomberg Industry Group</t>
        </is>
      </c>
      <c r="D175" t="inlineStr">
        <is>
          <t>linkedin</t>
        </is>
      </c>
      <c r="E175">
        <f>HYPERLINK("https://www.linkedin.com/jobs/view/4341086737", "https://www.linkedin.com/jobs/view/4341086737")</f>
        <v/>
      </c>
      <c r="F175">
        <f>HYPERLINK("https://bloomberg.wd1.myworkdayjobs.com/Bloombergindustrygroup_External_Career_Site/job/Arlington\u002d\u002d-1801-S-Bell-INDG/Data-Engineering-Architect\u002d\u002dSenior\u002d\u002dINDG-_138667?source=LinkedIn&amp;urlHash=cuCz", "https://bloomberg.wd1.myworkdayjobs.com/Bloombergindustrygroup_External_Career_Site/job/Arlington\u002d\u002d-1801-S-Bell-INDG/Data-Engineering-Architect\u002d\u002dSenior\u002d\u002dINDG-_138667?source=LinkedIn&amp;urlHash=cuCz")</f>
        <v/>
      </c>
      <c r="G175" t="inlineStr">
        <is>
          <t>Arlington, VA</t>
        </is>
      </c>
      <c r="H175" t="inlineStr"/>
      <c r="I175" t="inlineStr">
        <is>
          <t>Responsible for data engineering, data architecture, integration, maintenance and support. Individuals in this position must be a self\-directed professional, who will also bring leadership skills and quickly learn new technologies and programming languages.
 You are a data engineer who thrives in an integrated team working closely with stakeholders, data analysts, data scientists, and ML engineers.
 You want to participate in overall architecture and strategy for the deployment of our end\-to\-end data pipelines.
 You have experience designing, building, and maintaining end\-to\-end scalable data pipelines.
 You are looking to apply dimensional modeling techniques to design tables and views that map business processes into an enterprise data model.
 What you will do:
* Work with senior business stakeholders to break down business problems and design analytics solutions
* Provide technical leadership to drive best practices for data modeling, ETL, and data quality
* Design and build data pipelines to enable decision making through analytics
* Develop automated solutions to replace manual data processes
* Refine and enhance reporting data models
* Act as a champion for data quality by proactively identifying data quality issues and coordinating with system owners to resolve issues quickly
* Build relationships with senior business leaders to gather requirements and evangelize data analytics best practices
 What you bring with you:
* Hands\-on development experience with SQL and an ETL tool
* Advanced SQL capabilities are required. Knowledge of database design techniques and experience working with extremely large data volumes is a plus
* Strong understanding of data warehousing methodologies, ETL processing and dimensional data modeling
* Programming experience in Python
* Knowledge of reporting tools such as Tableau or Power BI is a nice\-to\-have
 Education and Experience:
* Bachelor’s degree in Computer Science or a related discipline, or equivalent experience. Master’s degree preferred.
* A minimum of 8 years of experience working in information systems, including at least 5 years developing and maintaining corporate relational DBMS and its components. Experience must cover database and data modeling, designing component\-based, open\-system architecture, and complex client\-server information systems.
* Experience designing, implementing, and supporting data pipelines and services in multi\-platform distributed environments, utilizing Java, Python, and/or Scala with strong object\-oriented programming skills.
 Equal Opportunity
 Bloomberg Industry Group maintains a continuing policy of non\-discrimination in employment. It is Bloomberg Industry Group’s policy to provide equal opportunity and access for all persons, and the Company is committed to attracting, retaining, developing, and promoting the most qualified individuals without regard to age, ancestry, color, gender identity or expression, genetic predisposition or carrier status, marital status, national or ethnic origin, race, religion or belief, sex, sexual orientation, sexual and other reproductive health decisions, parental or caring status, physical or mental disability, pregnancy or maternity/parental leave, protected veteran status, status as a victim of domestic violence, or any other classification protected by applicable law (“Protected Characteristic”). Bloomberg prohibits treating applicants or employees less favorably in connection with the terms and conditions of employment, in all phases of the employment process, because of one or more Protected Characteristics (“Discrimination”).</t>
        </is>
      </c>
    </row>
    <row r="176">
      <c r="A176" t="inlineStr">
        <is>
          <t>li-4368767318</t>
        </is>
      </c>
      <c r="B176" t="inlineStr">
        <is>
          <t>ETL/Google Cloud Platform Data Engineer - Charlotte, NC</t>
        </is>
      </c>
      <c r="C176" t="inlineStr">
        <is>
          <t>Jobs via Dice</t>
        </is>
      </c>
      <c r="D176" t="inlineStr">
        <is>
          <t>linkedin</t>
        </is>
      </c>
      <c r="E176">
        <f>HYPERLINK("https://www.linkedin.com/jobs/view/4368767318", "https://www.linkedin.com/jobs/view/4368767318")</f>
        <v/>
      </c>
      <c r="F176" t="inlineStr"/>
      <c r="G176" t="inlineStr">
        <is>
          <t>Charlotte, NC</t>
        </is>
      </c>
      <c r="H176" t="inlineStr"/>
      <c r="I176" t="inlineStr">
        <is>
          <t>job summary:
 The Data Engineer role will be responsible for providing technical expertise for solution design for medium to complex data work efforts, hands\-on development, code reviews and QA for the current state Teradata Warehouse platform, The role may also include work related to the Target State Cloud platform Strategy, Roadmap, and Migration activities.
 In this role, you will:
 Lead complex initiatives with broad impact and act as key participant in large scale software planning for the Technology area
 Design, develop, and run tooling to discover problems in data and applications and report the issues to engineering and product leadership
 Review and analyze complex software enhancement initiatives for business, operational or technical improvements that require in depth evaluation of multiple factors including intangibles or unprecedented factors
 Make decisions in complex and multi\-faceted data engineering situations requiring understanding of software package options and programming language and compliance requirements that influence and lead Technology to meet deliverables and drive organizational change
 Strategically collaborate and consult with internal partners to resolve highly risky data engineering challenges
 Required Qualifications:
 7\+ years of experience with Google Cloud Platform, Big Query, Ab\-Initio ETL, Teradata
 Desired Qualifications:
 7\+ years of experience with Java, Python, Finance / Banking
 Job Expectations:
 Ability to work in a fast\-paced environment
 Ability to understand business requirements and translate into data models and solutions that efficiently meet customer needs
 Works quickly and independently to meet required sprint objectives
 Actively participates in cross\-team meetings and is excited to share knowledge for broader team improvement
 Effective Communicator
 location: Charlotte, North Carolina
 job type: Contract
 salary: $58\.73 \- 61\.00 per hour
 work hours: 8am to 5pm
 education: Bachelors
 responsibilities:
 The Data Engineer role will be responsible for providing technical expertise for solution design for medium to complex data work efforts, hands\-on development, code reviews and QA for the current state Teradata Warehouse platform, The role may also include work related to the Target State Cloud platform Strategy, Roadmap, and Migration activities.
 In this role, you will:
* Lead complex initiatives with broad impact and act as key participant in large scale software planning for the Technology area
* Design, develop, and run tooling to discover problems in data and applications and report the issues to engineering and product leadership
* Review and analyze complex software enhancement initiatives for business, operational or technical improvements that require in depth evaluation of multiple factors including intangibles or unprecedented factors
* Make decisions in complex and multi\-faceted data engineering situations requiring understanding of software package options and programming language and compliance requirements that influence and lead Technology to meet deliverables and drive organizational change
* Strategically collaborate and consult with internal partners to resolve highly risky data engineering challenges
**Required Qualifications:**
* 7\+ years of experience with Google Cloud Platform, Big Query, Ab\-Initio ETL, Teradata
**Desired Qualifications:**
* 7\+ years of experience with Java, Python, Finance / Banking
**Job Expectations:**
* Ability to work in a fast\-paced environment
* Ability to understand business requirements and translate into data models and solutions that efficiently meet customer needs
* Works quickly and independently to meet required sprint objectives
* Actively participates in cross\-team meetings and is excited to share knowledge for broader team improvement
* Effective Communicator
 qualifications:
 The Data Engineer role will be responsible for providing technical expertise for solution design for medium to complex data work efforts, hands\-on development, code reviews and QA for the current state Teradata Warehouse platform, The role may also include work related to the Target State Cloud platform Strategy, Roadmap, and Migration activities.
 In this role, you will:
 Lead complex initiatives with broad impact and act as key participant in large scale software planning for the Technology area
 Design, develop, and run tooling to discover problems in data and applications and report the issues to engineering and product leadership
 Review and analyze complex software enhancement initiatives for business, operational or technical improvements that require in depth evaluation of multiple factors including intangibles or unprecedented factors
 Make decisions in complex and multi\-faceted data engineering situations requiring understanding of software package options and programming language and compliance requirements that influence and lead Technology to meet deliverables and drive organizational change
 Strategically collaborate and consult with internal partners to resolve highly risky data engineering challenges
 Required Qualifications:
 7\+ years of experience with Google Cloud Platform, Big Query, Ab\-Initio ETL, Teradata
 Desired Qualifications:
 7\+ years of experience with Java, Python, Finance / Banking
 Job Expectations:
 Ability to work in a fast\-paced environment
 Ability to understand business requirements and translate into data models and solutions that efficiently meet customer needs
 Works quickly and independently to meet required sprint objectives
 Actively participates in cross\-team meetings and is excited to share knowledge for broader team improvement
 Effective Communicator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177">
      <c r="A177" t="inlineStr">
        <is>
          <t>li-4368757848</t>
        </is>
      </c>
      <c r="B177" t="inlineStr">
        <is>
          <t>ETL/Google Cloud Platform Senior Data Engineer - Charlotte, NC</t>
        </is>
      </c>
      <c r="C177" t="inlineStr">
        <is>
          <t>Jobs via Dice</t>
        </is>
      </c>
      <c r="D177" t="inlineStr">
        <is>
          <t>linkedin</t>
        </is>
      </c>
      <c r="E177">
        <f>HYPERLINK("https://www.linkedin.com/jobs/view/4368757848", "https://www.linkedin.com/jobs/view/4368757848")</f>
        <v/>
      </c>
      <c r="F177">
        <f>HYPERLINK("https://click.appcast.io/t/NMbTt-gasB5pNjbvbRmF9aSYunFIhaodXkuffz-LbQE=&amp;urlHash=mMYT", "https://click.appcast.io/t/NMbTt-gasB5pNjbvbRmF9aSYunFIhaodXkuffz-LbQE=&amp;urlHash=mMYT")</f>
        <v/>
      </c>
      <c r="G177" t="inlineStr">
        <is>
          <t>Charlotte, NC</t>
        </is>
      </c>
      <c r="H177" t="inlineStr"/>
      <c r="I177" t="inlineStr">
        <is>
          <t>job summary:
 The Senior Data Engineer role will be responsible for providing technical expertise for solution design for medium to complex data work efforts, hands\-on development, code reviews and QA for the current state Teradata Warehouse platform, The role may also include work related to the Target State Cloud platform Strategy, Roadmap, and Migration activities. The candidate will lead Design and Development on BMG Teradata and Google Cloud Platform applications using ETL(Abinito/SSIS), DBS\-SQL(Teradata/SQL server), and Google Biq Query.
 In this role, you will:
 Lead complex initiatives with broad impact and act as key participant in large scale software planning for the Technology area
 Design, develop, and run tooling to discover problems in data and applications and report the issues to engineering and product leadership
 Review and analyze complex software enhancement initiatives for business, operational or technical improvements that require in depth evaluation of multiple factors including intangibles or unprecedented factors
 Make decisions in complex and multi\-faceted data engineering situations requiring understanding of software package options and programming language and compliance requirements that influence and lead Technology to meet deliverables and drive organizational change
 Strategically collaborate and consult with internal partners to resolve highly risky data engineering challenges
 Required Qualifications:
 7\+ years of software engineering experience
 7\+ years of experience working with Teradata
 5\+ years ETL AbInitio
 5\+ Advanced SQL
 3 \+ years of cloud computing experience
 3\+ years of experience with Google Big Query
 Desired Qualifications:
 5\+ years of experience with Spark, python
 3\+ years of experience with secure DevOps and deployment automation to cloud environments
 3\+ years of Agile experience
 Strong analytical skills
 Strong verbal, written, and interpersonal communication skills
 An industry\-standard technology Cloud certification
 Working knowledge of Google Cloud Platform (Google Cloud Platform)
 Experience communicating and presenting complex information to multiple levels of the organization
 Experience successfully escalating complex issues and tracking follow\-through to completion
 Strong collaboration and partnering skills
 Job Expectations:
 Ability to work in a fast\-paced environment
 Ability to understand business requirements and translate into data models and solutions that efficiently meet customer needs
 Works quickly and independently to meet required sprint objectives
 Actively participates in cross\-team meetings and is excited to share knowledge for broader team improvement
 Effective Communicator
 location: Charlotte, North Carolina
 job type: Contract
 salary: $76\.20 \- 80\.00 per hour
 work hours: 8am to 5pm
 education: Bachelors
 responsibilities:
 The Senior Data Engineer role will be responsible for providing technical expertise for solution design for medium to complex data work efforts, hands\-on development, code reviews and QA for the current state Teradata Warehouse platform, The role may also include work related to the Target State Cloud platform Strategy, Roadmap, and Migration activities. The candidate will lead Design and Development on BMG Teradata and Google Cloud Platform applications using ETL(Abinito/SSIS), DBS\-SQL(Teradata/SQL server), and Google Biq Query.
 In this role, you will:
* Lead complex initiatives with broad impact and act as key participant in large scale software planning for the Technology area
* Design, develop, and run tooling to discover problems in data and applications and report the issues to engineering and product leadership
* Review and analyze complex software enhancement initiatives for business, operational or technical improvements that require in depth evaluation of multiple factors including intangibles or unprecedented factors
* Make decisions in complex and multi\-faceted data engineering situations requiring understanding of software package options and programming language and compliance requirements that influence and lead Technology to meet deliverables and drive organizational change
* Strategically collaborate and consult with internal partners to resolve highly risky data engineering challenges
**Required Qualifications:**
* 7\+ years of software engineering experience
* 7\+ years of experience working with Teradata
* 5\+ years ETL AbInitio
* 5\+ Advanced SQL
* 3 \+ years of cloud computing experience
* 3\+ years of experience with Google Big Query
**Desired Qualifications:**
* 5\+ years of experience with Spark, python
* 3\+ years of experience with secure DevOps and deployment automation to cloud environments
* 3\+ years of Agile experience
* Strong analytical skills
* Strong verbal, written, and interpersonal communication skills
* An industry\-standard technology Cloud certification
* Working knowledge of Google Cloud Platform (Google Cloud Platform)
* Experience communicating and presenting complex information to multiple levels of the organization
* Experience successfully escalating complex issues and tracking follow\-through to completion
* Strong collaboration and partnering skills
**Job Expectations:**
* Ability to work in a fast\-paced environment
* Ability to understand business requirements and translate into data models and solutions that efficiently meet customer needs
* Works quickly and independently to meet required sprint objectives
* Actively participates in cross\-team meetings and is excited to share knowledge for broader team improvement
* Effective Communicator
 qualifications:
 The Senior Data Engineer role will be responsible for providing technical expertise for solution design for medium to complex data work efforts, hands\-on development, code reviews and QA for the current state Teradata Warehouse platform, The role may also include work related to the Target State Cloud platform Strategy, Roadmap, and Migration activities. The candidate will lead Design and Development on BMG Teradata and Google Cloud Platform applications using ETL(Abinito/SSIS), DBS\-SQL(Teradata/SQL server), and Google Biq Query.
 In this role, you will:
 Lead complex initiatives with broad impact and act as key participant in large scale software planning for the Technology area
 Design, develop, and run tooling to discover problems in data and applications and report the issues to engineering and product leadership
 Review and analyze complex software enhancement initiatives for business, operational or technical improvements that require in depth evaluation of multiple factors including intangibles or unprecedented factors
 Make decisions in complex and multi\-faceted data engineering situations requiring understanding of software package options and programming language and compliance requirements that influence and lead Technology to meet deliverables and drive organizational change
 Strategically collaborate and consult with internal partners to resolve highly risky data engineering challenges
 Required Qualifications:
 7\+ years of software engineering experience
 7\+ years of experience working with Teradata
 5\+ years ETL AbInitio
 5\+ Advanced SQL
 3 \+ years of cloud computing experience
 3\+ years of experience with Google Big Query
 Desired Qualifications:
 5\+ years of experience with Spark, python
 3\+ years of experience with secure DevOps and deployment automation to cloud environments
 3\+ years of Agile experience
 Strong analytical skills
 Strong verbal, written, and interpersonal communication skills
 An industry\-standard technology Cloud certification
 Working knowledge of Google Cloud Platform (Google Cloud Platform)
 Experience communicating and presenting complex information to multiple levels of the organization
 Experience successfully escalating complex issues and tracking follow\-through to completion
 Strong collaboration and partnering skills
 Job Expectations:
 Ability to work in a fast\-paced environment
 Ability to understand business requirements and translate into data models and solutions that efficiently meet customer needs
 Works quickly and independently to meet required sprint objectives
 Actively participates in cross\-team meetings and is excited to share knowledge for broader team improvement
 Effective Communicator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178">
      <c r="A178" t="inlineStr">
        <is>
          <t>li-4368779038</t>
        </is>
      </c>
      <c r="B178" t="inlineStr">
        <is>
          <t>Azure Data Engineer (Offshore from India only)</t>
        </is>
      </c>
      <c r="C178" t="inlineStr">
        <is>
          <t>Jobs via Dice</t>
        </is>
      </c>
      <c r="D178" t="inlineStr">
        <is>
          <t>linkedin</t>
        </is>
      </c>
      <c r="E178">
        <f>HYPERLINK("https://www.linkedin.com/jobs/view/4368779038", "https://www.linkedin.com/jobs/view/4368779038")</f>
        <v/>
      </c>
      <c r="F178" t="inlineStr"/>
      <c r="G178" t="inlineStr">
        <is>
          <t>Delhi, IA</t>
        </is>
      </c>
      <c r="H178" t="inlineStr"/>
      <c r="I178" t="inlineStr">
        <is>
          <t>Dice is the leading career destination for tech experts at every stage of their careers. Our client, Radiix Infiniteii, is seeking the following. Apply via Dice today!
**Please note: This position is for a candidate located in Delhi NCR India only**
 The ideal candidate will have hands\-on experience with modern data engineering platforms and cloud technologies, supporting mission\-critical data pipelines and analytics solutions across our organization.
**Please note: This position is for a candidate located in Delhi NCR India only**
**Key Responsibilities**
 Design, develop, and maintain scalable data pipelines and ETL processes using Databricks, PySpark, and SQL Server.
 Work with Synapse Analytics and Azure Data Factory to orchestrate complex data workflows in the Azure cloud environment.
 Build and support reporting and business intelligence solutions using Power Platform tools (Power BI, Power Automate, Power Apps).
 Integrate data from various sources including Redshift, EasyMorph, and Delta Lake for advanced analytics and reporting.
 Monitor and optimize data systems using Azure Monitor and Log Analytics.
 Ensure data security and compliance by implementing Identity \&amp; Access Management (AAD, RBAC in Databricks).
 Collaborate with cross\-functional teams to deliver cloud\-based solutions leveraging Azure and AWS fundamentals.
**Please note: This position is for a candidate located in Delhi NCR India only**
**Required Skills \&amp; Qualifications**
 Proficiency in Databricks and PySpark for data engineering tasks.
 Strong experience with SQL Server and cloud\-based data warehouses (Redshift, Synapse).
 Hands\-on expertise in Azure Data Factory and Synapse Analytics.
 Working knowledge of Power Platform: Power BI, Power Automate, and rudimentary Power Apps.
 Experience with EasyMorph and Delta Lake (data integration and lakehouse architecture).
 Familiarity with Azure Monitor and Log Analytics for system monitoring and troubleshooting.
 Solid understanding of Azure and AWS cloud fundamentals.
 Experience in Identity \&amp; Access Management, including AAD and RBAC in Databricks.
 Excellent problem\-solving skills and ability to work in a fast\-paced, collaborative environment"</t>
        </is>
      </c>
    </row>
    <row r="179">
      <c r="A179" t="inlineStr">
        <is>
          <t>li-4356540328</t>
        </is>
      </c>
      <c r="B179" t="inlineStr">
        <is>
          <t>Senior Data Engineer with CI/ CD - Finance (Regulatory) - Synechron Inc.</t>
        </is>
      </c>
      <c r="C179" t="inlineStr">
        <is>
          <t>Jobs via eFinancialCareers</t>
        </is>
      </c>
      <c r="D179" t="inlineStr">
        <is>
          <t>linkedin</t>
        </is>
      </c>
      <c r="E179">
        <f>HYPERLINK("https://www.linkedin.com/jobs/view/4356540328", "https://www.linkedin.com/jobs/view/4356540328")</f>
        <v/>
      </c>
      <c r="F179" t="inlineStr"/>
      <c r="G179" t="inlineStr">
        <is>
          <t>New York, NY</t>
        </is>
      </c>
      <c r="H179" t="inlineStr"/>
      <c r="I179"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16,400\+, and has 60 offices in 20 countries within key global markets.
**Our challenge**
 We are seeking a skilled Data Engineer with expertise in Databricks, Snowflake, Python, Pyspark, SQL, and Release Management to join our dynamic team. The ideal candidate will have a strong background in the banking domain and will be responsible for designing, developing, and maintaining robust data pipelines and systems to support our banking operations and analytics.
 Additional Information\*
 The base salary for this position will vary based on geography and other factors. In accordance with law, the base salary for this role if filled within New York, NY is $140k \- $155k/year \&amp; benefits (see below).
**The Role**
**Responsibilities:**
* Design, develop, and maintain scalable and efficient data pipelines using Snowflake, Pyspark, and SQL.
* Write optimized and complex SQL queries to extract, transform, and load data.
* Develop and implement data models, schemas, and architecture that support banking domain requirements.
* Collaborate with data analysts, data scientists, and business stakeholders to gather data requirements.
* Automate data workflows and ensure data quality, accuracy, and integrity.
* Manage and coordinate release processes for data pipelines and analytics solutions.
* Monitor, troubleshoot, and optimize the performance of data systems.
* Ensure compliance with data governance, security, and privacy standards within the banking domain.
* Maintain documentation of data architecture, pipelines, and processes.
* Stay updated with the latest industry trends and incorporate best practices.
**Requirements:**
* Proven experience as a Data Engineer or in a similar role with a focus on Snowflake, Python, Pyspark, and SQL.
* Strong understanding of data warehousing concepts and cloud data platforms, especially Snowflake.
* Hands\-on experience with release management, deployment, and version control practices.
* Solid understanding of banking and financial services industry data and compliance requirements.
* Proficiency in Python scripting and Pyspark for data processing and automation.
* Experience with ETL/ELT processes and tools.
* Knowledge of data governance, security, and privacy standards.
* Excellent problem\-solving and analytical skills.
* Strong communication and collaboration abilities.
* Expertise in CI/CD practices and implementation.
* Strong financial background experience with regulatory knowledge and compliance requirements.
**Preferred, but not required:**
* Good Knowledge in Azure and Databricks in highly preferred.
* Knowledge of Apache Kafka or other streaming technologies.
* Familiarity with DevOps practices and CI/CD pipelines.
* Prior experience working in the banking or financial services industry.
**We offer:**
* A highly competitive compensation and benefits package.
* A multinational organization with 60 offices in 20 countries and the possibility to work abroad.
* 10 days of paid annual leave (plus sick leave and national holidays).
* Maternity \&amp;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t>
        </is>
      </c>
    </row>
    <row r="180">
      <c r="A180" t="inlineStr">
        <is>
          <t>li-4368798102</t>
        </is>
      </c>
      <c r="B180" t="inlineStr">
        <is>
          <t>Network Data Engineer</t>
        </is>
      </c>
      <c r="C180" t="inlineStr">
        <is>
          <t>Tata Consultancy Services</t>
        </is>
      </c>
      <c r="D180" t="inlineStr">
        <is>
          <t>linkedin</t>
        </is>
      </c>
      <c r="E180">
        <f>HYPERLINK("https://www.linkedin.com/jobs/view/4368798102", "https://www.linkedin.com/jobs/view/4368798102")</f>
        <v/>
      </c>
      <c r="F180" t="inlineStr"/>
      <c r="G180" t="inlineStr">
        <is>
          <t>Raleigh, NC</t>
        </is>
      </c>
      <c r="H180" t="inlineStr"/>
      <c r="I180" t="inlineStr">
        <is>
          <t>**Job Description**
 Network Data Engineer
 Strong knowledge and Hands\-on experience on below technologies.
 Cisco ISE,
 Forescout – NAC,
 Infoblox\- DNS DHCP IPAM
 Cisco ACI,
 IBM NS1,
 NTP \- Microchip (time),
 Ixia \- platform
 Gluware \- Network tool
 Ansible \- automation platform,
 F5 LTM , GTM , BIGIQ
 Must have Below knowledge
* Cisco ISE \-\-\-\-
 Clear understanding of Cisco ISE Architecture (Pan, PSN, MNT, etc.).
 Cisco ISE configuration and troubleshooting hands on experience.
 Cisco ISE policy configuration used for Wireless, Wired, VPN, and Network
* Forescout’s \-\-\-\-
 Configures, and manages Forescout's network configuration and troubleshooting hands on experience
* Infoblox \-\-\-\-
 manages, maintains, and optimizes an organization's core network services (DNS, DHCP, IPAM), troubleshooting hands on experience.
* F5 (LTM \-GTM, BIGiQ \-\-\-\-
 Hands on experience configuration and troubleshooting on F5 architecture on LTM, GTM, BIGiQ.
* Cisco ACI \-\-\-\-
 Design and deploy Cisco ACI fabrics (Leaf–Spine architecture). Configuration troubleshooting hands on experience
 Configure Tenants, VRFs, Bridge Domains, EPGs, Contracts, and Filters
 Implement Multi Pod, Multi Site, and Remote Leaf architectures
**Knowledge/experience About High Availability And Disaster Recovery Setups**
* IBM NS1 \-\-\-\-
 Hands\-on experience with the IBM NS1 Connect platform or comparable DNS automation and network performance solutions is often required.
* NTP\- Microchip (time) \-\-\-\-
 Familiarity with Microchip NTP equipment
 Microchip NTP monitoring and troubleshooting tools.
* Ixia \-\-\-\-
 Understanding Ixia platform for network testing and topology testing
 Using Ixia platform network troubleshooting for L2/L3 design
* Gluware \-\-\-\-
 Gluware configuration and troubleshooting
 Gluware configuration using automation
* Ansible automation platform \-\-\-\-
 Ansible automation scripting language configuration management and troubleshooting.
 Salary Range\- $100,000\-$110,000 a year
**Qualifications:** 
 BACHELOR OF COMPUTER SCIENCE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2026-02-04T23:45:19Z</dcterms:created>
  <dcterms:modified xsi:type="dcterms:W3CDTF">2026-02-04T23:45:19Z</dcterms:modified>
</cp:coreProperties>
</file>