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deed" sheetId="1" state="visible" r:id="rId1"/>
    <sheet name="linkedin" sheetId="2" state="visible" r:id="rId2"/>
  </sheets>
  <definedNames/>
  <calcPr calcId="124519" fullCalcOnLoad="1"/>
</workbook>
</file>

<file path=xl/styles.xml><?xml version="1.0" encoding="utf-8"?>
<styleSheet xmlns="http://schemas.openxmlformats.org/spreadsheetml/2006/main">
  <numFmts count="4">
    <numFmt numFmtId="164" formatCode="yyyy-mm-dd h:mm:ss"/>
    <numFmt numFmtId="165" formatCode="YYYY-MM-DD HH:MM:SS"/>
    <numFmt numFmtId="166" formatCode="yyyy-mm-dd"/>
    <numFmt numFmtId="167" formatCode="YYYY-MM-DD"/>
  </numFmts>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4">
    <xf numFmtId="0" fontId="0" fillId="0" borderId="0" pivotButton="0" quotePrefix="0" xfId="0"/>
    <xf numFmtId="0" fontId="1" fillId="0" borderId="1" applyAlignment="1" pivotButton="0" quotePrefix="0" xfId="0">
      <alignment horizontal="center" vertical="top"/>
    </xf>
    <xf numFmtId="165" fontId="0" fillId="0" borderId="0" pivotButton="0" quotePrefix="0" xfId="0"/>
    <xf numFmtId="167"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0"/>
  <sheetViews>
    <sheetView workbookViewId="0">
      <selection activeCell="A1" sqref="A1"/>
    </sheetView>
  </sheetViews>
  <sheetFormatPr baseColWidth="8" defaultRowHeight="15"/>
  <sheetData>
    <row r="1">
      <c r="A1" s="1" t="inlineStr">
        <is>
          <t>job id</t>
        </is>
      </c>
      <c r="B1" s="1" t="inlineStr">
        <is>
          <t>title</t>
        </is>
      </c>
      <c r="C1" s="1" t="inlineStr">
        <is>
          <t>company</t>
        </is>
      </c>
      <c r="D1" s="1" t="inlineStr">
        <is>
          <t>site</t>
        </is>
      </c>
      <c r="E1" s="1" t="inlineStr">
        <is>
          <t>job_url</t>
        </is>
      </c>
      <c r="F1" s="1" t="inlineStr">
        <is>
          <t>job_url_direct</t>
        </is>
      </c>
      <c r="G1" s="1" t="inlineStr">
        <is>
          <t>location</t>
        </is>
      </c>
      <c r="H1" s="1" t="inlineStr">
        <is>
          <t>date posted</t>
        </is>
      </c>
      <c r="I1" s="1" t="inlineStr">
        <is>
          <t>description</t>
        </is>
      </c>
    </row>
    <row r="2">
      <c r="A2" t="inlineStr">
        <is>
          <t>in-57095bcbc4fabf5f</t>
        </is>
      </c>
      <c r="B2" t="inlineStr">
        <is>
          <t>Senior Data Engineer - Data Integration &amp; Analytics Platforms</t>
        </is>
      </c>
      <c r="C2" t="inlineStr">
        <is>
          <t>HCM</t>
        </is>
      </c>
      <c r="D2" t="inlineStr">
        <is>
          <t>indeed</t>
        </is>
      </c>
      <c r="E2" t="inlineStr"/>
      <c r="F2" t="inlineStr"/>
      <c r="G2" t="inlineStr">
        <is>
          <t>Indianapolis, IN, US</t>
        </is>
      </c>
      <c r="H2" s="2" t="n">
        <v>46055</v>
      </c>
      <c r="I2" t="inlineStr">
        <is>
          <t>**Senior Data Engineer – Data Integration \&amp; Analytics Platforms**
Healthcare Chaos Management (HCM) is a 40\-year\-old, nationally scaled healthcare revenue cycle company that is transforming into a cutting\-edge Healthcare FinTech organization. We serve hospitals and healthcare systems across the U.S., blending human\-centric service with intelligent automation to improve patient financial experiences and optimize healthcare revenue operations.
**Job Overview**
We are seeking an experienced and highly skilled **Senior Data Engineer** to join our growing technology team. In this role, you will be responsible for designing, building, and optimizing enterprise\-grade data integration solutions that support analytics, reporting, and customer\-facing data products. This is a critical role for a technical leader who can make sound architectural decisions, optimize performance, and collaborate across engineering, analytics, and business teams.
**Key Responsibilities**
**Data Engineering \&amp; Architecture**
* Design, develop, and maintain scalable, reliable data pipelines using distributed data processing frameworks and cloud analytics platforms.
* Architect complex data ingestion, transformation, and integration workflows to support analytics and reporting needs.
* Lead data modeling and data architecture decisions to ensure accuracy, performance, and scalability.
**Database \&amp; Performance Optimization**
* Provide deep expertise in SQL Server or equivalent relational databases, including query optimization and performance tuning.
* Optimize, automate, and monitor production data pipelines to ensure high availability and data integrity.
**Collaboration \&amp; Technical Leadership**
* Collaborate closely with analytics, engineering, and business stakeholders to deliver high\-quality data solutions.
* Mentor team members and contribute to shared engineering standards, best practices, and documentation.
* Support a culture of continuous learning, knowledge sharing, and process improvement within the data engineering team.
**Key Performance Indicators (KPIs)**
Performance in this role will be measured by:
* **Data Reliability:** Stability and accuracy of production data pipelines
* **Performance:** Efficiency and optimization of data processing and query performance
* **Delivery:** Timely completion of data engineering initiatives and enhancements
* **Collaboration:** Effective cross\-functional partnership and team contribution
**What We Offer**
* **Compensation:** Competitive compensation package, commensurate with experience
* **Medical, Dental \&amp; Vision Insurance:** Comprehensive health plans for you and your family
* **Life Insurance:** Employee life insurance coverage
* **Flexible Time Off:** FTO for a balanced work\-life experience
* **401(k) Plan:** Company match to support your long\-term financial goals
* **Additional Benefits:** Paid holidays, collaborative team culture, and opportunities for growth and advancement
**Minimum Qualifications**
* **Experience:** Extensive experience working with SQL Server or similar relational database platforms
* **Technical Skills:** Advanced proficiency in SQL and Python
* **Cloud Data Platforms:** Experience building and maintaining cloud\-based data pipelines
* **Collaboration \&amp; Leadership:** Strong communication, collaboration, and mentorship skills
**Preferred Platforms \&amp; Tools**
* Microsoft Azure
* Azure Databricks, Microsoft Fabric, Delta Lake
* Azure Data Factory
* Azure SQL Database
* Power BI
* CI/CD tools such as Azure DevOps or GitHub Actions
**Work Environment \&amp; Physical Requirements**
* **Location:** Hybrid role based in Indianapolis, IN
* **Schedule:** Full\-time; in\-office a minimum of three days per week (four days preferred)
* **Work Environment:** Highly collaborative, team\-oriented office environment. Reasonable accommodations may be made to enable individuals with disabilities to perform the essential functions of the role.
**Join Us**
At HCM, you’ll play a key role in building the data foundation that powers analytics, automation, and intelligent decision\-making across the organization. If you’re a seasoned data engineer who enjoys solving complex problems, mentoring others, and making a meaningful impact in a growing Healthcare FinTech company, we encourage you to apply and join our team.
Benefits:
* 401(k)
* 401(k) matching
* Dental insurance
* Employee assistance program
* Flexible schedule
* Health insurance
* Life insurance
* Paid time off
* Vision insurance
Application Question(s):
* Are you located within 50 miles of the Indianapolis area?
* What are your compensation needs?
Education:
* Bachelor's (Preferred)
Experience:
* Microsoft Azure : 3 years (Required)
* Power BI: 3 years (Required)
* SQL: 4 years (Required)
* Python: 4 years (Required)
* building cloud\-based data pipelines: 3 years (Required)
Work Location: Hybrid remote in Indianapolis, IN 46220</t>
        </is>
      </c>
    </row>
    <row r="3">
      <c r="A3" t="inlineStr">
        <is>
          <t>in-728bb38f92ca98d9</t>
        </is>
      </c>
      <c r="B3" t="inlineStr">
        <is>
          <t>Senior Data Engineer</t>
        </is>
      </c>
      <c r="C3" t="inlineStr">
        <is>
          <t>Crown Equipment</t>
        </is>
      </c>
      <c r="D3" t="inlineStr">
        <is>
          <t>indeed</t>
        </is>
      </c>
      <c r="E3" t="inlineStr"/>
      <c r="F3" t="inlineStr"/>
      <c r="G3" t="inlineStr">
        <is>
          <t>New Bremen, OH, US</t>
        </is>
      </c>
      <c r="H3" s="2" t="n">
        <v>46054</v>
      </c>
      <c r="I3" t="inlineStr">
        <is>
          <t>**Location:**New Bremen, OH, US, 45869
Company Description:  
Crown Equipment Corporation is a leading innovator in world\-class forklift and material handling equipment and technology. As one of the world’s largest lift truck manufacturers, we are committed to providing the customer with the safest, most efficient and ergonomic lift truck possible to lower their total cost of ownership. **Job Posting External**
**Job Responsibilities:**  
The Data Engineeris a critical role in the development of InfoLink, Crown’s global fleet management software solution.  
* **Programming** \- Design, build and optimize scalable data pipelines and stores. Clean, prepare and optimize data for consumption in applications and analytics platforms. Participate in peer code reviews to uphold internal standards.
* **Testing** \- Ensure procedures are thoroughly tested before release. Write unit tests and record test results. Detect, define, and debug programs whenever problems arise. Assist with system testing.
* **Documentation and Training** \- Provide training to users and knowledge transfer to support personnel and other staff members as required. Prepare system and programming documentation in accordance with internal standards.
* **System Analysis** \- Interface with users to extract functional needs and determine requirements. Conduct detailed systems analysis to define scope and objectives and design solutions. Create documentation per internal standards. Work with Business Analyst to help develop and write system requirements.
* **Project Leadership** \- Establish project plans and schedules and monitor progress providing status reports as required. Perform other duties as assigned.
**Learn more about** **Crown InfoLink® Operator and Fleet Management System**  
**Remote Work:** Crown offers hybrid remote work for this position. This position is based out of Ohio. A reasonable commute is necessary since some onsite work is required.  
**Minimum Qualifications:**  
* Bachelor’s degree in Computer Science, Software/Computer Engineering, Information Systems, or related field, along with 5\+ years of experience
		- *Non\-degree considered if 12\+ years of related experience with a high school diploma or GED.*
* SnapLogic (ETL Services) experience
* Goodwritten, verbal, analytical and interpersonal skills
* Ability to occasionally travel with overnight stays (0\-5%)
* Reliable transportation to travel locally between company locations during scheduled workday
**Preferred Qualifications:**  
* Advanced level experience in MySQL, SQL, NoSQL, ETL and Data Integration is preferred
* Data\-related experience with, or similar to:
* AWS Technologies (RDS, SQS, S3, EC2, etc.)
* Aurora/MySQL (SQL)
* DynamoDB (NoSQL)
* ElastiCache (in\-memory cache)
* Kibana (log files)
* RedShift (data warehouse)
**Work Authorization:**  
Crown will only employ those who are legally authorized to work in the United States. This is not a position for which sponsorship will be provided. Individuals with temporary visas or who need sponsorship for work authorization now or in the future, are not eligible for hire.  
No agency calls please.  
**Compensation and Benefits:**  
Crown offers an excellent wage and benefits package for full\-time employees including Health/Dental/Vision/Prescription Drug Plan, Flexible Benefits Plan, 401K Retirement Savings Plan, Life and Disability Benefits, Paid Parental Leave, Paid Holidays, Paid Vacation, Tuition Reimbursement, and much more.
EOE Veterans/Disabilities  
**Job Segment:** Systems Analyst, Testing, Data Warehouse, Computer Science, Business Analyst, Technology</t>
        </is>
      </c>
    </row>
    <row r="4">
      <c r="A4" t="inlineStr">
        <is>
          <t>in-6af4468f8ea99c7c</t>
        </is>
      </c>
      <c r="B4" t="inlineStr">
        <is>
          <t>Senior Data Engineer</t>
        </is>
      </c>
      <c r="C4" t="inlineStr">
        <is>
          <t>EPAM Systems</t>
        </is>
      </c>
      <c r="D4" t="inlineStr">
        <is>
          <t>indeed</t>
        </is>
      </c>
      <c r="E4" t="inlineStr"/>
      <c r="F4" t="inlineStr"/>
      <c r="G4" t="inlineStr">
        <is>
          <t>GA, US</t>
        </is>
      </c>
      <c r="H4" s="2" t="n">
        <v>46054</v>
      </c>
      <c r="I4" t="inlineStr">
        <is>
          <t>We are seeking a highly skilled **Senior Data Engineer** who is passionate about building and managing efficient data systems. The ideal candidate will have profound knowledge of data engineering concepts, a solid background in ETL processes and database optimization, and the ability to work collaboratively with cross\-functional teams to deliver data solutions that add meaningful business value.
If you are enthusiastic about building and managing data systems while contributing to meaningful business outcomes, we’d love to hear from you!
*Experience the freedom of remote work from anywhere in Georgia, whether from the comfort of your home, our modern offices in Tbilisi and Batumi or a coworking space in Kutaisi.*
**Responsibilities**
* Implement, monitor, and optimize ETL processes to ensure efficient data transfer across systems
* Design, develop, and maintain robust database structures, schemas, and data processing pipelines
* Develop and optimize SQL queries to support data extraction, transformation, and reporting needs
* Maintain and enhance data quality and consistency across various systems
* Manage the configuration and deployment of online data tools such as Microsoft Fabric
* Collaborate with teams to support SAP Business Objects’ Universes and Microsoft Dataverse
* Troubleshoot and resolve data\-loading issues, ensuring system performance and reliability
* Create and maintain a comprehensive data inventory, dictionary, and metadata documentation
* Build secure database systems, manage access, and ensure data privacy compliance
* Perform database backup, restoration, and disaster recovery planning
* Engage with stakeholders to identify data requirements and deliver customized solutions
* Support the analytics team by providing well\-structured and accessible datasets
**Requirements**
* 3\+ years of relevant experience in Database Management and Operations
* Proficiency in SQL, database structures, and data modeling
* Knowledge of ETL processes and familiarity with related tools
* Expertise in Azure Blob Storage, Azure Data Lake Storage, Azure Synapse Analytics, Microsoft SQL Server
* Competency in troubleshooting data pipelines and refining system performance
* Strong analytical and problem\-solving skills with an eye for detail
* Solid communication skills to convey complex technical concepts to non\-technical stakeholders
* A background in self\-managing tasks and working with minimal supervision
* Ability to think critically while maintaining attention to detailed project elements
* Flexibility to work collaboratively in a team environment to achieve shared objectives
* English language proficiency at an Upper\-Intermediate level (B2\) or higher
**Nice to have**
* Membership in a relevant professional organization
* Background in Azure cloud technologies
* Familiarity with Big Data tools such as Spark and Databricks
* Experience with SAP Business Objects and Alteryx
* Knowledge of Microsoft Dataverse, Microsoft Fabric, and/or Oracle PL/SQL
**We offer**
* **We connect like\-minded people**
	+ Delivering innovative solutions to industry leaders, making a global impact
	+ Enjoyable working environment, whether it is the vibrant office or the comfort of your own home
	+ Opportunity to work abroad for up to two months per year
	+ Relocation opportunities within our offices in 55\+ countries
	+ Corporate and social events
* **We invest in your growth**
	+ Leadership development, career advising, soft skills and well\-being programs
	+ Certifications, including GCP, Azure and AWS
	+ Unlimited access to LinkedIn Learning and Get Abstract
	+ Free English classes with certified teachers
* **We cover it all**
	+ Participation in the Employee Stock Purchase Plan
	+ Monetary bonuses for engaging in the referral program
	+ Comprehensive medical \&amp; family care package
	+ Five trust days per year (sick leave without a medical certificate)
	+ Benefits package (sports activities, a variety of stores and services)
EPAM Georgia is a team of innovators united by a passion for technology. The dynamic and inclusive culture we embrace helps positively impact our communities, clients, and employees. Here you will collaborate with multi\-national teams, contribute to numerous cutting\-edge projects, deliver the most creative solutions, and have an opportunity to learn. Our people are at the heart of our success, and we are proud to provide talents with a solid ground to develop and grow.</t>
        </is>
      </c>
    </row>
    <row r="5">
      <c r="A5" t="inlineStr">
        <is>
          <t>in-34155d371c91862f</t>
        </is>
      </c>
      <c r="B5" t="inlineStr">
        <is>
          <t>Senior Data Engineer</t>
        </is>
      </c>
      <c r="C5" t="inlineStr">
        <is>
          <t>The Cheesecake Factory</t>
        </is>
      </c>
      <c r="D5" t="inlineStr">
        <is>
          <t>indeed</t>
        </is>
      </c>
      <c r="E5" t="inlineStr"/>
      <c r="F5" t="inlineStr"/>
      <c r="G5" t="inlineStr">
        <is>
          <t>Calabasas Hills, CA, US</t>
        </is>
      </c>
      <c r="H5" s="2" t="n">
        <v>46054</v>
      </c>
      <c r="I5" t="inlineStr">
        <is>
          <t>**Compensation Range**
$140,000 \- $156,000 / Year **Overview**
***Eligible for a hybrid work schedule split between home \&amp; office, with a minimum of 3 days in the office each week.***  
You may know us as a company with great food. You may also know us from ‘Fortune’s 100 Best Companies to Work For’ list.  
The Senior Data Engineer will be an integral part of the Integrations team within our Information Technology department. They will have the responsibility to design, develop, support, and optimize data pipelines and architectures using modern iPaaS solutions and other cloud\-based data processing and storage solutions. They will collaborate with various stakeholders to identify data needs and utilize best practices to integrate with disparate systems for data sharing. **You’ll thrive in this position if you are:*** ***Deadline Driven:***you understand that deliverables are due by a specific date and time, and your time management and work ethic gets you there with ease.
* ***A Team Player:*** you’re a collaborative team player who shows respect for the views and contributions of others while building team spirit across the department.
* ***Highly Organized:*** in a dynamic work environment with many moving parts, you easily prioritize your responsibilities while maintaining deadlines.
* ***Adaptable:*** you’re at ease in a fast\-paced environment and you’re able to change direction rapidly when priorities, deadlines, or personalities shift.
* ***Accountable/Responsible:*** you’re able and willing to take initiative and ownership for getting things done (within a supportive team environment).
 **Responsibilities**
* Design, develop, and maintain scalable, fault\-tolerant data pipelines using ETL/ELT frameworks to support ingestion, transformation, and integration of structured and unstructured data.
* Implement integration solutions with external systems via REST APIs, SOAP services, and message queues (e.g., RabbitMQ and Kafka) to enable real\-time and batch data exchange.
* Partner cross\-functionally with Business Analysts, BI teams, and stakeholders to translate business requirements into technical designs, data contracts, and production\-ready solutions.
* Optimize and troubleshoot data systems (Azure SQL Database, Azure Data Factory, SSIS) for performance tuning, query optimization, and cost efficiency.
* Design and implement robust data models for analytical and transactional systems ensuring referential integrity and scalability.
* Implement best practices for data management, including data governance, security (RBAC, password less auth), compliance, and auditing using Azure Purview or similar tools.
* Maintain comprehensive documentation of data workflows, architecture diagrams, and integration patterns.
* Mentor and support junior engineers through code reviews, design guidance, and troubleshooting, helping raise overall engineering quality and delivery consistency.
* Lead proofs of concept (POCs) and evaluate tools such as Snowflake, Databricks, and Airflow, providing recommendations to improve architecture, scalability, and operational maturity.
* Leverage CI/CD pipelines for Azure functions, data factory and SSIS using GitHub Actions to ensure automated deployments and version control.
* Work with cloud\-native storage and compute services (Azure Blob Storage, Data Lake Gen2, Functions, Logic Apps, SSIS,ADF) for scalable data processing and integration.
* Develop automation scripts in Python and PowerShell for data processing, orchestration, and operational efficiency.
 **Qualifications**
* 5\+ years of hands\-on experience with Azure Data Factory, Azure SQL offerings, and SSIS.
* Bachelor’s degree in Computer Science, Information Systems, Data Analytics, or a related field
* Proficiency in SQL, Python, stored procedures and other data transformation techniques.
* Expertise in optimizing SQL queries using query optimization techniques and other performance tuning strategies.
* Scripting experience utilizing Python/PowerShell.
* Experience with system design and data architecture, including scalable integration patterns.
* Exposure to modern data platforms such as Databricks, Synapse, BigQuery, or Snowflake.
* Experience with iPaaS tools (e.g., SnapLogic, TIBCO, Adeptia) and external system integrations.
* Strong problem\-solving and data debugging skills.
* Demonstrated ability to learn and adapt to new technologies and methodologies.
* Excellent communication skills and teamwork abilities.
**What we prefer:*** Restaurant industry experience.
* Familiarity with other cloud\-based technologies and services on Azure e.g. Logic Apps, Functions.
* Experience building frameworks and utilities that standardize implementation of data quality, logging, monitoring etc.
* Azure certifications e.g. Azure Fundamentals, Azure Data Fundamentals, Azure Data Engineer.
* Experience mentoring engineers, setting standards, and contributing to technical roadmaps.
 **Benefits**
* Vacation and sick time
* Medical, Dental \&amp; Vision
* 401K with company match
* Tuition reimbursement
* 25%\-35% discount when dining as a guest
* Annual stipend for dining in our restaurant
 **About the Company**
Named to *FORTUNE* Magazine’s “100 Best Companies to Work For®” list every year since 2014, The Cheesecake Factory Incorporated is a leader in experiential dining. We are culinary\-forward and relentlessly focused on hospitality. Delicious, memorable experiences created by passionate people—this defines who we are and where we are going.  
We currently own and operate 353 restaurants throughout the United States and Canada under brands including The Cheesecake Factory®, North Italia®, Flower Child® and a collection of other FRC brands. Internationally, 34 The Cheesecake Factory® restaurants operate under licensing agreements. Our bakery division operates two facilities that produce quality cheesecakes and other baked products for our restaurants, international licensees and third\-party bakery customers.  
We are committed to creating an inclusive and welcoming workplace for all. We welcome applicants from a wide variety of identities, ideas, perspectives, backgrounds and experiences to apply. The Cheesecake Factory offers reasonable accommodations to job applicants with disabilities.  
\#SoCheesecake \#LifeAtCheesecake  
To notify of a non\-compliant job posting, please send a notice to ats@thecheesecakefactory.com.</t>
        </is>
      </c>
    </row>
    <row r="6">
      <c r="A6" t="inlineStr">
        <is>
          <t>in-e18198f91f983d73</t>
        </is>
      </c>
      <c r="B6" t="inlineStr">
        <is>
          <t>Power BI Data Engineer</t>
        </is>
      </c>
      <c r="C6" t="inlineStr">
        <is>
          <t>Legence</t>
        </is>
      </c>
      <c r="D6" t="inlineStr">
        <is>
          <t>indeed</t>
        </is>
      </c>
      <c r="E6" t="inlineStr"/>
      <c r="F6" t="inlineStr"/>
      <c r="G6" t="inlineStr">
        <is>
          <t>US</t>
        </is>
      </c>
      <c r="H6" s="2" t="n">
        <v>46054</v>
      </c>
      <c r="I6" t="inlineStr">
        <is>
          <t>About Legence
**Legence (Nasdaq:** LGN) is a leading provider of engineering, consulting, installation, and maintenance services for mission\-critical systems in buildings. The company specializes in designing, fabricating, and installing complex HVAC, process piping, and other mechanical, electrical, and plumbing (MEP) systems—enhancing energy efficiency, reliability, and sustainability in new and existing facilities. Legence also delivers long\-term performance through strategic upgrades and holistic solutions. Serving some of the world’s most technically demanding sectors, Legence counts over 60% of the Nasdaq\-100 Index among its clients.
**Position Overview:** We are seeking a highly skilled Power BI Data Engineer who combines deep technical expertise in data engineering with exceptional data visualization abilities. This hands\-on role requires someone who can architect robust data solutions while creating compelling, insight\-driven dashboards that transform complex data into clear, actionable intelligence. This role is expected to interact directly with end users regarding requirements, testing, and implementation. This position is remote with preference to align to one of Legence’ s office locations.
Key Responsibilities
Power BI Development \&amp; Visualization
* Create sophisticated, visually stunning Power BI dashboards and reports that drive business decisions
* Develop advanced DAX calculations, measures, and calculated columns to support complex analytical requirements
* Design intuitive, user\-friendly interfaces with custom visuals, drill\-through capabilities, and interactive features
* Implement dynamic report features including bookmarks, parameters, field parameters, and dynamic formatting
* Build composite models and leverage advanced features like aggregations, incremental refresh, and query folding
Data Engineering \&amp; Architecture
* Design, build, and maintain scalable data pipelines and ETL/ELT processes using Power Query, Dataflows, and Azure Data Factory
* Develop and optimize data models using star schema, snowflake schema, and other dimensional modeling techniques
* Implement and manage data warehouses and data lakes using Azure Synapse Analytics, SQL Server, or similar platforms
* Write and optimize complex SQL queries, stored procedures, and database functions for performance and efficiency
* Establish data governance frameworks, including data quality checks, validation rules, and documentation standards
Technical Implementation
* Configure and manage Power BI/Fabric workspaces, deployment pipelines, and version control
* Implement row\-level security (RLS) and object\-level security (OLS) for data protection
* Optimize report performance through query optimization, data model refinement, and DAX tuning
* Integrate Power BI with various data sources including SQL databases, APIs, SharePoint, Excel, and cloud platforms
* Automate data refresh schedules and monitor gateway configurations
Required Qualifications
Technical Skills
* 3\+ years of hands\-on experience with Power BI development (Desktop, Service, and Report Server)
* Expert\-level proficiency in DAX (Data Analysis Expressions) and Power Query (M language)
* Strong SQL skills with experience in database design, query optimization, and performance tuning
* Solid understanding of data warehousing concepts, dimensional modeling, and ETL principles
* Experience with data visualization best practices and UI/UX design principles
* Proficiency in Azure data services (Azure SQL Database, Synapse Analytics, Data Factory, or Fabric)
Data \&amp; Analytical Expertise
* Deep understanding of data modeling techniques and relationships (one\-to\-many, many\-to\-many, bi\-directional)
* Strong grasp of statistical concepts and analytical methodologies
* Ability to translate complex business requirements into technical data solutions
* Experience with data quality assessment and data profiling
Professional Competencies
* Proven ability to create visually compelling, executive\-level dashboards and reports
* Strong problem\-solving skills with a hands\-on, solution\-oriented approach
* Excellent communication skills to explain technical concepts to non\-technical stakeholders
* Detail\-oriented with commitment to code quality and documentation
* Demonstrated ability to use AI and automation in software engineering
Preferred Qualifications
* CS or CIS bachelor 's degree
* Microsoft certifications: PL\-300 (Power BI Data Analyst), DP\-203 (Data Engineer), or DP\-500 (Enterprise Data Analyst)
* Experience with Python or R for advanced analytics integration
* Familiarity with Git/Azure DevOps for version control and CI/CD pipelines
* Knowledge of DAX Studio, and other Power BI development tools
* Experience with Power BI Embedded or custom API development
* Understanding of data science concepts and predictive analytics
Technical Environment
* Power BI Desktop, Power BI Service, Power BI Premium/Fabric
* SQL Server, Azure SQL Database, Azure Synapse Analytics
* Azure Data Factory, Azure Data Lake Storage
* DAX Studio, Tabular Editor, Power Query
* Git/Azure DevOps for version control
What Makes You Stand Out
* Portfolio of impressive Power BI dashboards demonstrating design excellence and technical complexity
* Track record of optimizing poorly performing reports and data models
* Experience mentoring others in Power BI development and best practices
* Contributions to the Power BI community (blog posts, speaking engagements, open\-source projects)
This is a hands\-on technical role requiring daily interaction with data, code, and visualization design. The ideal candidate thrives in environments where they can build solutions from the ground up and take ownership of the entire BI development lifecycle.
**Base salary:** $105,000–$120,000 per year. This role may be eligible for participation in discretionary bonus plan based on company and individual performance.
**Notes:** Actual compensation will be based on skills, experience, and work location, and may vary from the posted range. Hiring bonuses (and any guaranteed year\-end bonuses) are administered under Company policy and are not earned until all stated conditions are met (e.g., active employment on the payment date). This posting reflects compensation at the time of posting and may be updated.
Unable to provide sponsorship for this position.
\#LI\-JS1 \#LI\-Remote
Benefits Overview
**401(k) Plan with Company Match:** Currently match contributions dollar\-for\-dollar up to 4% of eligible pay; immediate vesting.
**Health \&amp; Welfare Benefits:** Employer provided medical, dental, vision, prescription drug, Employee Assistance Program and accident \&amp; illness coverage.
**Life and Disability Insurance:** Employer provided basic life insurance and AD\&amp;D valued at 50K coverage amount with the option for voluntary buy up for additional coverage.
**Time Off:** Flexible non\-accrual vacation; company holidays per policy. (For California employees, this is separate from California paid sick leave, if applicable.)
**Expenses:** Business travel and related expenses reimbursed per company policy.
Reasonable Accommodations
If you need assistance or accommodations during the application or interview process, please contact us at ta@wearelegence.com or your dedicated recruiter with the job title and requisition number.
Third\-Party Recruiting Disclaimer
Legence and its affiliates do not accept unsolicited resumes from agencies; any such submissions without a prior signed agreement authorized by Legence Holdings LLC's CHRO or Director of Talent Acquisition will not incur fees and are considered property of Legence.
Pay Disclosure \&amp; Considerations
Where pay ranges are indicated, please note that a successful candidate’s exact pay will be determined based relevant job\-related factors, including any of the following: candidate’s experience, skills, and qualifications, as well as geographic and market considerations. We are committed to ensuring fair and competitive compensation for all employees and comply with all applicable salary transparency laws.
Equal Employment Opportunity Employer
Legence and its affiliate companies are proud to be an equal opportunity workplace. We are committed to equal employment opportunity regardless of race, color, religion, sex (including pregnancy, gender identity, and sexual orientation), marital or familial status, national origin, age, disability, genetic information (including family medical history), political affiliation, military service, other non\-merit\-based factors, and any other characteristic protected under applicable local, state or federal laws and regulations.
EEO is the Law</t>
        </is>
      </c>
    </row>
    <row r="7">
      <c r="A7" t="inlineStr">
        <is>
          <t>in-0e42768f14df242f</t>
        </is>
      </c>
      <c r="B7" t="inlineStr">
        <is>
          <t>Power BI Data Engineer</t>
        </is>
      </c>
      <c r="C7" t="inlineStr">
        <is>
          <t>Legence</t>
        </is>
      </c>
      <c r="D7" t="inlineStr">
        <is>
          <t>indeed</t>
        </is>
      </c>
      <c r="E7" t="inlineStr"/>
      <c r="F7" t="inlineStr"/>
      <c r="G7" t="inlineStr">
        <is>
          <t>Minneapolis, MN, US</t>
        </is>
      </c>
      <c r="H7" s="2" t="n">
        <v>46054</v>
      </c>
      <c r="I7" t="inlineStr">
        <is>
          <t>About Legence
**Legence (Nasdaq:** LGN) is a leading provider of engineering, consulting, installation, and maintenance services for mission\-critical systems in buildings. The company specializes in designing, fabricating, and installing complex HVAC, process piping, and other mechanical, electrical, and plumbing (MEP) systems—enhancing energy efficiency, reliability, and sustainability in new and existing facilities. Legence also delivers long\-term performance through strategic upgrades and holistic solutions. Serving some of the world’s most technically demanding sectors, Legence counts over 60% of the Nasdaq\-100 Index among its clients.
**Position Overview:** We are seeking a highly skilled Power BI Data Engineer who combines deep technical expertise in data engineering with exceptional data visualization abilities. This hands\-on role requires someone who can architect robust data solutions while creating compelling, insight\-driven dashboards that transform complex data into clear, actionable intelligence. This role is expected to interact directly with end users regarding requirements, testing, and implementation. This position is remote with preference to align to one of Legence’ s office locations.
Key Responsibilities
Power BI Development \&amp; Visualization
* Create sophisticated, visually stunning Power BI dashboards and reports that drive business decisions
* Develop advanced DAX calculations, measures, and calculated columns to support complex analytical requirements
* Design intuitive, user\-friendly interfaces with custom visuals, drill\-through capabilities, and interactive features
* Implement dynamic report features including bookmarks, parameters, field parameters, and dynamic formatting
* Build composite models and leverage advanced features like aggregations, incremental refresh, and query folding
Data Engineering \&amp; Architecture
* Design, build, and maintain scalable data pipelines and ETL/ELT processes using Power Query, Dataflows, and Azure Data Factory
* Develop and optimize data models using star schema, snowflake schema, and other dimensional modeling techniques
* Implement and manage data warehouses and data lakes using Azure Synapse Analytics, SQL Server, or similar platforms
* Write and optimize complex SQL queries, stored procedures, and database functions for performance and efficiency
* Establish data governance frameworks, including data quality checks, validation rules, and documentation standards
Technical Implementation
* Configure and manage Power BI/Fabric workspaces, deployment pipelines, and version control
* Implement row\-level security (RLS) and object\-level security (OLS) for data protection
* Optimize report performance through query optimization, data model refinement, and DAX tuning
* Integrate Power BI with various data sources including SQL databases, APIs, SharePoint, Excel, and cloud platforms
* Automate data refresh schedules and monitor gateway configurations
Required Qualifications
Technical Skills
* 3\+ years of hands\-on experience with Power BI development (Desktop, Service, and Report Server)
* Expert\-level proficiency in DAX (Data Analysis Expressions) and Power Query (M language)
* Strong SQL skills with experience in database design, query optimization, and performance tuning
* Solid understanding of data warehousing concepts, dimensional modeling, and ETL principles
* Experience with data visualization best practices and UI/UX design principles
* Proficiency in Azure data services (Azure SQL Database, Synapse Analytics, Data Factory, or Fabric)
Data \&amp; Analytical Expertise
* Deep understanding of data modeling techniques and relationships (one\-to\-many, many\-to\-many, bi\-directional)
* Strong grasp of statistical concepts and analytical methodologies
* Ability to translate complex business requirements into technical data solutions
* Experience with data quality assessment and data profiling
Professional Competencies
* Proven ability to create visually compelling, executive\-level dashboards and reports
* Strong problem\-solving skills with a hands\-on, solution\-oriented approach
* Excellent communication skills to explain technical concepts to non\-technical stakeholders
* Detail\-oriented with commitment to code quality and documentation
* Demonstrated ability to use AI and automation in software engineering
Preferred Qualifications
* CS or CIS bachelor 's degree
* Microsoft certifications: PL\-300 (Power BI Data Analyst), DP\-203 (Data Engineer), or DP\-500 (Enterprise Data Analyst)
* Experience with Python or R for advanced analytics integration
* Familiarity with Git/Azure DevOps for version control and CI/CD pipelines
* Knowledge of DAX Studio, and other Power BI development tools
* Experience with Power BI Embedded or custom API development
* Understanding of data science concepts and predictive analytics
Technical Environment
* Power BI Desktop, Power BI Service, Power BI Premium/Fabric
* SQL Server, Azure SQL Database, Azure Synapse Analytics
* Azure Data Factory, Azure Data Lake Storage
* DAX Studio, Tabular Editor, Power Query
* Git/Azure DevOps for version control
What Makes You Stand Out
* Portfolio of impressive Power BI dashboards demonstrating design excellence and technical complexity
* Track record of optimizing poorly performing reports and data models
* Experience mentoring others in Power BI development and best practices
* Contributions to the Power BI community (blog posts, speaking engagements, open\-source projects)
This is a hands\-on technical role requiring daily interaction with data, code, and visualization design. The ideal candidate thrives in environments where they can build solutions from the ground up and take ownership of the entire BI development lifecycle.
**Base salary:** $105,000–$120,000 per year. This role may be eligible for participation in discretionary bonus plan based on company and individual performance.
**Notes:** Actual compensation will be based on skills, experience, and work location, and may vary from the posted range. Hiring bonuses (and any guaranteed year\-end bonuses) are administered under Company policy and are not earned until all stated conditions are met (e.g., active employment on the payment date). This posting reflects compensation at the time of posting and may be updated.
Unable to provide sponsorship for this position.
\#LI\-JS1 \#LI\-Remote
Benefits Overview
**401(k) Plan with Company Match:** Currently match contributions dollar\-for\-dollar up to 4% of eligible pay; immediate vesting.
**Health \&amp; Welfare Benefits:** Employer provided medical, dental, vision, prescription drug, Employee Assistance Program and accident \&amp; illness coverage.
**Life and Disability Insurance:** Employer provided basic life insurance and AD\&amp;D valued at 50K coverage amount with the option for voluntary buy up for additional coverage.
**Time Off:** Flexible non\-accrual vacation; company holidays per policy. (For California employees, this is separate from California paid sick leave, if applicable.)
**Expenses:** Business travel and related expenses reimbursed per company policy.
Reasonable Accommodations
If you need assistance or accommodations during the application or interview process, please contact us at ta@wearelegence.com or your dedicated recruiter with the job title and requisition number.
Third\-Party Recruiting Disclaimer
Legence and its affiliates do not accept unsolicited resumes from agencies; any such submissions without a prior signed agreement authorized by Legence Holdings LLC's CHRO or Director of Talent Acquisition will not incur fees and are considered property of Legence.
Pay Disclosure \&amp; Considerations
Where pay ranges are indicated, please note that a successful candidate’s exact pay will be determined based relevant job\-related factors, including any of the following: candidate’s experience, skills, and qualifications, as well as geographic and market considerations. We are committed to ensuring fair and competitive compensation for all employees and comply with all applicable salary transparency laws.
Equal Employment Opportunity Employer
Legence and its affiliate companies are proud to be an equal opportunity workplace. We are committed to equal employment opportunity regardless of race, color, religion, sex (including pregnancy, gender identity, and sexual orientation), marital or familial status, national origin, age, disability, genetic information (including family medical history), political affiliation, military service, other non\-merit\-based factors, and any other characteristic protected under applicable local, state or federal laws and regulations.
EEO is the Law</t>
        </is>
      </c>
    </row>
    <row r="8">
      <c r="A8" t="inlineStr">
        <is>
          <t>in-5de2ebbaa0480b9e</t>
        </is>
      </c>
      <c r="B8" t="inlineStr">
        <is>
          <t>Senior Data Engineer</t>
        </is>
      </c>
      <c r="C8" t="inlineStr">
        <is>
          <t>The Washington Post</t>
        </is>
      </c>
      <c r="D8" t="inlineStr">
        <is>
          <t>indeed</t>
        </is>
      </c>
      <c r="E8" t="inlineStr"/>
      <c r="F8" t="inlineStr"/>
      <c r="G8" t="inlineStr">
        <is>
          <t>Washington, DC, US</t>
        </is>
      </c>
      <c r="H8" s="2" t="n">
        <v>46054</v>
      </c>
      <c r="I8" t="inlineStr">
        <is>
          <t>Join the future of news
We’re on a mission to deliver riveting storytelling for all of America. At The Washington Post, you’ll help reinvent news. Our work is driven by a deep investigative spirit and enhanced by innovation to bring audiences closer to the stories that matter most.
About Our Team
The Washington Post is powered by the passion and talent of our people. It takes all of us to reinvent news. Beyond our award\-winning Newsroom and Opinions teams, we work across many departments, including Brand \&amp; Events, Communications, Customer Care, Engineering \&amp; Product, Finance, Human Resources, Legal, Marketing \&amp; Advertising, Print Operations, and Sales.
Why This Role Matters  
We are seeking a skilled and experienced Senior Data Engineer for our Data and AI team to contribute to the development of innovative AI\-powered projects at The Washington Post. As a key member of our team, you will be responsible for designing, building, and deploying data solutions that power cutting\-edge AI technologies, including Generative AI, personalization, and recommendation systems, as well as revenue science applications. Your work will also support advertising insights generation and campaign infrastructure. This role involves gathering requirements, writing code, testing, deploying, and maintaining software using best practices in development. The engineer will work collaboratively on large\-scale projects, contribute to the creation of new features, products, and tools, and mentor junior developers.
What Motivates You* You are passionate about solving complex technical challenges and driving impactful projects that shape the user experience for a news media platform.
* You'll thrive in our team if you're a natural problem\-solver, a strong communicator, and a proactive and curious individual who is always looking to learn and grow.
* You'll be motivated by the opportunity to tackle complex technical challenges, lead and influence a team, and collaborate with cross\-functional teams to drive user\-focused solutions.
* You'll also have the freedom to explore emerging technologies and trends, and to identify new opportunities for growth and innovation.
* You're passionate about delivering high\-quality solutions that meet the needs of our users.
How You’ll Support the Mission* Technical Leadership: Lead data engineering efforts using Python, Spark, Flink and other data processing technologies, delivering scalable, secure, and reliable data pipelines, and contribute to the architecture and decision\-making processes of large, complex projects.
* Project Planning and Execution: Collaborate on gathering and analyzing project requirements to define technical solutions, and work with cross\-functional teams to integrate front\-end and back\-end solutions, ensuring seamless user experiences.
* Software Development: Write clear, maintainable code, following best practices in version control, code reviews, and testing, and ensure that all software solutions are scalable, secure, and meet the needs of our users.
* Collaboration and Communication: Collaborate with cross\-functional teams, including data scientists, product managers, and designers, to identify and prioritize project requirements, and communicate technical solutions to stakeholders.
* Mentorship and Coaching: Mentor and coach junior engineers, offering technical guidance and reviewing code to ensure quality, and contribute to the growth and development of our engineering team.
* Project Management: Collaborate with Product, Design, Newsroom and business stakeholders to manage and optimize project timelines, proactively identifying blockers and risks to ensure timely delivery.
* Technical Expertise: Stay current with industry trends, suggesting improvements to enhance performance, security, and scalability, and apply knowledge of data engineering to drive innovation and improvement in our products and services.
* Documentation and Knowledge Sharing: Contribute to the development of technical documentation and design specifications for team members and share knowledge and expertise with the team to promote a culture of innovation and collaboration.
The Skills and Experience You Bring* Education and Experience: Bachelor's degree in Computer Science, Software Engineering, or a related field is acceptable, but a Master's degree is preferred. Equivalent professional experience will also be considered. 3\+ years of overall experience in ETL/ELT, Data modeling, and querying and analyzing large datasets using SQL.
* Technical Skills: Extensive experience with ETL development using Python and PySpark. Experience with AWS Data Lakehouse technologies including Redshift, Athena, EMR, and Glue catalog. Strong understanding of Pub/Sub and event\-driven architecture. Able to design and deploy DAGs using Apache Airflow. Experience with Apache Iceberg, Postgres, MySQL, DynamoDB, Tableau, and Superset also highly preferred. Experience working with Google Ad Manager data and Ad Tech vendors is a plus.
* Cloud Infrastructure: Strong proficiency with cloud infrastructure, including experience with AWS services (e.g., EC2, S3, RDS, Lambda, Batch) for building and deploying scalable, reliable, cloud\-based applications. Strong skills with Docker and ECS are highly preferred.
* Software Development: Experience with software development best practices, including coding standards, code reviews, testing, and CI/CD pipelines.
* Performance Monitoring: Experience with performance monitoring and observability tools (e.g., Splunk, Datadog) for maintaining application health and performance.
* Leadership and Communication: Proven ability to mentor junior engineers, influence team\-wide practices, and communicate technical concepts to both technical and non\-technical stakeholders.
* Problem\-Solving: Excellent problem\-solving skills, with the ability to troubleshoot and debug issues across the stack.
* Autonomy and Decision\-Making: Ability to handle complex projects with limited supervision and manage technical decision\-making.
Collaboration makes us stronger. That’s why our offices are designed with open layouts, modern technology, and easy access to transportation. With certain exceptions for newsgathering and business travel, we work on\-site five days a week.
Compensation and Benefits
Wherever you are in your life or career, The Washington Post offers comprehensive and inclusive benefits for every step of your journey:* Competitive medical, dental and vision coverage
* Company\-paid pension and 401(k) match
* Three weeks of vacation and up to three weeks of paid sick leave
* Nine paid holidays and two personal days
* 20 weeks paid parental leave for any new parent
* Robust mental health resources
* Backup care and caregiver concierge services
* Gender affirming services
* Pet insurance
* Free Post digital subscription
* Leadership and career development programs
*Benefits may vary based on the job, full\-time or part\-time schedule, location, and collectively bargained status.*
The salary range for this position is:
The actual salary within this range will depend on individual skills, experience, and qualifications as they relate to specific job requirements. This position may be eligible for a bonus or incentive program, and a member of the Talent Acquisition team will discuss bonus payment terms and conditions during the interview process.
Your story awaits. Apply today!
Learn more about The Post at careers.washingtonpost.com.</t>
        </is>
      </c>
    </row>
    <row r="9">
      <c r="A9" t="inlineStr">
        <is>
          <t>in-0d4cb3f3ff46d785</t>
        </is>
      </c>
      <c r="B9" t="inlineStr">
        <is>
          <t>Senior Azure Data Engineer with Fabric-1</t>
        </is>
      </c>
      <c r="C9" t="inlineStr">
        <is>
          <t>Realign</t>
        </is>
      </c>
      <c r="D9" t="inlineStr">
        <is>
          <t>indeed</t>
        </is>
      </c>
      <c r="E9" t="inlineStr"/>
      <c r="F9" t="inlineStr"/>
      <c r="G9" t="inlineStr">
        <is>
          <t>Newark, NJ, US</t>
        </is>
      </c>
      <c r="H9" s="2" t="n">
        <v>46054</v>
      </c>
      <c r="I9" t="inlineStr">
        <is>
          <t>Job Type: Full Time
Job Category: IT
Job Description
**Role :** Senior Azure Data Engineer with Fabric  
**Location:** Newark, NJ  
**FTE ONLY** **Job Description****Senior Azure Data Engineer with Microsoft Fabric Experience*** Minimum 10\+ years experience in modern data engineering/data warehousing/data lakes technologies on cloud platforms like Azure, Microsoft Fabric etc.
* Azure experience is preferred over other cloud platforms.
* Minimum 10 \+ years of proven experience with SQL, schema design and dimensional data modelling.
* Solid knowledge of data warehouse best practices, development standards and methodologies.
* Experience with ETL/ELT tools like ADF, Azure, MS Fabric etc., and data warehousing technologies like Azure Synapse, Azure SQL, ADLS etc.
* Strong experience with big data tools(Microsoft Fabric, Databricks , Spark etc..) and programming skills in PySpark and Spark SQL.
* Be an independent self\-learner with a let s get this done approach and ability to work in Fast paced and Dynamic environment.
* Knowledge in Microsoft Fabric Data Platform
* Expertise in designing application solution on Azure Data Platform for complex business needs.
* Serves as key technical expert engaged on designing, architecting, deploying and maintaining cloud solutions, Data Management \&amp; Analytics.
* Strong knowledge of ETL patterns for data ingestion, processing and distribution using pipelines on Azure cloud services. Leads technology proof of concepts to ensure feasibility of architecture solutions.
* Provides architecture direction for engineers in support of a technical pattern.
* Displays strong thought leadership in pursuit of modern data architecture principles and technology modernization.
* Drives continuous technology transformation to minimize technical debt. Continuously improve efficiency and effectiveness of the architecture
* Looks for opportunities to capitalize on technology advances through analysis of key industry and technology trends to assess potential impact on the enterprise. Participates in defining target state technology architecture and roadmaps.
* Ensures alignment of IT initiatives with the target state.
**Roles \&amp; Responsibilities**  
Build and maintain new and existing applications in preparation for a large\-scale architectural migration within an Agile function.* Align with the Product Owner and Scrum Master in assessing business needs and transforming them into scalable applications.
* Build and maintain code to manage data received from heterogenous data formats including web\- based sources, internal/external databases, flat files, heterogenous data formats (binary, ASCII).
* Help build new enterprise Datawarehouse and maintain the existing one.
* Design and support effective storage and retrieval of very large internal and external data set and be forward think about the convergence strategy with our Azure cloud migration
* Assess the impact of scaling up and scaling out and ensure sustained data management and data delivery performance.
Required Skills
DEVOPS ENGINEER
 SENIOR EMAIL SECURITY ENGINEER</t>
        </is>
      </c>
    </row>
    <row r="10">
      <c r="A10" t="inlineStr">
        <is>
          <t>in-9bee5f2094186fb6</t>
        </is>
      </c>
      <c r="B10" t="inlineStr">
        <is>
          <t>Data Architect - Data Engineer III - AI/ML Engineer</t>
        </is>
      </c>
      <c r="C10" t="inlineStr">
        <is>
          <t>Truist</t>
        </is>
      </c>
      <c r="D10" t="inlineStr">
        <is>
          <t>indeed</t>
        </is>
      </c>
      <c r="E10" t="inlineStr"/>
      <c r="F10" t="inlineStr"/>
      <c r="G10" t="inlineStr">
        <is>
          <t>US</t>
        </is>
      </c>
      <c r="H10" s="2" t="n">
        <v>46054</v>
      </c>
      <c r="I10" t="inlineStr">
        <is>
          <t>**The position is described below. If you want to apply, click the Apply Now button at the top or bottom of this page. After you click Apply Now and complete your application, you'll be invited to create a profile, which will let you see your application status and any communications. If you already have a profile with us, you can log in to check status.**
Need Help?
*If you have a disability and need assistance with the application, you can request a reasonable accommodation. Send an email to* *Accessibility* *(accommodation requests only; other inquiries won't receive a response).*
**Regular or Temporary:**
Regular**Language Fluency:** English (Required)
**Work Shift:**
1st shift (United States of America)**Please review the following job description:**
The Data Engineer 3 is responsible for sourcing, analyzing, documenting and maintaining data assets related to Corporate and Institutional Group portfolio and operational processes. Ensure processes deliver data that are accurate, complete, current, understandable and accessible. This role will leverage extensive knowledge across multiple lines of business and data expertise. Responsible for leading projects end to end independently. As an entry‑level AI/ML Engineer, you will help design, build, and support AI‑driven applications across AWS and Azure cloud environments. Working alongside senior engineers and architects, you’ll contribute to machine learning pipelines, LLM\-based agent workflows, and distributed application components using AWS AgentCore and Azure Service Fabric. This role is ideal for early‑career engineers who are eager to learn modern AI engineering practices and grow into more advanced responsibilities.
ESSENTIAL DUTIES AND RESPONSIBILITIES  
Following is a summary of the essential functions for this job. Other duties may be performed, both major and minor, which are not mentioned below. Specific activities may change from time to time.
* Lead research, analyze, design, develop and/or maintain data assets in support of projects, information needs and business requirements. Perform analysis, validation and interpretation of outputs.
* Take ownership of issues through resolution, including close coordination with line of business (LOB) partners, Enterprise Data Office and Enterprise Information Services.
* Have a deep understanding of critical application systems and ability to transform data assets to aid in consumption by BI developers, decision \&amp; data scientists across the bank.
* Utilize the full array of data tools including static, SQL, R, Python, SAS to organize and format data assets by defining requirements and implementing automated repeatable solutions.
* Conduct business analysis, respond to change; solve highly complex business and data problems
* Manage appropriate security, compliance, privacy considerations and follow data management guidance. Train junior team members in coding efficiently and accurately.
* Prioritize and manage ad hoc data pulls, in depth analysis and reporting efforts to LOB partners and management.
* Develop solutions and recommendations for improving data integrity issues. Analyze data issues and work with development teams for problem resolutions. Identify problematic areas and conduct research to determine the best course of action to correct the data, identify, analyze and interpret trends and patterns in complex datasets.
* Foster communication and partnership across multiple levels of the organization including engagement with mid\-level managers.
* Work closely with senior AI/ML engineers, cloud engineers, and data scientists to learn architecture patterns, coding standards, and best practices.
* Participate in team standups, design discussions, and code reviews to build strong engineering fundamentals.
* Collaborate with product managers and cross‑functional teams to understand requirements and support feature development.
* Ask questions proactively and contribute to a supportive, curiosity‑driven team culture focused on growth and innovation.
* Partner with more experienced team members to break down tasks, estimate work, and deliver high‑quality code on schedule.
* Share learnings, create documentation, and help strengthen team knowledge through demos or internal presentations.
QUALIFICATIONS  
Required Qualifications:  
The incumbent must demonstrate a combination of academic aptitude, quantitative skills, business acumen, working knowledge of key application systems, strategic and creative thinking and excellent written and oral communications skills. Specific requirements are listed below. Reasonable accommodations may be made to enable individuals with disabilities to perform the essential functions.
1\. Bachelor's degree and 8\+ years of experience in a quantitative field such as Finance, Mathematics, Analytics, Data Science, Computer Science, or Engineering.  
2\. Demonstrated knowledge and skill in strategic data assets warehousing and transactional application data concepts and technology.  
3\. Proven experience with data engineering and ability to manage large data volumes.  
4\. Demonstrate understanding of data analytics life cycle methodologies including data cleansing and preparation methodologies  
5\. Strong familiarity with data extraction in a variety of environments (e.g., SQL, SAS, etc.).  
6\. Experience in managing multiple projects with tight deadlines in a collaborative environment.  
7\. Maintain a high level of competency in analytical principles, tools, and techniques.
Preferred Qualifications:
1\. Master's degree in field such as Finance, Mathematics, Analytics, Data Science, Computer Science, or Engineering.
2\. 10\+ years of experience in a quantitative field such as Finance, Mathematics, Analytics, Data Science, Computer Science or Engineering
3\. Strong foundation in Python and basic experience with ML libraries such as Scikit‑learn, TensorFlow, PyTorch, or HuggingFace.
4\. Understanding of machine learning concepts: dataset preparation, training/validation, evaluation, and inference.
5\. Familiarity with cloud fundamentals (AWS or Azure), containers (Docker), Git, and command‑line workflows.
6\. Eagerness to learn AWS AgentCore, Azure Service Fabric, and enterprise‑scale AI application development.
7\. Ability to write clean, maintainable code and follow software engineering best practices.
8\. Strong analytical thinking, curiosity, and willingness to explore new AI and cloud technologies.
**General Description of Available Benefits for Eligible Employees of Truist Financial Corporation:** All regular teammates (not temporary or contingent workers) working 20 hours or more per week are eligible for benefits, though eligibility for specific benefits may be determined by the division of Truist offering the position. Truist offers medical, dental, vision, life insurance, disability, accidental death and dismemberment, tax\-preferred savings accounts, and a 401k plan to teammates. Teammates also receive no less than 10 days of vacation (prorated based on date of hire and by full\-time or part\-time status) during their first year of employment, along with 10 sick days (also prorated), and paid holidays. For more details on Truist’s generous benefit plans, please visit our Benefits site. Depending on the position and division, this job may also be eligible for Truist’s defined benefit pension plan, restricted stock units, and/or a deferred compensation plan. As you advance through the hiring process, you will also learn more about the specific benefits available for any non\-temporary position for which you apply, based on full\-time or part\-time status, position, and division of work.
***Truist is an Equal Opportunity Employer that does not discriminate on the basis of race, gender, color, religion, citizenship or national origin, age, sexual orientation, gender identity, disability, veteran status, or other classification protected by law. Truist is a Drug Free Workplace.***
EEO is the Law E\-Verify IER Right to Work</t>
        </is>
      </c>
    </row>
    <row r="11">
      <c r="A11" t="inlineStr">
        <is>
          <t>in-cf0bbf4d3f6cea0b</t>
        </is>
      </c>
      <c r="B11" t="inlineStr">
        <is>
          <t>Data Engineer</t>
        </is>
      </c>
      <c r="C11" t="inlineStr">
        <is>
          <t>Kaizen Dynamics</t>
        </is>
      </c>
      <c r="D11" t="inlineStr">
        <is>
          <t>indeed</t>
        </is>
      </c>
      <c r="E11" t="inlineStr"/>
      <c r="F11" t="inlineStr"/>
      <c r="G11" t="inlineStr">
        <is>
          <t>Washington, DC, US</t>
        </is>
      </c>
      <c r="H11" s="2" t="n">
        <v>46055</v>
      </c>
      <c r="I11" t="inlineStr">
        <is>
          <t>DHCF is looking for a senior data engineer for its data modernization efforts associated with its Medicaid data ecosystem.
* **Collaboration:** Ability to take high\-level architectural blueprints from the Lead Architect and translate them into high\-performance, production\-ready code.
* **Attention to Detail:** Absolute precision in Medicaid data handling, where an error in logic can impact member benefits or federal funding.
\-\-\-\-\-\-\-\-\-\-\-\-\-\-\-\-\-\-\-\-\-\-\-\-\-\-\-\-\-\-\-\-\-\-\-\-\-\-\-\-\-\-\-\-\-  
CONTRACT JOB DESCRIPTION  
Responsibilities:1\. Leads the adoption or implementation of an advanced technology or platform.2\. Expert on the functionality or usage of a particular system, platform, or technology product.3\. Serves as a consultant to clients, guiding the efficient use or adoption of a particular IT product or platform.4\. Creates implementation, testing, and/or integration plans.5\. Demonstrates expertise in a particular IT platform or service, allowing for maximum IT investment.Minimum Education/ Certification Requirements:Bachelor’s degree in Information Technology or related field or equivalent experienceTraining or certification in a particular product or IT platform/service, as required
Job Types: Full\-time, Contract
Pay: $110\.00 \- $120\.00 per hour
Experience:
* SQL Server (SSIS/SSAS/SSRS): 7 years (Required)
Work Location: Hybrid remote in Washington, DC 20001</t>
        </is>
      </c>
    </row>
    <row r="12">
      <c r="A12" t="inlineStr">
        <is>
          <t>in-54f04bd5cbf06d2a</t>
        </is>
      </c>
      <c r="B12" t="inlineStr">
        <is>
          <t>7+yrs Senior Data Engineer with Medicaid/Medicare experience - Washington, DC (Hybrid)</t>
        </is>
      </c>
      <c r="C12" t="inlineStr">
        <is>
          <t>Gointellects Inc.</t>
        </is>
      </c>
      <c r="D12" t="inlineStr">
        <is>
          <t>indeed</t>
        </is>
      </c>
      <c r="E12" t="inlineStr"/>
      <c r="F12" t="inlineStr"/>
      <c r="G12" t="inlineStr">
        <is>
          <t>Washington, DC, US</t>
        </is>
      </c>
      <c r="H12" s="2" t="n">
        <v>46055</v>
      </c>
      <c r="I12" t="inlineStr">
        <is>
          <t>Role: Senior Data Engineer
Client : DC Government
Location : Washington, DC (Hybrid)
Job Description:
Legacy Maintenance \&amp; Operational Excellence (Current State)
* ETL Management: Maintain, troubleshoot, and modify complex SSIS packages handling high\-volume Medicaid claims, provider, and member data.
* Version Control: Manage code deployments and branching strategies within TFS, ensuring continuous integration of legacy SQL assets.
* Legacy Reporting Support: Support and optimize SSRS report queries and SSAS tabular/multidimensional models to ensure federal and state compliance reporting remains uninterrupted.
B. Modernization \&amp; Migration Execution (Future State)
* Cloud Development: Implement "Medallion Architecture" (Bronze/Silver/Gold) using Azure Databricks (PySpark/SQL) as designed by the Lead Architect.
* Pipeline Refactoring: Lead the transition of legacy SSIS logic into Azure Data Factory (ADF) and Databricks notebooks.
* DevOps Transformation: Facilitate the migration of source control and CI/CD pipelines from TFS to Azure DevOps (Git).
* Synapse Integration: Build and tune Dedicated and Serverless SQL Pools within Azure Synapse to facilitate advanced analytics and AI\-readiness.
C. Data Governance \&amp; Security
* Medicaid Compliance: Implement Row\-Level Security (RLS) and automated data masking for PHI/PII in accordance with HIPAA, CMS MARS\-E, and NIST standards.
* Data Quality: Develop automated data validation frameworks to ensure data parity between legacy SQL systems and the new Cloud Lakehouse.
3\. Competencies for Success
* Technical Agility: The ability to pivot between a 10\-year\-old SSIS package and a modern Databricks Spark job in the same day.
* Collaboration: Ability to take high\-level architectural blueprints from the Lead Architect and translate them into high\-performance, production\-ready code.
* Attention to Detail: Absolute precision in Medicaid data handling, where an error in logic can impact member benefits or federal funding.
\-\-\-\-\-\-\-\-\-\-\-\-\-\-\-\-\-\-\-\-\-\-\-\-\-\-\-\-\-\-\-\-\-\-\-\-\-\-\-\-\-\-\-\-\-  
CONTRACT JOB DESCRIPTION
Responsibilities:
1\. Leads the adoption or implementation of an advanced technology or platform.
2\. Expert on the functionality or usage of a particular system, platform, or technology product.
3\. Serves as a consultant to clients, guiding the efficient use or adoption of a particular IT product or platform.
4\. Creates implementation, testing, and/or integration plans.
5\. Demonstrates expertise in a particular IT platform or service, allowing for maximum IT investment.
Minimum Education/ Certification Requirements:
Bachelor’s degree in Information Technology or related field or equivalent experience
Training or certification in a particular product or IT platform/service, as required
Job Type: Full\-time
Pay: $75\.00 \- $80\.00 per hour
Experience:
* Bachelor’s degree in IT or related field or equivalent: 4 years (Preferred)
* leading advanced technology projects or service projects: 7 years (Preferred)
* 6\-10 yrs. full system engineering lifecycle: 7 years (Preferred)
* Microsoft Purview for data cataloging.: 3 years (Preferred)
* Medicaid/Medicare data structures (MMIS, EDI 837/835\): 3 years (Preferred)
* Microsoft Certified: Azure Data Engineer Associate: 1 year (Preferred)
* Certified: Databricks Certified Professional Data Engineer: 1 year (Preferred)
* Exp in a government or highly regulated environment.: 7 years (Preferred)
* Maintain SQL Server (SSIS/SSAS/SSRS) deploy Azure cloud sols: 7 years (Preferred)
* expert\-level proficiency in SSIS and T\-SQL: 7 years (Preferred)
* proficiency in Azure Databricks (Delta Lake),Azure Synapse.: 7 years (Preferred)
* TFS (Team Foundation Server) : 7 years (Preferred)
* strong desire to migrate workflows to Git/Azure DevOps: 7 years (Preferred)
* Mastery of SQL and Python (PySpark).: 7 years (Preferred)
Ability to Commute:
* Washington, DC 20024 (Preferred)
Work Location: In person</t>
        </is>
      </c>
    </row>
    <row r="13">
      <c r="A13" t="inlineStr">
        <is>
          <t>in-d74724015206c74f</t>
        </is>
      </c>
      <c r="B13" t="inlineStr">
        <is>
          <t>Lead Data Engineer</t>
        </is>
      </c>
      <c r="C13" t="inlineStr">
        <is>
          <t>Kinsale Insurance Company</t>
        </is>
      </c>
      <c r="D13" t="inlineStr">
        <is>
          <t>indeed</t>
        </is>
      </c>
      <c r="E13" t="inlineStr"/>
      <c r="F13" t="inlineStr"/>
      <c r="G13" t="inlineStr">
        <is>
          <t>Richmond, VA, US</t>
        </is>
      </c>
      <c r="H13" s="2" t="n">
        <v>46055</v>
      </c>
      <c r="I13" t="inlineStr">
        <is>
          <t>Kinsale is seeking a Lead Data Engineer who is passionate about building scalable, future\-focused data solutions. As we continue our modernization and cloud journey, this role will not only design and implement technical solutions but also recommend strategic direction for how our data platforms evolve to meet long\-term business goals. The Lead Data Engineer will partner closely with the Enterprise and Application Architects, Data Architects, Data Director, and business leaders to define enterprise\-wide data engineering standards, ensure process consistency, and influence technology adoption.
**Responsibilities**
***Architecture \&amp; Strategy***
* Lead the design and evolution of cloud\-native database and data access architectures to support both transactional and analytical workloads.
* Recommend the strategic direction for Kinsale’s data access layer, ensuring scalability, flexibility, and cost efficiency.
* Evaluate and drive adoption of data technologies to maintain competitive advantage.
***Data Engineering Leadership***
* Serve as the primary technical leader for databases and data integration services.
* Establish and enforce best practices for data engineering, including standards for CI/CD, data security, resilience, and disaster recovery as well as working with Enterprise Architecture to develop and ensure the data team meets enterprise standards.
* Lead cross\-functional projects to integrate new data sources and expand data capabilities across underwriting, actuarial, and analytics teams.
* Provide oversight and mentoring to data engineers, fostering a culture of innovation, continuous learning, and knowledge sharing.
***Operational Excellence***
* Direct the development, testing, and maintenance of scalable database and ETL architectures.
* Monitor system performance and lead initiatives to improve data reliability, quality, and efficiency.
* Drive the implementation of automated monitoring, alerting, and self\-healing systems to ensure platform resiliency.
* Analyze and resolve complex issues related to database platforms, integrations, or performance bottlenecks.  
Innovation \&amp; Generative AI
* Champion the responsible adoption of Generative AI tools (e.g., GitHub Copilot, ChatGPT, Claude Code, etc.) to accelerate development, automate repetitive tasks, and enhance productivity.
* Develop and teach prompting strategies for data engineering use cases (SQL generation, data profiling, data validation).
* Lead adoption of GenAI\-assisted scripting and playbook generation, ensuring secure and compliant usage across the team.
***Cross\-functional Collaboration***
* Collaborate with IT, Security, and Compliance teams to ensure regulatory alignment in data handling and access.
* Partner with business stakeholders to translate requirements into scalable, efficient data solutions.
* Act as a trusted advisor across multiple disciplines, influencing architectural decisions across engineering teams.
**Qualifications**
* Bachelor’s degree in Computer Science, Computer Engineering, or related field.
* Proven expertise designing and leading cloud\-native data platforms at scale (AWS preferred).
* Demonstrated ability to set strategic direction for data platforms, balancing innovation, governance, and cost efficiency.  
	+ Advanced SQL and deep knowledge of relational (Oracle, PostgreSQL, SQL Server, MySQL) and non\-relational databases (DynamoDB, MongoDB).
* Strong proficiency in programming/scripting (Python, SQL, Java, etc.) and automation frameworks.
* Experience leading distributed data systems (Kafka, Spark, or similar) is highly desirable.
* Expertise in data security, privacy, and governance.
* Hands\-on experience with Agile practices.
* Strong leadership, communication, negotiation, and conflict resolution skills with a track record of influencing cross\-functional teams.
* Ability to manage multiple priorities, drive strategic initiatives, and mentor team members.
**Why You’ll Love Working at Kinsale**
* **Competitive Pay \&amp; Bonus Opportunities** – Rewarding performance and initiative.
* **Comprehensive Benefits** – Health, dental, and vision insurance with up to $3,600 (individual) or $7,000 (family) in HSA contributions per year.
* **Work\-Life Balance** – Generous paid time off including 22 days of PTO and 10 paid company holidays.
* **Career Growth** – Clear promotion paths, mentorship, and ongoing professional development.
* **Retirement \&amp; Security** – Up to 6% matching 401(k) contributions on base salary and bonus, standard life insurance, and disability coverage.
* **Continuous Learning** – Annual $3,000 reimbursement for educational training and certifications.
Kinsale values strong financial responsibility. A credit check will be conducted as a part of the selection process for roles that require sound judgement, trustworthiness, or access to sensitive information.</t>
        </is>
      </c>
    </row>
    <row r="14">
      <c r="A14" t="inlineStr">
        <is>
          <t>in-b7bf85f614e389fd</t>
        </is>
      </c>
      <c r="B14" t="inlineStr">
        <is>
          <t>Senior Data Engineer</t>
        </is>
      </c>
      <c r="C14" t="inlineStr">
        <is>
          <t>Peak Technology Solutions, Inc</t>
        </is>
      </c>
      <c r="D14" t="inlineStr">
        <is>
          <t>indeed</t>
        </is>
      </c>
      <c r="E14" t="inlineStr"/>
      <c r="F14" t="inlineStr"/>
      <c r="G14" t="inlineStr">
        <is>
          <t>Washington, DC, US</t>
        </is>
      </c>
      <c r="H14" s="2" t="n">
        <v>46055</v>
      </c>
      <c r="I14" t="inlineStr">
        <is>
          <t>**1\. Job Summary**  
The Senior Data Engineer serves as the primary technical engine for the agency's Medicaid data ecosystem. This role is unique: it requires a high\-level mastery of our current legacy environment—characterized by SSIS ETL processes managed via Team Foundation Server (TFS)—while actively spearheading the execution of our cloud modernization roadmap. Under the direction of the Lead Data Warehouse Solution Architect, you will ensure the stability of current Medicaid reporting while building the future\-state Azure Synapse and Databricks Lakehouse.
**2\. Key Responsibilities**
**A. Legacy Maintenance \&amp; Operational Excellence (Current State)**
* **ETL Management:** Maintain, troubleshoot, and modify complex SSIS packages handling high\-volume Medicaid claims, provider, and member data.
* **Version Control:** Manage code deployments and branching strategies within TFS, ensuring continuous integration of legacy SQL assets.
* **Legacy Reporting Support:** Support and optimize SSRS report queries and SSAS tabular/multidimensional models to ensure federal and state compliance reporting remains uninterrupted.
**B. Modernization \&amp; Migration Execution (Future State)**
* **Cloud Development**: Implement "Medallion Architecture" (Bronze/Silver/Gold) using Azure Databricks (PySpark/SQL) as designed by the Lead Architect.
* **Pipeline Refactoring:** Lead the transition of legacy SSIS logic into Azure Data Factory (ADF) and Databricks notebooks.
* **DevOps Transformation:** Facilitate the migration of source control and CI/CD pipelines from TFS to Azure DevOps (Git).
* **Synapse Integration:** Build and tune Dedicated and Serverless SQL Pools within Azure Synapse to facilitate advanced analytics and AI\-readiness.
**C. Data Governance \&amp; Security**
* **Medicaid Compliance**: Implement Row\-Level Security (RLS) and automated data masking for PHI/PII in accordance with HIPAA, CMS MARS\-E, and NIST standards.
* **Data Quality**: Develop automated data validation frameworks to ensure data parity between legacy SQL systems and the new Cloud Lakehouse.
**3\. Competencies for Success**
* **Technical Agility:** The ability to pivot between a 10\-year\-old SSIS package and a modern Databricks Spark job in the same day.
* **Collaboration:** Ability to take high\-level architectural blueprints from the Lead Architect and translate them into high\-performance, production\-ready code.
* **Attention to Detail:** Absolute precision in Medicaid data handling, where an error in logic can impact member benefits or federal funding.
**Education:**
Bachelor’s degree in Information Technology or related field or equivalent experience
Education:
* Bachelor's (Preferred)
Experience:
* Maintaining SQL Server (SSIS/SSAS/SSRS) Azure Cloud: 7 years (Preferred)
* SSIS and T\-SQL. Advanced proficiency in Azure Databricks : 7 years (Preferred)
* TFS (Team Foundation Server) : 7 years (Preferred)
* Mastery of SQL and Python (PySpark): 7 years (Preferred)
* leading advanced technology projects or service projects: 7 years (Preferred)
* ull system engineering lifecycle: 7 years (Preferred)
* Microsoft Purview for data cataloging.: 3 years (Preferred)
* Medicaid/Medicare data structures (e.g., MMIS, EDI 837/835: 3 years (Preferred)
* government or highly regulated environment: 7 years (Preferred)
License/Certification:
* Azure Data Engineer Associate/Databricks Professional (Preferred)
Location:
* Washington, DC 20001 (Preferred)
Work Location: In person</t>
        </is>
      </c>
    </row>
    <row r="15">
      <c r="A15" t="inlineStr">
        <is>
          <t>in-79bdae4c8f6d93bf</t>
        </is>
      </c>
      <c r="B15" t="inlineStr">
        <is>
          <t>Data Engineer - Research and Development</t>
        </is>
      </c>
      <c r="C15" t="inlineStr">
        <is>
          <t>Pittsburgh Pirates</t>
        </is>
      </c>
      <c r="D15" t="inlineStr">
        <is>
          <t>indeed</t>
        </is>
      </c>
      <c r="E15" t="inlineStr"/>
      <c r="F15" t="inlineStr"/>
      <c r="G15" t="inlineStr">
        <is>
          <t>Pittsburgh, PA, US</t>
        </is>
      </c>
      <c r="H15" s="2" t="n">
        <v>46055</v>
      </c>
      <c r="I15" t="inlineStr">
        <is>
          <t>**The Pirates Why**
The Pittsburgh Pirates are a storied franchise in Major League Baseball who are reinventing themselves on every level. Boldly and relentlessly pursuing excellence by:
* purposefully developing a player and people\-centered culture;
* deeply connecting with our fans, partners, and colleagues;
* passionately creating lifetime memories for generations of families and friends; and
* meaningfully impacting our communities and the game of baseball.
At the Pirates, we believe in the power of a diverse workforce and strive to create an inclusive culture centered in Passion, Innovation, Respect, Accountability, Teamwork, Empathy, and Service.
**Job Summary**
We are seeking a talented and motivated Data Engineer to join our Research \&amp; Development team within Baseball Operations. In this role, you will play a critical part in designing, building, and maintaining the data infrastructure that powers the software and research models we use to make baseball decisions every day. The accessible, reliable, and efficient data\-focused solutions you build will enable our analysts, coaches, and front office staff to make informed decisions that influence player acquisition, improvement, and deployment decisions. You will work with data from cutting\-edge technologies, including markerless motion capture, biomechanical assessments, and real\-time player tracking systems.
**Responsibilities:**
* Build and maintain scalable data pipelines to support baseball operations.
* Collect requirements from non\-technical stakeholders and translate those into useable products
* Collaborate with analysts, data scientists, and engineers for seamless data integration.
* Manage and ensure data accuracy from diverse sources, including advanced technologies like markerless motion capture.
* Containerize and productionize models produced by data scientists.
* Own pipelines from initial ingestion through production support, including debugging, performance tuning, and stakeholder feedback.
* Implement data quality checks, validation, monitoring, and alerting to ensure trust in downstream analysis and decision\-making.
* Support the migration of data infrastructure to cloud\-based platforms.
* Identify and implement improvements to data processing and storage.
**Success Factors:**
* You balance strategic thinking with hands\-on execution, moving seamlessly between planning sessions and heads\-down coding.
* You embrace the latest technologies to solve complex problems and you are always learning.
* You favor clean, simple solutions and document patterns so the whole team can move quickly.
* You thrive in collaborative, fast\-paced environments.
* You embrace Agile or similar methodologies and know how to tailor process to fit the team’s needs.
**Qualifications**
Required:
* Authorized to work lawfully in the United States.
* Bachelor’s degree in Computer Science, Data Engineering, or a related field (or equivalent experience).
* Demonstrated proficiency in Python, SQL or Spark for ETL and analysis.
* Demonstrated experience with cloud\-based data platforms (e.g., AWS, GCP, or Azure), containerization (Docker, Kubernetes), and data warehousing technologies (e.g., Snowflake or Databricks Lakehouse).
* Demonstrated familiarity with data pipeline orchestration tools (e.g., Airflow, Perfect, Dagster, dbt).
* Demonstrated problem\-solving skills and attention to detail.
* Demonstrated strong data modeling skills (eg. normalization, indexing)
* Demonstrated passion for baseball or other sports is a plus.
* Demonstrated DevOps experience is a plus (eg. CI/CD implementation, containerization, infrastructure as code)
Desired:
* Hands on experience in Statistical Learning or AI Development
* Deep curiosity about baseball and how data, analytics, and technology inform strategy and performance.
**Equal Opportunity Employer**
 The Pittsburgh Pirates are an equal opportunity employer. All qualified applicants will receive consideration for employment without regard to race, color, religion, sex, national origin, disability status, protected veteran status or any other characteristic protected by law.</t>
        </is>
      </c>
    </row>
    <row r="16">
      <c r="A16" t="inlineStr">
        <is>
          <t>in-010fc13a5e36c8b1</t>
        </is>
      </c>
      <c r="B16" t="inlineStr">
        <is>
          <t>Data Engineer - Data Integration &amp; Analytics Platforms</t>
        </is>
      </c>
      <c r="C16" t="inlineStr">
        <is>
          <t>HCM</t>
        </is>
      </c>
      <c r="D16" t="inlineStr">
        <is>
          <t>indeed</t>
        </is>
      </c>
      <c r="E16" t="inlineStr"/>
      <c r="F16" t="inlineStr"/>
      <c r="G16" t="inlineStr">
        <is>
          <t>Indianapolis, IN, US</t>
        </is>
      </c>
      <c r="H16" s="2" t="n">
        <v>46055</v>
      </c>
      <c r="I16" t="inlineStr">
        <is>
          <t>**Data Engineer – Data Integration \&amp; Analytics Platforms**
Healthcare Chaos Management (HCM) is a 40\-year\-old, nationally scaled healthcare revenue cycle company that is transforming into a cutting\-edge Healthcare FinTech organization. We serve hospitals and healthcare systems across the U.S., blending human\-centric service with intelligent automation to improve patient financial experiences and optimize healthcare revenue operations.
**Job Overview**
We are seeking a motivated Data Engineer to join our growing technology team and support the development and maintenance of data pipelines and analytics\-ready datasets. This role is ideal for individuals with foundational technical skills who are eager to learn, troubleshoot data issues, and grow within a collaborative engineering environment. You will work closely with senior engineers and analytics partners while building core data engineering capabilities.
**Key Responsibilities**
**Data Pipeline Development \&amp; Support**
* Assist in building, maintaining, and monitoring data pipelines that support analytics and reporting needs.
* Support data ingestion and transformation processes under the guidance of senior team members.
**SQL \&amp; Data Troubleshooting**
* Write, review, and troubleshoot SQL queries with guidance and mentorship.
* Investigate and help resolve data quality issues, pipeline failures, and data inconsistencies.
**Collaboration \&amp; Learning**
* Participate in team collaboration, knowledge\-sharing sessions, and ongoing learning activities.
* Work closely with engineers and stakeholders to understand data requirements and improve data reliability.
**Key Performance Indicators (KPIs)**
Performance in this role will be measured by:
* **Learning \&amp; Growth:** Demonstrated progression in technical skills and data engineering concepts
* **Data Accuracy:** Attention to detail and contribution to data quality and reliability
* **Problem\-Solving:** Ability to troubleshoot issues and escalate appropriately
* **Collaboration:** Active participation in team efforts and positive engagement with peers
**What We Offer**
* **Compensation:** Competitive compensation package, commensurate with experience
* **Medical, Dental \&amp; Vision Insurance:** Comprehensive health plans for you and your family
* **Life Insurance:** Employee life insurance coverage
* **Flexible Time Off:** FTO for a balanced work\-life experience
* **401(k) Plan:** Company match to support your long\-term financial goals
* **Additional Benefits:** Paid holidays, structured learning opportunities, and a collaborative team environment
**Minimum Qualifications**
* **SQL Knowledge:** Foundational understanding of SQL queries and their purpose
* **Problem\-Solving Skills:** Ability to demonstrate logical troubleshooting and analytical thinking
* **Programming Exposure:** Basic experience with Python or similar programming languages
* **Growth Mindset:** Strong desire to learn data engineering concepts, tools, and cloud platforms
**Preferred / Transferable Experience**
* Experience with SQL Server, PostgreSQL, MySQL, or similar relational databases
* Academic projects, internships, or bootcamp experience related to data, analytics, or engineering
* Exposure to cloud platforms or analytics tools
* Strong communication skills and ability to collaborate effectively within a team
**Work Environment \&amp; Physical Requirements**
* **Location:** Hybrid role based in Indianapolis, IN
* **Schedule:** Full\-time; in\-office a minimum of three days per week (four days preferred)
* **Work Environment:** Highly collaborative, team\-oriented office environment. Reasonable accommodations may be made to enable individuals with disabilities to perform the essential functions of the role.
**Join Us**
At HCM, you’ll have the opportunity to grow your data engineering skills while contributing to meaningful analytics and automation initiatives that support healthcare organizations nationwide. If you are curious, detail\-oriented, and eager to build a career in data engineering within a supportive and collaborative environment, we encourage you to apply and join our team.
Benefits:
* 401(k)
* 401(k) matching
* Dental insurance
* Employee assistance program
* Flexible schedule
* Health insurance
* Life insurance
* Paid time off
* Vision insurance
Application Question(s):
* Are you within 50 miles of Indianapolis?
* What are your compensation needs?
Education:
* Bachelor's (Preferred)
Experience:
* Python: 2 years (Required)
* writing SQL queries : 2 years (Required)
* troubleshooting data issues: 2 years (Required)
* maintaining data pipelines: 1 year (Preferred)
* Azure: 2 years (Preferred)
Work Location: Hybrid remote in Indianapolis, IN 46220</t>
        </is>
      </c>
    </row>
    <row r="17">
      <c r="A17" t="inlineStr">
        <is>
          <t>in-06b05c9ffdfca568</t>
        </is>
      </c>
      <c r="B17" t="inlineStr">
        <is>
          <t>GCP Data Engineer</t>
        </is>
      </c>
      <c r="C17" t="inlineStr">
        <is>
          <t>Wipro</t>
        </is>
      </c>
      <c r="D17" t="inlineStr">
        <is>
          <t>indeed</t>
        </is>
      </c>
      <c r="E17" t="inlineStr"/>
      <c r="F17" t="inlineStr"/>
      <c r="G17" t="inlineStr">
        <is>
          <t>Richfield, MN, US</t>
        </is>
      </c>
      <c r="H17" s="2" t="n">
        <v>46054</v>
      </c>
      <c r="I17" t="inlineStr">
        <is>
          <t>Job Description* 
Job Title: GCP Data Engineer
City: Richfield
State/Province: Minnesota
Posting Start Date: 2/2/26
Wipro Limited (NYSE: WIT, BSE: 507685, NSE: WIPRO) is a leading technology services and consulting company focused on building innovative solutions that address clients’ most complex digital transformation needs. Leveraging our holistic portfolio of capabilities in consulting, design, engineering, and operations, we help clients realize their boldest ambitions and build future\-ready, sustainable businesses. With over 230,000 employees and business partners across 65 countries, we deliver on the promise of helping our customers, colleagues, and communities thrive in an ever\-changing world. For additional information, visit us at www.wipro.com.
Job Description:
**Job Description**
-------------------
**Role purpose**
Hire an experienced Data Engineer to design, build, and maintain scalable batch/streaming data pipelines on Google Cloud. The role requires deep SQL expertise, production‑grade orchestration with Apache Airflow (Cloud Composer), and strong Python for ELT/ETL, with exposure to Postgres and Teradata.
**Key responsibilities**
* Design, develop, and operate reliable data pipelines and DAGs using **Apache Airflow/Cloud Composer** for batch and near‑real‑time workflows.
* Build ELT/ETL on **GCP** services (e.g., BigQuery, Dataflow, Pub/Sub, Cloud Storage; Composer for orchestration); enforce coding, testing, and observability standards.
* Write **expert‑level SQL** for modeling, complex transformations, windowing functions, and performance tuning; own query efficiency and cost optimization.
* Develop **Python** data components (operators, hooks, transforms), packaging and CI/CD for deployment to Composer/Dataflow.
* Work with **Big Data** ecosystems and MPP warehouses; support data ingestion, schema evolution, and partitioning/clustering strategies.
* Integrate **Postgres** sources/targets and contribute to **Teradata GCP** migration/modernization where applicable.
Partner with product, analytics, and platform teams; uphold security, compliance, data quality (DQ checks, SLAs), and documentation standards.  
* 
Mandatory Skills: Google Cloud Dataflow .  
Experience: 5\-8 Years .  
The expected compensation for this role ranges from $60,000 to $135,000 .  
Final compensation will depend on various factors, including your geographical location, minimum wage obligations, skills, and relevant experience. Based on the position, the role is also eligible for Wipro's standard benefits including a full range of medical and dental benefits options, disability insurance, paid time off (inclusive of sick leave), other paid and unpaid leave options.  
Applicants are advised that employment in some roles may be conditioned on successful completion of a post\-offer drug screening, subject to applicable state law.  
Wipro provides equal employment opportunities to all employees and applicants for employment and prohibits discrimination and harassment of any type without regard to race, color, religion, age, sex, national origin, disability status, genetics, protected veteran status, sexual orientation, gender identity or expression, or any other characteristic protected by federal, state, or local laws. Applications from veterans and people with disabilities are explicitly welcome.  
Reinvent your world. We are building a modern Wipro. We are an end\-to\-end digital transformation partner with the boldest ambitions. To realize them, we need people inspired by reinvention. Of yourself, your career, and your skills. We want to see the constant evolution of our business and our industry. It has always been in our DNA \- as the world around us changes, so do we. Join a business powered by purpose and a place that empowers you to design your own reinvention.</t>
        </is>
      </c>
    </row>
    <row r="18">
      <c r="A18" t="inlineStr">
        <is>
          <t>in-4bb8bebfe804122d</t>
        </is>
      </c>
      <c r="B18" t="inlineStr">
        <is>
          <t>Data Engineer</t>
        </is>
      </c>
      <c r="C18" t="inlineStr">
        <is>
          <t>Fairway Independent Mortgage</t>
        </is>
      </c>
      <c r="D18" t="inlineStr">
        <is>
          <t>indeed</t>
        </is>
      </c>
      <c r="E18" t="inlineStr"/>
      <c r="F18" t="inlineStr"/>
      <c r="G18" t="inlineStr">
        <is>
          <t>Central, LA, US</t>
        </is>
      </c>
      <c r="H18" s="2" t="n">
        <v>46054</v>
      </c>
      <c r="I18" t="inlineStr">
        <is>
          <t>Be part of a team that's committed to making a difference. We believe in our work and our customers.
**Position Location**
**Remote Type**
Remote
**Office Location (if not fully remote):**
n/a
**Job Description**
We are seeking a Data Engineer to architect and scale our next\-generation big data ecosystem.
In this role, you will leverage Databricks to design robust ETL pipelines, implement sophisticated data models, and integrate diverse streaming and API sources. As a technical leader, you will bridge the gap between complex engineering requirements and actionable business insights, ensuring our data infrastructure is both high\-performing and compliant with global standards.
Technical Functions:
* Design and Orchestrate: Build and maintain high\-performance, scalable ETL/ELT pipelines using Databricks to ensure seamless data flow.
* Systems Integration: Architect robust integrations across a diverse ecosystem, including internal/external APIs, relational databases, and real\-time streaming sources.
* Data Refinement: Implement sophisticated transformation logic, data enrichment, and cleansing protocols to deliver "analytics\-ready" datasets for downstream visualization.
* Optimization \&amp; Modeling: Develop high\-efficiency data models and schemas, applying advanced indexing and partitioning techniques to maximize query performance and scalability.
* Ecosystem Management: Oversee and optimize cloud\-based infrastructure, leveraging containerization and distributed computing to process massive datasets.
* Advanced Analytics Support: Utilize big data frameworks to empower Machine Learning (ML) initiatives and collaborate with Data Science teams to deploy predictive models and statistical algorithms.
* Automated Deployment: Design and implement "Zero\-Touch" automation for CI/CD, encompassing build, test, and release processes to ensure rapid, reliable deployment.
* Integrity \&amp; Compliance: Execute rigorous data governance, lineage tracking, and access controls to ensure total compliance with global privacy regulations and internal quality standards.
* Documentation: Maintain comprehensive technical documentation for system configurations, data mapping, and architectural processes.
Qualifications \&amp; Requirements
* 6\+ years of proven experience architecting and developing enterprise\-scale data solutions.
* Extensive hands\-on experience with the Azure Data Stack, including Synapse, Data Factory, Databricks, CosmosDB, and Azure SQL.
* Expert\-level command of SQL and Python (required); additional proficiency in JavaScript, R, VBA, or web technologies (HTML/CSS/JSON) is highly valued.
* Demonstrated success in building and managing complex ETL/ELT pipelines within both Databricks and modern Business Intelligence environments (e.g., Power BI, Sisense, Tableau, or Domo).
* Deep experience leveraging API calls to ingest, synchronize, and automate data flow between disparate third\-party and internal systems.
* Ability to bridge the gap between backend data engineering and front\-end visualization, specifically optimizing Power BI for high\-performance reporting.
* A track record of designing, testing, and scaling automated data systems that drive operational efficiency, measurable cost savings, and improved business outcomes.
* Experience working directly with business partners to translate high\-level goals into technical workflows that enhance decision\-making.
Fairway Home Mortgage, founded in 1996, is a nationwide leader in the mortgage industry. Customer service is at the heart of everything we do. We deliver personalized loan solutions with some of the fastest turn times in the industry. Our mission is to act as trusted advisors, guiding clients through every step of the mortgage process to exceed expectations and ensure satisfaction.
Our culture promotes innovation, growth, and collaboration, offering exciting career paths and professional development. Whether you're starting out or advancing your career, Fairway is a place where your skills and ambitions can thrive.
Current Employees: Head to the ***Fairway Careers Hub*** in Workday for internal job openings.
We post some job openings internally for our employees and others externally for the general public. If you cannot find the perfect role right now, do not hesitate to contact the Careers Team at careers@fairwaymc.com . We can answer any questions and keep you updated on future opportunities.
View our E\-Verify and Right to Work notices HERE .
*Important Notice to Job Seekers! We’ve been made aware of fraudulent messages falsely claiming to be from Fairway recruiters, including links to assessments. These are not legitimate and are not affiliated with Fairway Independent Mortgage Corporation. We’re working with our Information Security team to address this issue. Thank you for your vigilance and continued interest in joining Fairway! All official communication will come from verified Fairway email addresses or our official LinkedIn page. If you receive a suspicious message, please do not click any links and notify us.*</t>
        </is>
      </c>
    </row>
    <row r="19">
      <c r="A19" t="inlineStr">
        <is>
          <t>in-50a796237a34b0ec</t>
        </is>
      </c>
      <c r="B19" t="inlineStr">
        <is>
          <t>Data Engineer II</t>
        </is>
      </c>
      <c r="C19" t="inlineStr">
        <is>
          <t>Mirion</t>
        </is>
      </c>
      <c r="D19" t="inlineStr">
        <is>
          <t>indeed</t>
        </is>
      </c>
      <c r="E19" t="inlineStr"/>
      <c r="F19" t="inlineStr"/>
      <c r="G19" t="inlineStr">
        <is>
          <t>Remote, US</t>
        </is>
      </c>
      <c r="H19" s="2" t="n">
        <v>46054</v>
      </c>
      <c r="I19" t="inlineStr">
        <is>
          <t>Mid\-level Data Engineer responsible for designing, building, and maintaining data pipelines, data models, and data infrastructure to support analytics and AI initiatives. Additionally, design and build reusable data pipeline components and frameworks, to accelerate the growth of new data initiatives at Mirion.
Responsibilities
* Design and implement scalable data pipelines using Spark, Azure Databricks, and similar tools.
* Build and optimize data models and dimensional schemas for both analytics and AI/ML use\-cases.
* Develop data quality checks and monitoring to ensure data integrity.
* Write efficient SQL queries and optimize data warehouse performance.
* Collaborate with analytics and data science teams to understand data requirements
* Contribute to data documentation and best practices across the platform.
* Troubleshoot data pipeline failures and optimize for performance
Minimum Qualifications
* 2\-4 years experience in data engineering, analytics engineering, or related field.
* Strong SQL expertise and experience with data warehouses (Snowflake, BigQuery, Redshift,etc.).
* Experience building and maintaining data pipelines using Spark, Airflow, or similar tools.
* Proficiency in Python or Scala for data processing.
* Understanding of data modeling, ETL/ELT concepts, and dimensional design.
* Experience with cloud platforms (AWS, GCP, or Azure)
Preferred Qualifications
* Experience with Databricks or Delta Lake.
* Experience with real\-time data streaming (Kafka, Kinesis).
* Experience managing infrastructure in Azure or AWS cloud.
* Knowledge of data governance and metadata management.
* Background in building data platforms from scratch.</t>
        </is>
      </c>
    </row>
    <row r="20">
      <c r="A20" t="inlineStr">
        <is>
          <t>in-f150330dc0b2f2f9</t>
        </is>
      </c>
      <c r="B20" t="inlineStr">
        <is>
          <t>Data Engineer II</t>
        </is>
      </c>
      <c r="C20" t="inlineStr">
        <is>
          <t>Mirion</t>
        </is>
      </c>
      <c r="D20" t="inlineStr">
        <is>
          <t>indeed</t>
        </is>
      </c>
      <c r="E20" t="inlineStr"/>
      <c r="F20" t="inlineStr"/>
      <c r="G20" t="inlineStr">
        <is>
          <t>US</t>
        </is>
      </c>
      <c r="H20" s="2" t="n">
        <v>46054</v>
      </c>
      <c r="I20" t="inlineStr">
        <is>
          <t>Mid\-level Data Engineer responsible for designing, building, and maintaining data pipelines, data models, and data infrastructure to support analytics and AI initiatives. Additionally, design and build reusable data pipeline components and frameworks, to accelerate the growth of new data initiatives at Mirion.
Responsibilities
* Design and implement scalable data pipelines using Spark, Azure Databricks, and similar tools.
* Build and optimize data models and dimensional schemas for both analytics and AI/ML use\-cases.
* Develop data quality checks and monitoring to ensure data integrity.
* Write efficient SQL queries and optimize data warehouse performance.
* Collaborate with analytics and data science teams to understand data requirements
* Contribute to data documentation and best practices across the platform.
* Troubleshoot data pipeline failures and optimize for performance
Minimum Qualifications
* 2\-4 years experience in data engineering, analytics engineering, or related field.
* Strong SQL expertise and experience with data warehouses (Snowflake, BigQuery, Redshift,etc.).
* Experience building and maintaining data pipelines using Spark, Airflow, or similar tools.
* Proficiency in Python or Scala for data processing.
* Understanding of data modeling, ETL/ELT concepts, and dimensional design.
* Experience with cloud platforms (AWS, GCP, or Azure)
Preferred Qualifications
* Experience with Databricks or Delta Lake.
* Experience with real\-time data streaming (Kafka, Kinesis).
* Experience managing infrastructure in Azure or AWS cloud.
* Knowledge of data governance and metadata management.
* Background in building data platforms from scratch.</t>
        </is>
      </c>
    </row>
    <row r="21">
      <c r="A21" t="inlineStr">
        <is>
          <t>in-f21fb78997657316</t>
        </is>
      </c>
      <c r="B21" t="inlineStr">
        <is>
          <t>Sr. Data Engineer, Data Platform</t>
        </is>
      </c>
      <c r="C21" t="inlineStr">
        <is>
          <t>Mirion</t>
        </is>
      </c>
      <c r="D21" t="inlineStr">
        <is>
          <t>indeed</t>
        </is>
      </c>
      <c r="E21" t="inlineStr"/>
      <c r="F21" t="inlineStr"/>
      <c r="G21" t="inlineStr">
        <is>
          <t>Remote, US</t>
        </is>
      </c>
      <c r="H21" s="2" t="n">
        <v>46054</v>
      </c>
      <c r="I21" t="inlineStr">
        <is>
          <t>Senior Data Engineer responsible for architecting and leading the design of enterprise data platforms, data pipelines, and data infrastructure. This role combines technical expertise with mentorship, driving technical strategy and best practices while partnering with stakeholders to translate complex business requirements into scalable data solutions.
Responsibilities
* Architect and design enterprise\-scale data platforms and pipeline solutions using Spark, Azure Databricks, and related technologies.
* Build and optimize data models and dimensional schemas for complex analytics and AI/MLuse\-cases.
* Lead technical design reviews and mentor junior data engineers on best practices and architectural patterns.
* Establish data quality, governance, and metadata management frameworks across the platform.
* Collaborate with stakeholders to define data requirements and translate them into technical solutions.
* Drive optimization initiatives for data pipeline performance, cost, and reliability.
* Participate in hiring and team building for the data engineering function.
* Contribute to architectural decisions and long\-term platform strategy.
* Troubleshoot complex data pipeline failures and implement robust monitoring and alerting solutions.
Minimum Qualifications
* 5\+ years experience in data engineering, analytics engineering, or related field.
* Expert\-level SQL and experience with modern data warehouses (Snowflake, BigQuery, Redshift, etc.).
* Deep experience designing and maintaining large\-scale data pipelines using Spark, Airflow, or similar orchestration tools.
* Strong proficiency in Python or Scala for complex data processing.
* Advanced understanding of data modeling, dimensional design, data warehousing concepts.
* Experience with cloud platforms (AWS, GCP, or Azure) at scale.
* Proven ability to mentor and guide junior engineers.
Preferred Qualifications
* Experience architecting data platforms from the ground up.
* Experience with Databricks, Delta Lake, and lakehouse architectures.
* Expertise in real\-time data streaming and event\-driven architectures (Kafka, Kinesis).
* Knowledge of data governance, data lineage, and metadata management systems.
* Experience with ML infrastructure and feature stores.
* Background in regulatory\-heavy industries or complex compliance requirements.
* Experience with infrastructure\-as\-code and DataOps practices.</t>
        </is>
      </c>
    </row>
    <row r="22">
      <c r="A22" t="inlineStr">
        <is>
          <t>in-d99b3259baac5de3</t>
        </is>
      </c>
      <c r="B22" t="inlineStr">
        <is>
          <t>Sr. Data Engineer, Data Platform</t>
        </is>
      </c>
      <c r="C22" t="inlineStr">
        <is>
          <t>Mirion</t>
        </is>
      </c>
      <c r="D22" t="inlineStr">
        <is>
          <t>indeed</t>
        </is>
      </c>
      <c r="E22" t="inlineStr"/>
      <c r="F22" t="inlineStr"/>
      <c r="G22" t="inlineStr">
        <is>
          <t>US</t>
        </is>
      </c>
      <c r="H22" s="2" t="n">
        <v>46054</v>
      </c>
      <c r="I22" t="inlineStr">
        <is>
          <t>Senior Data Engineer responsible for architecting and leading the design of enterprise data platforms, data pipelines, and data infrastructure. This role combines technical expertise with mentorship, driving technical strategy and best practices while partnering with stakeholders to translate complex business requirements into scalable data solutions.
Responsibilities
* Architect and design enterprise\-scale data platforms and pipeline solutions using Spark, Azure Databricks, and related technologies.
* Build and optimize data models and dimensional schemas for complex analytics and AI/MLuse\-cases.
* Lead technical design reviews and mentor junior data engineers on best practices and architectural patterns.
* Establish data quality, governance, and metadata management frameworks across the platform.
* Collaborate with stakeholders to define data requirements and translate them into technical solutions.
* Drive optimization initiatives for data pipeline performance, cost, and reliability.
* Participate in hiring and team building for the data engineering function.
* Contribute to architectural decisions and long\-term platform strategy.
* Troubleshoot complex data pipeline failures and implement robust monitoring and alerting solutions.
Minimum Qualifications
* 5\+ years experience in data engineering, analytics engineering, or related field.
* Expert\-level SQL and experience with modern data warehouses (Snowflake, BigQuery, Redshift, etc.).
* Deep experience designing and maintaining large\-scale data pipelines using Spark, Airflow, or similar orchestration tools.
* Strong proficiency in Python or Scala for complex data processing.
* Advanced understanding of data modeling, dimensional design, data warehousing concepts.
* Experience with cloud platforms (AWS, GCP, or Azure) at scale.
* Proven ability to mentor and guide junior engineers.
Preferred Qualifications
* Experience architecting data platforms from the ground up.
* Experience with Databricks, Delta Lake, and lakehouse architectures.
* Expertise in real\-time data streaming and event\-driven architectures (Kafka, Kinesis).
* Knowledge of data governance, data lineage, and metadata management systems.
* Experience with ML infrastructure and feature stores.
* Background in regulatory\-heavy industries or complex compliance requirements.
* Experience with infrastructure\-as\-code and DataOps practices.</t>
        </is>
      </c>
    </row>
    <row r="23">
      <c r="A23" t="inlineStr">
        <is>
          <t>in-73be20682a863c5d</t>
        </is>
      </c>
      <c r="B23" t="inlineStr">
        <is>
          <t>Network Data Engineer-1</t>
        </is>
      </c>
      <c r="C23" t="inlineStr">
        <is>
          <t>Realign</t>
        </is>
      </c>
      <c r="D23" t="inlineStr">
        <is>
          <t>indeed</t>
        </is>
      </c>
      <c r="E23" t="inlineStr"/>
      <c r="F23" t="inlineStr"/>
      <c r="G23" t="inlineStr">
        <is>
          <t>Phoenix, AZ, US</t>
        </is>
      </c>
      <c r="H23" s="2" t="n">
        <v>46054</v>
      </c>
      <c r="I23" t="inlineStr">
        <is>
          <t>Job Type: Full Time
Job Category: IT
Job Description
**Job Title:** **Network Data Engineer**  
**Location – Raleigh, NC \| Phoenix, AZ (Onsite)**  
**Fulltime** **Job Description****Network Data Engineer*** Good knowledge on DNS(Infoblox), Cisco ISE,
* Forescout – NAC,
* Infoblox\- DNS DHCP IPAM
* Cisco ACI, IBM NS1, NTP \- Microchip (time),
* Gluware – Network Automation tool
* Ixia \- platform
* Ansible automation platform, F5 LTM, GTM, BIGIQ
* Clear understanding of Cisco ISE Architecture (Pan, PSN, MNT, etc.).
* Cisco ISE configuration and troubleshooting hands on experience.
* Cisco ISE policy configuration used for Wireless, Wired, VPN, and Network
* Configures, and manages Forescout's network configuration and troubleshooting hands on experience
* manages, maintains, and optimizes an organization's core network services (DNS, DHCP, IPAM), troubleshooting hands on experience
* Design and deploy Cisco ACI fabrics (Leaf–Spine architecture). Configuration troubleshooting hands on experience
* Configure Tenants, VRFs, Bridge Domains, EPGs, Contracts, and Filters
* Implement Multi Pod, Multi Site, and Remote Leaf architectures
* Knowledge/experience about high availability and disaster recovery setups
* Hands\-on experience with the IBM NS1 Connect platform or comparable DNS automation and network performance solutions is often required.
* Familiarity with Microchip NTP equipment
* Microchip NTP monitoring and troubleshooting tools.
* Strong analytical and problem\-solving skills.
* Ability to work both independently and collaboratively in a team environment
* Hands on experience configuration and troubleshooting on F5 architecture on LTM, GTM, BIGiQ
* Gluware configuration and troubleshooting
* Gluware configuration using automation
* Understanding Ixia platform for network testing and topology testing
* Using Ixia platform network troubleshooting for L2/L3 design
Required Skills
DEVOPS ENGINEER
 SENIOR EMAIL SECURITY ENGINEER</t>
        </is>
      </c>
    </row>
    <row r="24">
      <c r="A24" t="inlineStr">
        <is>
          <t>in-40f8a6df18fe9e0d</t>
        </is>
      </c>
      <c r="B24" t="inlineStr">
        <is>
          <t>Network Data Engineer-1</t>
        </is>
      </c>
      <c r="C24" t="inlineStr">
        <is>
          <t>Realign</t>
        </is>
      </c>
      <c r="D24" t="inlineStr">
        <is>
          <t>indeed</t>
        </is>
      </c>
      <c r="E24" t="inlineStr"/>
      <c r="F24" t="inlineStr"/>
      <c r="G24" t="inlineStr">
        <is>
          <t>Raleigh, NC, US</t>
        </is>
      </c>
      <c r="H24" s="2" t="n">
        <v>46054</v>
      </c>
      <c r="I24" t="inlineStr">
        <is>
          <t>Job Type: Full Time
Job Category: IT
Job Description
**Job Title:** **Network Data Engineer**  
**Location – Raleigh, NC \| Phoenix, AZ (Onsite)**  
**Fulltime** **Job Description****Network Data Engineer*** Good knowledge on DNS(Infoblox), Cisco ISE,
* Forescout – NAC,
* Infoblox\- DNS DHCP IPAM
* Cisco ACI, IBM NS1, NTP \- Microchip (time),
* Gluware – Network Automation tool
* Ixia \- platform
* Ansible automation platform, F5 LTM, GTM, BIGIQ
* Clear understanding of Cisco ISE Architecture (Pan, PSN, MNT, etc.).
* Cisco ISE configuration and troubleshooting hands on experience.
* Cisco ISE policy configuration used for Wireless, Wired, VPN, and Network
* Configures, and manages Forescout's network configuration and troubleshooting hands on experience
* manages, maintains, and optimizes an organization's core network services (DNS, DHCP, IPAM), troubleshooting hands on experience
* Design and deploy Cisco ACI fabrics (Leaf–Spine architecture). Configuration troubleshooting hands on experience
* Configure Tenants, VRFs, Bridge Domains, EPGs, Contracts, and Filters
* Implement Multi Pod, Multi Site, and Remote Leaf architectures
* Knowledge/experience about high availability and disaster recovery setups
* Hands\-on experience with the IBM NS1 Connect platform or comparable DNS automation and network performance solutions is often required.
* Familiarity with Microchip NTP equipment
* Microchip NTP monitoring and troubleshooting tools.
* Strong analytical and problem\-solving skills.
* Ability to work both independently and collaboratively in a team environment
* Hands on experience configuration and troubleshooting on F5 architecture on LTM, GTM, BIGiQ
* Gluware configuration and troubleshooting
* Gluware configuration using automation
* Understanding Ixia platform for network testing and topology testing
* Using Ixia platform network troubleshooting for L2/L3 design
Required Skills
DEVOPS ENGINEER
 SENIOR EMAIL SECURITY ENGINEER</t>
        </is>
      </c>
    </row>
    <row r="25">
      <c r="A25" t="inlineStr">
        <is>
          <t>in-552aedd913fcec71</t>
        </is>
      </c>
      <c r="B25" t="inlineStr">
        <is>
          <t>Senior Data Engineer</t>
        </is>
      </c>
      <c r="C25" t="inlineStr">
        <is>
          <t>540</t>
        </is>
      </c>
      <c r="D25" t="inlineStr">
        <is>
          <t>indeed</t>
        </is>
      </c>
      <c r="E25" t="inlineStr"/>
      <c r="F25" t="inlineStr"/>
      <c r="G25" t="inlineStr">
        <is>
          <t>Arlington, VA, US</t>
        </is>
      </c>
      <c r="H25" s="2" t="n">
        <v>46054</v>
      </c>
      <c r="I25" t="inlineStr">
        <is>
          <t>540 is seeking a Senior Data Engineer to design, build, and optimize cloud\-based data pipelines supporting high\-impact federal missions. In this role, you'll contribute hands\-on to the development of scalable data pipelines in AWS while collaborating closely with technical leads and stakeholders to deliver robust solutions that drive meaningful business insights.
This position is ideal for an experienced data engineer who enjoys solving complex data challenges, writing production\-quality code, and mentoring junior team members while continuing to grow their own technical impact.
**Location**: Remote within the continental United States. Core collaboration hours align with Eastern Time, with flexibility. Occasional travel (3\-4x annually)  
**Citizenship \&amp; Clearance Requirement**: per client requirements, must be a U.S. Citizen with the ability to obtain a DoD Secret clearance  
**Education Requirement:** Bachelor's Degree in Computer Science or related engineering field (preferred)  
**540 Internal Thrive Level:** Software Engineer III or Senior
**WHY 540?**
540 is a forward\-thinking company that the government turns to in order to \#getshitdone. We don't just talk about innovation – we deliver it. We break down barriers, build impactful technology, and solve mission\-critical problems.
**HOW YOU'LL DRIVE IMPACT**
* Design, develop, and maintain scalable data pipelines and ETL processes using Python and AWS services
* Build and deploy serverless functions using AWS Lambda for data processing and automation
* Implement data integration solutions connecting diverse source systems to analytics platforms
* Mentor junior data engineers through pair programming, code reviews, and technical coaching
* Collaborate with data analysts and business stakeholders to understand requirements and deliver solutions
* Optimize data pipeline performance, reliability, and cost efficiency in AWS environments
* Develop and maintain comprehensive documentation for data systems and processes
* Participate in on\-call rotation to support production data infrastructure
* Contribute to the establishment of team coding standards and engineering best practices
* Work with Git for version control and participate in collaborative development workflows
**REQUIRED SKILLS \&amp; EXPERIENCE**
* 6\+ years of experience in data engineering or related technical roles
* Strong proficiency in Python programming with experience building production data applications
* Solid understanding of AWS architecture and services (Lambda, S3, Glue, RDS, Redshift, etc.)
* Experience with Git version control and branching strategies
* Knowledge of SQL and relational database design principles
* Familiarity with data modeling techniques and data warehouse concepts
* Experience with RESTful APIs and data integration patterns
* Strong problem\-solving skills and attention to detail
* Excellent communication skills and demonstrated ability to mentor others
* Currently possess or be able to obtain within 30 days of hire:
* + AWS Cloud Practitioner certification (or higher)
	+ CompTIA Security\+ certification (or higher)
**NICE TO HAVE**
* Familiarity with X12/MILS processing
* Experience with Apache Spark, Kafka, or other distributed processing frameworks
* Knowledge of data orchestration tools (Apache Airflow, AWS Step Functions)
* Exposure to Infrastructure\-as\-Code tools (Terraform, CloudFormation)
* Understanding of DevOps practices and CI/CD pipelines
* AWS certifications (Solutions Architect, Data Analytics, or similar)
**BENEFITS \&amp; PERKS**
* Flexible PTO \+ all Federal holidays off
* Health, dental and vision insurance plans
* Flexible Spending Account (FSA)
* 401k with employer match
* Company\-sponsored life insurance, short\- and long\-term disability
* Professional development (training, certifications, conferences)
* Paid cloud developer accounts
* Referral bonuses
* HQ office perks (parking / metro reimbursement, nitro coffee \&amp; lunches)
* Annual social events (540 Week, hackathon, charity golf tournament, etc.)
* Access to 540's Washington Capitals \&amp; Nationals tickets
**EQUAL EMPLOYMENT OPPORTUNITY (EEO)**
540's policy is to provide equal employment opportunity to all employees and applicants for employment and prohibits discrimination and harassment of any type without regard to race, color, religion, age, sex, national origin, disability status, genetics, protected veteran status, sexual orientation, gender identity or expression, or any other characteristic protected by federal, state or local laws.
This policy applies to all terms and conditions of employment, including recruiting, hiring, placement, promotion, termination, layoff, recall, transfer, leaves of absence, compensation and training.</t>
        </is>
      </c>
    </row>
    <row r="26">
      <c r="A26" t="inlineStr">
        <is>
          <t>in-9fa71ebe6cf44cb1</t>
        </is>
      </c>
      <c r="B26" t="inlineStr">
        <is>
          <t>Machine Learning Data Engineer</t>
        </is>
      </c>
      <c r="C26" t="inlineStr">
        <is>
          <t>Oden Technologies</t>
        </is>
      </c>
      <c r="D26" t="inlineStr">
        <is>
          <t>indeed</t>
        </is>
      </c>
      <c r="E26" t="inlineStr"/>
      <c r="F26" t="inlineStr"/>
      <c r="G26" t="inlineStr">
        <is>
          <t>New York, NY, US</t>
        </is>
      </c>
      <c r="H26" s="2" t="n">
        <v>46054</v>
      </c>
      <c r="I26" t="inlineStr">
        <is>
          <t>**About Oden:**
---------------
Manufacturing is undergoing its fourth industrial revolution, with factory operations increasingly driven by real\-time applications that combine process and context data with advanced ML and AI algorithms. This is unlocking a staggering opportunity to improve the efficiency and productivity of existing manufacturing processes.
As a Manufacturing AI company, Oden is at the forefront of this revolution. We combine large\-scale data processing architectures and advanced AI and ML algorithms within the Oden platform so manufacturing operations teams can continuously monitor, analyze, and optimize their production, across a diverse set of processes and conditions. Our goal is to maximize efficiency, sustainability, and competitiveness in the manufacturing domain \- to help True Makers Make Things Better!
**Culture**
-----------
* We obsess over customers. Everything we do is to create profound results and delight for our customers. Every Viking cares about the purpose of the product and company, and prioritizes work based on customer end results. When in doubt, we go to the Gemba – we’re happy to put on steel toe boots and hit the factory floor to work with the production manager.
* We move fast and follow through – we live by transparent and scientific thinking, act with urgency, and put in the work to find the best ideas with those around us.
* We elevate each other by giving and receiving direct, honest feedback and holding ourselves and others to a high standard to help the team rise, deliver, and win together.
* “Be True Makers to Serve True Makers.” We’re building a community that fuels innovation and accelerates our pace and impact. We always ask if there’s a better way to do something, even if it's unconventional – then we try it. We aim for bold yet simple solutions that cut through complexity and drive meaningful progress.
**The Role:**
As an ML Data Engineer, you will be responsible for researching, developing and implementing data and machine learning pipelines and systems to support applications that enable operations teams to manage and optimize the manufacturing process as effectively as possible. Applications for these systems include continuous predictions of quality, cost and machine failure, delivering live recommendations for process optimization, and identifying anomalies for real\-time alerting etc.
As part of developing these systems, you will work with manufacturing data, including real\-time sensor readings and measurements; context about this data collected from external systems; outcomes such as quality/cost/yield; and knowledge about the process from structured and unstructured sources. You will be expected to build systems and models that can learn from these high dimensional and heterogeneous timeseries datasets, and that can be adaptive to changing process conditions and explicit and implicit feedback. You will work with the latest techniques from deep learning, AI for timeseries, reinforcement learning, and recommendation systems to enable the applications.
You will work closely with Oden’s Product team to build these systems as foundations for our product, and are expected to participate in the end\-to\-end engineering, carrying projects from conceptualization to development to deployment. You will also work closely with our customer success teams to develop an understanding of the process and deliver and validate results in production environments.
 **Responsibilities:**
* Developing and maintaining systems that manage the full ML lifecycle \- from data preparation and model training to deployment and monitoring.
* Working with our data scientists to create and deploy ML/AI models, algorithms, representations and methods that capture properties of complex manufacturing processes
* Enable applications of these models to different problems for prediction, optimization, and monitoring and alerting.
* Working with the engineering, product and customer success teams to Implement and deploy solutions
* Validating results in real\-world deployments with our customers
* Generalizing solutions and innovating to create the next generation of product features
* Engaging with the technical community to present results externally, keep up to date on recent advances, and advance the state of the art
**Preferred Experience:**
* 1\-3 years professional experience as an ML Engineer/Data Engineer and advanced degrees (M.S. or PhD. in Machine Learning, Distributed Systems, Computer Science with ML/AI focus, or related fields)
* Proficient with distributed data processing systems e.g. Apache Beam/Dataflow, Apache Spark
* Proficient with ML workflows and tools \- including open source tools like MLFlow, cloud platforms like Vertex or Sagemaker
* Proficient with Python, including most common ML and Optimization libraries
* Experience with SQL and GCP is a plus.
* Experience with designing, building and deploying performant ML products
* Familiarity with unstructured data and Generative AI \- especially around enterprise applications is a plus.
* Enthusiasm to own projects end\-to\-end; from experimentation to customer delivery
* This person should be based in the New York metro\-area and willing to come to an office at least a several times a month
We anticipate the base salary band for this role will be between $120,000 and $190,000, in addition to equity and benefits. This role may be hired at the L3 Engineer level ($120,000 to $170,000\) or the Senior ML Engineer level ($140,000 to $190,000\). The salary at offer will be determined by factors such as the candidate’s experience, knowledge, skills, and abilities, as well as internal equity among our team.
### **At Oden, we are deeply committed to ensuring that every team member is engaged in work they are passionate about and find fulfilling. We prioritze your career development, offering personalized pathways for growth and advancement. Our approach is to align your strengths and interests with the company’s goals, ensuring that you not only contribute meaningfully but also progress steadily in your professional journey, reaching new heights in your career.**
### **We’re an equal opportunity employer (EOE).**
### **Diversity at Oden means building a team that is rich across all boundaries of race, ethnicity, gender identification, sexual orientation, disability, religion, age and thinking style. We welcome all backgrounds, life experiences, and worldviews as these are the catalyst for the rapid evolution of our product and our organization. Diversity allows us to tackle new challenges, embrace change, make well\-informed decisions, and ultimately Make Things Better. In alignment with our “People First” company value, Oden has a passionate internal team dedicated to the promotion of diversity and inclusion initiatives as a core component of our culture.**
### **Our diversity initiatives apply to our practices and policies on recruiting, compensation and benefits; professional development; promotions; social activities and the ongoing development of a psychologically safe work environment.**</t>
        </is>
      </c>
    </row>
    <row r="27">
      <c r="A27" t="inlineStr">
        <is>
          <t>in-13d2675a3bd6744f</t>
        </is>
      </c>
      <c r="B27" t="inlineStr">
        <is>
          <t>Senior Data Engineer / Data Architect – Automation-Led Modernization (copy)</t>
        </is>
      </c>
      <c r="C27" t="inlineStr">
        <is>
          <t>Doran Jones</t>
        </is>
      </c>
      <c r="D27" t="inlineStr">
        <is>
          <t>indeed</t>
        </is>
      </c>
      <c r="E27" t="inlineStr"/>
      <c r="F27" t="inlineStr"/>
      <c r="G27" t="inlineStr">
        <is>
          <t>Dallas, TX, US</t>
        </is>
      </c>
      <c r="H27" s="2" t="n">
        <v>46054</v>
      </c>
      <c r="I27" t="inlineStr">
        <is>
          <t>We are looking for a Senior Data Engineer / Data Architect to lead automation\-led modernization of legacy data and reporting platforms at scale.  
This role drives operational automation, repeatable architecture, and AI\-assisted tooling, eliminating manual work and accelerating delivery across multiple environments. A core focus is leading the migration of data pipelines and integrations from Informatica to Databricks, while building scalable, repeatable patterns used across states and teams.  
This is a hands\-on, senior role with ownership across architecture, design, and execution.
### **Responsibilities**
* + Assess legacy data and reporting workloads to identify where automation replaces manual effort.
	+ Lead the migration of Informatica\-based data workloads to Databricks, ensuring performance, reliability, and data integrity
	+ Design and execute an automation\-first modernization strategy for data pipelines, reporting systems, and analytics platforms.
	+ Apply tool\-assisted and AI\-assisted techniques to accelerate modernization while maintaining compliance and control.
	+ Build repeatable frameworks and patterns for: Data ingestion, transformation, and orchestration; Reporting and analytics modernization; Data validation, reconciliation, and quality controls.
	+ Establish governance to ensure modernization efforts are consistent, auditable, and scalable.
	+ Partner with distributed data teams to deploy and scale modernization patterns across environments.
	+ Provide hands\-on technical leadership while remaining engaged in execution.
### **Required Experience**
* + 10\+ years in data engineering and/or data architecture.
	+ Proven track record of modernizing large\-scale, complex, legacy data and reporting environments.
	+ Hands\-on experience migrating or modernizing Informatica\-based data pipelines to modern platforms such as Databricks.
	+ Demonstrated use of automation frameworks, accelerators, or AI\-assisted tools to compress delivery timelines.
	+ Hands\-on experience with Azure, Cloudera, and Power BI.
	+ Strong experience designing and operating ETL/ELT pipelines and analytics layers.
	+ Deep understanding of data quality, lineage, reconciliation, and validation frameworks.
	+ Experience working in large\-scale or regulated enterprise environments.
### **Preferred Experience**
* + Experience in payer, healthcare, or other regulated domains.
	+ Experience designing solutions that support multi\-environment scalability.
	+ Exposure to GenAI tooling for code generation and automation.
	+ Experience as a technical thought leader for new platform initiatives.
*McLaren Strategic Solutions is a leading\-edge global technology consulting firm, addressing critical challenges across industries such as retail, financial services, and healthcare. Integrating a powerful ecosystem of platforms with capital\-efficient execution, McLaren specializes in digital transformation to help businesses optimize operations, accelerate revenue, and achieve scalable outcomes. McLaren’s expertise spans the development of customer\-centric applications, modernizing systems for cost\-effectiveness and security, and leveraging cloud scalability for future\-ready architectures. With a deep commitment to operational excellence, McLaren provides comprehensive managed services, including application maintenance, cybersecurity, platform solutions, and AI\-optimized operations, ensuring seamless, secure, and efficient performance.* *From supply chain automation to compliance and analytics, McLaren drives measurable impact: improving workforce productivity, reducing inventory costs, and cutting technology ownership expenses. With its emphasis on automation and zero business downtime, McLaren facilitates seamless migrations from legacy systems to modern platforms, enabling organizations to harness the full potential of digital transformation. Backed by strategic partnerships and a proven delivery model, McLaren empowers clients to innovate, modernize, and achieve lasting success in today’s digital economy.* *McLaren is a certified minority owned business through the NMSDC and has a mission to place more people from non\-traditional backgrounds into sustainable technology careers. Through partnerships with non\-profit technology programs in underserved communities and Veteran organizations, candidates transition from tech training programs into real IT careers at McLaren. Our unique recruitment policy allows us to create exceptional teams, bringing a broad spectrum of experience to our company and creating anything but a traditional consulting firm.* *Visit* ***McLaren Strategic Solutions*** *to learn more!* **Doran Jones** Inc. is proud to be part of the McLaren Strategic Ventures Group.</t>
        </is>
      </c>
    </row>
    <row r="28">
      <c r="A28" t="inlineStr">
        <is>
          <t>in-c3f2df61b0348c51</t>
        </is>
      </c>
      <c r="B28" t="inlineStr">
        <is>
          <t>Data Engineer (AI)</t>
        </is>
      </c>
      <c r="C28" t="inlineStr">
        <is>
          <t>Customers Bank</t>
        </is>
      </c>
      <c r="D28" t="inlineStr">
        <is>
          <t>indeed</t>
        </is>
      </c>
      <c r="E28" t="inlineStr"/>
      <c r="F28" t="inlineStr"/>
      <c r="G28" t="inlineStr">
        <is>
          <t>Malvern, PA, US</t>
        </is>
      </c>
      <c r="H28" s="2" t="n">
        <v>46054</v>
      </c>
      <c r="I28" t="inlineStr">
        <is>
          <t>At Customers Bank, we believe in working hard, working smart, working together to deliver memorable customer experiences and having fun. Our vision, mission, and values guide us along our path to achieve excellence. Passion, attitude, creativity, integrity, alignment, and execution are cornerstones of our behaviors. They define who we are as an organization and as individuals. Everyone is encouraged to have personal development plans. By doing so, our team members are on their way to achieve their highest potential and be successful in their personal and professional lives.
Must be legally eligible to work in the United States without sponsorship, now or in the future, to be considered.*We’re looking for builders who want to be early — not in a startup with no guardrails, and not in a legacy organization where change is slow, but in the rare middle ground where innovation actually ships. This team has a clear mandate and strong executive air cover: AI and automation were called out as a strategic priority on our most recent earnings call and are top of mind for the CEO and executive team, with direct support from senior leadership. The opportunity is ownership — helping reimagine how banking gets done by blending legacy and modern technologies, building durable capabilities from the ground up, and contributing to a model for what a 21st\-century bank can look like.*
Who is Customers Bank?
Founded in 2009, Customers Bank is a super\-community bank with over $22 billion in assets. We believe in dedicated personal service for the businesses, professionals, individuals, and families we work with.
We get you further, faster.
Focused on you: We provide every customer with a single point of contact. A dedicated team member who’s committed to meeting your needs today and tomorrow.
On the leading edge: We’re innovating with the latest tools and technology so we can react to market conditions quicker and help you get ahead.
Proven reliability: We always ground our innovation in our deep experience and strong financial foundation, so we’re a partner you can trust.
What You’ll Do:
The Data Engineer will play a foundational role in building Customers Bank’s modern data ecosystem, enabling enterprise automation, analytics, and AI initiatives. This is an opportunity to join at the ground floor of a growing data capability and help define how data is ingested, transformed, governed, and delivered across the organization.
Working as part of a cross\-functional delta team, the Data Engineer will partner closely with RPA developers, analytics teams, and business stakeholders to support ETL/ELT pipelines, data integrations, and data acquisition efforts across operational, financial, and third\-party systems. The role emphasizes both hands\-on engineering delivery and thoughtful data design, with a strong focus on quality, reliability, and scalability.
This position sits within the data and strategy organization and contributes directly to high\-visibility initiatives tied to operational efficiency, automation, and AI enablement.
Key Responsibilities* Design, build, and maintain ETL/ELT pipelines that ingest, transform, and integrate data from a wide variety of source systems.
* Support data gathering and integration efforts across core operational, financial, and third\-party platforms using REST and SOAP APIs, files, and database connections.
* Enable downstream consumption of data by RPA automations, analytics dashboards, reporting, and AI/ML solutions.
* Work with structured and semi\-structured data supporting batch, scheduled, event\-driven, and near\-real\-time use cases.
* Partner closely with business SMEs, automation developers, and analysts to understand data requirements and translate them into scalable, production\-ready engineering solutions.
* Implement data quality checks, validation rules, and monitoring to ensure accuracy, consistency, and reliability.
* Contributes to the definition of data engineering standards, patterns, and best practices suitable for enterprise scale.
* Document data pipelines, data flows, and assumptions to support transparency, maintainability, and governance.
* Troubleshoot data issues, optimize pipeline performance, and continuously improve reliability and efficiency.
* Support data governance, security, and access controls in alignment with enterprise and regulatory requirements.
* Stay current on modern data engineering tools, cloud data platforms, and industry best practices.
What Do You Need?* 5\+ years of experience in data engineering, data integration, or ETL development, ideally in financial services, consulting, or complex enterprise environments.
* 5\+ years of expert\-level SQL proficiency, including CTE’s, window functions, performance tuning, and data modeling
* 1\+ years of experience integrating with REST and/or SOAP APIs.
* Strong problem\-solving skills and the ability to work across ambiguous, evolving requirements.
* Experience collaborating closely with technical and non\-technical stakeholders.
* Solid understanding of the Software Development Life Cycle (SDLC) and experience working in Agile delivery environments.
* Bachelor’s degree in computer science, Information Systems, Engineering, or a related field (or equivalent practical experience). Advanced degree or relevant certifications preferred.
Technology Skills:* Advanced SQL expertise across relational and analytical databases.
* Hands\-on experience with cloud data platforms Snowflake and Azure’s Fabric
* Experience building modern pipelines using tools such as Azure Data Factory, dbt, Microsoft Fabric, or equivalent ELT/ETL technologies.
* Experience with Talend and familiarity with Power BI for downstream consumption is preferred (major plus)
* Proficiency in Python (or similar languages such as Java, R, or C\#) for data processing, transformation, and integration.
* Experience working with SQL and NoSQL databases (e.g., SQL Server, Oracle, PostgreSQL, MySQL, Aurora, BigQuery, Presto).
* Exposure to Azure data services (e.g., Azure SQL, Databricks, MLflow) or equivalent cloud\-native tooling.
* Familiarity with CI/CD and DevOps practices, including exposure to Azure DevOps (ADO) or similar platforms.
* Understanding of data quality practices, logging, monitoring, and operational support.
* Bonus: Exposure to event\-driven architectures, streaming data, or AI/ML data enablement.
Soft Skills \&amp; Ways of Working* Collaborative and consultative, with a strong partnership mindset.
* Detail\-oriented with a strong sense of ownership and accountability.
* Able to explain data concepts and trade\-offs to non\-technical audiences.
* Comfortable balancing speed of delivery with data quality and long\-term sustainability.
* Curious and proactive, with a desire to continuously improve data capabilities.
Growth \&amp; Opportunity
This role offers the opportunity to:* Help shape the foundation of Customers Bank’s data platform and engineering practices.
* Work closely with automation, analytics, and AI teams on enterprise\-impacting initiatives.
* Gain exposure to senior leadership and cross\-functional strategy efforts.
* Grow into senior engineering, architecture, or data platform leadership roles as the data organization matures.
Customers Bank is an equal opportunity employer. We do not discriminate based upon race, religion, color, national origin, gender (including pregnancy, childbirth, or related medical conditions), sexual orientation, gender identity, gender expression, age, status as a protected veteran, status as an individual with a disability, or other applicable legally protected characteristics.  
We also provide “reasonable accommodations”, upon request, to qualified individuals with disabilities, in accordance with the Americans with Disabilities Act and applicable state and local laws.  
Diversity Statement:  
At Customers Bank, we believe in working smart, working together, and having fun while delivering innovative solutions and memorable experiences for our customers. We are committed to the continual advancement of a culture which reflects the value we place on diversity, equity, and inclusion. We honor the diverse experiences, perspectives, and identities of our team members, and we recognize that it is their passion, creativity, and integrity that drives our success. Step into your future with us! Let’s take on tomorrow.</t>
        </is>
      </c>
    </row>
    <row r="29">
      <c r="A29" t="inlineStr">
        <is>
          <t>in-d5c83c98987d150e</t>
        </is>
      </c>
      <c r="B29" t="inlineStr">
        <is>
          <t>AI Data Engineer</t>
        </is>
      </c>
      <c r="C29" t="inlineStr">
        <is>
          <t>mLabs</t>
        </is>
      </c>
      <c r="D29" t="inlineStr">
        <is>
          <t>indeed</t>
        </is>
      </c>
      <c r="E29" t="inlineStr"/>
      <c r="F29" t="inlineStr"/>
      <c r="G29" t="inlineStr">
        <is>
          <t>Remote, US</t>
        </is>
      </c>
      <c r="H29" s="2" t="n">
        <v>46054</v>
      </c>
      <c r="I29" t="inlineStr">
        <is>
          <t>### **Senior AI Data Engineer (Agentic Systems)**
**Location:** USA / Europe / Israel \- with a 5hour overlap with EST hours
**Compensation:** $130K \- $150K
We build the technology that powers safer, more accessible financial markets. Our risk management systems, oracles, and AI models currently secure over **$200 billion in assets** across the world's largest decentralized protocols, having processed more than **$5 trillion in transaction volume**. We recently launched a pioneering **Financial Intelligence Platform** that transforms complex market data into actionable insights, bringing institutional\-grade intelligence to every participant in the ecosystem.
**The Role:** We are looking for a **Senior AI Data Engineer** to design and build the agentic systems powering our intelligence platform. You will work at the intersection of LLMs, financial data, and production infrastructure, creating intelligent agents that reason, plan, and execute across complex financial workflows.
**Responsibilities:**
* **Agentic Systems:** Design and build single and multi\-agent systems incorporating planning, memory, and tool use.
* **Infrastructure:** Build and operate MCP servers with secure schemas and permissions.
* **Workflows:** Develop sophisticated agentic workflows using LangGraph or equivalent frameworks.
* **LLM Integration:** Manage prompts, structured outputs, and tool calling via SDKs.
* **Evaluation:** Define and run LLM evaluation pipelines for quality, correctness, latency, cost, and regressions.
* **Observability:** Build reliability infrastructure, including logging, tracing, retries, and state management.
* **Performance:** Optimize performance and cost\-efficiency from prototype to production.
* **Mentorship:** Establish agentic best practices and mentor junior engineers.
**Requirements**
We need an engineer who moves with precision and understands how to bridge the gap between AI research and production\-grade financial software.
* **Experience:** 5\+ years of software engineering, with at least 2\+ years specifically building production\-level AI/ML systems.
* **Agentic Expertise:** Hands\-on experience with agentic architectures, tool calling, and LangGraph (or equivalent).
* **Protocol Knowledge:** Practical experience with Model Context Protocol (MCP) servers.
* **Evaluation Skills:** Demonstrated experience designing and operating LLM evaluation pipelines.
* **Technical Stack:** Strong Python proficiency and API design skills.
* **Retrieval Systems:** Familiarity with RAG pipelines, vector databases, and embedding\-based retrieval.
**Preferred Qualifications:**
* Prior experience with financial data, DeFi/Crypto, or quantitative analysis.
* Background in distributed systems or high\-throughput data pipelines.
* Active contributions to open\-source AI/ML projects.
**Benefits**
* **Competitive Compensation \&amp; Equity:** We offer a package aligned with growth, performance, and merit.
* **Professional Growth:** Be a foundational member of a rapidly expanding, global technology company with significant room for career advancement.
* **High\-Stakes Impact:** Work on systems that secure hundreds of billions of dollars and define the future of financial risk management.
* **Talent\-Dense Team:** Collaborate with world\-class data scientists and engineers in a high\-performance culture.
**Due to the high volume of applications we anticipate, we regret that we are unable to provide individual feedback to all candidates. If you do not hear back from us within 4 weeks of your application, please assume that you have not been successful on this occasion. We genuinely appreciate your interest and wish you the best in your job search.**
**Commitment to Equality and Accessibility:**
At MLabs, we are committed to offer equal opportunities to all candidates. We ensure no discrimination, accessible job adverts, and providing information in accessible formats. Our goal is to foster a diverse, inclusive workplace with equal opportunities for all. If you need any reasonable adjustments during any part of the hiring process or you would like to see the job\-advert in an accessible format please let us know at the earliest opportunity by emailing human\-resources@mlabs.city.
MLabs Ltd collects and processes the personal information you provide such as your contact details, work history, resume, and other relevant data for recruitment purposes only. This information is managed securely in accordance with MLabs Ltd’s Privacy Policy and Information Security Policy, and in compliance with applicable data protection laws. Your data may be shared only with clients and trusted partners where necessary for recruitment purposes. You may request the deletion of your data or withdraw your consent at any time by contacting legal@mlabs.city.</t>
        </is>
      </c>
    </row>
    <row r="30">
      <c r="A30" t="inlineStr">
        <is>
          <t>in-dafd0525e2849005</t>
        </is>
      </c>
      <c r="B30" t="inlineStr">
        <is>
          <t>Data Engineer with Mongo DB</t>
        </is>
      </c>
      <c r="C30" t="inlineStr">
        <is>
          <t>Tata Consultancy Services (TCS)</t>
        </is>
      </c>
      <c r="D30" t="inlineStr">
        <is>
          <t>indeed</t>
        </is>
      </c>
      <c r="E30" t="inlineStr"/>
      <c r="F30" t="inlineStr"/>
      <c r="G30" t="inlineStr">
        <is>
          <t>Charlotte, NC, US</t>
        </is>
      </c>
      <c r="H30" s="2" t="n">
        <v>46054</v>
      </c>
      <c r="I30" t="inlineStr">
        <is>
          <t>Location : Charlotte,NC ;Plano,TX;  
Must Have Technical/Functional Skills
Primary Skill: Data Engineer
Secondary: Mongo DB
Experience: Minimum 10 years  
Key Responsibilities:  
* MongoDB Database Management:
Designing, implementing, and managing MongoDB database architectures, including schema design, indexing, replication, sharding, and performance optimization for large\-scale data.  
Data Pipeline Development:
Building and maintaining robust ETL/ELT (Extract, Transform, Load) pipelines for ingesting, transforming, and loading structured and unstructured data from diverse sources into MongoDB and other data platforms.
* Performance Optimization:
Optimizing MongoDB queries, aggregation pipelines, and overall database performance to ensure efficient data processing and retrieval.
* Data Integrity and Security:
Ensuring data integrity, quality, and security by implementing appropriate validation, monitoring, access controls, and encryption measures within MongoDB and related systems.
* Collaboration and Integration:
Working closely with application developers, data scientists, data analysts, and DevOps teams to understand data requirements, integrate MongoDB with other systems and cloud services (e.g., GCP, AWS, Azure), and support data\-driven applications.
* Troubleshooting and Monitoring:
Monitoring data pipeline performance, troubleshooting issues, and implementing solutions to ensure data reliability and availability.
* Documentation:
Creating and maintaining documentation for data pipelines, database schemas, and data engineering processes.
Required Skills and Qualifications:
* Strong MongoDB Expertise:
In\-depth knowledge of MongoDB's features, including document modeling, aggregation framework, indexing, sharding, and administration.
* Programming Proficiency:
Strong programming skills in languages like Python, Java, or Node.js, particularly with MongoDB drivers and related libraries.
* Data Pipeline Tools:
Experience with data pipeline tools and technologies such as Apache Spark, Airflow, Kafka, or cloud\-native data services.
* Cloud Platform Experience:
Familiarity with cloud platforms (e.g., Google Cloud Platform, AWS, Azure) and their data\-related services.
* Data Modeling and Design:
Ability to design efficient and scalable data models for NoSQL databases.
* Problem\-Solving and Analytical Skills:
Strong aptitude for troubleshooting data\-related issues and optimizing data systems.
* Communication and Teamwork:
Excellent communication and collaboration skills to work effectively with cross\-functional teams.  
Domain Knowledge: Banking and Payments  
Salary :100,000\-120,000/Per Annum  
**Location**
Charlotte, NC
**Job Function**
CONSULTANCY
**Role**
Engineer
**Job Id**
394477
**Desired Skills**
AWS
**Salary Range**
$100,000\-$120,000 a year</t>
        </is>
      </c>
    </row>
    <row r="31">
      <c r="A31" t="inlineStr">
        <is>
          <t>in-219413ad182b0a76</t>
        </is>
      </c>
      <c r="B31" t="inlineStr">
        <is>
          <t>Starburst Data Engineer</t>
        </is>
      </c>
      <c r="C31" t="inlineStr">
        <is>
          <t>Tata Consultancy Services (TCS)</t>
        </is>
      </c>
      <c r="D31" t="inlineStr">
        <is>
          <t>indeed</t>
        </is>
      </c>
      <c r="E31" t="inlineStr"/>
      <c r="F31" t="inlineStr"/>
      <c r="G31" t="inlineStr">
        <is>
          <t>Charlotte, NC, US</t>
        </is>
      </c>
      <c r="H31" s="2" t="n">
        <v>46054</v>
      </c>
      <c r="I31" t="inlineStr">
        <is>
          <t>Location : Charlotte ,NC ;Plano ,TX;  
Must Have Technical/Functional Skills
 Primary Skill: Starburst
Secondary: Data Virtualization Engineer, Dremio, Presto, SQL Performance Tuning, Shell Scripting, Autosys
Experience: Minimum 10 years  
Roles \&amp; Responsibilities
Key Responsibilities:  
* Demonstrated expertise in Starburst Data Virtualization, including designing and implementing data virtualization solutions, optimizing query performance across distributed data sources, and integrating Starburst with enterprise data architectures.
* Analyze data mapping documents and business requirements to design comprehensive test plans and cases.
* Perform source\-to\-target data reconciliation, check data loading, and ensure transformation rules are applied correctly.
* Write complex SQL scripts for validation (count, data completeness, data consistency, data truncation).
* Identify, log, and track data defects using tools like JIRA or HP ALM or Octane.
* Automate test scripts and validate data volume, performance, and scalability.
* Expert\-level knowledge of SQL for data analysis.
* Experience with tools such as Informatica and IDMC.
* Understanding of data warehouse concepts and architectures (e.g., star/snowflake schema).
* Familiarity with Hadoop or Spark is often preferred.
* Validate HiveQL, HDFS file structures, and data processing within the Hadoop cluster.
* Strong analytical and troubleshooting skills.
* Excellent communication for collaborating with developers and stakeholders.
Tools \&amp; Skills:
Starburst, IDMC, Informatica Power center, Hive, Kafka Knowledge
SQL, Oracle, PL/SQL
Domain: Banking knowledge, Payments knowledge preferred.
Concept: Data Virtualization, Data Warehousing, Data Transformation, ETL/ELT, Data Quality.  
Salary :120,000\-130,000/Per Annum  
**Location**
Charlotte, NC
**Job Function**
CONSULTANCY
**Role**
Technical Lead
**Job Id**
394485
**Desired Skills**
Star LIMS
**Salary Range**
$120,000\-$130,000 a year</t>
        </is>
      </c>
    </row>
    <row r="32">
      <c r="A32" t="inlineStr">
        <is>
          <t>in-84d6bc7320b27a8c</t>
        </is>
      </c>
      <c r="B32" t="inlineStr">
        <is>
          <t>Data Engineer, Global Planning, Amazon Leo</t>
        </is>
      </c>
      <c r="C32" t="inlineStr">
        <is>
          <t>Amazon.com</t>
        </is>
      </c>
      <c r="D32" t="inlineStr">
        <is>
          <t>indeed</t>
        </is>
      </c>
      <c r="E32" t="inlineStr"/>
      <c r="F32" t="inlineStr"/>
      <c r="G32" t="inlineStr">
        <is>
          <t>Bellevue, WA, US</t>
        </is>
      </c>
      <c r="H32" s="2" t="n">
        <v>46037</v>
      </c>
      <c r="I32" t="inlineStr">
        <is>
          <t>**DESCRIPTION**
---------------
Amazon Leo is an initiative to increase global broadband access through a constellation of 3,236 satellites in low Earth orbit. Its mission is to bring fast, affordable broadband to unserved and underserved communities around the world. Amazon Leo will help close the digital divide by delivering fast, affordable broadband to a wide range of customers, including consumers, businesses, government agencies, and other organizations operating in places without reliable connectivity.  
We are looking for a Data Engineer in Leo's Global Planning team to build enterprise\-grade data infrastructure and data assets that will support Leo's Demand Science \&amp; Forecasting models and capacity planning \&amp; simulation systems. You will be responsible to design and implement Data Architecture, using latest AWS services and to develop production level ETL pipelines from external and internal sources / APIs. This role will be instrumental in helping Leo execute on its business plans globally and requires high level of operational excellence with a relentless focus on delivering results.  
Key job responsibilities  
In this role, you will:  
* Develop Leo data products, infrastructure and ETL pipelines to ingest, parse and transform Geospatial datasets from external \&amp; internal APIs using AWS big data technologies (Glue, S3, Redshift, MWAA, EMR, Data Zone, Lambda, etc.)
* Work alongside Data Scientists, Applied Scientists, Software Engineers and Simulation Engineers to develop appropriate data assets for statistical modeling, system integration and capacity simulations
* Improve existing solutions and come up with next generation Leo's Data Architecture to improve scale, quality and performance
* Implement data governance best practices to ensure data accuracy, consistency, and compliance with security and privacy regulations.
* Develop and maintain scripts to automate processes to generate structured datasets for forecasting POR and system inputs, with focus on efficiency and scalability
* Build data dictionary, catalog and governance plan and manage and audit all of the registered data via internal mechanisms
* Provide technical guidance and support to data consumers to leverage Global Planning data assets
Export Control Requirement:  
Due to applicable export control laws and regulations, candidates must be a U.S. citizen or national, U.S. permanent resident (i.e., current Green Card holder), or lawfully admitted into the U.S. as a refugee or granted asylum.  
About the team  
Amazon Leo Global Planning team designs and builds systems that support forecasting, management and optimization of Leo's demand, bandwidth capacity and physical inventory across customer segments and channels, worldwide.**BASIC QUALIFICATIONS**
------------------------
* 3\+ years of data engineering experience
* 1\+ years of developing and operating large\-scale data structures for business intelligence analytics using ETL/ELT processes experience
* 1\+ years of developing and operating large\-scale data structures for business intelligence analytics using OLAP technologies experience
* 1\+ years of developing and operating large\-scale data structures for business intelligence analytics using data modeling experience
* 1\+ years of developing and operating large\-scale data structures for business intelligence analytics using SQL experience
* 1\+ years of developing and operating large\-scale data structures for business intelligence analytics using Oracle experience
* Experience with data modeling, warehousing and building ETL pipelines
**PREFERRED QUALIFICATIONS**
----------------------------
* Experience with AWS technologies like Redshift, S3, AWS Glue, EMR, Kinesis, FireHose, Lambda, and IAM roles and permissions
* Experience with non\-relational databases / data stores (object storage, document or key\-value stores, graph databases, column\-family databases)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VA, Arlington \- 132,100\.00 \- 178,800\.00 USD annually  
USA, WA, Bellevue \- 132,100\.00 \- 178,800\.00 USD annually</t>
        </is>
      </c>
    </row>
    <row r="33">
      <c r="A33" t="inlineStr">
        <is>
          <t>in-dbe1d2465dedf14c</t>
        </is>
      </c>
      <c r="B33" t="inlineStr">
        <is>
          <t>Data Engineer, Global Planning, Amazon Leo</t>
        </is>
      </c>
      <c r="C33" t="inlineStr">
        <is>
          <t>Amazon.com</t>
        </is>
      </c>
      <c r="D33" t="inlineStr">
        <is>
          <t>indeed</t>
        </is>
      </c>
      <c r="E33" t="inlineStr"/>
      <c r="F33" t="inlineStr"/>
      <c r="G33" t="inlineStr">
        <is>
          <t>Arlington, VA, US</t>
        </is>
      </c>
      <c r="H33" s="2" t="n">
        <v>46037</v>
      </c>
      <c r="I33" t="inlineStr">
        <is>
          <t>**DESCRIPTION**
---------------
Amazon Leo is an initiative to increase global broadband access through a constellation of 3,236 satellites in low Earth orbit. Its mission is to bring fast, affordable broadband to unserved and underserved communities around the world. Amazon Leo will help close the digital divide by delivering fast, affordable broadband to a wide range of customers, including consumers, businesses, government agencies, and other organizations operating in places without reliable connectivity.  
We are looking for a Data Engineer in Leo's Global Planning team to build enterprise\-grade data infrastructure and data assets that will support Leo's Demand Science \&amp; Forecasting models and capacity planning \&amp; simulation systems. You will be responsible to design and implement Data Architecture, using latest AWS services and to develop production level ETL pipelines from external and internal sources / APIs. This role will be instrumental in helping Leo execute on its business plans globally and requires high level of operational excellence with a relentless focus on delivering results.  
Key job responsibilities  
In this role, you will:  
* Develop Leo data products, infrastructure and ETL pipelines to ingest, parse and transform Geospatial datasets from external \&amp; internal APIs using AWS big data technologies (Glue, S3, Redshift, MWAA, EMR, Data Zone, Lambda, etc.)
* Work alongside Data Scientists, Applied Scientists, Software Engineers and Simulation Engineers to develop appropriate data assets for statistical modeling, system integration and capacity simulations
* Improve existing solutions and come up with next generation Leo's Data Architecture to improve scale, quality and performance
* Implement data governance best practices to ensure data accuracy, consistency, and compliance with security and privacy regulations.
* Develop and maintain scripts to automate processes to generate structured datasets for forecasting POR and system inputs, with focus on efficiency and scalability
* Build data dictionary, catalog and governance plan and manage and audit all of the registered data via internal mechanisms
* Provide technical guidance and support to data consumers to leverage Global Planning data assets
Export Control Requirement:  
Due to applicable export control laws and regulations, candidates must be a U.S. citizen or national, U.S. permanent resident (i.e., current Green Card holder), or lawfully admitted into the U.S. as a refugee or granted asylum.  
About the team  
Amazon Leo Global Planning team designs and builds systems that support forecasting, management and optimization of Leo's demand, bandwidth capacity and physical inventory across customer segments and channels, worldwide.**BASIC QUALIFICATIONS**
------------------------
* 3\+ years of data engineering experience
* 1\+ years of developing and operating large\-scale data structures for business intelligence analytics using ETL/ELT processes experience
* 1\+ years of developing and operating large\-scale data structures for business intelligence analytics using OLAP technologies experience
* 1\+ years of developing and operating large\-scale data structures for business intelligence analytics using data modeling experience
* 1\+ years of developing and operating large\-scale data structures for business intelligence analytics using SQL experience
* 1\+ years of developing and operating large\-scale data structures for business intelligence analytics using Oracle experience
* Experience with data modeling, warehousing and building ETL pipelines
**PREFERRED QUALIFICATIONS**
----------------------------
* Experience with AWS technologies like Redshift, S3, AWS Glue, EMR, Kinesis, FireHose, Lambda, and IAM roles and permissions
* Experience with non\-relational databases / data stores (object storage, document or key\-value stores, graph databases, column\-family databases)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VA, Arlington \- 132,100\.00 \- 178,800\.00 USD annually  
USA, WA, Bellevue \- 132,100\.00 \- 178,800\.00 USD annually</t>
        </is>
      </c>
    </row>
    <row r="34">
      <c r="A34" t="inlineStr">
        <is>
          <t>in-c4fae1fb6728ec8d</t>
        </is>
      </c>
      <c r="B34" t="inlineStr">
        <is>
          <t>Data Engineer, Denied Party Screening, AWS Compliance &amp; Security Assurance</t>
        </is>
      </c>
      <c r="C34" t="inlineStr">
        <is>
          <t>Amazon.com</t>
        </is>
      </c>
      <c r="D34" t="inlineStr">
        <is>
          <t>indeed</t>
        </is>
      </c>
      <c r="E34" t="inlineStr"/>
      <c r="F34" t="inlineStr"/>
      <c r="G34" t="inlineStr">
        <is>
          <t>Dallas, TX, US</t>
        </is>
      </c>
      <c r="H34" s="2" t="n">
        <v>46029</v>
      </c>
      <c r="I34" t="inlineStr">
        <is>
          <t>**DESCRIPTION**
---------------
Amazon seeks an experienced Data Engineer to join the DPS (Deny Party Screening) team. Our mission is to prevent denied parties from transacting with Amazon businesses, including AWS, customers, vendors, sellers, subsidiaries, etc. We screen billions of events every day. We integrate with Tier 1 systems, build DPS systems, and deal with unique scaling challenges.  
As a Data Engineer, you will design, implement and support scalable data infrastructure solutions to integrate with multi heterogeneous data sources, aggregate and retrieve data in a fast and safe mode, curate data that can be used in reporting, analysis, machine learning models and ad\-hoc data requests. You will be exposed to cutting edge AWS big data technologies. You should have excellent business and communication skills to be able to work with business owners and Tech leaders to gather infrastructure requirements, design data infrastructure, build up data pipelines and datasets to meet business needs. You stay abreast of emerging technologies, investigating and implementing where appropriate.  
Key job responsibilities  
* Design, implement, and support data warehouse/ data lake infrastructure using AWS bigdata stack, Python, Redshift, QuickSight, Glue/lake formation, EMR/Spark, Athena etc.
* Develop and manage ETLs to source data from various financial, AWS networking and operational systems and create unified data model for analytics and reporting.
* Creation and support of real\-time data pipelines built on AWS technologies including EMR, Glue, Redshift/Spectrum and Athena.
* Collaborate with other Engineering teams, Product/Finance Managers/Analysts to implement advanced analytics algorithms that exploit our rich datasets for financial model development, statistical analysis, prediction, etc.
* Continual research of the latest big data and visualization technologies to provide new capabilities and increase efficiency.
* Use business intelligence and visualization software (e.g., QuickSight) to develop dashboards those are used by senior leadership.
* Empower technical and non\-technical, internal customers to drive their own analytics and reporting (self\-serve reporting) and support ad\-hoc reporting when needed.
* Working closely with team members to drive real\-time model implementations for monitoring and alerting of risk systems.
* Manage numerous requests concurrently and strategically, prioritizing when necessary
* Partner/collaborate across teams/roles to deliver results.
* Mentor other engineers, influence positively team culture, and help grow the team
About the team  
Denied Party Screening (DPS) is a part of Amazon Security, an organization designed to drive bar\-raising security engagements. The vision of the Amazon DPS program is to ensure that 1\+ billion Amazon accounts spanning across consumers, sellers, developers, employees, and all other Amazon party, are not a denied party, located or incorporated in a sanctioned region or country, or owned or controlled by or subject to the jurisdiction of the government of a sanctioned country.
Why Amazon Security  
At Amazon, security is central to maintaining customer trust and delivering delightful customer experiences. Our organization is responsible for creating and maintaining a high bar for security across all of Amazon’s products and services.  
Work/Life Balance  
We value work\-life harmony. Achieving success at work should never come at the expense of sacrifices at home, which is why flexible work hours and arrangements are part of our culture. When we feel supported in the workplace and at home, there’s nothing we can’t achieve.  
Inclusive Team Culture  
In Amazon Security, it’s in our nature to learn and be curious. Ongoing DEI events and learning experiences inspire us to continue learning and to embrace our uniqueness. Addressing the toughest security challenges requires that we seek out and celebrate a diversity of ideas, perspectives, and voices.  
Training and Career growth  
We’re continuously raising our performance bar as we strive to become Earth’s Best Employer. That’s why you’ll find endless knowledge\-sharing, training, and other career\-advancing resources here to help you develop into a better\-rounded professional.**BASIC QUALIFICATIONS**
------------------------
* 5\+ years of data engineering experience
* Experience programming with at least one modern language such as C\+\+, C\#, Java, Python, Golang, PowerShell, Ruby
* Experience working on and delivering end to end projects independently
* Experience with big data technologies such as: Hadoop, Hive, Spark, EMR
**PREFERRED QUALIFICATIONS**
----------------------------
* Experience with AWS technologies like Redshift, S3, AWS Glue, EMR, Kinesis, FireHose, Lambda, and IAM roles and permissions
* Experience with non\-relational databases / data stores (object storage, document or key\-value stores, graph databases, column\-family databases)
* Experience in at least one modern scripting or programming language, such as Python, Java, Scala, or NodeJS
* Experience with distributed systems as it pertains to data storage and computing
* Experience as a data engineer or related specialty (e.g., software engineer, business intelligence engineer, data scientist) with a track record of manipulating, processing, and extracting value from large datasets
* Experience providing technical leadership and mentoring other engineers for best practices on data engineering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TX, Dallas \- 132,100\.00 \- 178,800\.00 USD annually  
USA, WA, Seattle \- 132,100\.00 \- 178,800\.00 USD annually</t>
        </is>
      </c>
    </row>
    <row r="35">
      <c r="A35" t="inlineStr">
        <is>
          <t>in-e26bdedbf80c23cd</t>
        </is>
      </c>
      <c r="B35" t="inlineStr">
        <is>
          <t>Data Engineer, Denied Party Screening, AWS Compliance &amp; Security Assurance</t>
        </is>
      </c>
      <c r="C35" t="inlineStr">
        <is>
          <t>Amazon.com</t>
        </is>
      </c>
      <c r="D35" t="inlineStr">
        <is>
          <t>indeed</t>
        </is>
      </c>
      <c r="E35" t="inlineStr"/>
      <c r="F35" t="inlineStr"/>
      <c r="G35" t="inlineStr">
        <is>
          <t>Seattle, WA, US</t>
        </is>
      </c>
      <c r="H35" s="2" t="n">
        <v>46029</v>
      </c>
      <c r="I35" t="inlineStr">
        <is>
          <t>**DESCRIPTION**
---------------
Amazon seeks an experienced Data Engineer to join the DPS (Deny Party Screening) team. Our mission is to prevent denied parties from transacting with Amazon businesses, including AWS, customers, vendors, sellers, subsidiaries, etc. We screen billions of events every day. We integrate with Tier 1 systems, build DPS systems, and deal with unique scaling challenges.  
As a Data Engineer, you will design, implement and support scalable data infrastructure solutions to integrate with multi heterogeneous data sources, aggregate and retrieve data in a fast and safe mode, curate data that can be used in reporting, analysis, machine learning models and ad\-hoc data requests. You will be exposed to cutting edge AWS big data technologies. You should have excellent business and communication skills to be able to work with business owners and Tech leaders to gather infrastructure requirements, design data infrastructure, build up data pipelines and datasets to meet business needs. You stay abreast of emerging technologies, investigating and implementing where appropriate.  
Key job responsibilities  
* Design, implement, and support data warehouse/ data lake infrastructure using AWS bigdata stack, Python, Redshift, QuickSight, Glue/lake formation, EMR/Spark, Athena etc.
* Develop and manage ETLs to source data from various financial, AWS networking and operational systems and create unified data model for analytics and reporting.
* Creation and support of real\-time data pipelines built on AWS technologies including EMR, Glue, Redshift/Spectrum and Athena.
* Collaborate with other Engineering teams, Product/Finance Managers/Analysts to implement advanced analytics algorithms that exploit our rich datasets for financial model development, statistical analysis, prediction, etc.
* Continual research of the latest big data and visualization technologies to provide new capabilities and increase efficiency.
* Use business intelligence and visualization software (e.g., QuickSight) to develop dashboards those are used by senior leadership.
* Empower technical and non\-technical, internal customers to drive their own analytics and reporting (self\-serve reporting) and support ad\-hoc reporting when needed.
* Working closely with team members to drive real\-time model implementations for monitoring and alerting of risk systems.
* Manage numerous requests concurrently and strategically, prioritizing when necessary
* Partner/collaborate across teams/roles to deliver results.
* Mentor other engineers, influence positively team culture, and help grow the team
About the team  
Denied Party Screening (DPS) is a part of Amazon Security, an organization designed to drive bar\-raising security engagements. The vision of the Amazon DPS program is to ensure that 1\+ billion Amazon accounts spanning across consumers, sellers, developers, employees, and all other Amazon party, are not a denied party, located or incorporated in a sanctioned region or country, or owned or controlled by or subject to the jurisdiction of the government of a sanctioned country.
Why Amazon Security  
At Amazon, security is central to maintaining customer trust and delivering delightful customer experiences. Our organization is responsible for creating and maintaining a high bar for security across all of Amazon’s products and services.  
Work/Life Balance  
We value work\-life harmony. Achieving success at work should never come at the expense of sacrifices at home, which is why flexible work hours and arrangements are part of our culture. When we feel supported in the workplace and at home, there’s nothing we can’t achieve.  
Inclusive Team Culture  
In Amazon Security, it’s in our nature to learn and be curious. Ongoing DEI events and learning experiences inspire us to continue learning and to embrace our uniqueness. Addressing the toughest security challenges requires that we seek out and celebrate a diversity of ideas, perspectives, and voices.  
Training and Career growth  
We’re continuously raising our performance bar as we strive to become Earth’s Best Employer. That’s why you’ll find endless knowledge\-sharing, training, and other career\-advancing resources here to help you develop into a better\-rounded professional.**BASIC QUALIFICATIONS**
------------------------
* 5\+ years of data engineering experience
* Experience programming with at least one modern language such as C\+\+, C\#, Java, Python, Golang, PowerShell, Ruby
* Experience working on and delivering end to end projects independently
* Experience with big data technologies such as: Hadoop, Hive, Spark, EMR
**PREFERRED QUALIFICATIONS**
----------------------------
* Experience with AWS technologies like Redshift, S3, AWS Glue, EMR, Kinesis, FireHose, Lambda, and IAM roles and permissions
* Experience with non\-relational databases / data stores (object storage, document or key\-value stores, graph databases, column\-family databases)
* Experience in at least one modern scripting or programming language, such as Python, Java, Scala, or NodeJS
* Experience with distributed systems as it pertains to data storage and computing
* Experience as a data engineer or related specialty (e.g., software engineer, business intelligence engineer, data scientist) with a track record of manipulating, processing, and extracting value from large datasets
* Experience providing technical leadership and mentoring other engineers for best practices on data engineering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TX, Dallas \- 132,100\.00 \- 178,800\.00 USD annually  
USA, WA, Seattle \- 132,100\.00 \- 178,800\.00 USD annually</t>
        </is>
      </c>
    </row>
    <row r="36">
      <c r="A36" t="inlineStr">
        <is>
          <t>in-121a58befe02c077</t>
        </is>
      </c>
      <c r="B36" t="inlineStr">
        <is>
          <t>Data Engineer</t>
        </is>
      </c>
      <c r="C36" t="inlineStr">
        <is>
          <t>Amazon.com</t>
        </is>
      </c>
      <c r="D36" t="inlineStr">
        <is>
          <t>indeed</t>
        </is>
      </c>
      <c r="E36" t="inlineStr"/>
      <c r="F36" t="inlineStr"/>
      <c r="G36" t="inlineStr">
        <is>
          <t>Seattle, WA, US</t>
        </is>
      </c>
      <c r="H36" s="2" t="n">
        <v>46001</v>
      </c>
      <c r="I36" t="inlineStr">
        <is>
          <t>**DESCRIPTION**
---------------
If you are interested in this position, please apply on Twitch's Career site https://www.twitch.tv/jobs/en/  
About Us:  
Twitch is the world’s biggest live streaming service, with global communities built around gaming, entertainment, music, sports, cooking, and more. It is where thousands of communities come together for whatever, every day.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About the Role  
As a data engineer in the Data Platform organization, you will be transforming Twitch’s largest data sets into offerings that are usable by the entire company. You’ll be working with other senior team members, as well as other data engineers, scientists, and stakeholders from all across the business. You will help define how our core business metrics are managed, as well as how other parts of the company define their individual metrics.  
You Will  
* Work closely with data scientists and engineers from across the company to define and create robust data architectures and pipelines
* Develop and manage scalable data pipelines to extract, transform, and load data from various sources
* Partner with a range of stakeholders to translate the company’s needs into data offerings
* Automate data processing and reporting workflows to improve efficiency and data integrity
* Implement data quality checks and monitor processes to maintain high data accuracy
* Simplify and enhance the accessibility, clarity, and usability of large and complex datasets through the development of data cubes and data sharing solutions
Perks  
* Medical, Dental, Vision \&amp; Disability Insurance
* 401(k)
* Maternity \&amp; Parental Leave
* Flexible PTO
* Amazon Employee Discount
**BASIC QUALIFICATIONS**
------------------------
* 3\+ years of data engineering experience
* 3\+ year of experience working in a data engineering, data science, or software engineering capacity
* Expertise in writing and maintaining robust data pipelines in SQL and Python
* A track record of turning data requirements from stakeholders into actionable plans
* Experience with cloud\-native solutions
* A history of implementing and upholding best practices in data pipelines, ensuring accuracy, consistency, and reliability
**PREFERRED QUALIFICATIONS**
----------------------------
* Bachelor's degree, or Master's degree in computer science, statistics, information systems, or a related, technical field
* Experience with a scripting language (e.g., Python, Java, or R)
* Familiarity and interest in Twitch!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$118,900/year in our lowest geographic market up to $205,600/year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37">
      <c r="A37" t="inlineStr">
        <is>
          <t>in-7a2e4314e3fc84d6</t>
        </is>
      </c>
      <c r="B37" t="inlineStr">
        <is>
          <t>Data Engineer</t>
        </is>
      </c>
      <c r="C37" t="inlineStr">
        <is>
          <t>Amazon.com</t>
        </is>
      </c>
      <c r="D37" t="inlineStr">
        <is>
          <t>indeed</t>
        </is>
      </c>
      <c r="E37" t="inlineStr"/>
      <c r="F37" t="inlineStr"/>
      <c r="G37" t="inlineStr">
        <is>
          <t>San Francisco, CA, US</t>
        </is>
      </c>
      <c r="H37" s="2" t="n">
        <v>46001</v>
      </c>
      <c r="I37" t="inlineStr">
        <is>
          <t>**DESCRIPTION**
---------------
If you are interested in this position, please apply on Twitch's Career site https://www.twitch.tv/jobs/en/  
About Us:  
Twitch is the world’s biggest live streaming service, with global communities built around gaming, entertainment, music, sports, cooking, and more. It is where thousands of communities come together for whatever, every day.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About the Role  
As a data engineer in the Data Platform organization, you will be transforming Twitch’s largest data sets into offerings that are usable by the entire company. You’ll be working with other senior team members, as well as other data engineers, scientists, and stakeholders from all across the business. You will help define how our core business metrics are managed, as well as how other parts of the company define their individual metrics.  
You Will  
* Work closely with data scientists and engineers from across the company to define and create robust data architectures and pipelines
* Develop and manage scalable data pipelines to extract, transform, and load data from various sources
* Partner with a range of stakeholders to translate the company’s needs into data offerings
* Automate data processing and reporting workflows to improve efficiency and data integrity
* Implement data quality checks and monitor processes to maintain high data accuracy
* Simplify and enhance the accessibility, clarity, and usability of large and complex datasets through the development of data cubes and data sharing solutions
Perks  
* Medical, Dental, Vision \&amp; Disability Insurance
* 401(k)
* Maternity \&amp; Parental Leave
* Flexible PTO
* Amazon Employee Discount
**BASIC QUALIFICATIONS**
------------------------
* 3\+ years of data engineering experience
* 3\+ year of experience working in a data engineering, data science, or software engineering capacity
* Expertise in writing and maintaining robust data pipelines in SQL and Python
* A track record of turning data requirements from stakeholders into actionable plans
* Experience with cloud\-native solutions
* A history of implementing and upholding best practices in data pipelines, ensuring accuracy, consistency, and reliability
**PREFERRED QUALIFICATIONS**
----------------------------
* Bachelor's degree, or Master's degree in computer science, statistics, information systems, or a related, technical field
* Experience with a scripting language (e.g., Python, Java, or R)
* Familiarity and interest in Twitch!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$118,900/year in our lowest geographic market up to $205,600/year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38">
      <c r="A38" t="inlineStr">
        <is>
          <t>in-1020118de70e4d33</t>
        </is>
      </c>
      <c r="B38" t="inlineStr">
        <is>
          <t>Delivery Consultant - Data Engineer, Data and Machine Learning, WWPS US Federal</t>
        </is>
      </c>
      <c r="C38" t="inlineStr">
        <is>
          <t>Amazon Web Services</t>
        </is>
      </c>
      <c r="D38" t="inlineStr">
        <is>
          <t>indeed</t>
        </is>
      </c>
      <c r="E38" t="inlineStr"/>
      <c r="F38" t="inlineStr"/>
      <c r="G38" t="inlineStr">
        <is>
          <t>Arlington, VA, US</t>
        </is>
      </c>
      <c r="H38" s="2" t="n">
        <v>45991</v>
      </c>
      <c r="I38" t="inlineStr">
        <is>
          <t>**DESCRIPTION**
---------------
The Amazon Web Services Professional Services (ProServe) team is seeking a skilled Delivery Consultant to join our team at Amazon Web Services (AWS). In this role, you'll work closely with customers to design, implement, and manage AWS solutions that meet their technical requirements and business objectives. You'll be a key player in driving customer success through their cloud journey, providing technical expertise and best practices throughout the project lifecycle.  
Possessing a deep understanding of AWS products and services, as a Delivery Consultant you will be proficient in architecting complex, scalable, and secure solutions tailored to meet the specific needs of each customer. You’ll work closely with stakeholders to gather requirements, assess current infrastructure, and propose effective migration strategies to AWS. As trusted advisors to our customers, providing guidance on industry trends, emerging technologies, and innovative solutions, you will be responsible for leading the implementation process, ensuring adherence to best practices, optimizing performance, and managing risks throughout the project.
The AWS Professional Services organization is a global team of experts that help customers realize their desired business outcomes when using the AWS Cloud. We work together with customer teams and the AWS Partner Network (APN) to execute enterprise cloud computing initiatives. Our team provides assistance through a collection of offerings which help customers achieve specific outcomes related to enterprise cloud adoption. We also deliver focused guidance through our global specialty practices, which cover a variety of solutions, technologies, and industries.  
It is expected to work from one of the above locations (or customer sites) Monday through Friday each week. This is not a remote position. You are expected to be in the office or with customers as needed.
This position requires that the candidate selected be a US Citizen and must currently possess and maintain an active TS/SCI security clearance with polygraph. The position further requires the candidate to opt into a commensurate clearance for each government agency for which they perform AWS work.
10040  
Key job responsibilities  
As an experienced technology professional, you will be responsible for:
* Designing and implementing complex, scalable, and secure AWS solutions tailored to customer needs
* Providing technical guidance and troubleshooting support throughout project delivery
* Collaborating with stakeholders to gather requirements and propose effective migration strategies
* Acting as a trusted advisor to customers on industry trends and emerging technologies
* Sharing knowledge within the organization through mentoring, training, and creating reusable artifacts
About the team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Diverse Experiences  
AWS values diverse experiences. Even if you do not meet all of the qualifications and skills listed in the job description, we encourage candidates to apply. If your career is just starting, hasn’t followed a traditional path, or includes alternative experiences, don’t let it stop you from applying.  
Inclusive Team Culture  
Here at AWS, it’s in our nature to learn and be curious. Our employee\-led affinity groups foster a culture of inclusion that empower us to be proud of our differences. Ongoing events and learning experiences, including our Conversations on Race and Ethnicity (CORE) and AmazeCon (diversity) conferences, inspire us to never stop embracing our uniqueness.  
Work/Life Balance  
We value work\-life harmony. Achieving success at work should never come at the expense of sacrifices at home, which is why flexible work hours and arrangements are part of our culture. When we feel supported in the workplace and at home, there’s nothing we can’t achieve in the cloud.  
Mentorship \&amp; Career Growth  
We’re continuously raising our performance bar as we strive to become Earth’s Best Employer. That’s why you’ll find endless knowledge\-sharing, mentorship and other career\-advancing resources here to help you develop into a better\-rounded professional.**BASIC QUALIFICATIONS**
------------------------
* Bachelor's degree in Computer Science, Engineering, a related technical field or equivalent
* 3\+ years of cloud architecture and solution implementation experience
* 3\+ years of experience with data warehouse architecture, ETL/ELT tools, data engineering, and large\-scale data manipulation using technologies like Spark, EMR, Hive, Kafka, and Redshift.
* Experience with relational databases, SQL, and performance tuning, as well as software engineering best practices for the development lifecycle, including coding standards, reviews, source control, and testing.
* Current, active US Government Security Clearance of TS/SCI with Polygraph.
**PREFERRED QUALIFICATIONS**
----------------------------
* AWS Professional level certifications (e.g., Solutions Architect Professional, DevOps Engineer Professional) preferred.
* Experience with automation and scripting (e.g., Terraform, Python).
* Knowledge of security and compliance standards (e.g., HIPAA, GDPR).
* Experience leading large\-scale data engineering and analytics projects using AWS technologies like Redshift, S3, Glue, EMR, Kinesis, Firehose, and Lambda.
* Experience with non\-relational databases and implementing data governance solutions.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$118,200/year in our lowest geographic market up to $204,300/year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39">
      <c r="A39" t="inlineStr">
        <is>
          <t>in-0335b99817a44399</t>
        </is>
      </c>
      <c r="B39" t="inlineStr">
        <is>
          <t>Delivery Consultant - Data Engineer, Data and Machine Learning, WWPS US Federal</t>
        </is>
      </c>
      <c r="C39" t="inlineStr">
        <is>
          <t>Amazon Web Services</t>
        </is>
      </c>
      <c r="D39" t="inlineStr">
        <is>
          <t>indeed</t>
        </is>
      </c>
      <c r="E39" t="inlineStr"/>
      <c r="F39" t="inlineStr"/>
      <c r="G39" t="inlineStr">
        <is>
          <t>Herndon, VA, US</t>
        </is>
      </c>
      <c r="H39" s="2" t="n">
        <v>45991</v>
      </c>
      <c r="I39" t="inlineStr">
        <is>
          <t>**DESCRIPTION**
---------------
The Amazon Web Services Professional Services (ProServe) team is seeking a skilled Delivery Consultant to join our team at Amazon Web Services (AWS). In this role, you'll work closely with customers to design, implement, and manage AWS solutions that meet their technical requirements and business objectives. You'll be a key player in driving customer success through their cloud journey, providing technical expertise and best practices throughout the project lifecycle.  
Possessing a deep understanding of AWS products and services, as a Delivery Consultant you will be proficient in architecting complex, scalable, and secure solutions tailored to meet the specific needs of each customer. You’ll work closely with stakeholders to gather requirements, assess current infrastructure, and propose effective migration strategies to AWS. As trusted advisors to our customers, providing guidance on industry trends, emerging technologies, and innovative solutions, you will be responsible for leading the implementation process, ensuring adherence to best practices, optimizing performance, and managing risks throughout the project.
The AWS Professional Services organization is a global team of experts that help customers realize their desired business outcomes when using the AWS Cloud. We work together with customer teams and the AWS Partner Network (APN) to execute enterprise cloud computing initiatives. Our team provides assistance through a collection of offerings which help customers achieve specific outcomes related to enterprise cloud adoption. We also deliver focused guidance through our global specialty practices, which cover a variety of solutions, technologies, and industries.  
It is expected to work from one of the above locations (or customer sites) Monday through Friday each week. This is not a remote position. You are expected to be in the office or with customers as needed.
This position requires that the candidate selected be a US Citizen and must currently possess and maintain an active TS/SCI security clearance with polygraph. The position further requires the candidate to opt into a commensurate clearance for each government agency for which they perform AWS work.
10040  
Key job responsibilities  
As an experienced technology professional, you will be responsible for:
* Designing and implementing complex, scalable, and secure AWS solutions tailored to customer needs
* Providing technical guidance and troubleshooting support throughout project delivery
* Collaborating with stakeholders to gather requirements and propose effective migration strategies
* Acting as a trusted advisor to customers on industry trends and emerging technologies
* Sharing knowledge within the organization through mentoring, training, and creating reusable artifacts
About the team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Diverse Experiences  
AWS values diverse experiences. Even if you do not meet all of the qualifications and skills listed in the job description, we encourage candidates to apply. If your career is just starting, hasn’t followed a traditional path, or includes alternative experiences, don’t let it stop you from applying.  
Inclusive Team Culture  
Here at AWS, it’s in our nature to learn and be curious. Our employee\-led affinity groups foster a culture of inclusion that empower us to be proud of our differences. Ongoing events and learning experiences, including our Conversations on Race and Ethnicity (CORE) and AmazeCon (diversity) conferences, inspire us to never stop embracing our uniqueness.  
Work/Life Balance  
We value work\-life harmony. Achieving success at work should never come at the expense of sacrifices at home, which is why flexible work hours and arrangements are part of our culture. When we feel supported in the workplace and at home, there’s nothing we can’t achieve in the cloud.  
Mentorship \&amp; Career Growth  
We’re continuously raising our performance bar as we strive to become Earth’s Best Employer. That’s why you’ll find endless knowledge\-sharing, mentorship and other career\-advancing resources here to help you develop into a better\-rounded professional.**BASIC QUALIFICATIONS**
------------------------
* Bachelor's degree in Computer Science, Engineering, a related technical field or equivalent
* 3\+ years of cloud architecture and solution implementation experience
* 3\+ years of experience with data warehouse architecture, ETL/ELT tools, data engineering, and large\-scale data manipulation using technologies like Spark, EMR, Hive, Kafka, and Redshift.
* Experience with relational databases, SQL, and performance tuning, as well as software engineering best practices for the development lifecycle, including coding standards, reviews, source control, and testing.
* Current, active US Government Security Clearance of TS/SCI with Polygraph.
**PREFERRED QUALIFICATIONS**
----------------------------
* AWS Professional level certifications (e.g., Solutions Architect Professional, DevOps Engineer Professional) preferred.
* Experience with automation and scripting (e.g., Terraform, Python).
* Knowledge of security and compliance standards (e.g., HIPAA, GDPR).
* Experience leading large\-scale data engineering and analytics projects using AWS technologies like Redshift, S3, Glue, EMR, Kinesis, Firehose, and Lambda.
* Experience with non\-relational databases and implementing data governance solutions.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$118,200/year in our lowest geographic market up to $204,300/year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40">
      <c r="A40" t="inlineStr">
        <is>
          <t>in-529ec72d37bfe924</t>
        </is>
      </c>
      <c r="B40" t="inlineStr">
        <is>
          <t>Senior Data Engineer – Azure &amp; Healthcare Systems</t>
        </is>
      </c>
      <c r="C40" t="inlineStr">
        <is>
          <t>AHU Technologies</t>
        </is>
      </c>
      <c r="D40" t="inlineStr">
        <is>
          <t>indeed</t>
        </is>
      </c>
      <c r="E40">
        <f>HYPERLINK("https://www.indeed.com/viewjob?jk=529ec72d37bfe924", "https://www.indeed.com/viewjob?jk=529ec72d37bfe924")</f>
        <v/>
      </c>
      <c r="F40">
        <f>HYPERLINK("https://ahu-technologies-inc.careerplug.com/j/02vib9l", "https://ahu-technologies-inc.careerplug.com/j/02vib9l")</f>
        <v/>
      </c>
      <c r="G40" t="inlineStr">
        <is>
          <t>Washington, DC, US</t>
        </is>
      </c>
      <c r="H40" s="3" t="n">
        <v>46055</v>
      </c>
      <c r="I40" t="inlineStr">
        <is>
          <t>**Job Description:**
**Short Description**:
Client is looking for a senior data engineer for its data modernization efforts associated with its Medicaid data ecosystem.
**Complete Description:**
**1\. Position Purpose**  
The Senior Data Engineer serves as the primary technical engine for the agency's Medicaid data ecosystem. This role is unique: it requires a high\-level mastery of our current legacy environment—characterized by SSIS ETL processes managed via Team Foundation Server (TFS)—while actively spearheading the execution of our cloud modernization roadmap. Under the direction of the Lead Data Warehouse Solution Architect, you will ensure the stability of current Medicaid reporting while building the future\-state Azure Synapse and Databricks Lakehouse.
**2\. Key Responsibilities**
**A. Legacy Maintenance \&amp; Operational Excellence (Current State)**  
* ETL Management: Maintain, troubleshoot, and modify complex SSIS packages handling high\-volume Medicaid claims, provider, and member data.
* Version Control: Manage code deployments and branching strategies within TFS, ensuring continuous integration of legacy SQL assets.
* Legacy Reporting Support: Support and optimize SSRS report queries and SSAS tabular/multidimensional models to ensure federal and state compliance reporting remains uninterrupted.
**B. Modernization \&amp; Migration Execution (Future State)**  
* Cloud Development: Implement \\"Medallion Architecture\\" (Bronze/Silver/Gold) using Azure Databricks (PySpark/SQL) as designed by the Lead Architect.
* Pipeline Refactoring: Lead the transition of legacy SSIS logic into Azure Data Factory (ADF) and Databricks notebooks.
* DevOps Transformation: Facilitate the migration of source control and CI/CD pipelines from TFS to Azure DevOps (Git).
* Synapse Integration: Build and tune Dedicated and Serverless SQL Pools within Azure Synapse to facilitate advanced analytics and AI\-readiness.
**C. Data Governance \&amp; Security**  
* Medicaid Compliance: Implement Row\-Level Security (RLS) and automated data masking for PHI/PII in accordance with HIPAA, CMS MARS\-E, and NIST standards.
* Data Quality: Develop automated data validation frameworks to ensure data parity between legacy SQL systems and the new Cloud Lakehouse.
**3\. Competencies for Success**  
* Technical Agility: The ability to pivot between a 10\-year\-old SSIS package and a modern Databricks Spark job in the same day.
* Collaboration: Ability to take high\-level architectural blueprints from the Lead Architect and translate them into high\-performance, production\-ready code.
* Attention to Detail: Absolute precision in Medicaid data handling, where an error in logic can impact member benefits or federal funding.
 **CONTRACT JOB DESCRIPTION**
**Responsibilities:**
* Leads the adoption or implementation of an advanced technology or platform.
* Expert on the functionality or usage of a particular system, platform, or technology product.
* Serves as a consultant to clients, guiding the efficient use or adoption of a particular IT product or platform.
* Creates implementation, testing, and/or integration plans.
* Demonstrates expertise in a particular IT platform or service, allowing for maximum IT investment.
**Minimum Education/ Certification Requirements:**
* Bachelor’s degree in Information Technology or related field or equivalent experience.
* Training or certification in a particular product or IT platform/service, as required.
**Technical Skills:**
* Maintaining SQL Server (SSIS/SSAS/SSRS) while concurrently deploying Azure cloud solutions.
* Expert\-level proficiency in SSIS and T\-SQL. Advanced proficiency in Azure Databricks (Unity Catalog, Delta Lake) and Azure Synapse.
* Deep experience with TFS (Team Foundation Server) and a strong desire to migrate workflows to Git/Azure DevOps.
* Mastery of SQL and Python (PySpark).
* 6\-10 yrs. leading advanced technology projects or service projects
* 6\-10 yrs. full system engineering lifecycle
* Experience with Microsoft Purview for data cataloging.
* Extensive experience with Medicaid/Medicare data structures (e.g., MMIS, EDI 837/835, claims processing).
* Microsoft Certified: Azure Data Engineer Associate or Databricks Certified Professional Data Engineer.
* Experience in a government or highly regulated environment.
Flexible work from home options available.</t>
        </is>
      </c>
    </row>
    <row r="41">
      <c r="A41" t="inlineStr">
        <is>
          <t>in-8e8bf9ebedaf53e0</t>
        </is>
      </c>
      <c r="B41" t="inlineStr">
        <is>
          <t>Data Engineer</t>
        </is>
      </c>
      <c r="C41" t="inlineStr">
        <is>
          <t>Four Winds Health</t>
        </is>
      </c>
      <c r="D41" t="inlineStr">
        <is>
          <t>indeed</t>
        </is>
      </c>
      <c r="E41">
        <f>HYPERLINK("https://www.indeed.com/viewjob?jk=8e8bf9ebedaf53e0", "https://www.indeed.com/viewjob?jk=8e8bf9ebedaf53e0")</f>
        <v/>
      </c>
      <c r="F41">
        <f>HYPERLINK("https://recruiting.ultipro.com/WEL1014WELS/JobBoard/f7d57595-9140-408f-8a1b-fc9ca6631fad/OpportunityDetail?opportunityId=7bcd75c7-35ed-4b64-87b6-95668ec9baff&amp;postingId=ca40fdda-2b11-4e9e-8301-4b9205ed4ffd", "https://recruiting.ultipro.com/WEL1014WELS/JobBoard/f7d57595-9140-408f-8a1b-fc9ca6631fad/OpportunityDetail?opportunityId=7bcd75c7-35ed-4b64-87b6-95668ec9baff&amp;postingId=ca40fdda-2b11-4e9e-8301-4b9205ed4ffd")</f>
        <v/>
      </c>
      <c r="G41" t="inlineStr">
        <is>
          <t>Atlanta, GA, US</t>
        </is>
      </c>
      <c r="H41" s="3" t="n">
        <v>46055</v>
      </c>
      <c r="I41" t="inlineStr">
        <is>
          <t>We are seeking a Data Engineer to design, build, and maintain scalable data solutions using Microsoft SQL Server and Azure\-based technologies. This role focuses on developing, maintaining, and optimizing data pipelines, supporting analytics and reporting, and enabling data\-driven decision\-making across the organization. The ideal candidate has strong experience with ETL/ELT methodologies centered around Microsoft SQL Server, Azure Data Factory, and Databricks while utilizing best practice polies. The successful candidate will be a key player in the delivery of data to an audience that places value on the product, process, and people that provide it.
**Duties and Responsibilities**:
* Design, develop, and maintain ETL/ELT pipelines using Azure Data Factory
* Build and optimize data models and stored procedures in Microsoft SQL Server
* Develop and maintain scalable data transformations using Azure Databricks (Spark, PySpark)
* Ingest, process, and integrate data from multiple sources including relational databases, APIs, and flat files
* Optimize query performance, data storage, and pipeline execution
* Ensure data quality, reliability, and consistency across data platforms
* Implement monitoring, logging, and error handling for data pipelines
* Collaborate with data analysts, BI developers, and stakeholders to support reporting and analytics needs
* Document data flows, transformations, and technical designs
* Follow security, governance, and compliance best practices
**Required Qualifications**:
* Bachelor’s degree in Computer Science, Engineering, or related field (or equivalent experience)
* Proven experience as a Data Engineer or similar role
* Strong experience with Microsoft SQL Server, including T\-SQL, indexing, and performance tuning
* Hands\-on experience with Azure Data Factory for orchestrating data pipelines
* Experience working with cloud\-based data platforms in Microsoft Azure
* A positive attitude toward patients, families, and coworkers
* A strong desire to learn new skills and position yourself as a subject matter expert
* A desire to work in concert with others in an upbeat and supportive atmosphere while reinforcing the WellStreet mission to provide uncompromising service
* A compelling desire to serve others, improve your community’s health, and have fun every day
**Preferred Qualifications:**
* Experience with Azure Synapse Analytics or Azure Data Lake Storage (ADLS Gen2\)
* Familiarity with data modeling concepts (star/snowflake schemas)
* Experience using Azure Databricks, including Spark and PySpark
* Proficiency in Python and SQL
* Experience implementing data validation and quality checks
* Knowledge of DevOps practices, CI/CD pipelines, and infrastructure as code
* Experience working with Power BI or other BI tools
* Strong analytical and problem\-solving skills
* Previous experience with clinical data structures and EMR/EHR \- particularly Epic or Agility
\#INDmsc</t>
        </is>
      </c>
    </row>
    <row r="42">
      <c r="A42" t="inlineStr">
        <is>
          <t>in-99c6b5ea93f92715</t>
        </is>
      </c>
      <c r="B42" t="inlineStr">
        <is>
          <t>Analytics Engineer</t>
        </is>
      </c>
      <c r="C42" t="inlineStr">
        <is>
          <t>Everybody votes campaign</t>
        </is>
      </c>
      <c r="D42" t="inlineStr">
        <is>
          <t>indeed</t>
        </is>
      </c>
      <c r="E42">
        <f>HYPERLINK("https://www.indeed.com/viewjob?jk=99c6b5ea93f92715", "https://www.indeed.com/viewjob?jk=99c6b5ea93f92715")</f>
        <v/>
      </c>
      <c r="F42">
        <f>HYPERLINK("https://ats.rippling.com/everybody-votes-campaign/jobs/94878fa9-ea03-4c97-82db-4562e4f99ae4?jobSite=Indeed", "https://ats.rippling.com/everybody-votes-campaign/jobs/94878fa9-ea03-4c97-82db-4562e4f99ae4?jobSite=Indeed")</f>
        <v/>
      </c>
      <c r="G42" t="inlineStr">
        <is>
          <t>Remote, US</t>
        </is>
      </c>
      <c r="H42" s="3" t="n">
        <v>46055</v>
      </c>
      <c r="I42" t="inlineStr">
        <is>
          <t>**About EVC**
The Everybody Votes Campaign, established in 2015, is a national coordinating body focused on narrowing the voter registration gap in communities of color. We are committed to creating a more representative democracy by building and supporting large scale, long term voter registration in communities of color. We partner with local organizations to support accessible, successful, and high quality voter registration programs that expand access to our democracy for people in communities of color.
 **ABOUT THE OPPORTUNITY**
The campaign seeks an experienced and dedicated individual to fill the role of Analytics Engineer, working under the Director of Data Engineering and Analytics. This role involves maintaining and improving our voter registration data model and data transformation processes while working closely with engineers, analysts, and state program managers to develop and enhance pipeline solutions.
 **WHAT YOU WILL DO IN YOUR ROLE**
Maintain and Improve EVC Data Model
* Support architecting and documenting the design of our centralized data model that enables analytics and reporting across all EVC program data
* Own the transform processes that synthesize raw data into actionable and useful reporting tables using SQL and DBT
* Integrate internally\-generated metadata and external attributes into data pipelines
Align with Best Practices
* Support with setting best practices for data standardization and ensuring data quality and integrity
* Participate in maintaining a well\-documented, consistent codebase
Participate in a Positive Team Culture
* Work as a team: pair\-program, review code, co\-design and plan, develop a shared vision for and an understanding of the work, document progress in JIRA, Confluence, Github, and Monday
* Participate in conversations with internal and external stakeholders to identify pain points and implement solutions that improve transformation processes and data products
 **CORE COMPETENCIES**
* Growth mindset: Demonstrated ability to take and receive feedback professionally and gracefully from peers, staff, and supervisors.
* Relentlessly goal\-oriented: Enjoys working toward and achieving ambitious goals; willing to overcome any obstacle to meet goals with a proven track record of creating and managing comprehensive strategic goals.
* Cultural competency: Able to build relationships and collaborate with colleagues, partners, and stakeholders across multiple lines of identity difference.
* Remains focused on problem\-solving while balancing multiple priorities within a constantly evolving political environment: Demonstrated ability to stay focused on finding solutions amidst shifting priorities in the dynamic political landscape.
 **FUNCTIONAL COMPETENCIES**
* Proficiency and experience using SQL to transform and analyze messy data, experience working with relational databases (in particular, Redshift and PostgreSQL)
* Experience designing, developing, or enhancing a centralized data model
* Experience writing and editing clear, clean code, and a willingness to use version control systems like git and Github
* Interest in being a member of a diverse, multidisciplinary team that communicates technical concepts to non\-technical audiences
 **Helpful but not required**
* Experience using DBT
* Proficiency in Python, or some experience with a willingness to learn
* Experience using version control software (Github, Gitlab, etc.)
* Previous experience working in the field of voter registration or civic engagement
 **Performance Metrics \&amp; Review Schedule**
Your first review will be 90 days after your start date, then a six\-month check\-in and a
development review annually for the duration of your employment. If the results of a
reviews are unsatisfactory, more frequent reviews may be scheduled to monitor improvements. If assigned improvement goals are not reached, a warning schedule may be implemented including the possibility of termination.
 **BENEFITS AND CULTURE**
We offer flexible remote work and a generous benefits package, including:
* Flexible Paid Time Off
* 100% cost coverage of employee health benefit premiums
* Dedicated weekly “Flex Day”
* 401K with an automatic employer contribution regardless of employee contribution level
* $1000/yr toward Professional Development
* Free virtual therapy
* Stipend for ergonomic office setups
* Generous extended medical and personal leave
All employees must be eligible to work lawfully within the United States upon the commencement of employment. The organization does not sponsor visa applications for prospective or current staff.
This position is in a bargaining unit represented by the Washington\-Baltimore News Guild CWA.
 *VACCINE REQUIREMENT*
Under applicable legal guidance, an employer like VRP may require its employees to be vaccinated against COVID19\. The CDC has advised that vaccines are one of the most effective tools to protect employee health and prevent disease. The CDC further strongly recommends that all individuals eligible to receive a booster shot promptly do so. VRP requires all employees to be “fully vaccinated” with their vaccines against COVID19\.
”Fully vaccinated” means a person has received all recommended COVID19 vaccines.
 *Our work is centered on creating a deeply inclusive and significantly more representative electorate. In order to be successful in this role, the candidate must have the cultural competence to successfully work with a diverse group of staff, partners, and stakeholders. We especially strongly encourage applicants with close ties to Black, Latinx, Indigenous, Asian American, Pacific Islander, non\-English speaking, disability, and LGBTQ\+ communities to apply. We are proudly an Equal Opportunity Employer.*
 **The pay range for this role is:**  
88,000 \- 102,500 USD per year(Remote)</t>
        </is>
      </c>
    </row>
    <row r="43">
      <c r="A43" t="inlineStr">
        <is>
          <t>in-d8bcbb1f07a7e29a</t>
        </is>
      </c>
      <c r="B43" t="inlineStr">
        <is>
          <t>Network Data Engineer 100% Remote – Must be US Citizen due to Public Trust Clearance</t>
        </is>
      </c>
      <c r="C43" t="inlineStr">
        <is>
          <t>Cypress Consulting</t>
        </is>
      </c>
      <c r="D43" t="inlineStr">
        <is>
          <t>indeed</t>
        </is>
      </c>
      <c r="E43">
        <f>HYPERLINK("https://www.indeed.com/viewjob?jk=d8bcbb1f07a7e29a", "https://www.indeed.com/viewjob?jk=d8bcbb1f07a7e29a")</f>
        <v/>
      </c>
      <c r="F43">
        <f>HYPERLINK("http://www.indeed.com/job/network-data-engineer-100-remote-must-be-us-citizen-due-public-trust-clearance-d8bcbb1f07a7e29a", "http://www.indeed.com/job/network-data-engineer-100-remote-must-be-us-citizen-due-public-trust-clearance-d8bcbb1f07a7e29a")</f>
        <v/>
      </c>
      <c r="G43" t="inlineStr">
        <is>
          <t>Remote, US</t>
        </is>
      </c>
      <c r="H43" s="3" t="n">
        <v>46055</v>
      </c>
      <c r="I43" t="inlineStr">
        <is>
          <t>We are seeking a skilled Network Data Engineer with expertise in Kafka and the Department of Defense Information Network (DoDIN). The candidate will play a critical role in leading, designing, building, and maintaining robust data pipelines, ensuring near real\-time data flow, and enabling downstream data analytics teams. This is a unique opportunity to work on cutting\-edge data architecture, streaming technologies, and advanced analytics solutions that drive key business decisions. This role will be remotely working Eastern Standard Time core hours, but someone who lives near DC will be prioritized.
**Responsibilities**
* Design and architect secure data transport flows across DoDIN networks, including BCAPs, DISA gateways, authorization boundaries, and cross\-domain solutions.
* Engineer data streaming integrations between on\-premises systems, mission partner networks, and cloud\-based analytic platforms (Databricks) using Kafka technologies (Confluent, MSK, or Red Panda).
* Collaborate with DoD enterprise networking teams, DISA, and external mission partners to ensure compliant, resilient, and performant network connectivity supporting real\-time data delivery.
* Identify, troubleshoot, and resolve network bottlenecks and firewall issues that impact data flow or pipeline performance.
* Stay current with DoD network modernization efforts (e.g., DISA BCAP modernization, JIE, Zero Trust initiatives) and assess impacts on data exchange architecture.
**Requirements**
* Clearance: Active or eligible for Public Trust.
* Education: Bachelor’s degree in Computer Science, Network Engineering, or related field (or equivalent experience).
* Experience: 3\+ years in network engineering or data transport roles supporting DoD, DISA, or federal mission partner environments.
* Strong understanding of DoDIN architecture, including BCAPs, DISN Gateways, Cross\-Domain Solutions (CDS), firewalls, and routing protocols.
* Proven experience building and maintaining Kafka\-based streaming architectures (Confluent, MSK, or Redpanda) for high\-throughput, secure data flows.
* Experience integrating with Databricks or other cloud\-based analytic environments across DoD or hybrid cloud boundaries.
* Strong scripting or automation skills for network diagnostics and integration tasks.
Pay: $165,000\.00 \- $200,000\.00 per year
Benefits:
* 401(k)
* 401(k) matching
* Flexible schedule
* Health insurance
* Life insurance
* Paid time off
* Professional development assistance
* Referral program
* Retirement plan
* Vision insurance
Work Location: Remote</t>
        </is>
      </c>
    </row>
    <row r="44">
      <c r="A44" t="inlineStr">
        <is>
          <t>in-6479ae503f415135</t>
        </is>
      </c>
      <c r="B44" t="inlineStr">
        <is>
          <t>DHCF Senior Data Engineer</t>
        </is>
      </c>
      <c r="C44" t="inlineStr">
        <is>
          <t>s3cloudsolutions</t>
        </is>
      </c>
      <c r="D44" t="inlineStr">
        <is>
          <t>indeed</t>
        </is>
      </c>
      <c r="E44">
        <f>HYPERLINK("https://www.indeed.com/viewjob?jk=6479ae503f415135", "https://www.indeed.com/viewjob?jk=6479ae503f415135")</f>
        <v/>
      </c>
      <c r="F44">
        <f>HYPERLINK("http://www.indeed.com/job/dhcf-senior-data-engineer-6479ae503f415135", "http://www.indeed.com/job/dhcf-senior-data-engineer-6479ae503f415135")</f>
        <v/>
      </c>
      <c r="G44" t="inlineStr">
        <is>
          <t>Washington, DC, US</t>
        </is>
      </c>
      <c r="H44" s="3" t="n">
        <v>46055</v>
      </c>
      <c r="I44" t="inlineStr">
        <is>
          <t>DHCF is looking for a senior data engineer for its data modernization efforts associated with its Medicaid data ecosystem.
**1\. Position Purpose**
The Senior Data Engineer serves as the primary technical engine for the agency's Medicaid data ecosystem. This role is unique: it requires a high\-level mastery of our current legacy environment—characterized by SSIS ETL processes managed via Team Foundation Server (TFS)—while actively spearheading the execution of our cloud modernization roadmap. Under the direction of the Lead Data Warehouse Solution Architect, you will ensure the stability of current Medicaid reporting while building the future\-state Azure Synapse and Databricks Lakehouse.
**2\. Key Responsibilities**
**A. Legacy Maintenance \&amp; Operational Excellence (Current State)**
* **ETL Management:** Maintain, troubleshoot, and modify complex SSIS packages handling high\-volume Medicaid claims, provider, and member data.
* **Version Control:** Manage code deployments and branching strategies within TFS, ensuring continuous integration of legacy SQL assets.
* **Legacy Reporting Support:** Support and optimize SSRS report queries and SSAS tabular/multidimensional models to ensure federal and state compliance reporting remains uninterrupted.
**B. Modernization \&amp; Migration Execution (Future State)**
* **Cloud Development**: Implement "Medallion Architecture" (Bronze/Silver/Gold) using Azure Databricks (PySpark/SQL) as designed by the Lead Architect.
* **Pipeline Refactoring:** Lead the transition of legacy SSIS logic into Azure Data Factory (ADF) and Databricks notebooks.
* **DevOps Transformation:** Facilitate the migration of source control and CI/CD pipelines from TFS to Azure DevOps (Git).
* **Synapse Integration:** Build and tune Dedicated and Serverless SQL Pools within Azure Synapse to facilitate advanced analytics and AI\-readiness.
**C. Data Governance \&amp; Security**
* **Medicaid Compliance**: Implement Row\-Level Security (RLS) and automated data masking for PHI/PII in accordance with HIPAA, CMS MARS\-E, and NIST standards.
* **Data Quality**: Develop automated data validation frameworks to ensure data parity between legacy SQL systems and the new Cloud Lakehouse.
**3\. Competencies for Success**
* **Technical Agility:** The ability to pivot between a 10\-year\-old SSIS package and a modern Databricks Spark job in the same day.
* **Collaboration:** Ability to take high\-level architectural blueprints from the Lead Architect and translate them into high\-performance, production\-ready code.
* **Attention to Detail:** Absolute precision in Medicaid data handling, where an error in logic can impact member benefits or federal funding.
\-\-\-\-\-\-\-\-\-\-\-\-\-\-\-\-\-\-\-\-\-\-\-\-
Job Type: Contract
Pay: $100\.00 \- $101\.00 per hour
Application Question(s):
* Current Location Please ?
* Experience in Maintaining SQL Server (SSIS/SSAS/SSRS) while concurrently deploying Azure cloud solutions.
* Expert\-level proficiency in SSIS and T\-SQL. Advanced proficiency in Azure Databricks (Unity Catalog, Delta Lake) and Azure Synapse.
* Deep experience with TFS (Team Foundation Server) and a strong desire to migrate workflows to Git/Azure DevOps
* 6\-10 yrs. leading advanced technology projects or service projects
* Extensive experience with Medicaid/Medicare data structures (e.g., MMIS, EDI 837/835, claims processing).
* Microsoft Certified: Azure Data Engineer Associate or Databricks Certified Professional Data Engineer.
Work Location: Hybrid remote in Washington, DC 20001</t>
        </is>
      </c>
    </row>
    <row r="45">
      <c r="A45" t="inlineStr">
        <is>
          <t>in-dd83ab24533e2646</t>
        </is>
      </c>
      <c r="B45" t="inlineStr">
        <is>
          <t>Senior Data Engineer</t>
        </is>
      </c>
      <c r="C45" t="inlineStr">
        <is>
          <t>CARVANA</t>
        </is>
      </c>
      <c r="D45" t="inlineStr">
        <is>
          <t>indeed</t>
        </is>
      </c>
      <c r="E45">
        <f>HYPERLINK("https://www.indeed.com/viewjob?jk=dd83ab24533e2646", "https://www.indeed.com/viewjob?jk=dd83ab24533e2646")</f>
        <v/>
      </c>
      <c r="F45">
        <f>HYPERLINK("https://grnh.se/4xc2svdn1us", "https://grnh.se/4xc2svdn1us")</f>
        <v/>
      </c>
      <c r="G45" t="inlineStr">
        <is>
          <t>Tempe, AZ, US</t>
        </is>
      </c>
      <c r="H45" s="3" t="n">
        <v>46054</v>
      </c>
      <c r="I45" t="inlineStr">
        <is>
          <t>***"We believe CVNA is in the early stages of becoming the next U.S. retail category killer."***
***– Stephens Investment Bank, Analyst Report, Sept. 2024***
Building leading\-edge technology has been at the core of Carvana's strategy since our founding, driving us to become the 3rd fastest company in history to organically reach the Fortune 500 following only Amazon and Google. Today, we remain founder\-lead and as ambitious as ever. In 2024, we have not only emerged as the fastest growing automotive retailer, but also the most profitable thanks to our deep vertical integration across retail, lending, vehicle transportation, wholesale auctions, and more.
If you want to grow not just as an Engineer but as a leader and business\-builder, Carvana is the place for you. Our technology teams build:
* End\-to\-end ecommerce for both selling and buying cars, including everything you see on Carvana.com and in our mobile apps.
* AI\-driven customer support across chat, email, SMS, and voice, as well as a proprietary CRM platform to ensure the most efficient and highest quality customer experience.
* 360° vehicle photography and interactive merchandising using cutting edge computer vision and AI techniques.
* The most sophisticated and self\-service automotive lending platform in the world.
* Systems and tools behind a nationwide logistics network that has delivered and picked up over 3 million cars via our fully owned and operated fleet of automotive haulers, efficiently managing distribution of our massive inventory to 85% of US driveways.
* Enterprise grade systems for operating the largest vehicle reconditioning facilities in the US, with workflow and automation to guide the work for everything mechanical, electrical, and cosmetic needed to bring each car to our high standards.
* Early adoption and customization of AI tools for optimizing our Developer efficiency and experience.
And much, much more…
**THIS IS A 100% ON\-SITE POSITION FROM OUR HQ IN TEMPE (Monday through Friday)**
**About the team and position**
Join Carvana's Verification Technology team as a Senior Data Engineer and take ownership of building and optimizing the data infrastructure that powers our operations. The Verification Technology team supports both customer\-facing websites and internal tools used to review and approve vehicle orders prior to delivery.
In this role, you'll collaborate closely with Engineering, Analytics, and Product Management to design scalable data architectures and pipelines that align with business needs. By crafting intuitive, well\-structured data systems, you'll empower analysts to surface actionable insights while ensuring seamless integration across teams. With a proactive mindset and a focus on delivering impactful solutions, you'll play a key role in shaping Carvana's data\-driven future.
**What you'll be doing**
* Use Snowflake to develop and maintain robust and scalable Enterprise\-level data pipelines with SQL/NoSQL data wrangling.
* Leverage generative AI and intelligent coding assistants to accelerate development, optimize team workflows, and assist in troubleshooting.
* Move and shape structured and semi\-structured data between various data platforms, including Snowflake, MS SQL Server (2022\), Kafka, AWS S3, Azure DataLake, Azure Blob, Cosmo DB and Azure SQL DB
* Provide design feedback to software development teams, ensuring transactional data structures meet the requirements of downstream analytics
* Assist in the migration of legacy workloads/code from SQL Server to Snowflake, converting T\-SQL and python to Snow SQL and Snowpark
* Assist with SQL and Snowflake performance troubleshooting and query tuning
* Plan project deadlines, coordinating with multiple teams and provide updates to leadership
* Utilize version control and deployment pipelines, preferably with Azure ADO with Git or GitHub and GitHub Actions
* Lead complex projects characterized by diverse scope and high complexity, requiring significant collaboration across multiple teams
* Lead team design sessions and code reviews
* Engaging with cross\-functional project teams involving data scientists, product engineers, and analysts to achieve common objectives.
* Work with end users and other IT teams to resolve operational issues and mitigate risks as applicable
**What you should know**
* You have 5 years of experience with distributed data processing on cloud and have exposure to at least one of the major cloud providers (AWS/Azure/GCP)
* You have 5 years of experience working with SQL and relational databases
* Familiarity with using Python for basic to advanced data processing tasks
* You have a strong understanding of data integration concepts, business intelligence, data warehousing and working with large dataset
* You have expertise on the Snowflake data platform
* You have worked with and feel comfortable with MS SQL Server and Databricks
* You know what a query plan is and how to view one
* You have solid understanding of indexing and data pruning concepts
* You are excited for performance tuning and process streamlining (woo!)
* You actively keep up with industry best practices
* You're a forward thinker; you will predict how future company evolution will affect processes implemented today
* You are highly self\-directed and autonomous, but seek guidance and support when necessary
* You enjoy mentoring and supporting colleagues
* You practice excellent written and verbal communication
* Your attitude rocks
* Bonus:
* + Familiarity with python on Spark or Databricks
	+ Experience implementing data pipelines using internal and third\-party APIs utilizing python, secrets and tokens for secure access
	+ You have experience using Agentic AI workflows with the top models (Claude, GPT, etc.)
**What we'll offer in return**
* Competitive salary and Carvana stock compensation
* Medical, Dental, and Vision benefits
* 401K with company match
* A multitude of perks including student loan payments, discounts on vehicles, benefits for your pets, and much more
* A great wellness program to keep you healthy and happy both physically and mentally
* Access to opportunities to expand your skill set and share your knowledge with others across the organization
* A company culture of promotions from within, with a start\-up atmosphere allowing for varied and rapid career development
**Other requirements**
To be able to do your job at Carvana, there are some basic requirements we want to share with you.
* Must be able to read, write, speak and understand English.
Of course, we'll make any reasonable accommodations for those with disabilities to perform the essential functions of their jobs.
**Legal stuff**
Hiring is contingent on passing a complete background check. This role is eligible for visa sponsorship.
Carvana is an equal employment opportunity employer. All applicants receive consideration for employment without regard to race, color, religion, gender, sexual orientation, gender identity or expression, marital status, national origin, age, mental or physical disability, protected veteran status, or genetic information, or any other basis protected by applicable law. Carvana also prohibits harassment of applicants or employees based on any of these protected categories.
Please note this job description is not designed to contain a comprehensive listing of activities, duties, or responsibilities that are required of the employee for this job. Duties, responsibilities, and activities may change at any time with or without notice.</t>
        </is>
      </c>
    </row>
    <row r="46">
      <c r="A46" t="inlineStr">
        <is>
          <t>in-a3c0a110697e116d</t>
        </is>
      </c>
      <c r="B46" t="inlineStr">
        <is>
          <t>Data Engineer</t>
        </is>
      </c>
      <c r="C46" t="inlineStr">
        <is>
          <t>TRADESTATION</t>
        </is>
      </c>
      <c r="D46" t="inlineStr">
        <is>
          <t>indeed</t>
        </is>
      </c>
      <c r="E46">
        <f>HYPERLINK("https://www.indeed.com/viewjob?jk=a3c0a110697e116d", "https://www.indeed.com/viewjob?jk=a3c0a110697e116d")</f>
        <v/>
      </c>
      <c r="F46">
        <f>HYPERLINK("https://recruitingbypaycor.com/career/JobIntroduction.action?id=8a7883ac9be7cb38019c011301b104e2&amp;source=Indeed+Free", "https://recruitingbypaycor.com/career/JobIntroduction.action?id=8a7883ac9be7cb38019c011301b104e2&amp;source=Indeed+Free")</f>
        <v/>
      </c>
      <c r="G46" t="inlineStr">
        <is>
          <t>Remote, US</t>
        </is>
      </c>
      <c r="H46" s="3" t="n">
        <v>46054</v>
      </c>
      <c r="I46" t="inlineStr">
        <is>
          <t>**\#WeAreTradeStation**
**Who We Are**:
TradeStation is the home of those born to trade. As an online brokerage firm and trading ecosystem, we are focused on delivering the ultimate trading experience for active traders and institutions. We continuously push the boundaries of what's possible, encourage out\-of\-the\-box thinking, and relentlessly search for like\-minded innovators.
At TradeStation, we are building an AI\-First culture. We expect team members to embrace AI as a core part of their daily workflow, whether that’s using AI to accelerate development, enhance decision\-making, improve client outcomes, or streamline internal processes. We hire, grow, and promote people who can harness AI responsibly and creatively. We treat AI as a partner in problem\-solving, not just a tool; following our governance standards to ensure AI is used ethically, securely, and transparently. If you join us, you’re joining a culture where *AI is how we work*.
Are you ready to make yourself at home?
**What We Are Looking For**:
We are seeking a Data Engineer to join the Enterprise Analytics team. The team helps TradeStation extract valuable business insights from raw data scattered across dozens of silos and teams. Our Data Engineers ensure that our data is fresh, accurate, and meaningful to our business stakeholders.
The ideal candidate is a lifelong learner and self\-starter who is constantly looking for new ways to solve old problems. Working with big data, this role will seek to find creative solutions to improve our efficiency, speed, and cost and help us develop them one Agile sprint at a time. This position will be instrumental in migrating from legacy data pipelines to our new lake\-house architecture.
**What You’ll Be Doing**:
* Assist in building a modern lake data warehouse
* Leverage AI‑assisted tools to automate routine pipeline maintenance, detect data quality issues, and resolve structural changes with minimal manual intervention
* Create data pipelines using DevOps practices to ensure code is constantly tested, performant, and delivered
* Assist in building and optimizing event‑driven, real‑time data pipelines, incorporating AI models for anomaly detection, fraud detection, or predictive routing
* Integrate and support agentic AI systems that autonomously monitor, optimize, and trigger data workflows
* Write Python and SQL solutions for data transformation, applying test\-driven development principles and automated data quality controls
* Implement AI governance and observability practices, ensuring transparent data lineage, quality checks, auditability, and compliance for machine‑learning‑driven workloads
* Utilize generative AI tools to accelerate documentation, code generation, data analysis, and automated reporting workflows
* Process unstructured data from SQL DBs or JSON, Parquet, CSV files, or Rest APIs
* Assist building data pipelines while considering scalability and efficiency
**The Skills You Bring**:
* Experience integrating AI agents into data workflows
* Ability to leverage generative AI tools (e.g., Copilot, ChatGPT) for coding, documentation, and analytics automation
* Experience with Python, Pandas, Py\-Spark, ML Flow, Delta Lake
* Experience with Amazon Web Services and/or Azure clouds.
* Experience with SSIS, SSRS, Data\-Factory
* Experience Databricks and Synapse
* Experience with Git, Azure DevOps/Jenkins/Gitlab, Kubernetes
* Experience data processing systems and pipelines on Databricks, APIs, and AWS Services
* Ability to build the infrastructure required for optimal extraction, transformation, and data loading from various sources
* Knowledge of data storage and data processing preferred
**Minimum Qualifications**:
* Bachelor’s or master’s degree in computer science, Engineering, or a related field
* 2\+ years of experience in data engineering, big data, and data warehousing
**What We Offer**:
* Collaborative work environment
* Competitive Salaries
* Yearly bonus
* Comprehensive benefits for you and your family starting Day 1
* Unlimited Paid Time Off
* Flexible working environment
* TradeStation Account employee benefits, as well as full access to trading education materials
* Pay Range (US) $88\-100K (Countries outside of the US have differing ranges in accordance with local labor markets)
*TradeStation provides equal employment opportunities to current and prospective employees, without regard to race, color, religion, sex, national origin, ancestry, sexual orientation, age, pregnancy, disability, handicap, citizenship, veteran or marital status, or any other legally recognized status entitled to protection under federal, state, or local anti\-discrimination laws.*
\#LI\-Remote</t>
        </is>
      </c>
    </row>
    <row r="47">
      <c r="A47" t="inlineStr">
        <is>
          <t>in-379cb84949f5e2cc</t>
        </is>
      </c>
      <c r="B47" t="inlineStr">
        <is>
          <t>Data Engineer</t>
        </is>
      </c>
      <c r="C47" t="inlineStr">
        <is>
          <t>GoHealth Urgent Care</t>
        </is>
      </c>
      <c r="D47" t="inlineStr">
        <is>
          <t>indeed</t>
        </is>
      </c>
      <c r="E47">
        <f>HYPERLINK("https://www.indeed.com/viewjob?jk=379cb84949f5e2cc", "https://www.indeed.com/viewjob?jk=379cb84949f5e2cc")</f>
        <v/>
      </c>
      <c r="F47">
        <f>HYPERLINK("https://gohealthuc.wd12.myworkdayjobs.com/External/job/Remote/Data-Engineer_JR106574", "https://gohealthuc.wd12.myworkdayjobs.com/External/job/Remote/Data-Engineer_JR106574")</f>
        <v/>
      </c>
      <c r="G47" t="inlineStr">
        <is>
          <t>Atlanta, GA, US</t>
        </is>
      </c>
      <c r="H47" s="3" t="n">
        <v>46054</v>
      </c>
      <c r="I47" t="inlineStr">
        <is>
          <t>You’re more valuable than ever – And that’s just how we’ll make you feel.
The Data Engineer plays a critical role in architecting, developing, and optimizing enterprise\-grade  
data pipelines that power decision\-making across GoHealth. Leveraging Snowflake and modern  
orchestration frameworks, this role ensures high\-quality, scalable, and secure data delivery. The  
Data Engineer partners closely with data scientists, BI developers, and operational leaders to design  
forward\-looking data solutions, integrate complex source systems, and drive reliability and trust  
across the organization.
 **Qualifications**  
**Education Required:**
* Bachelor’s degree in computer science, Information Technology, Data Engineering, or a related field.
**Work Experience Required:**
* 3\+ years of experience in Data Engineering and Data Warehousing.
* 3\+ years of hands\-on experience with Snowflake or equivalent cloud data platforms.
 **Preferred Qualifications, Education, Licenses, Certifications, Experience, etc.:**
* Proficiency with advanced Snowflake features (SnowPipe, Streams, Tasks, and Security).
* Hands\-on experience with modern orchestration and transformation frameworks (e.g., Apache Airflow, dbt).
* Expertise in data modeling, integration design patterns, and database performance optimization.
* Proficiency in Python or Java for automation, data transformations, and API integrations.
* Familiarity with Azure and other cloud services.
* Experience integrating data engineering workflows with visualization platforms (Tableau, Power BI).
**Knowledge, Skills, and Abilities**
* Deep proficiency in SQL for building optimized, reusable, and cost\-effective queries.
* Ability to design, monitor, and maintain large\-scale ETL pipelines and frameworks.
* Experience with structured and semi\-structured data (e.g., JSON, XML, Parquet).
* Skilled with version control (Git) and CI/CD best practices for data engineering
* Strong problem\-solving mindset with a focus on scalability, governance, and data quality.
* Ability to cope technical solutions independently, mentor junior team members, and communicate business value to stakeholders
* Strong interpersonal skills and ability to collaborate across technical and non\-technical teams
**Essential Duties and Responsibilities**
* Lead the design, development, and optimization of Snowflake pipelines, balancing scalability, governance, and performance.
* Engineer and deliver reliable datasets that meet business requirements while ensuring compliance with governance and security standards.
* Own complex data integrations across multiple systems, reconciling inconsistencies and ensuring enterprise alignment.
* Drive performance tuning initiatives, proactively optimizing for cost efficiency and speed.
* Design and implement monitoring, recovery, and alerting mechanisms for ETL workflows.
* Investigate root causes of data issues, implement preventative measures, and ensure continuous improvement.
* Partner with BI, Operations, and Finance teams to translate business challenges into scalable technical solutions.
* Evaluate emerging tools and practices, adopting innovations that align with organizational priorities.
* Guide Associate Data Engineers through end\-to\-end evaluations of data tools and technologies, ensuring thorough analysis and alignment with project goals.
* Provide ongoing technical support to junior developers by addressing questions, troubleshooting issues, and sharing best practices to foster skill development and team efficiency
**GoHealth Core Values**  
**GoHealth’s Core Values, listed below, are essential functions of this position:**
* **Collaboration:** Takes ownership for collectively establishing productive partnerships and relationships and seek to gain joint understanding of priorities and objectives so that the greater good of the organization and those we serve is always at the forefront.
* **Innovation:** Consistently uses good judgment, applying creativity to overcome obstacles and increasing effectiveness and efficiency through process and other forms of innovation.
* **Diversity \&amp; Inclusion:** Fosters diversity and inclusion, to be able to better understand team members, our customers and partners. Engages the strengths and talents of each GoHealth team member, creating an environment of involvement, respect and connection where the richness of ideas, backgrounds and perspectives are harnessed.
* **Courage \&amp; Integrity:** Models and practices the highest ethical and professional standards; demonstrates pride and personal interest in our patients, partners and fellow team members, deeply engaging in the business. Makes decisions, with a focus on doing the right thing; treats team members, our customers, partners and vendors with dignity, consideration, open\-mindedness and respect.
* **Accountability:** Always shows initiative, demonstrates a bias to action and gets things done. Actively accepts responsibility for diverse roles, obligations and actions that positively influence patient and customer outcomes, our partnerships and the healthcare needs of our communities.
**Physical Requirements**
* **Office Environment:** Primarily remote; standard office or home\-office setting.
* **Travel:** Minimal travel may be required (up to 10%).
* **Safety Equipment:** Compliance with workplace safety and infection\-prevention standards
**Note:** This Job Description is not inclusive of all the duties of the position. You may be asked by Leaders to perform other duties. Leadership may revise this job description at any time
Set up email alerts as new job postings become available that meet your interest!
All qualified persons are granted an equal opportunity for employment without regard to race, color, religion, sex, sexual orientation and gender identity or expression, age, national origin, citizenship status, disability, genetic information, medical condition, family care leave status, pregnancy or pregnancy\-related condition, otherwise qualified disabled or veteran status. The company will comply with all fair employment laws in each of the jurisdictions where we conduct business.  
For applicants in California, please review our California Consumer Privacy Statement here. https://www.gohealthuc.com/privacy\-policy</t>
        </is>
      </c>
    </row>
    <row r="48">
      <c r="A48" t="inlineStr">
        <is>
          <t>in-8d02858c8f9a729e</t>
        </is>
      </c>
      <c r="B48" t="inlineStr">
        <is>
          <t>Sr. Data Engineer</t>
        </is>
      </c>
      <c r="C48" t="inlineStr">
        <is>
          <t>CoxHealth</t>
        </is>
      </c>
      <c r="D48" t="inlineStr">
        <is>
          <t>indeed</t>
        </is>
      </c>
      <c r="E48">
        <f>HYPERLINK("https://www.indeed.com/viewjob?jk=8d02858c8f9a729e", "https://www.indeed.com/viewjob?jk=8d02858c8f9a729e")</f>
        <v/>
      </c>
      <c r="F48">
        <f>HYPERLINK("https://coxhealth.wd5.myworkdayjobs.com/en-US/CoxHealth_External/job/Springfield-MO/Sr-Data-Engineer_R13116", "https://coxhealth.wd5.myworkdayjobs.com/en-US/CoxHealth_External/job/Springfield-MO/Sr-Data-Engineer_R13116")</f>
        <v/>
      </c>
      <c r="G48" t="inlineStr">
        <is>
          <t>Springfield, MO, US</t>
        </is>
      </c>
      <c r="H48" s="3" t="n">
        <v>46054</v>
      </c>
      <c r="I48" t="inlineStr">
        <is>
          <t>**Facility:**
Primrose Place: 1115 E Primrose, Springfield, Missouri, United States of America, 65807\&amp;\#xa;\&amp;\#xa;\&amp;\#xa;\&amp;\#xa;\&amp;\#xa;
**Department:**
1676 Enterprise Data and Analytics
**Scheduled Weekly Hours:**
40
**Hours:**
8:00 AM \- 5:00 PM
**Work Shift:**
Day Shift (United States of America)
CoxHealth is a leading healthcare system serving 25 counties across southwest Missouri and northern Arkansas. The organization includes six hospitals, 5 ERs, and over 80 clinics. CoxHealth has earned the following honors for workplace excellence:
* Named one of Modern Healthcare’s Best Places to work five times.
* Named one of America’s Greatest Workplaces by *Newsweek* .
* Recognized as a Greatest Workplace for Women in both 2023 and 2024\.
* Listed as one of the Greatest Workplaces for Diversity in 2024\.
* Acknowledged by *Forbes* as one of the Best Employers for New Grads.
* Ranked among the Best Employers by State for Missouri.
* *Healthcare Innovation's* Top Companies to Work for in Healthcare in 2025\.
**Benefits**
* Medical, Vision, Dental, Retirement Plan with employer match, and many more!
* 
**Job Description:**
The Senior Data Engineer will lead the design and implementation of robust data solutions. The incumbent will be a key player in decision\-making processes, with an emphasis on scalability and long\-term strategic planning. The role requires advanced technical knowledge, leadership skills, and a thorough understanding of data governance and compliance. Education: Preferred: Bachelor's degree in Management Information Systems, Computer Science, Data \&amp; Analytics other quantitative discipline or equivalent experience Experience: Required: 4 years of experience with data related to clinical, financial, or other enterprise domains OR Bachelor degree in Computer Science, Information Systems, Data \&amp; Analytics, or other quantitative discipline and 2 years of experience. Skills: • Expertise in relational and non\-relational databases. • Proficient in data integration and orchestration tools. • Advanced skills in big data technologies (Hadoop, Spark, etc.). • Strong experience with data lakes and data warehouse technologies. • Leadership abilities and experience in strategic planning. • Excellent communication and project management skills. Licensure/Certification/Registration: N/A</t>
        </is>
      </c>
    </row>
    <row r="49">
      <c r="A49" t="inlineStr">
        <is>
          <t>in-7cb291001fd17e2f</t>
        </is>
      </c>
      <c r="B49" t="inlineStr">
        <is>
          <t>Data Engineer</t>
        </is>
      </c>
      <c r="C49" t="inlineStr">
        <is>
          <t>Stellantis</t>
        </is>
      </c>
      <c r="D49" t="inlineStr">
        <is>
          <t>indeed</t>
        </is>
      </c>
      <c r="E49">
        <f>HYPERLINK("https://www.indeed.com/viewjob?jk=7cb291001fd17e2f", "https://www.indeed.com/viewjob?jk=7cb291001fd17e2f")</f>
        <v/>
      </c>
      <c r="F49">
        <f>HYPERLINK("https://recruiting.adp.com/srccsh/public/RTI.home?r=5001176361706&amp;c=2183219&amp;d=ExternalCareerSite&amp;rb=INDEED&amp;idUnique=5001176361706", "https://recruiting.adp.com/srccsh/public/RTI.home?r=5001176361706&amp;c=2183219&amp;d=ExternalCareerSite&amp;rb=INDEED&amp;idUnique=5001176361706")</f>
        <v/>
      </c>
      <c r="G49" t="inlineStr">
        <is>
          <t>Auburn Hills, MI, US</t>
        </is>
      </c>
      <c r="H49" s="3" t="n">
        <v>46054</v>
      </c>
      <c r="I49" t="inlineStr">
        <is>
          <t>**Mobilisights: enabling a smarter world**  
Exponential growth in adoption and deployment of connected cars and devices is bringing previously unavailable datasets to market – at scale and in real\-time.  
Our vision is a ‘smarter' world where innovative applications and services leverage connected vehicle datasets, and the insights they provide, to dramatically transform and continually improve everyday lives for consumers and businesses. Stellantis, one of the largest global car makers and the parent company of fourteen of the most iconic industry brands including Jeep, Fiat, Maserati, Peugeot, and more, has created Mobilisights, a Data\-as\-a\-Service Business Unit, which will harness sensor and other data from millions of connected vehicles and other devices to support data products and services for a growing array of customers  
\#Stellantis is becoming a \#mobility \#tech company with the size of a powerhouse and the soul of a startup. Mobilisights represents this vision and future. We are part of Stellantis \- a global company with 300 000 employees and will fully leverage the resources and the benefits that provides, but we are built like a startup and operate like one, too.  
A truly global company, Mobilisights have teams all over the world and we work entirely remotely.  
**Our World**  
Great mobility solutions start with great people! This is an exciting time to join us!  
The driving force behind us is the diverse and talented group of men and women around the world who bring their passion and experience to their work every day. And while we are a truly global organization, we remain deeply rooted in the communities in which we operate, and our people live and work.
**Position Responsibilities:**
* Design and build a best\-in\-class robust scalable data platform that can ingest, store, manage and stream massive amounts of data while simplifying its analysis and processing to enable rapid development of high\-quality data products and services.
* Contribute to the implementation of a best\-in\-class robust, scalable, data platform that can ingest, store, manage and stream massive amounts of data while simplifying its analysis and processing to enable rapid development of high\-quality data products and services.
* Contribute to the implementation of robust low latency streaming data pipelines using state of the art streaming data technologies for preparing/curating data that will support various data as a service product.
* You will participate with the team to the development of operational excellence such as ensuring error handling, restart\-ability ensuring data consistency, logging, monitoring and alerting is built into the pipeline.
* You will provide on\-call support for the platform and troubleshooting any issues that arise.
Requirements:
**Basic Qualifications:**
* Bachelor's degree in Computer Science, Computer Engineering, Electrical Engineering, or a related field
* A minimum of 8 years of experience in development and operation in production of Cloud native data streaming data systems (with an emphasis on scalability, robustness, data delivery low latency and data privacy and quality control)
* First experience working in Cloud native real\-time streaming data ecosystem such as Spark, Flink, Kinesis, Lambda, Kafka, EMR/EKS platform, Lakehouse platform experience in using Databricks Intelligent Platform is a plus.
* First experience in developing optimizing AWS data system architecture: Infrastructure as Code, integration and deployment automation, security.
* First experience in ensuring operation reliability of cloud native data system in production – Particularly experience in deploying and monitoring AWS infrastructure using MSK, EKS/EMR clusters in Production.
* First product development experience with languages like Spark\-Scala, Py\-Spark, java is a plus
* Experience in relational database concepts with a solid knowledge of SQL is a plus
* Experience in building systems that monitor data losses and data quality control.
* Curiosity and passion to learn with a strong bias to action.
At Mobilisights, we assess candidates based on qualifications, merit, and business needs. We welcome applications from people of all gender identities, age, ethnicity, nationality, religion, sexual orientation, and disability.  
Diverse teams will allow us to better meet the evolving needs of our customers and care for our future.
By submitting your application, you are accepting our privacy notice:https://www.stellantis.com/en/privacy</t>
        </is>
      </c>
    </row>
    <row r="50">
      <c r="A50" t="inlineStr">
        <is>
          <t>in-d9945a838a11503c</t>
        </is>
      </c>
      <c r="B50" t="inlineStr">
        <is>
          <t>Data Engineer</t>
        </is>
      </c>
      <c r="C50" t="inlineStr">
        <is>
          <t>Stellantis</t>
        </is>
      </c>
      <c r="D50" t="inlineStr">
        <is>
          <t>indeed</t>
        </is>
      </c>
      <c r="E50">
        <f>HYPERLINK("https://www.indeed.com/viewjob?jk=d9945a838a11503c", "https://www.indeed.com/viewjob?jk=d9945a838a11503c")</f>
        <v/>
      </c>
      <c r="F50">
        <f>HYPERLINK("https://recruiting.adp.com/srccsh/public/RTI.home?r=5001176437400&amp;c=2183219&amp;d=ExternalCareerSite&amp;rb=INDEED&amp;idUnique=5001176437400", "https://recruiting.adp.com/srccsh/public/RTI.home?r=5001176437400&amp;c=2183219&amp;d=ExternalCareerSite&amp;rb=INDEED&amp;idUnique=5001176437400")</f>
        <v/>
      </c>
      <c r="G50" t="inlineStr">
        <is>
          <t>Auburn Hills, MI, US</t>
        </is>
      </c>
      <c r="H50" s="3" t="n">
        <v>46054</v>
      </c>
      <c r="I50" t="inlineStr">
        <is>
          <t>The AI \&amp; Data Analytics Team is looking for a Senior Data Engineer to join our team. In this role, you will be responsible for designing, building, and optimizing robust data pipelines that process massive datasets in both batch and real\-time. You will work at the intersection of software engineering and data science, ensuring that our data architecture is scalable, reliable, and follows industry best practices.
Priorities can change in a fast\-paced environment like ours, so this role includes, but is not limited to, the following responsibilities:
* Pipeline Development: Design and implement complex data processing pipelines using Apache Spark.
* Architectural Leadership: Build scalable, distributed systems that handle high\-throughput data streams and large\-scale batch processing.
* Infrastructure as Code: Manage and provision cloud infrastructure using Terraform.
* CI/CD \&amp; Automation: Streamline development workflows by implementing and maintaining GitHub Actions for automated testing and deployment.
* Code Quality: Uphold rigorous software engineering standards, including comprehensive unit/integration testing, code reviews, and maintainable documentation.
* Collaboration: Work closely with stakeholders to translate business requirements into technical specifications.
Requirements:
**Basic Qualifications****:*** BA/BSc in Computer Science, Engineering, Mathematics, or a related technical discipline
* 5\+ years of experience in the data engineering and software development life cycle.
* 4\+ years of hands\-on experience in building and maintaining production data applications, current experience in both relational and columnar data stores.
* 4\+ years of hands\-on experience working with AWS cloud services
* Comprehensive experience with one or more programming languages such as Python, Java, or Rust
* Comprehensive experience working with Big Data platforms (i.e., Spark, Google Big Query, Azure, AWS S3, etc.)
* Familiarity with time series database, data streaming applications, event driven architectures, Kafka, Flink, and more
* Experience with workflow management engines (i.e., Airflow, Luigi, Azure Data Factory, etc.)
* Experience with designing and implementing real\-time pipelines
* Experience with data quality and validation
* Experience with API design
* Distributed Computing: Deep expertise in Apache Spark (Core, SQL, and Structured Streaming).
* Programming Mastery: Strong proficiency in Scala or Java. You should be comfortable building production\-grade applications in a JVM\-based environment.
* SQL Proficiency: Advanced knowledge of SQL for data transformation, analysis, and performance tuning.
* DevOps \&amp; Tools: Hands\-on experience with Terraform for infrastructure management and GitHub Actions for CI/CD pipelines.
* Software Engineering Foundation: Solid understanding of data structures, algorithms, and design patterns. Experience applying "Clean Code" principles to data engineering.
* Stream Processing: Experience with Apache Flink for low\-latency stream processing.
* Scripting: Proficiency in Python for automation, data analysis, or scripting.
* Cloud Platforms: Experience with AWS, Azure, or GCP data services (e.g., EMR, Glue, Databricks).
* Data Modeling: Familiarity with dimensional modeling, Lakehouse architectures (Delta Lake, Iceberg), or NoSQL databases.
**Preferred Qualifications:**
* Comprehensive knowledge of relational database concepts, including data architecture, operational data stores, Interface processes, multidimensional modeling, master data management, and data manipulation
* Expert knowledge and experience with custom ETL design, implementation and maintenance
* Comprehensive experience designing, implementing, and iterating data pipelines using Big Data technologies
* Certification in AWS or other cloud providers
* Experience with Databricks notebook workflows
* Experience with Terraform</t>
        </is>
      </c>
    </row>
    <row r="51">
      <c r="A51" t="inlineStr">
        <is>
          <t>in-de8de59e89153615</t>
        </is>
      </c>
      <c r="B51" t="inlineStr">
        <is>
          <t>Lead Bioinformatics Data Engineer, SOM, Stravitz-Sanyal Institute for Liver Disease</t>
        </is>
      </c>
      <c r="C51" t="inlineStr">
        <is>
          <t>Virginia Commonwealth University</t>
        </is>
      </c>
      <c r="D51" t="inlineStr">
        <is>
          <t>indeed</t>
        </is>
      </c>
      <c r="E51">
        <f>HYPERLINK("https://www.indeed.com/viewjob?jk=de8de59e89153615", "https://www.indeed.com/viewjob?jk=de8de59e89153615")</f>
        <v/>
      </c>
      <c r="F51">
        <f>HYPERLINK("https://www.jobs.virginia.gov/jobs/lead-bioinformatics-data-engineer-som-stravitz-sanyal-institute-for-liver-disease-vcu-main-campus-virginia-united-states-mcv-main-campus", "https://www.jobs.virginia.gov/jobs/lead-bioinformatics-data-engineer-som-stravitz-sanyal-institute-for-liver-disease-vcu-main-campus-virginia-united-states-mcv-main-campus")</f>
        <v/>
      </c>
      <c r="G51" t="inlineStr">
        <is>
          <t>VA, US</t>
        </is>
      </c>
      <c r="H51" s="3" t="n">
        <v>46054</v>
      </c>
      <c r="I51" t="inlineStr">
        <is>
          <t>* 45000976
* 907 Floyd Avenue, MCV Main Campus, Virginia, United States, 23284
* 907 Floyd Avenue, VCU Main Campus, Virginia, United States, 23284
* SVP Health Sciences SML
* Research
* Staff
* Virginia Commonwealth University
**Benefits**: All full\-time university staff are eligible for VCU’s robust benefits package that includes comprehensive health benefits, paid annual and holiday leave granted up front, generous tuition benefits, retirement planning and savings options, tax\-deferred annuity and cash match programs, employee discounts, well\-being resources, abundant opportunities for career development and advancement, and more.
**Unit:** SOM
**Department:** Stravitz\-Sanyal Institute for Liver Disease
Virginia Commonwealth University (VCU) School of Medicine is a premier academic medical center located in the heart of Richmond. Accounting for almost half of VCU’s sponsored research, the School of Medicine is internationally recognized for patient care and education. All full\-time university staff are eligible for VCU’s generous benefits package that includes competitive health benefits, paid annual and holiday leave, retirement planning and savings options, tax\-deferred annuity and cash match programs, Virginia Retirement System (VRS), professional development \&amp; certifications, tuition waiver, parental leave, caregiving leave and community service leave. Learn more about VCU’s benefits here: https://hr.vcu.edu/careers\-at\-vcu/why\-work\-at\-vcu/
**Position summary:**
Join the Stravitz\-Sanyal Institute on the ground floor of an ambitious program to build multi\-omics resources for the global liver research community. You will work alongside luminaries and key opinion leaders in the fields of liver and metabolic health to accelerate and translate discoveries in disease biology. You will be the principal engineer who architects, implements, and evangelizes the data engineering stack that turns multimodal data into analysis\-ready assets, powering institutional and global research efforts. The role combines deep hands\-on work with technical leadership: you will set standards, guide architecture, and mentor peers.
**Key responsibilities:**
* Strategic architecture – Define long\-term data storage strategies and governance patterns that guarantee usability and scalability.
* Pipeline engineering – Design and maintain ETL/ELT and workflow\-managed pipelines (e.g., Nextflow, Snakemake) that ingest, transform, and harmonize multi\-format data.
* Cloud \&amp; HPC enablement – Optimize processing on HPC and cloud infrastructure while remaining interoperable.
* Data products \&amp; APIs – Collaborate closely with bioinformatics scientists to deliver versioned data products with programmatic access, which feed visualization tools and support statistical workflows.
* Quality, security \&amp; compliance – Institute robust validation, provenance capture, and access\-control measures. Align with institutional policies.
* Technical leadership – Establish coding standards, CI/CD, infrastructure\-as\-code, and mentor junior engineers and analysts. Be a champion for a reproducible research culture.
* Technology radar – Continuously evaluate emerging technologies that can support the mission of the Institute.
**Qualifications:**
**Minimum Hiring Standards/Qualifications:**
Education/Experience – MSc/PhD in bioinformatics, computer science or related field and* 5 years building production pipelines for large\-scale omics and biomedical data.
* Programming – Expert in Python (PyData), and SQL. R is a strong plus.
* Workflow \&amp; DevOps – Proven experience with workflow DSLs, Docker/Singularity, CI/CD, and IaC.
* Cloud – Hands\-on delivery with major cloud platforms.
* Bioinformatics expertise – Deep familiarity with NGS, spatial omics, and imaging formats; experience integrating multi\-omics datasets into harmonized schemas. Experience with spatial omics is a significant plus.
* Communication – Ability to translate complex concepts for cross\-disciplinary teams and influence technical direction.
* Excellent analytical and design skills.
* Detail oriented with advanced project management skills.
* Good communication and presentation skills.
* Demonstrated ability to work in and foster an environment of respect, professionalism and civility with a population of faculty, staff, and students from all backgrounds and experiences, or a commitment to do so as a staff member at VCU.
**Work environment \&amp; benefits**
* Impactful, greenfield build that will accelerate discovery in human health. Close collaboration with world\-class clinicians and scientists.
* Flexible work model: Richmond\-based on\-site/hybrid encouraged; open to remote. Progress is the key expectation.
* Collaborative culture committed to mentorship and professional growth.
* Comprehensive benefits package and competitive compensation.
**Additional Information:**
ORP Eligible: \- YES  
Hours / weeks \- 40 hours weekly  
Working Title Details: Lead Bioinformatics Data Engineer
VCU Job Title: Sr. IT Architect Engineer
University Code: (24264Y\-24266Y)  
University Job Family: Information Technology
The position will remain open until a candidate is selected.
Salary Range: $120,000 \- $160,000 /commensurate with experience
FLSA Exemption Status: EXEMPT
ORP Eligible: YES
Flexible Work Arrangement: HYBRID
**Contact Information:**  
**Contact Name: Demetria Patterson**  
**Contact Email:** **demetria.patterson1@vcuhelth.org**</t>
        </is>
      </c>
    </row>
    <row r="52">
      <c r="A52" t="inlineStr">
        <is>
          <t>in-ca190b1b9ebd5de2</t>
        </is>
      </c>
      <c r="B52" t="inlineStr">
        <is>
          <t>Data Engineer</t>
        </is>
      </c>
      <c r="C52" t="inlineStr">
        <is>
          <t>Adtalem Global Education</t>
        </is>
      </c>
      <c r="D52" t="inlineStr">
        <is>
          <t>indeed</t>
        </is>
      </c>
      <c r="E52">
        <f>HYPERLINK("https://www.indeed.com/viewjob?jk=ca190b1b9ebd5de2", "https://www.indeed.com/viewjob?jk=ca190b1b9ebd5de2")</f>
        <v/>
      </c>
      <c r="F52">
        <f>HYPERLINK("https://click.appcast.io/t/L33SNI5-jNyue9olN2ud1Kmg8F0AgsYXCgENXe1geFw=", "https://click.appcast.io/t/L33SNI5-jNyue9olN2ud1Kmg8F0AgsYXCgENXe1geFw=")</f>
        <v/>
      </c>
      <c r="G52" t="inlineStr">
        <is>
          <t>Lisle, IL, US</t>
        </is>
      </c>
      <c r="H52" s="3" t="n">
        <v>46054</v>
      </c>
      <c r="I52" t="inlineStr">
        <is>
          <t>Company Description
Adtalem Global Education is a national leader in post\-secondary education and leading provider of professional talent to the healthcare industry. Adtalem educates and empowers students with the knowledge and skills to become leaders in their communities and make a lasting impact on public health, well\-being and beyond. Through equitable access to education, environments that nurture student success, and a focus on expanding and diversifying the talent pipeline in healthcare, Adtalem is building a brighter future for communities and the world.  
Adtalem is the parent organization of American University of the Caribbean School of Medicine, Chamberlain University, Ross University School of Medicine, Ross University School of Veterinary Medicine and Walden University.  
We operate on a hybrid schedule with four in\-office days per week (Monday–Thursday). This approach enhances creativity, innovation, communication, and relationship\-building, fostering a dynamic and collaborative work environment.  
Visit Adtalem.com for more information, and follow us on LinkedIn and Instagram.  
Job Description
Adtalem is a data driven organization. The Data Engineering team builds data solutions that powers strategic and tactical business decisions and supports the Analytics and Artificial Intelligence operations. By implementing data platform, data pipelines and data governance policies this team provide the basis for decision\-making in Adtalem.
* Work closely with various business, IT, Analyst and Data Science groups to collect business requirements. Design, develop, deploy and support high performance data pipelines both inbound and outbound.
* Develop the data platform by applying the business logic and building objects in the semantic layer of data warehouse.
* Optimize data pipelines for performance, scalability, and reliability. Ensure quality of critical data elements, prepare data quality remediation plans and collaborate with business and system owners to fix the quality issues at its root.
* Document the design and support strategy of the data pipelines
* Capture, store and socialize data lineage and operational metadata. Troubleshoot and resolve data engineering issues as they arise.
* Performs other duties as assigned.
* Complies with all policies and standards.
Qualifications
* Bachelor's Degree Computer Science, Computer Engineering, Software Engineering, or other related technical field Required
* Master's Degree Computer Science, Computer Engineering, Software Engineering, or other related technical field Preferred
* Three (3\) plus years experience in data engineering solutions such as data platforms, ingestion, data management, or publication/analytics Required and
* One (1\) plus year experience in Google cloud with services like BigQuery, Composer, GCS, DataStream, Dataflows Required
* Expert knowledge on SQL and Python programming
* Experience working with Airflow as workflow management tools and build operators to connect, extract and ingest data as needed.
* Experience in tuning queries for performance and scalability
* Experience in Real Time Data Ingestion using GCP PubSub, Kafka, Spark or similar.
* Excellent problem\-solving and critical\-thinking skills to recognize and comprehend complex data issues affecting the business environment.
Additional Information
*In support of the pay transparency laws enacted across the country, the expected salary range for this position is between $74,064\.94 and $133,901\.96\. Actual pay will be adjusted based on job\-related factors permitted by law, such as experience and training; geographic location; licensure and certifications; market factors; departmental budgets; and responsibility. Our Talent Acquisition Team will be happy to answer any questions you may have, and we look forward to learning more about your salary requirements. The position qualifies for the below benefits.*  
*Adtalem offers a robust suite of benefits including:*
* *Health, dental, vision, life and disability insurance*
* *401k Retirement Program \+ 6% employer match*
* *Participation in Adtalem’s Flexible Time Off (FTO) Policy*
* *12 Paid Holidays*  
*For more information related to our benefits please visit: https://careers.adtalem.com/benefits.*  
*You are also eligible to participate in an annual incentive program, subject to the rules governing the program, whereby an award, if any, depends on various factors, including, without limitation, individual and organizational performance.*
Equal Opportunity – Minority / Female / Disability / V / Gender Identity / Sexual Orientation</t>
        </is>
      </c>
    </row>
    <row r="53">
      <c r="A53" t="inlineStr">
        <is>
          <t>in-2605b98d2d6b9515</t>
        </is>
      </c>
      <c r="B53" t="inlineStr">
        <is>
          <t>Data Engineer</t>
        </is>
      </c>
      <c r="C53" t="inlineStr">
        <is>
          <t>Ensemble Health Partners</t>
        </is>
      </c>
      <c r="D53" t="inlineStr">
        <is>
          <t>indeed</t>
        </is>
      </c>
      <c r="E53">
        <f>HYPERLINK("https://www.indeed.com/viewjob?jk=2605b98d2d6b9515", "https://www.indeed.com/viewjob?jk=2605b98d2d6b9515")</f>
        <v/>
      </c>
      <c r="F53">
        <f>HYPERLINK("https://ensemblehp.wd5.myworkdayjobs.com/en-US/EnsembleHealthPartnersCareers/job/Austin-TX/Data-Engineer_R40515", "https://ensemblehp.wd5.myworkdayjobs.com/en-US/EnsembleHealthPartnersCareers/job/Austin-TX/Data-Engineer_R40515")</f>
        <v/>
      </c>
      <c r="G53" t="inlineStr">
        <is>
          <t>Austin, TX, US</t>
        </is>
      </c>
      <c r="H53" s="3" t="n">
        <v>46054</v>
      </c>
      <c r="I53" t="inlineStr">
        <is>
          <t>Thank you for considering a career at Ensemble Health Partners!
Ensemble Health Partners is a leading provider of technology\-enabled revenue cycle management solutions for health systems, including hospitals and affiliated physician groups. They offer end\-to\-end revenue cycle solutions as well as a comprehensive suite of point solutions to clients across the country.
Ensemble keeps communities healthy by keeping hospitals healthy. We recognize that healthcare requires a human touch, and we believe that every touch should be meaningful. This is why our people are the most important part of who we are. By empowering them to challenge the status quo, we know they will be the difference!
O.N.E Purpose:* Customer Obsession: Consistently provide exceptional experiences for our clients, patients, and colleagues by understanding their needs and exceeding their expectations.
* Embracing New Ideas: Continuously innovate by embracing emerging technology and fostering a culture of creativity and experimentation.
* Striving for Excellence: Execute at a high level by demonstrating our “Best in KLAS” Ensemble Difference Principles and consistently delivering outstanding results.
The Opportunity:
Welcome to Orchestration Works — Ensemble’s bold leap into the future of healthcare innovation.
We’re building something big. Orchestration Works is a brand\-new division designed to move fast, break barriers, and bring cutting‑edge technology like AI and automation to life across the healthcare revenue cycle. This is where ideas don’t just get tested — they get scaled. Our mission is simple: transform how we work, deliver next‑level results for our clients, and lead the industry into tomorrow.
Why Orchestration Works Exists
Healthcare is changing at warp speed. To stay ahead, we’re taking R\+D out of the lab and putting it into real operations — quickly, intelligently, and boldly. This new division gives us the freedom and focus to experiment, learn, and deploy innovations that make a measurable impact.
What Makes It Different* A dedicated R\+D powerhouse: A 50‑person independent team headquartered in Austin, Texas — built to move at startup speed.
* Real autonomy: Independent leadership, resources, and decision\-making authority that lets us innovate without friction.
* A laser focus: Revenue Cycle Management innovations powered by automation, AI, and reimagined processes — including work on advanced Administrative and Clinical Reasoning Models.
* A future‑ready mindset: We’re here to help Ensemble evolve rapidly while protecting what makes us exceptional.
Why It Matters
The future of healthcare isn’t waiting — and neither are we. Orchestration Works positions Ensemble to stay ahead of industry shifts, unlock new performance breakthroughs, and deliver smarter, faster, more reliable results for the organizations we serve.
Position Overview
As a Senior Data Engineer, you will play a critical role in shaping and executing Ensemble’s enterprise data engineering strategy. You will design and deliver scalable, high‑performing data solutions that enable advanced analytics, operational intelligence, and strategic decision‑making across the organization.
In this role, you will provide technical leadership by developing reusable components, defining engineering best practices, and guiding architectural decisions. You’ll influence team direction through hands‑on design, deep code reviews, and mentorship of engineers. Your contributions will directly accelerate our long‑term technology transformation and data platform modernization efforts.
Relocation to Austin, Texas is highly preferred for the role. Candidates must either currently reside in the Austin area or be willing to relocate. Relocation assistance may be available for eligible candidates.
Essential Job Functions* Design, build, and optimize scalable data pipelines and API integrations to support increasing data volume and complexity.
* Translate business and product needs into technical solutions and delivery plans that provide frequent, high‑quality value.
* Contribute to engineering excellence through code reviews, hands‑on design, and adoption of best practices.
* Implement data quality, monitoring, and reliability processes to ensure trusted production data across the organization.
* Recommend and apply architectural patterns that enhance performance, scalability, and alignment with enterprise platforms.
Qualifications
Required Skills \&amp; Experience* Bachelor’s degree in Computer Science, Statistics, Mathematics, or a related technical field
* 5\+ years of coding experience with Microsoft SQL.
* 3\+ years working with big data technologies including but not limited to Databricks, Apache Spark, Python, Microsoft Azure (Data Factory, Dataflows, Azure Functions, Azure Service Bus) with a willingness and ability to learn new ones.
* Excellent understanding of engineering fundamentals: testing automation, code reviews, telemetry, iterative delivery and DevOps
* Experience with polyglot storage architectures including relational, columnar, key\-value, graph or equivalent
* Expertise in working with Delta Lake, Parquet, and data lake storage patterns in ADLS.
* Experience delivering applications using componentized and distributed architectures using event driven patterns
* Demonstrated ability to communicate effectively to both technical and non\-technical, globally distributed audiences
* Solid foundations in formal architecture, design patterns and best practices
* Experience working with healthcare datasets
* Very strong attention to detail
Join an award\-winning company
Five\-time winner of “Best in KLAS” 2020\-2022, 2024\-2025
Black Book Research's Top Revenue Cycle Management Outsourcing Solution 2021\-2024
22 Healthcare Financial Management Association (HFMA) MAP Awards for High Performance in Revenue Cycle 2019\-2024
Leader in Everest Group's RCM Operations PEAK Matrix Assessment 2024
Clarivate Healthcare Business Insights (HBI) Revenue Cycle Awards for strong performance 2020, 2022\-2023
Energage Top Workplaces USA 2022\-2024
Fortune Media Best Workplaces in Healthcare 2024
Monster Top Workplace for Remote Work 2024
Great Place to Work certified 2023\-2024* Innovation
* Work\-Life Flexibility
* Leadership
* Purpose \+ Values
Bottom line, we believe in empowering people and giving them the tools and resources needed to thrive. A few of those include:* Associate Benefits – We offer a comprehensive benefits package designed to support the physical, emotional, and financial health of you and your family, including healthcare, time off, retirement, and well\-being programs.
* Our Culture – Ensemble is a place where associates can do their best work and be their best selves. We put people first, last and always. Our culture is rooted in collaboration, growth, and innovation.
* Growth – We invest in your professional development. Each associate will earn a professional certification relevant to their field and can obtain tuition reimbursement.
* Recognition – We offer quarterly and annual incentive programs for all employees who go beyond and keep raising the bar for themselves and the company.
Ensemble Health Partners is an equal employment opportunity employer. It is our policy not to discriminate against any applicant or employee based on race, color, sex, sexual orientation, gender, gender identity, religion, national origin, age, disability, military or veteran status, genetic information or any other basis protected by applicable federal, state, or local laws. Ensemble Health Partners also prohibits harassment of applicants or employees based on any of these protected categories.
Ensemble Health Partners provides reasonable accommodations to qualified individuals with disabilities in accordance with the Americans with Disabilities Act and applicable state and local law. If you require accommodation in the application process, please contact TA@ensemblehp.com.
This posting addresses state specific requirements to provide pay transparency. Compensation decisions consider many job\-related factors, including but not limited to geographic location; knowledge; skills; relevant experience; education; licensure; internal equity; time in position. A candidate entry rate of pay does not typically fall at the minimum or maximum of the role’s range.
EEOC – Know Your Rights  
FMLA Rights \- English
La FMLA Español
E\-Verify Participating Employer (English and Spanish)
Know your Rights</t>
        </is>
      </c>
    </row>
    <row r="54">
      <c r="A54" t="inlineStr">
        <is>
          <t>in-522b866d3fd09e8b</t>
        </is>
      </c>
      <c r="B54" t="inlineStr">
        <is>
          <t>Senior Data Engineer, Telecom EDW Support</t>
        </is>
      </c>
      <c r="C54" t="inlineStr">
        <is>
          <t>Fidium</t>
        </is>
      </c>
      <c r="D54" t="inlineStr">
        <is>
          <t>indeed</t>
        </is>
      </c>
      <c r="E54">
        <f>HYPERLINK("https://www.indeed.com/viewjob?jk=522b866d3fd09e8b", "https://www.indeed.com/viewjob?jk=522b866d3fd09e8b")</f>
        <v/>
      </c>
      <c r="F54">
        <f>HYPERLINK("https://careers.consolidated.com/psc/CAREERS/EMPLOYEE/HRMS/c/HRS_HRAM_FL.HRS_CG_SEARCH_FL.GBL?Page=HRS_APP_JBPST_FL&amp;Action=U&amp;FOCUS=Applicant&amp;JobOpeningId=8579&amp;SiteId=1&amp;PostingSeq=1", "https://careers.consolidated.com/psc/CAREERS/EMPLOYEE/HRMS/c/HRS_HRAM_FL.HRS_CG_SEARCH_FL.GBL?Page=HRS_APP_JBPST_FL&amp;Action=U&amp;FOCUS=Applicant&amp;JobOpeningId=8579&amp;SiteId=1&amp;PostingSeq=1")</f>
        <v/>
      </c>
      <c r="G54" t="inlineStr">
        <is>
          <t>Remote, US</t>
        </is>
      </c>
      <c r="H54" s="3" t="n">
        <v>46054</v>
      </c>
      <c r="I54" t="inlineStr">
        <is>
          <t>**Major Duties**
----------------
Classification: Exempt / Non\-Bargaining
Position may be located remote. \#LI\-Remote
Fidium is where next\-generation fiber meets next\-level opportunity. With a vision to be America’s favorite fiber internet and network services provider, we deliver lightning\-fast and reliable connections to families, businesses, and communities.
Backed by one of the nation’s top 10 fiber networks, Fidium is driven by a team of 2,500 employees. We champion innovation, integrity, and continuous improvement—empowering every team member to make a meaningful impact.
We are seeking a skilled Data Engineer to support our Telecom Enterprise Data Warehouse (EDW) environment. The ideal candidate will have strong hands\-on experience in data ingestion, transformation, data quality assurance, operations engineering, data modeling, and data delivery, working within a modern cloud data stack leveraging FiveTran, Snowflake, Matillion, Tableau, and Secoda.
This role plays a key part in ensuring the availability, reliability, and quality of data that powers enterprise analytics, reporting, and strategic decision\-making across the telecom organization.
**Responsibilities**
--------------------
Data Ingestion \&amp; Integration
* Design, implement, and manage automated data ingestion pipelines using FiveTran and other ETL/ELT tools.
* Integrate data from various telecom systems (OSS/BSS, CRM, billing, network systems, etc.) into Snowflake.
* Ensure scalability and reliability of data ingestion processes to meet business SLAs.
Data Transformation \&amp; Modeling
* Develop and optimize ELT pipelines in Matillion, ensuring efficient data transformations in Snowflake.
* Build and maintain data models (staging, core, mart layers) to support reporting and analytics needs.
* Follow and enforce data modeling best practices, ensuring consistent naming, lineage, and documentation across datasets.
Data Quality \&amp; Governance
* Implement and monitor data validation, profiling, and quality checks to ensure data accuracy, completeness, and timeliness.
* Collaborate with data governance teams to maintain metadata, lineage, and documentation within Secoda.
* Troubleshoot and resolve data discrepancies and pipeline failures proactively.
Operations Engineering
* Support daily operations of the EDW, including job scheduling, monitoring, and performance tuning.
* Implement alerting, logging, and observability practices to ensure high system uptime.
* Participate in on\-call rotations or provide after\-hours support as needed.
Analytics \&amp; Data Delivery
* Partner with analysts, BI developers and business stakeholders to enable data consumption in Tableau and other downstream systems.
* Develop and optimize data extracts, dashboards, and APIs for business use cases.
* Ensure alignment between data warehouse design and analytical/reporting requirements.
Collaboration \&amp; Continuous Improvement
* Work closely with data architects, business analysts, and domain experts to translate business needs into data engineering solutions.
* Contribute to standards, best practices, and automation within the data engineering team.
Support continuous improvement of ETL/ELT frameworks, CI/CD pipelines, and DevOps processes.
**Qualifications**
------------------
* Bachelor’s degree in Computer Science, Information Systems, Data Engineering, or related field.
* 8\+ years of experience in data engineering or data warehousing, preferably in the telecom domain.
* Strong proficiency with:
	+ FiveTran (data ingestion and connector management)
	+ Snowflake (SQL, warehouse configuration, performance optimization)
	+ Matillion (ELT orchestration and transformation development)
	+ Tableau (understanding of data delivery and visualization integration)
	+ Secoda (data cataloging and lineage documentation) or similar solution
* Solid understanding of data modeling (star/snowflake schemas, dimensional modeling).
* Experience with data quality frameworks, metadata management, and DevOps for data pipelines.
* Strong SQL skills and familiarity with Python or bash scripting for automation.
* Experience with cloud environments (AWS, Azure, or GCP).
**Preferred Qualifications:**
* Telecom industry experience, particularly with OSS/BSS and network data sources.
* Experience in CI/CD for data pipelines (Git, Jenkins, or similar).
* Familiarity with dbt or similar data transformation frameworks.
* Exposure to data observability tools and incident management practices.
* Exposure to Data360 Analyze
**Soft Skills:**
* Strong analytical and problem\-solving skills.
* Excellent communication and collaboration abilities.
* Detail\-oriented, organized, and proactive in issue resolution.
* Ability to work independently and in a fast\-paced, dynamic environment.
**Benefits Offered**
--------------------
We are proud to offer a comprehensive and competitive benefits package:
* 401(k) matching
* Medical, Rx, Dental and Vision insurance
* Disability insurance
* Flexible spending account
* Health savings account
* Life insurance
* Tuition reimbursement
* Paid vacation and personal days
* Paid holidays
* Employee Assistance Program
* Annual bonus program to eligible employee's based upon organization performance
**Salary**
----------
Pay range (commensurate with skills and experience): $115,000 \- $130,000 Annual Salary
**Equal Opportunity Employer**
------------------------------
All qualified applicants will receive consideration for employment without regard to race, color, religion, sex, gender identity or expression, sexual orientation, national origin, marital status, familial status, genetics, disability, age, veteran status or any other characteristic protected by law.</t>
        </is>
      </c>
    </row>
    <row r="55">
      <c r="A55" t="inlineStr">
        <is>
          <t>in-4ea9712bed9713da</t>
        </is>
      </c>
      <c r="B55" t="inlineStr">
        <is>
          <t>Senior Data Engineer - Substantiation Platform Team *Hybrid*</t>
        </is>
      </c>
      <c r="C55" t="inlineStr">
        <is>
          <t>GEICO</t>
        </is>
      </c>
      <c r="D55" t="inlineStr">
        <is>
          <t>indeed</t>
        </is>
      </c>
      <c r="E55">
        <f>HYPERLINK("https://www.indeed.com/viewjob?jk=4ea9712bed9713da", "https://www.indeed.com/viewjob?jk=4ea9712bed9713da")</f>
        <v/>
      </c>
      <c r="F55">
        <f>HYPERLINK("https://click.appcast.io/t/o37vgU0Puk6QYiGXn4guYx2J--zeGLxyenmy7ipK9HA=", "https://click.appcast.io/t/o37vgU0Puk6QYiGXn4guYx2J--zeGLxyenmy7ipK9HA=")</f>
        <v/>
      </c>
      <c r="G55" t="inlineStr">
        <is>
          <t>Seattle, WA, US</t>
        </is>
      </c>
      <c r="H55" s="3" t="n">
        <v>46054</v>
      </c>
      <c r="I55" t="inlineStr">
        <is>
          <t>**At GEICO, we offer a rewarding career where your ambitions are met with endless possibilities.**
**Every day we honor our iconic brand by offering quality coverage to millions of customers and being there when they need us most. We thrive through relentless innovation to exceed our customers’ expectations while making a real impact for our company through our shared purpose.**
**When you join our company, we want you to feel valued, supported and proud to work here. That’s why we offer The GEICO Pledge: Great Company, Great Culture, Great Rewards and Great Careers.**
**About The Team**  
Our **Financial Data Integrity Team** is at the heart of ensuring trust and accuracy in our organization’s financial ecosystem. We design, implement, and manage the substantiation platform that safeguards the integrity of financial data across global systems, enabling compliance, informed decision\-making, and operational excellence.
**What you will do**
As a **Senior Data Engineer** within our **Financial Data Integrity Substantiation Platform**, you will play an important role in building and managing our critical data reconciliation systems. Your technical expertise will contribute to ensuring the accuracy, reliability, and scalability of our financial data infrastructure.
**Here's what you can expect to do**:
* Contribute to the design and implementation of high\-performance, scalable reconciliation systems capable of processing billions of transactions daily
* Participate in making technical decisions that balance immediate business needs with long\-term scalability and maintainability
* Work with cross\-functional teams to integrate our platform with various financial systems, ERPs, and data warehouses
* Develop core components of our substantiation platform, writing high\-quality, efficient code
* Follow and help improve best practices for code quality, testing, and deployment
* Collaborate with Finance, Compliance, and Business Intelligence teams to implement technical solutions for complex business requirements
* Work with Product Management to implement features that deliver maximum impact
* Explain technical concepts to both technical and non\-technical stakeholders
**Minimum Requirements:**
* Bachelor’s degree in data science, computer science, economics or related field
* 5\+ years of experience in Data and/or Software engineering
* 5\+ years of experience in one or more relevant **backend** programming languages, such as **Java and/or Go**
* 2\+ years of experience building products in modern architecture (SOA \&amp; microservices) and extensible REST APIs
* 3\+ years of experience with tools like Git, Docker, Kubernetes, and CI/CD pipelines
* 3\+ years of experience with cloud platforms like AWS, Azure, or Google Cloud
* Experience in SQL, NoSQL, relational database design and efficient methods for data retrieval and preparation at scale
* Proven ability to collect and process raw data at scale, including scripting, API integration, and SQL querying
* Experience with data modeling, ETL processes and query languages (Python, PySpark, and SQL) with data warehouse
* Experience with Agile development practices
\*This is a Hybrid position working out of any of the below offices\*
Seattle, WA
Dallas, TX
Chevy Chase, MD
**Be Part of Our Journey**  
If you are a passionate technologist looking to make a difference, GEICO Tech is the place for you. Join us and be part of a team that is shaping the future of insurance technology. Together, we will create innovative solutions that improve lives and transform the industry.
\#LI\-MK1
 **Annual Salary**
$100,000\.00 \- $215,000\.00
The above annual salary range is a general guideline. Multiple factors are taken into consideration to arrive at the final hourly rate/ annual salary to be offered to the selected candidate. Factors include, but are not limited to, the scope and responsibilities of the role, the selected candidate’s work experience, education and training, the work location as well as market and business considerations.
GEICO will consider sponsoring a new qualified applicant for employment authorization for this position. **The GEICO Pledge:**
**Great Company:** At GEICO, we help our customers through life’s twists and turns. Our mission is to protect people when they need it most and we’re constantly evolving to stay ahead of their needs.
We’re an iconic brand that thrives on innovation, exceeding our customers’ expectations and enabling our collective success. From day one, you’ll take on exciting challenges that help you grow and collaborate with dynamic teams who want to make a positive impact on people’s lives.
**Great Careers:** We offer a career where you can learn, grow, and thrive through personalized development programs, created with your career – and your potential – in mind. You’ll have access to industry leading training, certification assistance, career mentorship and coaching with supportive leaders at all levels.
**Great Culture:** We foster an inclusive culture of shared success, rooted in integrity, a bias for action and a winning mindset. Grounded by our core values, we have an an established culture of caring, inclusion, and belonging, that values different perspectives. Our teams are led by dynamic, multi\-faceted teams led by supportive leaders, driven by performance excellence and unified under a shared purpose.
As part of our culture, we also offer employee engagement and recognition programs that reward the positive impact our work makes on the lives of our customers.
**Great Rewards:** We offer compensation and benefits built to enhance your physical well\-being, mental and emotional health and financial future.
* Comprehensive Total Rewards program that offers personalized coverage tailor\-made for you and your family’s overall well\-being.
* Financial benefits including market\-competitive compensation; a 401K savings plan vested from day one that offers a 6% match; performance and recognition\-based incentives; and tuition assistance.
* Access to additional benefits like mental healthcare as well as fertility and adoption assistance.
* Supports flexibility\- We provide workplace flexibility as well as our GEICO Flex program, which offers the ability to work from anywhere in the US for up to four weeks per year.
The equal employment opportunity policy of the GEICO Companies provides for a fair and equal employment opportunity for all associates and job applicants regardless of race, color, religious creed, national origin, ancestry, age, gender, pregnancy, sexual orientation, gender identity, marital status, familial status, disability or genetic information, in compliance with applicable federal, state and local law. GEICO hires and promotes individuals solely on the basis of their qualifications for the job to be filled.
GEICO reasonably accommodates qualified individuals with disabilities to enable them to receive equal employment opportunity and/or perform the essential functions of the job, unless the accommodation would impose an undue hardship to the Company. This applies to all applicants and associates. GEICO also provides a work environment in which each associate is able to be productive and work to the best of their ability. We do not condone or tolerate an atmosphere of intimidation or harassment. We expect and require the cooperation of all associates in maintaining an atmosphere free from discrimination and harassment with mutual respect by and for all associates and applicants.</t>
        </is>
      </c>
    </row>
    <row r="56">
      <c r="A56" t="inlineStr">
        <is>
          <t>in-fe4086cf01ac9081</t>
        </is>
      </c>
      <c r="B56" t="inlineStr">
        <is>
          <t>Data Engineer</t>
        </is>
      </c>
      <c r="C56" t="inlineStr">
        <is>
          <t>Stellantis</t>
        </is>
      </c>
      <c r="D56" t="inlineStr">
        <is>
          <t>indeed</t>
        </is>
      </c>
      <c r="E56">
        <f>HYPERLINK("https://www.indeed.com/viewjob?jk=fe4086cf01ac9081", "https://www.indeed.com/viewjob?jk=fe4086cf01ac9081")</f>
        <v/>
      </c>
      <c r="F56">
        <f>HYPERLINK("https://FCA.contacthr.com/150883760", "https://FCA.contacthr.com/150883760")</f>
        <v/>
      </c>
      <c r="G56" t="inlineStr">
        <is>
          <t>Auburn Hills, MI, US</t>
        </is>
      </c>
      <c r="H56" s="3" t="n">
        <v>46054</v>
      </c>
      <c r="I56" t="inlineStr">
        <is>
          <t>The AI \&amp; Data Analytics Team is looking for a Senior Data Engineer to join our team . In this role, you will be responsible for designing, building, and optimizing robust data pipelines that process massive datasets in both batch and real\-time. You will work at the intersection of software engineering and data science, ensuring that our data architecture is scalable, reliable, and follows industry best practices.
Priorities can change in a fast\-paced environment like ours, so this role includes, but is not limited to, the following responsibilities:
**Pipeline Development:** Design and implement complex data processing pipelines using Apache Spark.
**Architectural Leadership:** Build scalable, distributed systems that handle high\-throughput data streams and large\-scale batch processing.
**Infrastructure as Code:** Manage and provision cloud infrastructure using Terraform.
**CI/CD \&amp; Automation:** Streamline development workflows by implementing and maintaining GitHub Actions for automated testing and deployment.
**Code Quality:** Uphold rigorous software engineering standards, including comprehensive unit/integration testing, code reviews, and maintainable documentation.
**Collaboration:** Work closely with stakeholders to translate business requirements into technical specifications.
**Basic Qualifications :**  
BA/BSc in Computer Science, Engineering, Mathematics, or a related technical discipline
5\+ years of experience in the data engineering and software development life cycle.
4\+ years of hands\-on experience in building and maintaining production data applications, current experience in both relational and columnar data stores.
4\+ years of hands\-on experience working with AWS cloud services
Comprehensive experience with one or more programming languages such as Python , Java , or Rust
Comprehensive experience working with Big Data platforms (i.e., Spark, Google Big Query, Azure, AWS S3, etc.)
Familiarity with time series database, data streaming applications, event driven architectures, Kafka, Flink, and more
Experience with workflow management engines (i.e., Airflow, Luigi, Azure Data Factory, etc.)
Experience with designing and implementing real\-time pipelines
Experience with data quality and validation
Experience with API design
**Distributed Computing:** Deep expertise in Apache Spark (Core, SQL, and Structured Streaming).
**Programming Mastery:** Strong proficiency in Scala or Java. You should be comfortable building production\-grade applications in a JVM\-based environment.
**SQL Proficiency:** Advanced knowledge of SQL for data transformation, analysis, and performance tuning.
**DevOps \&amp; Tools:** Hands\-on experience with Terraform for infrastructure management and GitHub Actions for CI/CD pipelines.
**Software Engineering Foundation:** Solid understanding of data structures, algorithms, and design patterns. Experience applying "Clean Code" principles to data engineering.
**Stream Processing:** Experience with Apache Flink for low\-latency stream processing.
**Scripting:** Proficiency in Python for automation, data analysis, or scripting.
**Cloud Platforms:** Experience with AWS, Azure, or GCP data services (e.g., EMR, Glue, Databricks).
**Data Modeling:** Familiarity with dimensional modeling, Lakehouse architectures (Delta Lake, Iceberg), or NoSQL databases.
**Preferred Qualifications:**  
Comprehensive knowledge of relational database concepts, including data architecture, operational data stores, Interface processes, m ultidimensional modeling, master data management, and data manipulation
Expert knowledge and experience with custom ETL design, implementation and maintenance
Comprehensive experience designing, implementing, and iterating data pipelines using Big Data technologies
Certification in AWS or other cloud providers
Experience with Databricks notebook workflows
Experience with Terraform
Our Benefits — Designed with You in Mind
Comprehensive Health \&amp; Well\-being Coverage
From your very first day, you’ll have access to medical, dental, vision, and prescription drug coverage — ensuring you and your family stay healthy and protected.
Generous Paid Time Off
**We believe in work\-life balance. That’s why we offer:** 17\+ paid holidays, including shut\-down from December 24th through New Years Day every year. Vacation, float \&amp; wellbeing days, sick time and fully paid parental leave when your family needs you most.
Competitive Retirement Savings Plans
**We help you plan for the future with:**  
An employer match on contributions to your 401k, Roth, and Catch\-Up plans
An employer contribution, even if you don’t contribute
Income Protection \&amp; Insurance Options
Benefit from included and optional disability, life, and other insurance programs — because your peace of mind matters.
Company Vehicle Lease Program
Eligible employees and their immediate families can enjoy company vehicle lease options with included insurance, maintenance, and unlimited mileage. Plus, take advantage of exclusive discounts on Stellantis products.
Family Building Benefit
We proudly support all paths to parenthood\- including fertility and infertility treatments, adoption services, and gestational surrogacy.
Support for Your Growth and Giving Back
**We believe in investing in your future and your passions:**  
Tuition reimbursement
Student loan refinancing programs
18 paid volunteer hours each year to make a difference in your community
And so much more!
When you join us, you’re not just building a career — you’re joining a company that supports you, inside and outside of work.</t>
        </is>
      </c>
    </row>
    <row r="57">
      <c r="A57" t="inlineStr">
        <is>
          <t>in-1689f977ed6e81c9</t>
        </is>
      </c>
      <c r="B57" t="inlineStr">
        <is>
          <t>Real-World Data and Clinical Informatics Data Engineer, Senior</t>
        </is>
      </c>
      <c r="C57" t="inlineStr">
        <is>
          <t>Booz Allen Hamilton</t>
        </is>
      </c>
      <c r="D57" t="inlineStr">
        <is>
          <t>indeed</t>
        </is>
      </c>
      <c r="E57">
        <f>HYPERLINK("https://www.indeed.com/viewjob?jk=1689f977ed6e81c9", "https://www.indeed.com/viewjob?jk=1689f977ed6e81c9")</f>
        <v/>
      </c>
      <c r="F57">
        <f>HYPERLINK("https://careers.boozallen.com/careers/JobDetail?jobId=120257", "https://careers.boozallen.com/careers/JobDetail?jobId=120257")</f>
        <v/>
      </c>
      <c r="G57" t="inlineStr">
        <is>
          <t>Bethesda, MD, US</t>
        </is>
      </c>
      <c r="H57" s="3" t="n">
        <v>46054</v>
      </c>
      <c r="I57" t="inlineStr">
        <is>
          <t>Real\-World Data and Clinical Informatics Data Engineer, Senior**The Opportunity:**
As a Data Engineer, you will support the development and maintenance of scalable data stores that supply big data and real\-world data in forms needed for data analysis. You will be responsible for designing, building, and maintaining scalable data pipelines and infrastructure to support our data\-driven initiatives, including developing robust Extract, Transform, and Load (ETL) processes to integrate data from various sources into our data ecosystem, and designing and maintaining data models, schemas, and database structures to support analytical and operational use cases. You will collaborate closely with cross\-functional teams to ensure the availability, reliability, and performance of our data systems and solutions.
Join us. The world can't wait.
**You Have:**
* 5\+ years of experience with the entire ETL pipeline, including data acquisition, data preparation, and database architecture with accompanying codebooks, data dictionaries, and metadata repositories
* 3\+ years of experience with programming languages, such as Python, R, or SQL
* 2\+ years of experience in AWS and big data ecosystems
* Experience building real\-time data processing applications
* Experience with GitHub
* Ability to obtain and maintain a Public Trust or Suitability/Fitness determination based on client requirements
* Bachelor's degree in Computer Science or Bioinformatics
**Nice If You Have:**
* Experience with AI or ML pipelines and processes
* Experience with Multi Cloud environments
* Experience with Metadata Management
* Experience in working with federal public health agencies
* Possession of excellent verbal and written communication skills
* Master's degree preferred; Doctorate degree a plus
* PMP Certification
**Vetting****:**
Applicants selected will be subject to a government investigation and may need to meet eligibility requirements of the U.S. government client.
**Compensation**
At Booz Allen, we celebrate your contributions, provide you with opportunities and choices, and support your total well\-being. Our offerings include health, life, disability, financial, and retirement benefits, as well as paid leave, professional development, tuition assistance, work\-life programs, and dependent care. Our recognition awards program acknowledges employees for exceptional performance and superior demonstration of our values. Full\-time and part\-time employees working at least 20 hours a week on a regular basis are eligible to participate in Booz Allen’s benefit programs. Individuals that do not meet the threshold are only eligible for select offerings, not inclusive of health benefits. We encourage you to learn more about our total benefits by visiting the Resource page on our Careers site and reviewing Our Employee Benefits page.
Salary at Booz Allen is determined by various factors, including but not limited to location, the individual’s particular combination of education, knowledge, skills, competencies, and experience, as well as contract\-specific affordability and organizational requirements. The projected compensation range for this position is $77,600\.00 to $176,000\.00 (annualized USD). The estimate displayed represents the typical salary range for this position and is just one component of Booz Allen’s total compensation package for employees. This posting will close within 90 days from the Posting Date.**Identity Statement**
As part of the application process, you are expected to be on camera during interviews and assessments. We reserve the right to take your picture to verify your identity and prevent fraud.
**Work Model**  
Our people\-first culture prioritizes the benefits of flexibility and collaboration, whether that happens in person or remotely.
* If this position is listed as remote or hybrid, you’ll periodically work from a Booz Allen or client site facility.
* If this position is listed as onsite, you’ll work with colleagues and clients in person, as needed for the specific role.
**Commitment to Non\-Discrimination**
All qualified applicants will receive consideration for employment without regard to disability, status as a protected veteran or any other status protected by applicable federal, state, local, or international law.</t>
        </is>
      </c>
    </row>
    <row r="58">
      <c r="A58" t="inlineStr">
        <is>
          <t>in-8a6b73a5bf2062d3</t>
        </is>
      </c>
      <c r="B58" t="inlineStr">
        <is>
          <t>Data Engineer</t>
        </is>
      </c>
      <c r="C58" t="inlineStr">
        <is>
          <t>Booz Allen Hamilton</t>
        </is>
      </c>
      <c r="D58" t="inlineStr">
        <is>
          <t>indeed</t>
        </is>
      </c>
      <c r="E58">
        <f>HYPERLINK("https://www.indeed.com/viewjob?jk=8a6b73a5bf2062d3", "https://www.indeed.com/viewjob?jk=8a6b73a5bf2062d3")</f>
        <v/>
      </c>
      <c r="F58">
        <f>HYPERLINK("https://careers.boozallen.com/careers/JobDetail?jobId=120242", "https://careers.boozallen.com/careers/JobDetail?jobId=120242")</f>
        <v/>
      </c>
      <c r="G58" t="inlineStr">
        <is>
          <t>Washington, DC, US</t>
        </is>
      </c>
      <c r="H58" s="3" t="n">
        <v>46054</v>
      </c>
      <c r="I58" t="inlineStr">
        <is>
          <t>Data Engineer**The Opportunity:**
Ever\-expanding technology like IoT, machine learning, and artificial intelligence means that there’s more structured and unstructured data available today than ever before. As a data engineer, you know that organizing data can yield pivotal insights when it’s gathered from disparate sources. We need a data professional like you to help our clients find answers in their data to impact important missions—from fraud detection to cancer research to national intelligence.
As a data engineer at Booz Allen, you’ll use your skills and experience to help build advanced technology solutions and implement data engineering activities on some of the most mission\-driven projects in the industry. You’ll develop and deploy the pipelines and platforms that organize and make disparate data meaningful.
Here, you’ll work with a multi\-disciplinary team of analysts, data engineers, developers, and data consumers in a fast\-paced, agile environment. You’ll sharpen your skills in analytical exploration and data examination while you support the assessment, design, developing, and maintenance of scalable platforms for your clients.
Work with us to use data for good.
**What You’ll Do**
* Design and operate data pipelines for simulation outputs and telemetry
* Normalize, validate, and version complex datasets
* Ensure data quality, lineage, and access control
* Deliver performant data services to backend and visualization applications
Join us. The world can't wait.
**You Have:**
* 5\+ years of experience utilizing programming languages, including C\+\+, Java, or Python
* 5\+ years of experience developing and maintaining scalable data stores that supply big data in forms needed for business analysis
* Experience creating software for retrieving, parsing and processing structured and unstructured data
* Experience with developing scalable ETL/ELT workflows for reporting and analytics
* Experience creating solutions within a collaborative, cross\-functional team environment
* Ability to develop scripts and programs for converting various types of data into usable formats and support project team to scale, monitor, and operate data platforms
* Bachelor’s degree
* Ability to obtain a Secret clearance
**Nice If You Have:**
* Experience in application development utilizing SQL or Scala
* Experience with a public cloud, including AWS, Microsoft Azure, or Google Cloud
* Experience with distributed data and computing tools such as Spark, Databricks, Hadoop, Hive, AWS EMR, or Kafka
* Experience working on real\-time data and streaming applications
* Experience with NoSQL implementation using MongoDB or Cassandra
* Experience with data warehousing, including AWS Redshift, MySQL, or Snowflake
* Experience with UNIX/Linux, including basic commands and Shell scripting
* Experience with Agile engineering practices
* Ability to display interest in Digital Twin, simulation, or real\-time systems
* TS/SCI clearance with a polygraph
 **Clearance****:**
Applicants selected will be subject to a security investigation and may need to meet eligibility requirements for access to classified information.
**Compensation**
At Booz Allen, we celebrate your contributions, provide you with opportunities and choices, and support your total well\-being. Our offerings include health, life, disability, financial, and retirement benefits, as well as paid leave, professional development, tuition assistance, work\-life programs, and dependent care. Our recognition awards program acknowledges employees for exceptional performance and superior demonstration of our values. Full\-time and part\-time employees working at least 20 hours a week on a regular basis are eligible to participate in Booz Allen’s benefit programs. Individuals that do not meet the threshold are only eligible for select offerings, not inclusive of health benefits. We encourage you to learn more about our total benefits by visiting the Resource page on our Careers site and reviewing Our Employee Benefits page.
Salary at Booz Allen is determined by various factors, including but not limited to location, the individual’s particular combination of education, knowledge, skills, competencies, and experience, as well as contract\-specific affordability and organizational requirements. The projected compensation range for this position is $62,000\.00 to $141,000\.00 (annualized USD). The estimate displayed represents the typical salary range for this position and is just one component of Booz Allen’s total compensation package for employees. This posting will close within 90 days from the Posting Date.**Identity Statement**
As part of the application process, you are expected to be on camera during interviews and assessments. We reserve the right to take your picture to verify your identity and prevent fraud.
**Work Model**  
Our people\-first culture prioritizes the benefits of flexibility and collaboration, whether that happens in person or remotely.
* If this position is listed as remote or hybrid, you’ll periodically work from a Booz Allen or client site facility.
* If this position is listed as onsite, you’ll work with colleagues and clients in person, as needed for the specific role.
**Commitment to Non\-Discrimination**
All qualified applicants will receive consideration for employment without regard to disability, status as a protected veteran or any other status protected by applicable federal, state, local, or international law.</t>
        </is>
      </c>
    </row>
    <row r="59">
      <c r="A59" t="inlineStr">
        <is>
          <t>in-acbcbe207e8d384a</t>
        </is>
      </c>
      <c r="B59" t="inlineStr">
        <is>
          <t>Data Engineer, Senior</t>
        </is>
      </c>
      <c r="C59" t="inlineStr">
        <is>
          <t>Booz Allen Hamilton</t>
        </is>
      </c>
      <c r="D59" t="inlineStr">
        <is>
          <t>indeed</t>
        </is>
      </c>
      <c r="E59">
        <f>HYPERLINK("https://www.indeed.com/viewjob?jk=acbcbe207e8d384a", "https://www.indeed.com/viewjob?jk=acbcbe207e8d384a")</f>
        <v/>
      </c>
      <c r="F59">
        <f>HYPERLINK("https://careers.boozallen.com/careers/JobDetail?jobId=120251", "https://careers.boozallen.com/careers/JobDetail?jobId=120251")</f>
        <v/>
      </c>
      <c r="G59" t="inlineStr">
        <is>
          <t>McLean, VA, US</t>
        </is>
      </c>
      <c r="H59" s="3" t="n">
        <v>46054</v>
      </c>
      <c r="I59" t="inlineStr">
        <is>
          <t>Data Engineer, Senior**The Opportunity:**
Ever\-expanding technology like IoT, machine learning, and artificial intelligence means that there’s more structured and unstructured data available today than ever before. As a data engineer, you know that organizing big data can yield pivotal insights when it’s gathered from disparate sources. We need a data professional like you to help our clients find answers in their big data to impact important missions from fraud detection to cancer research, to national intelligence.
As a Data Engineer at Booz Allen, you’ll use your skills and experience to implement data engineering activities on some of the most mission\-driven projects in the industry. You’ll develop and deploy the pipelines and platforms that organize and make disparate data meaningful.
Here, you’ll work with a multi\-disciplinary team of analysts, data engineers, developers, and data consumers in a fast\-paced, agile environment. You’ll sharpen your skills in analytical exploration and data examination while you support the assessment, design, development, and maintenance of scalable platforms for your clients.
Work with us to use big data for good.
Join us. The world can't wait.
**You Have:**
* 5\+ years of experience with data engineering
* Experience with Python
* Experience building, monitoring, and troubleshooting ETL pipelines
* Experience with SQL and DB Procedures
* Knowledge of UNIX or Linux, including running basic commands and scheduling jobs
* Knowledge of Cloud environments and services
* Ability to obtain and maintain a Public Trust or Suitability/Fitness determination based on client requirements
* Bachelor’s degree
**Nice If You Have:**
* Master’s degree
* Java Development Certification
**Vetting****:**  
Applicants selected will be subject to a government investigation and may need to meet eligibility requirements of the U.S. government client.
**Compensation**
At Booz Allen, we celebrate your contributions, provide you with opportunities and choices, and support your total well\-being. Our offerings include health, life, disability, financial, and retirement benefits, as well as paid leave, professional development, tuition assistance, work\-life programs, and dependent care. Our recognition awards program acknowledges employees for exceptional performance and superior demonstration of our values. Full\-time and part\-time employees working at least 20 hours a week on a regular basis are eligible to participate in Booz Allen’s benefit programs. Individuals that do not meet the threshold are only eligible for select offerings, not inclusive of health benefits. We encourage you to learn more about our total benefits by visiting the Resource page on our Careers site and reviewing Our Employee Benefits page.
Salary at Booz Allen is determined by various factors, including but not limited to location, the individual’s particular combination of education, knowledge, skills, competencies, and experience, as well as contract\-specific affordability and organizational requirements. The projected compensation range for this position is $99,000\.00 to $225,000\.00 (annualized USD). The estimate displayed represents the typical salary range for this position and is just one component of Booz Allen’s total compensation package for employees. This posting will close within 90 days from the Posting Date.**Identity Statement**
As part of the application process, you are expected to be on camera during interviews and assessments. We reserve the right to take your picture to verify your identity and prevent fraud.
**Work Model**  
Our people\-first culture prioritizes the benefits of flexibility and collaboration, whether that happens in person or remotely.
* If this position is listed as remote or hybrid, you’ll periodically work from a Booz Allen or client site facility.
* If this position is listed as onsite, you’ll work with colleagues and clients in person, as needed for the specific role.
**Commitment to Non\-Discrimination**
All qualified applicants will receive consideration for employment without regard to disability, status as a protected veteran or any other status protected by applicable federal, state, local, or international law.</t>
        </is>
      </c>
    </row>
    <row r="60">
      <c r="A60" t="inlineStr">
        <is>
          <t>in-26f04246b2b1e087</t>
        </is>
      </c>
      <c r="B60" t="inlineStr">
        <is>
          <t>Data Engineer</t>
        </is>
      </c>
      <c r="C60" t="inlineStr">
        <is>
          <t>Northwell Health</t>
        </is>
      </c>
      <c r="D60" t="inlineStr">
        <is>
          <t>indeed</t>
        </is>
      </c>
      <c r="E60">
        <f>HYPERLINK("https://www.indeed.com/viewjob?jk=26f04246b2b1e087", "https://www.indeed.com/viewjob?jk=26f04246b2b1e087")</f>
        <v/>
      </c>
      <c r="F60">
        <f>HYPERLINK("https://d.hodes.com/r/tp2?e=se&amp;tv=pixel_tracker&amp;aid=northwell&amp;p=web&amp;se_ca=indeed&amp;se_ac=click&amp;se_la=22905609&amp;u=https%3A%2F%2Fjobs.northwell.edu%2Fjob-3%2F22905609%2Fdata-engineer-new-hyde-park-ny%2F%3Futm_medium%3Dsymphonytalent-jobads%26utm_campaign%3DDefault%2520Campaign%26utm_content%3DData%2520Engineer%26utm_term%3D179082%26utm_source%3DIndeed&amp;se_pr=e89741ad2a2fca11&amp;se_va=35&amp;tr_af=organic&amp;ti_id=1962_179082&amp;signature=NyZPdBC31rKMUPtxEYh9Ym5k7hnQFj1CvonD4VJq-eE", "https://d.hodes.com/r/tp2?e=se&amp;tv=pixel_tracker&amp;aid=northwell&amp;p=web&amp;se_ca=indeed&amp;se_ac=click&amp;se_la=22905609&amp;u=https%3A%2F%2Fjobs.northwell.edu%2Fjob-3%2F22905609%2Fdata-engineer-new-hyde-park-ny%2F%3Futm_medium%3Dsymphonytalent-jobads%26utm_campaign%3DDefault%2520Campaign%26utm_content%3DData%2520Engineer%26utm_term%3D179082%26utm_source%3DIndeed&amp;se_pr=e89741ad2a2fca11&amp;se_va=35&amp;tr_af=organic&amp;ti_id=1962_179082&amp;signature=NyZPdBC31rKMUPtxEYh9Ym5k7hnQFj1CvonD4VJq-eE")</f>
        <v/>
      </c>
      <c r="G60" t="inlineStr">
        <is>
          <t>New Hyde Park, NY, US</t>
        </is>
      </c>
      <c r="H60" s="3" t="n">
        <v>46054</v>
      </c>
      <c r="I60" t="inlineStr">
        <is>
          <t>Job Description
Analyzes and implements information systems to manage financial functions for Patient Financial Services/Accounts. Ensures systems compliance to applicable laws, regulatory standards and policies.
Job Responsibility
* Implements the information system initiatives to meet user requirements; communicates with user departments and project teams regarding implementation activities and system changes to ensure feasibility; develops system specifications that appropriately meet department requirements.
* Assesses the patient management inpatient and outpatient registration pathways for constant improvement and enhancement; incorporates financial regulatory requirements; administers system support for patient management system users; evaluates information technology to promote operational efficiency and financial reimbursement.
* Oversees managed care contracts; compiles and tracks managed care financial and statistical information related to contract development and financial impact analysis; maintains rate database and contractual terms of managed care contracts (prosthetics and implants, MR copying charges, etc.).
* Develops systems to track data in comprehensive and innovative ways; collaborates with hospital departments and outside vendors to facilitate managed care contract implementation; facilitates the implementation of managed care contracts.
* Responds to inquiries and interprets contract language as it relates to managed care; coordinates and maintains communication between the hospital and vendor(s) regarding system applications; coordinates communication with the vendor representative regarding enhancements, issues, etc. for the system applications.
* Reviews contractual obligations, ensures status of deliverables, and resolves related issues; performs periodic post\-installation reviews of system initiatives.
* Reviews and evaluates post\-installation processing per documented specifications; creates ad\-hoc reports to ensure system builds are functioning according to specifications and ensures accurate payments.
* Develops and conducts in\-services for Patient Financial Services/Accounts; creates appropriate in\-service training materials.
* Conducts system\-wide in\-services with managers and staff, as necessary; ensures systems compliance to applicable laws, regulatory standards and policies.
* Operates under general guidance and work assignments are varied and require interpretation and independent decisions on course of action.
* Performs related duties as required. All responsibilities noted here are considered essential functions of the job under the Americans with Disabilities Act. Duties not mentioned here, but considered related are not essential functions.
Job Qualification
* Bachelor's Degree required, or equivalent combination of education and related experience Minimum of two (2\) years of experience with Apache Hadoop, NoSQL, setting up cloud clusters, Apache Spark, and other advanced data science and big data technologies, required.
* Experience in software development in enterprise/ web/ cloud applications, solutioning, architecture and frameworks.
* Big data expertise with cloud and enterprise level design/implementation.
* Experience in architecting data warehouses and/or data lakes with traditional database enterprise\-class RDBMS technologies.
* Strong knowledge of programming languages/tools including: Java, Python, Spark, SQL, R, and Shell Scripts.
* **Additional Salary Detail**
The salary range and/or hourly rate listed is a good faith determination of potential base compensation that may be offered to a successful applicant for this position at the time of this job advertisement and may be modified in the future.When determining a team member's base salary and/or rate, several factors may be considered as applicable (e.g., location, specialty, service line, years of relevant experience, education, credentials, negotiated contracts, budget and internal equity).</t>
        </is>
      </c>
    </row>
    <row r="61">
      <c r="A61" t="inlineStr">
        <is>
          <t>in-22eb62609f003c90</t>
        </is>
      </c>
      <c r="B61" t="inlineStr">
        <is>
          <t>Lead Data Engineer</t>
        </is>
      </c>
      <c r="C61" t="inlineStr">
        <is>
          <t>Northwell Health</t>
        </is>
      </c>
      <c r="D61" t="inlineStr">
        <is>
          <t>indeed</t>
        </is>
      </c>
      <c r="E61">
        <f>HYPERLINK("https://www.indeed.com/viewjob?jk=22eb62609f003c90", "https://www.indeed.com/viewjob?jk=22eb62609f003c90")</f>
        <v/>
      </c>
      <c r="F61">
        <f>HYPERLINK("https://d.hodes.com/r/tp2?e=se&amp;tv=pixel_tracker&amp;aid=northwell&amp;p=web&amp;se_ca=indeed&amp;se_ac=click&amp;se_la=22890578&amp;u=https%3A%2F%2Fjobs.northwell.edu%2Fjob-3%2F22890578%2Flead-data-engineer-lake-success-ny%2F%3Futm_medium%3Dsymphonytalent-jobads%26utm_campaign%3DDefault%2520Campaign%26utm_content%3DLead%2520Data%2520Engineer%26utm_term%3D178721%26utm_source%3DIndeed&amp;se_pr=e89741ad2a2fca11&amp;se_va=35&amp;tr_af=organic&amp;ti_id=1962_178721&amp;signature=NyZPdBC31rKMUPtxEYh9Ym5k7hnQFj1CvonD4VJq-eE", "https://d.hodes.com/r/tp2?e=se&amp;tv=pixel_tracker&amp;aid=northwell&amp;p=web&amp;se_ca=indeed&amp;se_ac=click&amp;se_la=22890578&amp;u=https%3A%2F%2Fjobs.northwell.edu%2Fjob-3%2F22890578%2Flead-data-engineer-lake-success-ny%2F%3Futm_medium%3Dsymphonytalent-jobads%26utm_campaign%3DDefault%2520Campaign%26utm_content%3DLead%2520Data%2520Engineer%26utm_term%3D178721%26utm_source%3DIndeed&amp;se_pr=e89741ad2a2fca11&amp;se_va=35&amp;tr_af=organic&amp;ti_id=1962_178721&amp;signature=NyZPdBC31rKMUPtxEYh9Ym5k7hnQFj1CvonD4VJq-eE")</f>
        <v/>
      </c>
      <c r="G61" t="inlineStr">
        <is>
          <t>Lake Success, NY, US</t>
        </is>
      </c>
      <c r="H61" s="3" t="n">
        <v>46054</v>
      </c>
      <c r="I61" t="inlineStr">
        <is>
          <t>Job Description
Leads the implementation of information systems to manage financial functions for Patient Financial Services/Accounts. Oversees projects and initiatives to meet user requirements. Serves as a liaison between department (user) and vendors. Ensures systems compliance to applicable laws, regulatory standards and policies.
Job Responsibility
* Coordinates implementation of information system initiatives to meet user requirements.
* Communicates with user departments and project teams regarding implementation activities and system changes to ensure feasibility.
* Develops system specifications that appropriately meet department requirements.
* Develops systems to track data in comprehensive and innovative ways.
* Collaborates with hospital departments and outside vendors to facilitate managed care contract implementation.
* Coordinates and maintains communication between the hospital and vendor(s) regarding system applications.
* Performs periodic post\-installation reviews of system initiatives.
* Conducts system\-wide in\-services with managers and staff, as necessary.
* Ensures systems compliance to applicable laws, regulatory standards and policies.
* Uses knowledge and skills to contribute to the development of functional objectives and principles to achieve goals in innovative ways. Problems addressed are of diverse scope and complexity ranging from moderate to substantial.
* Performs related duties as required. All responsibilities noted here are considered essential functions of the job under the Americans with Disabilities Act. Duties not mentioned here, but considered related are not essential functions.
Job Qualification
* Bachelor's Degree required, or equivalent combination of education and related experience.
* 5\-7 years of relevant experience including technical experience with Apache Hadoop, NoSQL, setting up cloud clusters, Apache Spark, and other advanced data science and big data technologies, required.
HIGHLY PREFERRED
* Previous experience working with Google Cloud Platform (GCP), including BigQuery to build out data warehouses.
* Prior experience working in an Agile team, using Jira/Confluence.
* Prior experience writing and scheduling DAGs using Airflow.
* Proficiency in Python and SQL.
* Experience with CI/CD pipelines and version control systems (GitHub).
* Understanding of DevOps practices and SDLC (software development lifecycle) best practices.
Ability to understand and troubleshoot Microsoft SQL Server SSIS packages.  
* 
* **Additional Salary Detail**
The salary range and/or hourly rate listed is a good faith determination of potential base compensation that may be offered to a successful applicant for this position at the time of this job advertisement and may be modified in the future.When determining a team member's base salary and/or rate, several factors may be considered as applicable (e.g., location, specialty, service line, years of relevant experience, education, credentials, negotiated contracts, budget and internal equity).</t>
        </is>
      </c>
    </row>
    <row r="62">
      <c r="A62" t="inlineStr">
        <is>
          <t>in-2ae1fc51b85238e6</t>
        </is>
      </c>
      <c r="B62" t="inlineStr">
        <is>
          <t>Data Engineer Associate</t>
        </is>
      </c>
      <c r="C62" t="inlineStr">
        <is>
          <t>Teacher Retirement System of Texas</t>
        </is>
      </c>
      <c r="D62" t="inlineStr">
        <is>
          <t>indeed</t>
        </is>
      </c>
      <c r="E62">
        <f>HYPERLINK("https://www.indeed.com/viewjob?jk=2ae1fc51b85238e6", "https://www.indeed.com/viewjob?jk=2ae1fc51b85238e6")</f>
        <v/>
      </c>
      <c r="F62">
        <f>HYPERLINK("https://trs.csod.com/ux/ats/careersite/5/home/requisition/1349?c=trs&amp;lang=en-US&amp;source=IndeedATSSync&amp;jbid=-19", "https://trs.csod.com/ux/ats/careersite/5/home/requisition/1349?c=trs&amp;lang=en-US&amp;source=IndeedATSSync&amp;jbid=-19")</f>
        <v/>
      </c>
      <c r="G62" t="inlineStr">
        <is>
          <t>Austin, TX, US</t>
        </is>
      </c>
      <c r="H62" s="3" t="n">
        <v>46054</v>
      </c>
      <c r="I62" t="inlineStr">
        <is>
          <t>**Data Engineer Associate**  
**Requisition ID:** req1349  
**Employment Type:** Unclassified Regular Full\-Time (URF)  
**Division:** Enterprise Data \&amp; Analytics  
**Compensation:** 73,790\.00 \- 92,237\.00, Annual Salary  
**Job Closing:** 2/16/2026  
**Location:** TRS Headquarters Building 2
1900 Aldrich Street  
Austin, TX, 78723  
United States
**WHO WE ARE:**
The Information Technology (IT) Division lays the foundation for TRS to deliver excellent service experiences across the organization and with our members. We serve with purpose through mentorship and collaboration across a broad variety of teams unified by innovation to create technology and information solutions that have a positive impact on our members’ lives.
We invite you to join one of Austin’s Top Workplaces. TRS offers a best\-in\-class combination of technology and continuous learning opportunities to equip you to solve problems, expand your knowledge, and create impact for 1 in 20 Texans.  
The Data Engineer Associate is responsible for supporting the development and maintenance of data platforms and pipelines, ensuring smooth operations and data integrity. The incumbent will assist with ETL processes, CI/CD deployments, data modeling, managing data catalogs for accessibility, performing basic data analysis, creating reports and dashboards, and collaborating with stakeholders to support data\-driven applications and governance initiatives. This position works in a highly collaborative environment and contributes to Agile team activities, proactively partnering with the Data Engineering Team, IT staff, enterprise stakeholders, and agency employees. **WHAT WILL YOU DO:****Data Integration and Data Analysis*** Assist in managing data platforms, ensuring smooth operation and helping troubleshoot basic issues.
* Support in building and maintaining ETL pipelines, ensuring data is properly processed and transferred between systems.
* Assist in the implementation of CI/CD deployment processes to streamline data pipeline deployments.
* Assist in creating and maintaining basic data models to ensure structured data storage and accessibility.
* Help manage data catalogs to maintain an organized and easily accessible repository of data resources.
* Perform administrative tasks and assist in basic system administration duties, contributing to the overall management and upkeep of data systems.
* Assist in managing data permission, ensuring proper access control and data security.
* Contribute to the maintenance and optimization of the data warehouse, ensuring data integrity and availability.
* Help develop data\-driven applications, contributing to the creation of data solutions that support business needs.
* Conduct basic data analysis and assist in larger data analysis projects, providing insights and support to business stakeholders.
* Participate in scrum activities and gain exposure to Agile methodologies.
* Generate basic reports using reporting tools, and provide support in more advanced reporting tasks as required.
* Work with stakeholders to gather requirements and assist in defining project scopes and objectives.
* Assists in developing visually appealing and intuitive dashboards that provide visibility into key performance, risk and control indicators across agency divisions and departments.
**Support data and AI Governance**
* Identify and register new data sources into the data catalog.
* Tag datasets with relevant metadata (e.g., business terms, sensitivity level, owner).
* Connect the catalog to data sources, BI tools, and ETL pipelines.
* Automate metadata ingestion from new systems.
* Implement APIs for catalog queries and updates.
* Work with data stewards to classify data assets
* Provide guidance on how to search and use the catalog effectively.
* Create documentation and training materials for business users.
* Gather feedback to improve catalog usability.
Performs related work as assigned.  
**WHAT WILL YOU BRING** **Required Education*** Bachelor's degree from an accredited college or university in computer information systems, computer science, data management, information systems, information science, mathematics or a closely related field.
* High School diploma or equivalent and additional full\-time experience data pipeline builds and implementation may be substituted on an equivalent year\-for\-year basis.
 **Required Experience*** One (1\) year of full\-time experience in data pipeline builds and implementation; utilizing ETL tools for creating ETL scripts; Power BI or equivalent modern data visualization package or related experience.
* Experience may be concurrent.
* A master's degree or doctoral degree in a closely related field may be substituted on an equivalent year\-for\-year basis.
 **Required Registration, Certification, or Licensure*** None.
 **Preferred Qualifications*** Experience with data architecture and modeling.
* Experience with Microsoft Fabric, Databricks, Snowflake, Spark, SQL, Python and cloud platforms.
* Experience with data encryption (REST, SOAP, XML, JSON) and web services (SSL, SSH, SFTP, Certificates).
* Experience with AI and Data Governance
 **Knowledge, Skills, and Abilities****Knowledge of:*** Strong knowledge of business intelligence tools, databases, SQL, and object\-oriented programming languages to support data analysis and predictive analytics.
* Database modeling and data warehousing principles.
* System development life cycle concepts.
* Basic understanding of data platforms, assist in platform management.
* Understand basic ETL concepts, assist in building pipelines.
* Basic knowledge of data architecture and modeling.
* Basic familiarity with Microsoft Fabric, Databricks, Snowflake, Spark, and cloud platforms.
* Basic understanding of data encryption (REST, SOAP, XML, JSON) and web services (SSL, SSH, SFTP, Certificates).
* Basic proficiency in Python and SQL.
* Understanding of data governance principles and metadata management practices.
**Skills in:*** Experience using technical and statistical analysis skills to deliver clear, concise, and visually appealing management metrics and reports to inform decision making and actions.
* Writing report queries, including an understanding of relational databases.
* Business process analysis and problem solving.
* Completing detailed work with a high degree of accuracy.
* Planning, organizing, and prioritizing work assignments to manage a high\-volume workload in a fast\-paced and changing environment.
* Using a computer in a Windows environment with Microsoft Office word processing, spreadsheet, and other business software.
* Effective written and verbal communications, including explaining complex information to others in an understandable manner and writing clear and precise policies, procedures, and training or other materials.
* Working in a team environment and influence a diverse group of stakeholders.
**Ability to:*** Operate effectively in a fast\-paced environment with competing and shifting priorities.
* Continually learn new concepts and tools to support job needs, and strive for ongoing professional development.
* Establish and maintain harmonious working relationships with co\-workers, agency staff, and external contacts.
* Work effectively in a professional team environment.
* Ability to assist with automating metadata ingestion and contribute to improving catalog usability through user feedback.
* Support integration of data catalogs with BI tools, ETL pipelines, and APIs under guidance.
* Participate in Scrum activities, basic understanding of Agile
**Military Occupational Specialty (MOS) Codes:**
Veterans, Reservists or Guardsmen with experience in the Military Occupational Specialty ( https://www.trs.texas.gov/files/trs\-military\-crosswalk.xlsx ) along with the minimum qualifications listed above may meet the minimum requirements and are highly encouraged to apply. Please contact Talent Acquisition at careers@trs.texas.gov with questions or for additional information.
To view all job vacancies, visit www.trs.texas.gov/careers or www.trs.csod.com/careersite.
For more information, visit www.trs.texas.gov.</t>
        </is>
      </c>
    </row>
    <row r="63">
      <c r="A63" t="inlineStr">
        <is>
          <t>in-117e468063abdaf0</t>
        </is>
      </c>
      <c r="B63" t="inlineStr">
        <is>
          <t>Senior Data Engineer</t>
        </is>
      </c>
      <c r="C63" t="inlineStr">
        <is>
          <t>Sollis Health</t>
        </is>
      </c>
      <c r="D63" t="inlineStr">
        <is>
          <t>indeed</t>
        </is>
      </c>
      <c r="E63">
        <f>HYPERLINK("https://www.indeed.com/viewjob?jk=117e468063abdaf0", "https://www.indeed.com/viewjob?jk=117e468063abdaf0")</f>
        <v/>
      </c>
      <c r="F63">
        <f>HYPERLINK("https://grnh.se/br8wm9v83us", "https://grnh.se/br8wm9v83us")</f>
        <v/>
      </c>
      <c r="G63" t="inlineStr">
        <is>
          <t>Remote, US</t>
        </is>
      </c>
      <c r="H63" s="3" t="n">
        <v>46054</v>
      </c>
      <c r="I63" t="inlineStr">
        <is>
          <t>The Senior Data Engineer reports to the Sr Director of Engineering and is responsible for defining and implementing a unified data architecture to streamline and enhance data access, storage, and reporting across the company. You will define standards and best practices for data governance, meet with and understand the data and reporting needs of various teams, and create robust reporting mechanisms. Additionally, you will lead efforts to integrate AI technologies into our data workflows to unlock predictive insights and advanced analytics capabilities.
**The role is open to remote work in the following states only** **California, Colorado, Connecticut, Florida, Illinois, Louisiana, Maryland, Nevada, New Jersey, New York, Pennsylvania, Texas, Virginia, Washington and Wisconsin.**
**Responsibilities**
* Design and implement a scalable, robust, and consistent data architecture, aligned with business objectives, that supports both operational and analytical needs.
* Own and support data pipelines integrating data sourced across multiple systems. Deliver a highly available data platform leveraged by business users across the enterprise.
* Partner with engineering teams to integrate AI and machine learning models into the data architecture, enabling predictive analytics, automation, and improved decision\-making capabilities.
* Work closely with business and project stakeholders to deliver data solutions for a diverse set of problems.
* Help ensure security, privacy, and compliance for all data assets and workflows.
* Create comprehensive documentation for data processes, structures, and pipelines. Provide training and support to ensure best practices are followed throughout the organization. Design and develop data pipelines for data collection, analysis, and related functions.
* Establish and enforce data governance standards, ensuring data consistency, accuracy, and integrity across all systems and departments.
* Provide thought leadership for technical architecture design, development, and deployment to support enterprise\-wide data needs.
* Performs related duties as requested
**Experience**
* Bachelor's Degree in Computer Science, Data Science, Mathematics, Statistics, Econometrics, Economics, or related field
* 7\+ years of experience in data architecture, data engineering, or related roles.
* Strong proficiency in database management systems (SQL, NoSQL), data warehousing, and data modeling techniques including Azure data technologies such as Azure Fabric, Azure One Lake, Azure SQL, Azure Data Factory, Azure Data Lake, Azure Cosmos DB
* Solid understanding of data governance, security practices, and privacy laws (HIPAA, CCPA).
* Excellent problem\-solving skills and a strategic mindset with the ability to influence key stakeholders.
* Prior Experience working in healthcare, clinical experience preferred
**Comp \&amp; Benefits:**
Range: $130,000\-$155,000 \+ Bonus \+ Equity
This is the range of pay for candidates nationally. Sollis is a multi\-state employer and this rate/range may not reflect the pay for positions that are performed solely in localities outside of this location. Furthermore, actual pay is dependent on several factors that may include but are not limited to years of experience within the job, years of experience within the required industry, location, education, etc.
Our people are our greatest asset, so we designed a comprehensive compensation and benefit package that matches. Some of our offerings include:
* Excellent benefits, including healthcare, dental, vision
* 401K with 3% match
* Unlimited PTO and Generous Sick Time
* 12 Observed holidays
* Free Sollis Health membership for you and your eligible family members
* Employee stock options offering
* Annual professional development allocations
* Modern, elegant, and high\-end work environment
**About Sollis Health**
Sollis Health is the first and only medical membership that's on\-demand 24/7, 365\. We live up to the concierge promise: with just one call, our members experience unparalleled care and follow\-up on their schedule and their terms.
Our members never wonder if it's a "real" emergency. They simply call Sollis for immediate access to ER\-trained medical teams, on\-site labs and imaging, expedited specialist appointments, and care navigation that's all under one roof. With unlimited 24/7 virtual and in\-person support from locations in Manhattan, the Hamptons, Los Angeles, South Florida, and San Francisco, Sollis puts our members in first class by handling all medical issues—big or small—with expert concierge care anytime, anywhere.</t>
        </is>
      </c>
    </row>
    <row r="64">
      <c r="A64" t="inlineStr">
        <is>
          <t>in-53b5c10836fb956e</t>
        </is>
      </c>
      <c r="B64" t="inlineStr">
        <is>
          <t>Data Engineer - Secret</t>
        </is>
      </c>
      <c r="C64" t="inlineStr">
        <is>
          <t>Parsons</t>
        </is>
      </c>
      <c r="D64" t="inlineStr">
        <is>
          <t>indeed</t>
        </is>
      </c>
      <c r="E64">
        <f>HYPERLINK("https://www.indeed.com/viewjob?jk=53b5c10836fb956e", "https://www.indeed.com/viewjob?jk=53b5c10836fb956e")</f>
        <v/>
      </c>
      <c r="F64">
        <f>HYPERLINK("https://jobs.parsons.com/jobs/data-engineer-secret-quantico-r-174528-jobs--engineering--", "https://jobs.parsons.com/jobs/data-engineer-secret-quantico-r-174528-jobs--engineering--")</f>
        <v/>
      </c>
      <c r="G64" t="inlineStr">
        <is>
          <t>Quantico, VA, US</t>
        </is>
      </c>
      <c r="H64" s="3" t="n">
        <v>46054</v>
      </c>
      <c r="I64" t="inlineStr">
        <is>
          <t>In a world of possibilities, pursue one with endless opportunities. Imagine Next!  
At Parsons, you can imagine a career where you thrive, work with exceptional people, and be yourself. Guided by our leadership vision of valuing people, embracing agility, and fostering growth, we cultivate an innovative culture that empowers you to achieve your full potential. Unleash your talent and redefine what’s possible. **Job Description:**
Parsons is looking for an amazingly talented **Data Engineer** to join our team! In this role, you will collaborate directly with federal clients and cross\-functional teams to maintain streaming data solutions. You'll deploy and manage Kafka clusters in Kubernetes environments, gather requirements onsite, and provide feedback while participating in agile ceremonies, design reviews, and customer demos to ensure seamless delivery of innovative data pipelines.
*This role supports a hybrid schedule, requiring at least three days per week on\-site or as needed.*
**What You'll Be Doing:**
* Work directly with federal clients and cross\-functional teams to deliver Kafka\-based streaming data solutions
* Design, develop, and maintain Kafka applications and data pipelines
* Deploy and manage Kafka clusters in Kubernetes environments
* Collaborate onsite with customers to gather requirements and provide technical guidance
* Participate in agile ceremonies, design reviews, and customer demonstrations
**What Required Skills You'll Bring:**
* B.S. in Software Engineering, Computer Science, or related field (or equivalent experience)
* 3\+ years software engineering experience
* Strong Java development skills with experience building production applications
* Hands\-on experience with Apache Kafka \- topics, partitions, consumer groups, and basic operations
* Strong communication and client\-facing skills with the ability to translate technical concepts for diverse audiences and work directly with customers
* Experience with distributed systems concepts and troubleshooting
* Experience with Linux environments and basic scripting (bash/shell)
* Experience with Git and modern development workflows
* Familiarity with Kubernetes or container orchestration platforms
* Active Secret clearance is required
**What Desired Skills You'll Bring:**
* Kafka Connect connector development or Kafka Streams experience
* Kubernetes operators (Strimzi) or stateful workload management
* Infrastructure as Code (Terraform, Ansible, etc.)
* CI/CD and DevSecOps practices
* Monitoring tools (Prometheus, Grafana, etc.)
* Agile methodology experience
**Security Clearance Requirement:**
An active Secret security clearance is required for this position.
This position is part of our Federal Solutions team.
The Federal Solutions segment delivers resources to our US government customers that ensure the success of missions around the globe. Our intelligent employees drive the state of the art as they provide services and solutions in the areas of defense, security, intelligence, infrastructure, and environmental. We promote a culture of excellence and close\-knit teams that take pride in delivering, protecting, and sustaining our nation's most critical assets, from Earth to cyberspace. Throughout the company, our people are anticipating what’s next to deliver the solutions our customers need now.
Salary Range: $100,900\.00 \- $176,600\.00
We value our employees and want our employees to take care of their overall wellbeing, which is why we offer best\-in\-class benefits such as medical, dental, vision, paid time off, 401(k), life insurance, flexible work schedules, and holidays to fit your busy lifestyle!
Parsons is an equal opportunity employer, and all qualified applicants will receive consideration for employment without regard to race, color, religion, sex, national origin, disability, veteran status or any other protected status.
We truly invest and care about our employee’s wellbeing and provide endless growth opportunities as the sky is the limit, so aim for the stars! Imagine next and join the Parsons quest—APPLY TODAY!
Parsons is aware of fraudulent recruitment practices. To learn more about recruitment fraud and how to report it, please refer to https://www.parsons.com/fraudulent\-recruitment/.
COMPETITIVE BENEFIT OFFERINGS  
Financial Wellness  
We care about your financial wellbeing. Parsons offers competitive pay and retirement plans to help you build wealth for the future while giving you the flexibility to diversify your investments.
Work Life Harmony  
Balance in life is important and time away from the office is imperative to allow you to refresh and focus your attention on the things that matter to you. Parsons supports your time away by providing paid time off and paid flexible holidays.
Career Development  
We are committed to fostering the personal and professional growth of our employees. Develop and advance yourself though our comprehensive training, educational and mentorship programs.  
Veteran Support  
We provide Industry leading benefits to support veterans and active\-duty members to provide security for you and your family by offering robust leave and benefits; including paid active\-duty military leave and paid time off when transitioning back to civilian life.
Mind \&amp; Body  
At Parsons we inspire healthier habits, heathier minds, and a healthier you through our wellness program. Participate in our weekly Meditation Mondays and Wellness Wednesdays. Wellness, at Parsons, is more than just your annual checkup.
Health  
Health is not a one size fits all. At Parsons, we offer a robust Employee Assistance Program as well as comprehensive medical, dental and vision plans through large, national carriers with the choice of regional PPO, HDHP, or HMO networks.</t>
        </is>
      </c>
    </row>
    <row r="65">
      <c r="A65" t="inlineStr">
        <is>
          <t>in-793ce58afe774433</t>
        </is>
      </c>
      <c r="B65" t="inlineStr">
        <is>
          <t>Data Engineer</t>
        </is>
      </c>
      <c r="C65" t="inlineStr">
        <is>
          <t>Globant</t>
        </is>
      </c>
      <c r="D65" t="inlineStr">
        <is>
          <t>indeed</t>
        </is>
      </c>
      <c r="E65">
        <f>HYPERLINK("https://www.indeed.com/viewjob?jk=793ce58afe774433", "https://www.indeed.com/viewjob?jk=793ce58afe774433")</f>
        <v/>
      </c>
      <c r="F65">
        <f>HYPERLINK("https://career.globant.com/", "https://career.globant.com/")</f>
        <v/>
      </c>
      <c r="G65" t="inlineStr">
        <is>
          <t>MN, US</t>
        </is>
      </c>
      <c r="H65" s="3" t="n">
        <v>46054</v>
      </c>
      <c r="I65" t="inlineStr">
        <is>
          <t>At Globant, we are working to make the world a better place, one step at a time. We enhance business development and enterprise solutions to prepare them for a digital future. With a diverse and talented team present in more than 30 countries, we are strategic partners to leading global companies in their business process transformation.  
We seek a **Data Engineer** who shares our passion for innovation and change. This role is critical to helping our business partners evolve and adapt to consumers' personalized expectations in this new technological era.  
**Position Overview:** As a Data Engineer with a focus on Artificial Intelligence (AI), you will be responsible for designing and developing interactive dashboards and reports using Microsoft Power BI and/or Tableau. You will collaborate closely with cross\-functional teams to transform complex data into meaningful visualizations and insights that drive decision\-making and enhance customer service technology initiatives. Your expertise in data analysis, visualization, and AI integration will be essential in providing stakeholders with actionable insights into customer interactions and operational performance.  
**YOU’LL GET THE CHANCE TO:**
* **Dashboard Development:**
	+ Design, develop, and maintain interactive Power BI dashboards and reports that visualize key metrics and performance indicators related to customer service technologies, incorporating AI\-driven insights where applicable.
* **AI Integration:**
	+ Collaborate with data scientists and AI specialists to integrate machine learning models and AI algorithms into BI solutions, enhancing the predictive capabilities of dashboards and reports.
* **Data Integration:**
	+ Work with data engineers and analysts to gather and integrate data from various sources, including agent desktop systems, chat logs, IVR data, and self\-service interactions, ensuring that AI\-enhanced data sources are utilized effectively.
* **User Requirements Gathering:**
	+ Engage with stakeholders to understand their reporting needs and translate business requirements into effective Power BI solutions, including the identification of opportunities for AI applications in reporting.
* **Data Modeling:**
	+ Create and optimize data models in Power BI to ensure efficient data retrieval and processing, enhancing the performance of reports and dashboards, while considering the integration of AI\-generated data.
* **Performance Monitoring:**
	+ Monitor and troubleshoot Power BI reports and dashboards, ensuring data accuracy and reliability while providing timely updates to stakeholders, including insights derived from AI analytics.
* **Training and Support:**
	+ Provide training and support to end\-users, helping them navigate Power BI dashboards and utilize AI\-driven insights for informed decision\-making.
* **Documentation:**
	+ Create and maintain documentation for Power BI reports, data sources, and processes, ensuring transparency and facilitating knowledge sharing within the team, particularly regarding AI methodologies used.
* **Continuous Improvement:**
	+ Stay current with the latest Power BI features, AI advancements, and best practices, applying insights to improve existing dashboards and reporting solutions.
**WHAT WILL HELP YOU SUCCEED:**
* **Education:** Bachelor’s degree in Computer Science, Data Science, Information Technology, Business Analytics, or a related field.
* **Experience:** 3\+ years of experience in developing reports and dashboards using Microsoft Power BI, preferably within the healthcare insurance or technology sectors, with a focus on AI applications.
* **Data Skills:** Strong knowledge of data visualization best practices and experience with data transformation and modeling using Power Query and DAX, along with familiarity with AI and machine learning concepts.
* **BI Tools:** Proficiency in Power BI, Tableau, or Salesforce Data Cloud; experience with Snowflake Database Management is a plus.
* **Database Management:** Proficiency in SQL and experience with databases (e.g., SQL Server, Oracle, MySQL) for data retrieval and integration.
* **Analytical Skills:** Excellent analytical and problem\-solving abilities, with a keen attention to detail and a commitment to delivering high\-quality results.
* **Communication Skills:** Strong verbal and written communication skills, with the ability to effectively present complex information to diverse audiences.
* **Team Collaboration:** Proven ability to work collaboratively in cross\-functional teams, fostering a culture of data\-driven decision\-making and innovation.
We are interested in hard\-working, fast\-learning talents and we have the know\-how and scale to help you make your own career path. If you seek an entrepreneurial, flexible and team\-oriented culture, come join us.  
We are ready!</t>
        </is>
      </c>
    </row>
    <row r="66">
      <c r="A66" t="inlineStr">
        <is>
          <t>in-b8dc78b78f7983ed</t>
        </is>
      </c>
      <c r="B66" t="inlineStr">
        <is>
          <t>Senior Analytics Engineer</t>
        </is>
      </c>
      <c r="C66" t="inlineStr">
        <is>
          <t>Kikoff</t>
        </is>
      </c>
      <c r="D66" t="inlineStr">
        <is>
          <t>indeed</t>
        </is>
      </c>
      <c r="E66">
        <f>HYPERLINK("https://www.indeed.com/viewjob?jk=b8dc78b78f7983ed", "https://www.indeed.com/viewjob?jk=b8dc78b78f7983ed")</f>
        <v/>
      </c>
      <c r="F66">
        <f>HYPERLINK("https://jobs.ashbyhq.com/kikoff/d438ff54-293b-4338-9b11-19f1ff5a4ae6?utm_source=6az5KrxXy3", "https://jobs.ashbyhq.com/kikoff/d438ff54-293b-4338-9b11-19f1ff5a4ae6?utm_source=6az5KrxXy3")</f>
        <v/>
      </c>
      <c r="G66" t="inlineStr">
        <is>
          <t>San Francisco, CA, US</t>
        </is>
      </c>
      <c r="H66" s="3" t="n">
        <v>46054</v>
      </c>
      <c r="I66" t="inlineStr">
        <is>
          <t>**Senior Analytics Engineer, Finance**
Kikoff is a high\-growth fintech startup building products to create fair, effective, and simple financial pathways to help 100M Americans reach their financial goals. Investors include Lightspeed, Coatue and GGV. Our founders are serial entrepreneurs who co\-founded and served as C\-suite executives.
Skip the bureaucracy of a big company and work with a seasoned team. We balance best practices from our experience in post\-IPO companies with the familiar intuition that comes from pre\-IPO zero\-to\-one work.
**You will:**
* **Build and maintain data pipelines and models** that power finance reporting, transforming raw data into reliable, well\-documented datasets using tools like dbt and Dagster.
* **Design and automate financial reporting workflows**, replacing manual processes with scalable, self\-service solutions for accounting, FP\&amp;A, and capital markets teams.
* **Collaborate across finance and engineering** to translate business requirements into technical specifications and maintain data accuracy across systems.
* **Drive data reconciliation efforts** between internal systems, external vendors, and the general ledger—identifying discrepancies and implementing automated validation checks.
* **Develop and maintain key financial metrics and dashboards** that provide ongoing visibility into product and business performance.
* **Support capital markets efforts** by building reliable, repeatable processes for loan tape generation and lender reporting requirements.
* **Partner cross\-functionally** with product, marketing, and operations to deliver data\-driven insights that optimize financial projections and inform decision\-making
* **Champion data quality and documentation**, ensuring reporting solutions are accurate, reliable, and performant.
**We’re looking for someone who has:**
* Bachelor's or above in a quantitative discipline: Computer Science, Engineering, Statistics, Economics, or related field
* 2\+ years of work experience in analytics engineering, data engineering, or a related role. 4 years of experience preferred.
* **Strong SQL skills;** experience with data transformation tools like dbt is a plus.
* **Proficiency in Python** for data manipulation and automation.
* **Experience with modern data stack tools** such as Snowflake, Dagster \| Airflow, Metabase, and Amplitude, with a demonstrated ability to create actionable insights from data.
* **A track record of building automated reporting solutions** that reduce manual work and improve data accessibility
* **Attention to detail** and the ability to work with large datasets to uncover meaningful patterns and trends.
* **Intellectually curious and self\-driven** to learn more in an unstructured environment.
* **Prior experience working with finance teams is a plus** but not required.
* **Project management and organizational skills**, with the ability to manage multiple priorities and meet deadlines.
**Kikoff: A FinTech Unicorn Powering Financial Progress with AI**  
At Kikoff, our mission is to provide radically affordable financial tools to help consumers achieve financial security. We're a profitable, high growth FinTech unicorn serving millions of people, many of whom are building credit or navigating life paycheck to paycheck. With innovative technology and AI, we simplify credit building, reduce debt, and expand access to financial opportunities to those who need them the most. Founded in 2019, Kikoff is headquartered in San Francisco and backed by top\-tier VC investors and NBA star Stephen Curry.
**Why Kikoff:**
This is a consumer fintech startup, and you will be working with serial entrepreneurs who have built strong consumer brands and innovative products. We value extreme ownership, clear communication, a strong sense of craftsmanship, and the desire to create lasting work and work relationships. Yes, you can build an exciting business AND have real\-life real\-customer impact.
**Competitive pay based on experience**
Medical, dental, and vision coverage \- Kikoff covers the full cost of health insurance for the employee!
Meaningful equity in the form of RSU's
20 days of paid time off per year — we encourage taking real time away to recharge and do your best work
US salary range for this full\-time position consists of base \+ equity \+ benefits
Location: Hybrid San Francisco, CA
**Visa sponsorship available: Kikoff is willing to provide sponsorship for H1\-B visas and U.S. green cards for exceptional talent.**
Equal Employment Opportunity Statement
Kikoff Inc. is an equal opportunity employer. We are committed to complying with all federal, state, and local laws providing equal employment opportunities and considers qualified applicants without regard to race, color, religion, creed, gender, national origin, age, disability, veteran status, marital status, pregnancy, sex, gender expression or identity, sexual orientation, citizenship, or any other legally protected class.
Please reference the following information for more information:
https://www.eeoc.gov/sites/default/files/migrated\_files/employers/poster\_screen\_reader\_optimized.pdfhttps://www.dol.gov/ofccp/regs/compliance/posters/pdf/OFCCP\_EEO\_Supplement\_Final\_JRF\_QA\_508c.pdf
Compensation Range: $200K \- $260K</t>
        </is>
      </c>
    </row>
    <row r="67">
      <c r="A67" t="inlineStr">
        <is>
          <t>in-74b0073cc3f9c82b</t>
        </is>
      </c>
      <c r="B67" t="inlineStr">
        <is>
          <t>Senior Data Engineer</t>
        </is>
      </c>
      <c r="C67" t="inlineStr">
        <is>
          <t>Bestow</t>
        </is>
      </c>
      <c r="D67" t="inlineStr">
        <is>
          <t>indeed</t>
        </is>
      </c>
      <c r="E67">
        <f>HYPERLINK("https://www.indeed.com/viewjob?jk=74b0073cc3f9c82b", "https://www.indeed.com/viewjob?jk=74b0073cc3f9c82b")</f>
        <v/>
      </c>
      <c r="F67">
        <f>HYPERLINK("https://jobs.ashbyhq.com/bestow/2d2063f7-ff3d-44d9-8da8-0a3bf226b461?utm_source=dMvJ1M2JzV", "https://jobs.ashbyhq.com/bestow/2d2063f7-ff3d-44d9-8da8-0a3bf226b461?utm_source=dMvJ1M2JzV")</f>
        <v/>
      </c>
      <c r="G67" t="inlineStr">
        <is>
          <t>Dallas, TX, US</t>
        </is>
      </c>
      <c r="H67" s="3" t="n">
        <v>46054</v>
      </c>
      <c r="I67" t="inlineStr">
        <is>
          <t>**ABOUT BESTOW**
----------------
Life insurance is one of the world's most important products. It's also one of the hardest to build, distribute, and modernize. Bestow exists to change that.
Bestow is a leading vertical technology platform serving some of the largest and most innovative life insurers. Our platform unifies the fragmented, legacy value chain, enabling carriers to launch products in weeks instead of years. Carriers choose us to scale and operate at unprecedented speed, powered by AI and automation.
Bestow isn't selling policies. We're building the infrastructure that helps an entire industry move faster, reach more people, and deliver on its promise.
Backed by leading investors (Goldman Sachs, Hedosophia, NEA, Valar, 8VC) and trusted by major carriers, Bestow is powered by a team that moves with precision, purpose, and heart. If you want to help reimagine a centuries\-old industry with lasting impact, join us.
Bestow offers flexible remote/hybrid work, meaningful benefits, equity, and substantial growth opportunities.
*Bestow participates in the* *E\-Verify Program**.*
The Senior Data Engineer at Bestow sits at the intersection of execution and architecture. You will not only build robust pipelines but also design scalable data models, design toward real\-time data sharing systems, mentor junior engineers, and own critical components of the data platform. You will bridge the gap between "making it work" and "making it scale." This role reports to the Senior Manager of Analytics.
**ABOUT THE TEAM**
------------------
The Bestow Data Engineering team plays a significant role within the organization, working across the entire company to provide scalable data solutions within the platform and toward integrations with external partners. The team works closely with the internal analytics, data science, and engineering teams to improve platform integrations, data architecture, and serve data science predictions.
**WHAT YOU’LL DO**
------------------
* Transform and build robust solutions for transferring data from first and third\-party applications to and from our data warehouse
* Envision and design toward industry patterns on data exchange with our enterprise clients through a mix of traditional push delivery, cloud, and event\-driven (eg: API, grpc) data sharing methods.
* Support implementation and data integration as new partners roll onto the Bestow platform, and recommend improvements on configurability of platform.
* Making decisions as a team. The things you build will be maintained and improved upon by others; there is a shared responsibility to make defensible design considerations and high collaboration.
* Champion test\-first design principles, proactively writing tests before code to maintain high coverage and pipeline reliability.
* Develop hardened and repeatable (CI/CD) data models and pipelines to enable reporting, modeling and machine learning.
* Ensure data quality through automated monitoring and alerting, and occasionally serving within an on\-call rotation.
* Leverage Google Cloud (GCP) tools (eg: Cloud Run, Cloud Functions, Vertex AI, App Engine, Cloud Storage, IAM, etc.) and services (eg: Astronomer \- Apache Airflow) to bring data workloads to production.
* Drive and support MLOps to improve Data Science monitoring and governance
* Enable and support Generative AI (eg: LLM) pipelines, allowing internal teams to quickly prototype. Support the architecture and rollout of GenAI products and features into the marketplace.
* Collaborate with product, engineering, stakeholders and data teams to deliver informed solutions to platform and client needs
**WHO YOU ARE**
---------------
* 6\+ years working in a data engineering role supporting incoming/outgoing products for internal and external customers.
* 4\+ years demonstrated expertise in designing an end\-to\-end data pipeline in cloud frameworks (such as GCP, AWS, Azure) with requirements from multiple stakeholders.
* 4\+ years of Python experience writing efficient, testable, and readable code
* 2\+ years of experience in building streaming data ingestion pipelines
* 1\+ year of ML (Machine Learning) support and implementation or MLOps.
* Advanced SQL expertise with columnar databases (BigQuery, Snowflake, Amazon Redshift) and performance tuning.
* Demonstrated experience with AI Coding assistants – AI tools are heavily engrained in Bestow culture.
* Cloud Native: Deep experience with cloud services (GCP preferred: Cloud Run, Pub/Sub, BigQuery) and containerization (Docker/Kubernetes).
* Demonstrated experience with AI Coding assistants – AI tools are heavily engrained in Bestow culture.
* Orchestration: Expert\-level knowledge of Apache Airflow (DAG optimization, custom operators).
* Experience building CICD pipelines for data processing using tools such as Docker, CircleCI, dbt, git, etc
* Infrastructure as Code: Proven experience managing infrastructure using Terraform or Pulumi.
* Experience with creating alerts and monitoring pipelines which contribute to overall data governance.
* Familiarity with standard IT security practices such as identity and access management (IAM), data protection, encryption, certificate, and key management.
* Adaptability to learn new technologies and products as the job demands.
* Nice to have: Familiarity with building tools that draw upon Generative AI (GenAI) integrations (Enterprise\-grade, not simply vibe\-coded).
* Nice to have: experience with data contracts, data lakes, and API development
**TOTAL REWARDS**
-----------------
At Bestow, we’re proud to be awarded for our team members, innovative products, and culture. Our standard benefits include:
* Competitive salary and equity based on role
* Policies and managers that support work/life balance, like our flexible paid time off and parental leave programs
* 100% paid\-premium option for medical, dental, and vision insurance
* Lifestyle stipend to support your physical, emotional, and financial wellbeing
* Flexible work\-from\-home policy and open to remote
* Remote and WFH options, as well as a beautiful, state\-of\-the\-art office in Dallas’ Deep Ellum, for those who prefer an office setting
* Employee\-led diversity, equity, and inclusion initiatives
Recent Employer Awards include:
* Best Place for Working Parents 2023 \+ 2024 \+ 2025
* Great Place to Work Certified, 2022 \+ 2023 \+ 2024 \+ 2025
* Built In Best Places to Work, 2022 \+ 2023 \+ 2025
* Fortune’s Best Workplaces in Texas 2022 \+ 2023
* Fortune’s Best Workplaces in Financial Services and Insurance 2022 \+ 2023 \+ 2024
We value diversity at Bestow. The company will hire, recruit, and promote regardless of race, color, religion, sex, sexual orientation, gender identity or expression, national origin, pregnancy or maternity, veteran status, or any other status protected by applicable law. We understand the importance of creating a safe and comfortable work environment and encourage individualism and authenticity in every team member.
Thanks for considering a job at Bestow!
Compensation Range: $134\.5K \- $158\.5K</t>
        </is>
      </c>
    </row>
    <row r="68">
      <c r="A68" t="inlineStr">
        <is>
          <t>in-5db49071848a4bfa</t>
        </is>
      </c>
      <c r="B68" t="inlineStr">
        <is>
          <t>Senior Data Engineer</t>
        </is>
      </c>
      <c r="C68" t="inlineStr">
        <is>
          <t>Intone Networks</t>
        </is>
      </c>
      <c r="D68" t="inlineStr">
        <is>
          <t>indeed</t>
        </is>
      </c>
      <c r="E68">
        <f>HYPERLINK("https://www.indeed.com/viewjob?jk=5db49071848a4bfa", "https://www.indeed.com/viewjob?jk=5db49071848a4bfa")</f>
        <v/>
      </c>
      <c r="F68">
        <f>HYPERLINK("https://intonenetworks.com/careers-at-intone", "https://intonenetworks.com/careers-at-intone")</f>
        <v/>
      </c>
      <c r="G68" t="inlineStr">
        <is>
          <t>Washington, DC, US</t>
        </is>
      </c>
      <c r="H68" s="3" t="n">
        <v>46054</v>
      </c>
      <c r="I68" t="inlineStr">
        <is>
          <t>Title \- Senior Data Engineer Location \- Washington DC Duration \- 6\+ months Hybrid onsite</t>
        </is>
      </c>
    </row>
    <row r="69">
      <c r="A69" t="inlineStr">
        <is>
          <t>in-14986575126a3ace</t>
        </is>
      </c>
      <c r="B69" t="inlineStr">
        <is>
          <t>Data Engineer Co-Op</t>
        </is>
      </c>
      <c r="C69" t="inlineStr">
        <is>
          <t>Bose</t>
        </is>
      </c>
      <c r="D69" t="inlineStr">
        <is>
          <t>indeed</t>
        </is>
      </c>
      <c r="E69">
        <f>HYPERLINK("https://www.indeed.com/viewjob?jk=14986575126a3ace", "https://www.indeed.com/viewjob?jk=14986575126a3ace")</f>
        <v/>
      </c>
      <c r="F69">
        <f>HYPERLINK("https://boseallaboutme.wd503.myworkdayjobs.com/en-US/Bose_Careers/job/US-MA---Framingham/Data-Engineer-Co-Op_R28594-1", "https://boseallaboutme.wd503.myworkdayjobs.com/en-US/Bose_Careers/job/US-MA---Framingham/Data-Engineer-Co-Op_R28594-1")</f>
        <v/>
      </c>
      <c r="G69" t="inlineStr">
        <is>
          <t>Framingham, MA, US</t>
        </is>
      </c>
      <c r="H69" s="3" t="n">
        <v>46054</v>
      </c>
      <c r="I69" t="inlineStr">
        <is>
          <t>At Bose Corporation, we believe sound is the most powerful force on earth — and for over 60 years, we have been a company built on innovation, excellence, and independence. Privately owned, fiercely customer\-focused, and driven by our values, we continue to lead industries and transform lives through sound.  
Today, Bose Corporation is entering an exciting new era. Across multiple global Business Units and Global Functions, we are shaping the future of audio technology, automotive, luxury, and premium experiences. We invite you to join us in this transformation.
**Job Description**
===================
**THE PROGRAM**
We're looking for students to join our Co\-Op Program who are obsessively curious about 'what's next'. You'll get hands on experience with our products and learn from the best of the best in the business. You will immerse yourself into Bose for 6 months and get the opportunity to grow the skills your learned in the classroom with hands on work experience. By the time you end your time with us, you will have been given the opportunity to truly make a real impact in the future of Bose and your career!
Opportunities don't stop at your day\-to\-day work. While you're getting an in depth look at your area of expertise, we'll expose you to other areas of the company. Our Co\-Ops are given the opportunity to connect with senior leadership across the business to understand different perspectives at Bose. You'll network with other Co\-Ops and colleagues to grow your network for the future!
**Fall Co\-op: Candidates must be available to work full\-time (40 hours per week) in a hybrid, in\-office format from July 13 through December 18, 2026\. No relocation assistance is available.**
**Being currently authorized to work in the U.S. is a precondition of employment for this position.**
**THE ROLE**  
The Bose Data Engineering team is responsible for design, development and enhancement of Bose Data Platforms (Analytics \&amp; Customer Data Platforms) in leading and supporting Advanced Analytics. This team is highly impactful and a key enabler of Bose Digital journey by playing a central role in the Data driven transformation.  
What you will be working on?
As a junior Data Engineer, you will work closely with internal customers to build and design data pipelines, spanning from data acquisition to data pipelines ML model deployment and monitoring. Being part of an agile delivery team, you will design, develop, deploy, and support data pipelines, applying best practices and implementing necessary integrations with our Data Platform ecosystem. This role requires a passion for operations, AWS Serverless solutions, Python, and SQL coding.
Under the supervision of a Senior Data Engineer, some of your responsibilities will include:
· Continuing the full life cycle management of data pipelines: designing, developing, and providing production support for data pipelines that support customer experiences on connected devices, web applications, and mobile applications.
· Staying up to date on relevant technologies, participating in user groups, understanding trends, and identifying opportunities to ensure the adoption of the best techniques and tools. For instance, we are currently utilizing Snowflake, databricks , and AWS Serverless technologies.
· Collaborating with AWS Cloud Architects to optimize and evaluate scalable, serverless solutions, becoming the Subject Matter Expert (SME) for AWS solutions.
· Working in multi\-functional agile teams to continuously experiment, iterate, and deliver on new data product objectives .
Candidates should have a bachelors in Computer Science and working towards masters
At Bose, you're inspired to be and do your best and are rewarded for your unique talents! Our compensation is thoughtfully tailored to your skills, experience, education, and location, and goes beyond base salary. The hiring range for this position in the primary work location of Framingham, Massachusetts is: $29\.00\-$37\.25 per hour.The hiring range for other Bose work locations may vary.\&amp;\#xa;\&amp;\#xa;In addition to competitive base pay we offer rewards including bonus programs, comprehensive health and welfare benefits, a 401(k) plan, plus exclusive perks designed to support your wellbeing, and a generous employee discount where you can immerse yourself in our products and experiences. We are a proudly independent company—driven by purpose, guided by our values, and united by a belief in the power of sound. As the world leader in audio experiences, we’re creating what’s next—pushing boundaries and delivering transformative sound experiences for people everywhere. Join us and make your next career move a mic\-drop. Let’s Make Waves.
‎
Bose is an equal opportunity employer. We evaluate qualified applicants without regard to race, color, religion, sex, sexual orientation, gender identity, genetic information, national origin, age, disability, veteran status, or any other legally protected characteristics. The EEOC’s “Know Your Rights: Workplace discrimination is illegal” Poster is available here: https://www.eeoc.gov/sites/default/files/2023\-06/22\-088\_EEOC\_KnowYourRights6\.12ScreenRdr.pdf. Bose is committed to providing reasonable accommodations to individuals with disabilities. If you require reasonable accommodation in completing this application, interviewing, completing any pre\-employment testing, or otherwise participating in the employee selection process, please direct your inquiries to applicant\_disability\_accommodationrequest@bose.com. Please include "Application Accommodation Request" in the subject of the email.
‎
Our goal is to create an atmosphere where every candidate feels supported and empowered in the interviewing process. Diversity and inclusion are integral to our success, and we believe that providing reasonable accommodation is not only a legal obligation but also a fundamental aspect of our commitment to being an employer of choice. We recognize that individuals may have different needs and requirements based on their abilities, and we provide reasonable accommodations to ensure ideal conditions are met during the application process.</t>
        </is>
      </c>
    </row>
    <row r="70">
      <c r="A70" t="inlineStr">
        <is>
          <t>in-4f75dea88908702b</t>
        </is>
      </c>
      <c r="B70" t="inlineStr">
        <is>
          <t>Data Analytics Engineer Co-op</t>
        </is>
      </c>
      <c r="C70" t="inlineStr">
        <is>
          <t>Bose</t>
        </is>
      </c>
      <c r="D70" t="inlineStr">
        <is>
          <t>indeed</t>
        </is>
      </c>
      <c r="E70">
        <f>HYPERLINK("https://www.indeed.com/viewjob?jk=4f75dea88908702b", "https://www.indeed.com/viewjob?jk=4f75dea88908702b")</f>
        <v/>
      </c>
      <c r="F70">
        <f>HYPERLINK("https://boseallaboutme.wd503.myworkdayjobs.com/en-US/Bose_Careers/job/US-MA---Framingham/Data-Analytics-Engineer-Co-op_R28605", "https://boseallaboutme.wd503.myworkdayjobs.com/en-US/Bose_Careers/job/US-MA---Framingham/Data-Analytics-Engineer-Co-op_R28605")</f>
        <v/>
      </c>
      <c r="G70" t="inlineStr">
        <is>
          <t>Framingham, MA, US</t>
        </is>
      </c>
      <c r="H70" s="3" t="n">
        <v>46054</v>
      </c>
      <c r="I70" t="inlineStr">
        <is>
          <t>At Bose Corporation, we believe sound is the most powerful force on earth — and for over 60 years, we have been a company built on innovation, excellence, and independence. Privately owned, fiercely customer\-focused, and driven by our values, we continue to lead industries and transform lives through sound.  
Today, Bose Corporation is entering an exciting new era. Across multiple global Business Units and Global Functions, we are shaping the future of audio technology, automotive, luxury, and premium experiences. We invite you to join us in this transformation.
**Job Description**
===================
**About the Role:**  
We are looking for a **Data Analytics Engineering Co\-op** to join our **Data and Analytics Center of Excellence (D\&amp;A CoE)** . This role provides an exciting opportunity to gain hands\-on experience in the data and analytics engineering work that drives a multi\-billion dollar business like Bose. You will work alongside experienced professionals to develop and support data\-driven solutions that enhance business strategies and improve customer experiences.
As a **Data Analytics Engineering Co\-op** , you will assist in transforming raw, diverse datasets into meaningful insights. This includes data pipeline development and modeling work that supports business analysts as well as data scientists who are creating AI solutions. Applications include marketing, engineering, product development, supply chain, and finance. You will work with a modern technology stack, including AWS and Snowflake, and write code using engineering best practices. This role is ideal for someone who is eager to learn, detail\-oriented, and passionate about leveraging data to drive decision\-making. Quality data models are the foundation of what we do in the D\&amp;A CoE, from executive level reporting to AI models that optimize our business.
**Key Responsibilities:**
* Assist in the development and maintenance of business\-critical data pipelines, typically built in SQL and Python
* Support the design and implementation of logical and physical data models to enhance data accessibility.
* Conduct data wrangling and preprocessing to clean and structure datasets for analysis.
* Help build and maintain semantic layers to enable dashboard development and data science work.
* Contribute to new tools and techniques that make data analytics engineering more efficient and effective.
* Work with cross\-functional teams to understand business requirements and translate them into data solutions.
* Assist in creating dashboards and reports that provide actionable insights for business teams.
* Learn and apply best practices for data governance, security, and quality assurance.
MUST BE:
* Fully available July 13\- December 2026
* Currently enrolled in university
* Willing to relocate on your own to Framingham, MA
At Bose, you're inspired to be and do your best and are rewarded for your unique talents! Our compensation is thoughtfully tailored to your skills, experience, education, and location, and goes beyond base salary. The hiring range for this position in the primary work location of Framingham, Massachusetts is: $29\.00\-$37\.25 per hour.The hiring range for other Bose work locations may vary.\&amp;\#xa;\&amp;\#xa;In addition to competitive base pay we offer rewards including bonus programs, comprehensive health and welfare benefits, a 401(k) plan, plus exclusive perks designed to support your wellbeing, and a generous employee discount where you can immerse yourself in our products and experiences. We are a proudly independent company—driven by purpose, guided by our values, and united by a belief in the power of sound. As the world leader in audio experiences, we’re creating what’s next—pushing boundaries and delivering transformative sound experiences for people everywhere. Join us and make your next career move a mic\-drop. Let’s Make Waves.
‎
Bose is an equal opportunity employer. We evaluate qualified applicants without regard to race, color, religion, sex, sexual orientation, gender identity, genetic information, national origin, age, disability, veteran status, or any other legally protected characteristics. The EEOC’s “Know Your Rights: Workplace discrimination is illegal” Poster is available here: https://www.eeoc.gov/sites/default/files/2023\-06/22\-088\_EEOC\_KnowYourRights6\.12ScreenRdr.pdf. Bose is committed to providing reasonable accommodations to individuals with disabilities. If you require reasonable accommodation in completing this application, interviewing, completing any pre\-employment testing, or otherwise participating in the employee selection process, please direct your inquiries to applicant\_disability\_accommodationrequest@bose.com. Please include "Application Accommodation Request" in the subject of the email.
‎
Our goal is to create an atmosphere where every candidate feels supported and empowered in the interviewing process. Diversity and inclusion are integral to our success, and we believe that providing reasonable accommodation is not only a legal obligation but also a fundamental aspect of our commitment to being an employer of choice. We recognize that individuals may have different needs and requirements based on their abilities, and we provide reasonable accommodations to ensure ideal conditions are met during the application process.</t>
        </is>
      </c>
    </row>
    <row r="71">
      <c r="A71" t="inlineStr">
        <is>
          <t>in-e12285b7b4a33f09</t>
        </is>
      </c>
      <c r="B71" t="inlineStr">
        <is>
          <t>Data Engineer</t>
        </is>
      </c>
      <c r="C71" t="inlineStr">
        <is>
          <t>Stellantis</t>
        </is>
      </c>
      <c r="D71" t="inlineStr">
        <is>
          <t>indeed</t>
        </is>
      </c>
      <c r="E71">
        <f>HYPERLINK("https://www.indeed.com/viewjob?jk=e12285b7b4a33f09", "https://www.indeed.com/viewjob?jk=e12285b7b4a33f09")</f>
        <v/>
      </c>
      <c r="F71">
        <f>HYPERLINK("https://careers.stellantis.com/job/22937065/data-engineer/", "https://careers.stellantis.com/job/22937065/data-engineer/")</f>
        <v/>
      </c>
      <c r="G71" t="inlineStr">
        <is>
          <t>Auburn Hills, MI, US</t>
        </is>
      </c>
      <c r="H71" s="3" t="n">
        <v>46054</v>
      </c>
      <c r="I71" t="inlineStr">
        <is>
          <t>Job ID: 2014906  
Career Area: Engineering  
Job Category: Salaried
Location: Headquarters \&amp; Technology Center – Auburn Hills  
48326, US  
Date Posted: February 2, 2026  
Brand: FCA Group
The AI \&amp; Data Analytics Team is looking for a Senior Data Engineer to join our team. In this role, you will be responsible for designing, building, and optimizing robust data pipelines that process massive datasets in both batch and real\-time. You will work at the intersection of software engineering and data science, ensuring that our data architecture is scalable, reliable, and follows industry best practices.  
Priorities can change in a fast\-paced environment like ours, so this role includes, but is not limited to, the following responsibilities:
* Pipeline Development: Design and implement complex data processing pipelines using Apache Spark.
* Architectural Leadership: Build scalable, distributed systems that handle high\-throughput data streams and large\-scale batch processing.
* Infrastructure as Code: Manage and provision cloud infrastructure using Terraform.
* CI/CD \&amp; Automation: Streamline development workflows by implementing and maintaining GitHub Actions for automated testing and deployment.
* Code Quality: Uphold rigorous software engineering standards, including comprehensive unit/integration testing, code reviews, and maintainable documentation.
* Collaboration: Work closely with stakeholders to translate business requirements into technical specifications.
**EOE/Disability/Veteran**
At Stellantis, we assess candidates based on qualifications, merit, and business needs. We welcome applications from all people without regard to sex, age, ethnicity, nationality, religion, sexual orientation, disability, or any characteristic protected by law. We believe that diverse teams reflect our identity as a global company, enabling us to better address the evolving needs of our customers and care for our future.
Our benefits reflects the STELLANTIS commitment to helping you reach your personal and professional goals. In addition to an environment that promotes career development, we offer benefits for a healthy lifestyle and a rewarding future, designed to take care of you and your family, in various stages of life.
As a global company, our employee packages will vary by country, customary norms and the legal entity into which you are hired.
We care about your privacy. For more information on how your personal data is processed, please read the specific Privacy Statement provided by the respective entities whose job offer you have selected.</t>
        </is>
      </c>
    </row>
    <row r="72">
      <c r="A72" t="inlineStr">
        <is>
          <t>in-ece4a39da5127c98</t>
        </is>
      </c>
      <c r="B72" t="inlineStr">
        <is>
          <t>Data Engineer</t>
        </is>
      </c>
      <c r="C72" t="inlineStr">
        <is>
          <t>Stellantis</t>
        </is>
      </c>
      <c r="D72" t="inlineStr">
        <is>
          <t>indeed</t>
        </is>
      </c>
      <c r="E72">
        <f>HYPERLINK("https://www.indeed.com/viewjob?jk=ece4a39da5127c98", "https://www.indeed.com/viewjob?jk=ece4a39da5127c98")</f>
        <v/>
      </c>
      <c r="F72">
        <f>HYPERLINK("https://recruiting.adp.com/srccsh/public/RTI.home?r=5001176436406&amp;c=2183219&amp;d=ExternalCareerSite&amp;rb=INDEED&amp;idUnique=5001176436406", "https://recruiting.adp.com/srccsh/public/RTI.home?r=5001176436406&amp;c=2183219&amp;d=ExternalCareerSite&amp;rb=INDEED&amp;idUnique=5001176436406")</f>
        <v/>
      </c>
      <c r="G72" t="inlineStr">
        <is>
          <t>Auburn Hills, MI, US</t>
        </is>
      </c>
      <c r="H72" s="3" t="n">
        <v>46054</v>
      </c>
      <c r="I72" t="inlineStr">
        <is>
          <t>The AI \&amp; Data Analytics Team is looking for a Senior Data Engineer to join our team. In this role, you will be responsible for designing, building, and optimizing robust data pipelines that process massive datasets in both batch and real\-time. You will work at the intersection of software engineering and data science, ensuring that our data architecture is scalable, reliable, and follows industry best practices.
Priorities can change in a fast\-paced environment like ours, so this role includes, but is not limited to, the following responsibilities:  
* Pipeline Development: Design and implement complex data processing pipelines using Apache Spark.
* Architectural Leadership: Build scalable, distributed systems that handle high\-throughput data streams and large\-scale batch processing.
* Infrastructure as Code: Manage and provision cloud infrastructure using Terraform.
* CI/CD \&amp; Automation: Streamline development workflows by implementing and maintaining GitHub Actions for automated testing and deployment.
* Code Quality: Uphold rigorous software engineering standards, including comprehensive unit/integration testing, code reviews, and maintainable documentation.
* Collaboration: Work closely with stakeholders to translate business requirements into technical specifications.
Requirements:
**Required Qualifications****:*** BA/BSc in Computer Science, Engineering, Mathematics, or a related technical discipline
* 5\+ years of experience in the data engineering and software development life cycle.
* 4\+ years of hands\-on experience in building and maintaining production data applications, current experience in both relational and columnar data stores.
* 4\+ years of hands\-on experience working with AWS cloud services
* Comprehensive experience with one or more programming languages such as Python, Java, or Rust
* Comprehensive experience working with Big Data platforms (i.e., Spark, Google Big Query, Azure, AWS S3, etc.)
* Familiarity with time series database, data streaming applications, event driven architectures, Kafka, Flink, and more
* Experience with workflow management engines (i.e., Airflow, Luigi, Azure Data Factory, etc.)
* Experience with designing and implementing real\-time pipelines
* Experience with data quality and validation
* Experience with API design
* Distributed Computing: Deep expertise in Apache Spark (Core, SQL, and Structured Streaming).
* Programming Mastery: Strong proficiency in Scala or Java. You should be comfortable building production\-grade applications in a JVM\-based environment.
* SQL Proficiency: Advanced knowledge of SQL for data transformation, analysis, and performance tuning.
* DevOps \&amp; Tools: Hands\-on experience with Terraform for infrastructure management and GitHub Actions for CI/CD pipelines.
* Software Engineering Foundation: Solid understanding of data structures, algorithms, and design patterns. Experience applying "Clean Code" principles to data engineering.
* Stream Processing: Experience with Apache Flink for low\-latency stream processing.
* Scripting: Proficiency in Python for automation, data analysis, or scripting.
* Cloud Platforms: Experience with AWS, Azure, or GCP data services (e.g., EMR, Glue, Databricks).
* Data Modeling: Familiarity with dimensional modeling, Lakehouse architectures (Delta Lake, Iceberg), or NoSQL databases.
**Preferred Experience:**
* Comprehensive knowledge of relational database concepts, including; data architecture, operational data stores, Interface processes, multidimensional modeling, master data management, and data manipulation
* Expert knowledge and experience with custom ETL design, implementation and maintenance
* Comprehensive experience designing, implementing, and iterating data pipelines using Big Data technologies
* Certification in AWS or other cloud providers
* Experience with Databricks notebook workflows
* Experience with Terraform</t>
        </is>
      </c>
    </row>
    <row r="73">
      <c r="A73" t="inlineStr">
        <is>
          <t>in-20e8bdb2d5861b2c</t>
        </is>
      </c>
      <c r="B73" t="inlineStr">
        <is>
          <t>Jr. Data Engineer</t>
        </is>
      </c>
      <c r="C73" t="inlineStr">
        <is>
          <t>MOHELA</t>
        </is>
      </c>
      <c r="D73" t="inlineStr">
        <is>
          <t>indeed</t>
        </is>
      </c>
      <c r="E73">
        <f>HYPERLINK("https://www.indeed.com/viewjob?jk=20e8bdb2d5861b2c", "https://www.indeed.com/viewjob?jk=20e8bdb2d5861b2c")</f>
        <v/>
      </c>
      <c r="F73">
        <f>HYPERLINK("https://recruiting.adp.com/srccsh/public/RTI.home?r=5001176838800&amp;c=2207521&amp;d=MohelaCareerSite&amp;rb=INDEED&amp;idUnique=5001176838800", "https://recruiting.adp.com/srccsh/public/RTI.home?r=5001176838800&amp;c=2207521&amp;d=MohelaCareerSite&amp;rb=INDEED&amp;idUnique=5001176838800")</f>
        <v/>
      </c>
      <c r="G73" t="inlineStr">
        <is>
          <t>Remote, US</t>
        </is>
      </c>
      <c r="H73" s="3" t="n">
        <v>46054</v>
      </c>
      <c r="I73" t="inlineStr">
        <is>
          <t>**POSITION OVERVIEW:**
We are seeking a junior Data Engineer to provide support and enhancement of our Enterprise Data Warehouse. The role focuses on supporting and modernizing ETL processes within an on\-premises Cloudera Data Platform (CDP) environment, adopting technologies like Apache Spark, Apache Iceberg, and Apache Airflow for scalable, efficient, and reliable data transformation and management. The ideal candidate will have knowledge of the ETL development, along with experience participating in production support environments.
Essential job functions:
* **Development**
* Contribute development efforts for ETL pipelines in the Enterprise Data Warehouse (EDW)
* Support and rebuild legacy ETL jobs (currently not using ACID transactions) with modern solutions using Apache Spark and Apache Iceberg to support ACID transactions.
* Transform and integrate EBCDIC Mainframe data into Hive and Impala tables using Precisely Connect for Big Data.
* Optimize data transformation processes for performance, scalability, and reliability.
* Ensure data consistency, accuracy, and quality across the ETL pipelines.
* Utilizes best practices for ETL code development, version control, and deployment using Azure DevOps.
* **Production Support**
* Shares weekly 24/7 production support with managed service vendor on a 4\-week rotation.
* Monitor ETL workflows and troubleshoot issues to ensure smooth production operations.
* Research and resolve user requests and issues
* **Collaboration and Stakeholder Engagement**
* Collaborate with cross\-functional teams, including data engineers, business analysts, administrators, and quality analyst engineers to ensure alignment on requirements and deliverables.
* Engage with business stakeholders to understand data requirements and translate them into scalable technical solutions.
* **Technical Governance**
* Contribute to process documentation, and follow best practices within the Enterprise Data Warehouse
* Follow proper SDLC protocols within Azure DevOps code repository
* Stay updated on emerging technologies and trends to continuously improve data platform capabilities.
* Other tasks as assigned by management
**MINIMUM REQUIREMENTS:**
* Bachelor's degree in IT or similar field. *(Additional equivalent experience above the required minimum may be substituted for the degree requirement.)*
* Basic SQL experience
* Basic Python and general SDLC best practices.
* Basic Linux operations skills.
* Familiarity with version control systems
* Familiarity with data modeling, schema design, and building data models for reporting needs.
* Understanding of ETL frameworks, ACID transactions, change data capture, and distributed computing.
* Effective communication and collaboration abilities to collaborate with diverse teams and stakeholders.
* Timeline centric mindset
* This position requires (6C) personnel security screening in accordance with the U.S. Department of Education's (ED) policy regarding the personnel security screening requirements for all contractor and subcontractor employees. A qualified applicant must successfully submit for personnel security screening within 14 calendar days from employment offer.
**PREFERRED QUALIFICATIONS:**
* Experience with Cloudera Data Platform (CDP), including Hive and Impala
* Knowledge of Precisely Connect for Big Data or similar tools for mainframe data transformation</t>
        </is>
      </c>
    </row>
    <row r="74">
      <c r="A74" t="inlineStr">
        <is>
          <t>in-8079ad4e819ef002</t>
        </is>
      </c>
      <c r="B74" t="inlineStr">
        <is>
          <t>Data Architect - Data Engineer III - AI/ML Engineer</t>
        </is>
      </c>
      <c r="C74" t="inlineStr">
        <is>
          <t>Truist</t>
        </is>
      </c>
      <c r="D74" t="inlineStr">
        <is>
          <t>indeed</t>
        </is>
      </c>
      <c r="E74">
        <f>HYPERLINK("https://www.indeed.com/viewjob?jk=8079ad4e819ef002", "https://www.indeed.com/viewjob?jk=8079ad4e819ef002")</f>
        <v/>
      </c>
      <c r="F74">
        <f>HYPERLINK("https://careers.truist.com/us/en/job/TBJTBFUSR0110820EXTERNALENUS/Data-Architect-Data-Engineer-III-AI-ML-Engineer?utm_source=indeed&amp;utm_medium=phenom-feeds", "https://careers.truist.com/us/en/job/TBJTBFUSR0110820EXTERNALENUS/Data-Architect-Data-Engineer-III-AI-ML-Engineer?utm_source=indeed&amp;utm_medium=phenom-feeds")</f>
        <v/>
      </c>
      <c r="G74" t="inlineStr">
        <is>
          <t>Charlotte, NC, US</t>
        </is>
      </c>
      <c r="H74" s="3" t="n">
        <v>46054</v>
      </c>
      <c r="I74" t="inlineStr">
        <is>
          <t>**The position is described below. If you want to apply, click the Apply Now button at the top or bottom of this page. After you click Apply Now and complete your application, you'll be invited to create a profile, which will let you see your application status and any communications. If you already have a profile with us, you can log in to check status.**
Need Help?
*If you have a disability and need assistance with the application, you can request a reasonable accommodation. Send an email to* *Accessibility* *(accommodation requests only; other inquiries won't receive a response).*
**Regular or Temporary:**
Regular**Language Fluency:** English (Required)
**Work Shift:**
1st shift (United States of America)### **Please review the following job description:**
The Data Engineer 3 is responsible for sourcing, analyzing, documenting and maintaining data assets related to Corporate and Institutional Group portfolio and operational processes. Ensure processes deliver data that are accurate, complete, current, understandable and accessible. This role will leverage extensive knowledge across multiple lines of business and data expertise. Responsible for leading projects end to end independently. As an entry‑level AI/ML Engineer, you will help design, build, and support AI‑driven applications across AWS and Azure cloud environments. Working alongside senior engineers and architects, you’ll contribute to machine learning pipelines, LLM\-based agent workflows, and distributed application components using AWS AgentCore and Azure Service Fabric. This role is ideal for early‑career engineers who are eager to learn modern AI engineering practices and grow into more advanced responsibilities.
ESSENTIAL DUTIES AND RESPONSIBILITIES  
Following is a summary of the essential functions for this job. Other duties may be performed, both major and minor, which are not mentioned below. Specific activities may change from time to time.
* Lead research, analyze, design, develop and/or maintain data assets in support of projects, information needs and business requirements. Perform analysis, validation and interpretation of outputs.
* Take ownership of issues through resolution, including close coordination with line of business (LOB) partners, Enterprise Data Office and Enterprise Information Services.
* Have a deep understanding of critical application systems and ability to transform data assets to aid in consumption by BI developers, decision \&amp; data scientists across the bank.
* Utilize the full array of data tools including static, SQL, R, Python, SAS to organize and format data assets by defining requirements and implementing automated repeatable solutions.
* Conduct business analysis, respond to change; solve highly complex business and data problems
* Manage appropriate security, compliance, privacy considerations and follow data management guidance. Train junior team members in coding efficiently and accurately.
* Prioritize and manage ad hoc data pulls, in depth analysis and reporting efforts to LOB partners and management.
* Develop solutions and recommendations for improving data integrity issues. Analyze data issues and work with development teams for problem resolutions. Identify problematic areas and conduct research to determine the best course of action to correct the data, identify, analyze and interpret trends and patterns in complex datasets.
* Foster communication and partnership across multiple levels of the organization including engagement with mid\-level managers.
* Work closely with senior AI/ML engineers, cloud engineers, and data scientists to learn architecture patterns, coding standards, and best practices.
* Participate in team standups, design discussions, and code reviews to build strong engineering fundamentals.
* Collaborate with product managers and cross‑functional teams to understand requirements and support feature development.
* Ask questions proactively and contribute to a supportive, curiosity‑driven team culture focused on growth and innovation.
* Partner with more experienced team members to break down tasks, estimate work, and deliver high‑quality code on schedule.
* Share learnings, create documentation, and help strengthen team knowledge through demos or internal presentations.
QUALIFICATIONS  
Required Qualifications:  
The incumbent must demonstrate a combination of academic aptitude, quantitative skills, business acumen, working knowledge of key application systems, strategic and creative thinking and excellent written and oral communications skills. Specific requirements are listed below. Reasonable accommodations may be made to enable individuals with disabilities to perform the essential functions.
1\. Bachelor's degree and 8\+ years of experience in a quantitative field such as Finance, Mathematics, Analytics, Data Science, Computer Science, or Engineering.  
2\. Demonstrated knowledge and skill in strategic data assets warehousing and transactional application data concepts and technology.  
3\. Proven experience with data engineering and ability to manage large data volumes.  
4\. Demonstrate understanding of data analytics life cycle methodologies including data cleansing and preparation methodologies  
5\. Strong familiarity with data extraction in a variety of environments (e.g., SQL, SAS, etc.).  
6\. Experience in managing multiple projects with tight deadlines in a collaborative environment.  
7\. Maintain a high level of competency in analytical principles, tools, and techniques.
Preferred Qualifications:
1\. Master's degree in field such as Finance, Mathematics, Analytics, Data Science, Computer Science, or Engineering.
2\. 10\+ years of experience in a quantitative field such as Finance, Mathematics, Analytics, Data Science, Computer Science or Engineering
3\. Strong foundation in Python and basic experience with ML libraries such as Scikit‑learn, TensorFlow, PyTorch, or HuggingFace.
4\. Understanding of machine learning concepts: dataset preparation, training/validation, evaluation, and inference.
5\. Familiarity with cloud fundamentals (AWS or Azure), containers (Docker), Git, and command‑line workflows.
6\. Eagerness to learn AWS AgentCore, Azure Service Fabric, and enterprise‑scale AI application development.
7\. Ability to write clean, maintainable code and follow software engineering best practices.
8\. Strong analytical thinking, curiosity, and willingness to explore new AI and cloud technologies.
**General Description of Available Benefits for Eligible Employees of Truist Financial Corporation:** All regular teammates (not temporary or contingent workers) working 20 hours or more per week are eligible for benefits, though eligibility for specific benefits may be determined by the division of Truist offering the position. Truist offers medical, dental, vision, life insurance, disability, accidental death and dismemberment, tax\-preferred savings accounts, and a 401k plan to teammates. Teammates also receive no less than 10 days of vacation (prorated based on date of hire and by full\-time or part\-time status) during their first year of employment, along with 10 sick days (also prorated), and paid holidays. For more details on Truist’s generous benefit plans, please visit our Benefits site. Depending on the position and division, this job may also be eligible for Truist’s defined benefit pension plan, restricted stock units, and/or a deferred compensation plan. As you advance through the hiring process, you will also learn more about the specific benefits available for any non\-temporary position for which you apply, based on full\-time or part\-time status, position, and division of work.
***Truist is an Equal Opportunity Employer that does not discriminate on the basis of race, gender, color, religion, citizenship or national origin, age, sexual orientation, gender identity, disability, veteran status, or other classification protected by law. Truist is a Drug Free Workplace.***
EEO is the Law E\-Verify IER Right to Work</t>
        </is>
      </c>
    </row>
    <row r="75">
      <c r="A75" t="inlineStr">
        <is>
          <t>in-975fb26894e1ef83</t>
        </is>
      </c>
      <c r="B75" t="inlineStr">
        <is>
          <t>Data Scientist 1- Data Engineer</t>
        </is>
      </c>
      <c r="C75" t="inlineStr">
        <is>
          <t>Truist</t>
        </is>
      </c>
      <c r="D75" t="inlineStr">
        <is>
          <t>indeed</t>
        </is>
      </c>
      <c r="E75">
        <f>HYPERLINK("https://www.indeed.com/viewjob?jk=975fb26894e1ef83", "https://www.indeed.com/viewjob?jk=975fb26894e1ef83")</f>
        <v/>
      </c>
      <c r="F75">
        <f>HYPERLINK("https://careers.truist.com/us/en/job/TBJTBFUSR0110887EXTERNALENUS/Data-Scientist-1-Data-Engineer?utm_source=indeed&amp;utm_medium=phenom-feeds", "https://careers.truist.com/us/en/job/TBJTBFUSR0110887EXTERNALENUS/Data-Scientist-1-Data-Engineer?utm_source=indeed&amp;utm_medium=phenom-feeds")</f>
        <v/>
      </c>
      <c r="G75" t="inlineStr">
        <is>
          <t>Atlanta, GA, US</t>
        </is>
      </c>
      <c r="H75" s="3" t="n">
        <v>46054</v>
      </c>
      <c r="I75" t="inlineStr">
        <is>
          <t>**The position is described below. If you want to apply, click the Apply Now button at the top or bottom of this page. After you click Apply Now and complete your application, you'll be invited to create a profile, which will let you see your application status and any communications. If you already have a profile with us, you can log in to check status.**
Need Help?
*If you have a disability and need assistance with the application, you can request a reasonable accommodation. Send an email to* *Accessibility* *(accommodation requests only; other inquiries won't receive a response).*
**Regular or Temporary:**
Regular**Language Fluency:** English (Required)
**Work Shift:**
1st shift (United States of America)### **Please review the following job description:**
Apply advanced analytical and statistical methods to convert complex data into clear, actionable insights that enhance business performance and reduce enterprise risk. This role requires strong data manipulation skills and hands\-on experience working with large datasets across multiple platforms. Candidates should have 2\+ years of experience using SAS, SQL, Python, and Excel, along with a solid understanding of database structures and data warehousing concepts. The individual will collaborate with cross\-functional teams to identify trends, optimize processes, and support data driven decision\-making across the organization.  
LOCATION:  
Please note that candidate must be located in \*or\* willing to self\-relocate to one of the following locations:  
Charlotte, NC  
Atlanta, GA  
Truist 'in office' requirement is 5 days per week. No full remote or relocation assistance available at this time.**ESSENTIAL DUTIES AND RESPONSIBILITIES**  
Following is a summary of the essential functions for this job. Other duties may be performed, both major and minor, which are not mentioned below. Specific activities may change from time to time.  
1\. Independently perform sophisticated data analytics (ranging from classical econometrics to machine learning, neural networks, and natural language processing) in a variety of environments using structured and unstructured data.  
2\. Produce compelling data visualizations to communicate insights and influence outcomes among a wide array of stakeholders.  
3\. Take accountability and ownership of end\-to\-end data science solution design, technical delivery, and measurable business outcome.  
4\. Engage in stakeholder meetings to identify business objectives and scope solution requirements.  
5\. With minimal guidance, write, document, and deploy custom code in a variety of environments (Python, SAS, R, etc.) to create predictive analytics applications.  
6\. Use, maintain, share and collaborate through Truist internal code repositories to foster continual learning and cross\-pollination of skillsets.  
7\. Actively research and advocate adoption of emerging methods and technologies in the data science field, with the eye of continually advancing Truist’s capabilities.  
8\. Exercise sound judgment and fosters risk management culture throughout design, development, and deployment practices; partner with cross\-functional teams to coordinate rules on data usage, data governance and analytics capabilities.
 **QUALIFICATIONS**  
**Required Qualifications:**  
The requirements listed below are representative of the knowledge, skill and/or ability required. Reasonable accommodations may be made to enable individuals with disabilities to perform the essential functions.  
1\. Bachelor’s degree and zero to four or more years of experience in a quantitative field such as Finance, Mathematics, Analytics, Data Science, Computer Science, or Engineering, or equivalent education and related training  
2\. Exhibit understanding of statistical methods, including a broad understanding of classical statistics, probability theory, econometrics, time\-series, and primary statistical tests  
3\. Familiarity with linear algebra concepts for optimization, complex matrix operations, eigenvalue decompositions, and principal components; working knowledge of calculus/differential equations, with understanding of stochastic processes  
4\. Demonstrate understanding of data cleansing and preparation methodologies, including regex, filtering, indexing, interpolation, and outlier treatment  
5\. Strong familiarity with data extraction in a variety of environments (SQL, JQuery, etc.)  
6\. Working knowledge of Hadoop, Pig, Hive, and/or NoSQL, Spark  
7\. Experience in managing multiple projects with tight deadlines in a collaborative environment
**Preferred Qualifications:**  
1\. Master’s degree or MBA and 3 years of related experience.
2\. Strong understanding of database languages (SQL), spreadsheet, and data analysis tools (Excel, SAS, and or Python).  
3\. Previous experience in the banking industry.
 **OTHER JOB REQUIREMENTS / WORKING CONDITIONS**
**Sitting**  
Constantly (More than 50% of the time)  
**Visual / Audio / Speaking**  
Able to access and interpret client information received from the computer and able to hear and speak with individuals in person and on the phone.  
**Manual Dexterity / Keyboarding**  
Able to work standard office equipment, including PC keyboard and mouse, copy/fax machines, and printers.  
**Availability**  
Able to work all hours scheduled, including overtime as directed by manager/supervisor and required by business need.  
**Travel**  
Minimal and up to 10%
**General Description of Available Benefits for Eligible Employees of Truist Financial Corporation:** All regular teammates (not temporary or contingent workers) working 20 hours or more per week are eligible for benefits, though eligibility for specific benefits may be determined by the division of Truist offering the position. Truist offers medical, dental, vision, life insurance, disability, accidental death and dismemberment, tax\-preferred savings accounts, and a 401k plan to teammates. Teammates also receive no less than 10 days of vacation (prorated based on date of hire and by full\-time or part\-time status) during their first year of employment, along with 10 sick days (also prorated), and paid holidays. For more details on Truist’s generous benefit plans, please visit our Benefits site. Depending on the position and division, this job may also be eligible for Truist’s defined benefit pension plan, restricted stock units, and/or a deferred compensation plan. As you advance through the hiring process, you will also learn more about the specific benefits available for any non\-temporary position for which you apply, based on full\-time or part\-time status, position, and division of work.
***Truist is an Equal Opportunity Employer that does not discriminate on the basis of race, gender, color, religion, citizenship or national origin, age, sexual orientation, gender identity, disability, veteran status, or other classification protected by law. Truist is a Drug Free Workplace.***
EEO is the Law E\-Verify IER Right to Work</t>
        </is>
      </c>
    </row>
    <row r="76">
      <c r="A76" t="inlineStr">
        <is>
          <t>in-8af1d94dcf187f52</t>
        </is>
      </c>
      <c r="B76" t="inlineStr">
        <is>
          <t>Sr Data Engineer</t>
        </is>
      </c>
      <c r="C76" t="inlineStr">
        <is>
          <t>Qode</t>
        </is>
      </c>
      <c r="D76" t="inlineStr">
        <is>
          <t>indeed</t>
        </is>
      </c>
      <c r="E76">
        <f>HYPERLINK("https://www.indeed.com/viewjob?jk=8af1d94dcf187f52", "https://www.indeed.com/viewjob?jk=8af1d94dcf187f52")</f>
        <v/>
      </c>
      <c r="F76">
        <f>HYPERLINK("https://apply.workable.com/j/680EA33721", "https://apply.workable.com/j/680EA33721")</f>
        <v/>
      </c>
      <c r="G76" t="inlineStr">
        <is>
          <t>Plano, TX, US</t>
        </is>
      </c>
      <c r="H76" s="3" t="n">
        <v>46054</v>
      </c>
      <c r="I76" t="inlineStr">
        <is>
          <t>**Client:** Wealth ManagementPosition:  Sr Data EngineerPay: $120K \- $170K \+ BonusLocations: \- First 90 days on site with 1 day a week WFH afterwards• Plano, TX• Camas, WA
**Scope:** This role will design and deliver modern data solutions using cloud\-based platforms and AI\-driven innovations. They will partner with business, technology, and governance teams to enable scalable, secure and compliant data platforms that power advanced analytics and AI. They will act as the enterprise expert for designing, developing, and optimizing data processing systems and pipelines used to populate data into transactional databases, data warehouses, data marts, or other data repositories. They will also coordinate with other IT teams to configure and implement security, monitoring, tooling, and related capabilities as they apply to their assigned systems.
**Education:** Computer Science, Information Technology, or other relevant field
**Experience:** • 12\+ years' experience developing data\-related solutions and software• 10\+ years of experience working with relational databases and applying it in various applications, including within the Microsoft Azure platform• For DevOps experience Delphix (now part of Perforce) provides a DevOps Data Platform and GenRocket for testing• Experience with Microsoft Purview is a comprehensive portfolio of products spanning data governance, data security, and data compliance solutions.• 4\+ years of experience with multiple cloud technologies in the Microsoft Stack (Azure IaaS and PaaS) designing and development on\-premises and cloud\-based (Azure) infrastructure and platform components• 4\+ years of hands\-on development and deployment experience with Azure cloud using T\-SQL, Azure SQL, Azure Storage, Azure Data Factory, Azure Synapse, Cosmos DB, GitHub, Azure DevOps, and CI/CD pipelines• Advanced knowledge of Extract/Transform/Load (ETL) and/or Extract/Load/Transform (ELT) tools, including both batch and real\-time data transmission applications such as SSIS, Informatica, Kafka, Spark, MuleSoft, or equivalent software• Advanced knowledge of database technologies such as Microsoft SQL Server, Oracle, or NoSQL databases• Advanced knowledge of multiple programming languages, such as Python, SQL, Scala, or similar.• Advanced knowledge of IT infrastructure standards and tools, such as application performance monitoring, IT service management, or DevOps software
**Responsibilities:** • Use Agile practices to elicit and refine requirements through an iterative process of planning, defining acceptance criteria, prioritizing, developing and delivering enterprise data asset solutions in collaboration with business intelligence teams or other IT teams• Develop, configure, customize and manage integration tools, databases, warehouses and analytical systems with the use of data related software• Design, build, and deploy data extraction, transformation, and loading processes and pipelines from various sources including databases, APIs, and data files• Develop and deploy structured, semi\-structured, and unstructured data storage models such as data vault or dimensional modeling on a various platforms to meet business requirements• Coordinate security, application monitoring, development tooling, and related capabilities with responsible teams• Provide operational support and incident management for data pipelines and data flows, including proactively updating internal clients and relevant parties on status changes and issues encountered• Author and maintain accurate and up\-to\-date documentation for processes, procedures, and technical designs• Coach junior data and business intelligence personnel across the company, including developing material and guiding junior personnel on their technical skill growth
**Benefits:** • 100% paid medical, dental and vision premiums for you and your qualifying dependents• A 50% 401(k) match, up to the IRS maximum• 20 days of PTO, plus 10 paid holidays• Family Support programs including 8 week Paid Primary Caregiver Leave, $10,000 fertility, family forming, and hormonal health assistance, and back\-up child, adult, and elder care</t>
        </is>
      </c>
    </row>
    <row r="77">
      <c r="A77" t="inlineStr">
        <is>
          <t>in-ff7d67be5ebaaf85</t>
        </is>
      </c>
      <c r="B77" t="inlineStr">
        <is>
          <t>Sr Data Engineer</t>
        </is>
      </c>
      <c r="C77" t="inlineStr">
        <is>
          <t>Qode</t>
        </is>
      </c>
      <c r="D77" t="inlineStr">
        <is>
          <t>indeed</t>
        </is>
      </c>
      <c r="E77">
        <f>HYPERLINK("https://www.indeed.com/viewjob?jk=ff7d67be5ebaaf85", "https://www.indeed.com/viewjob?jk=ff7d67be5ebaaf85")</f>
        <v/>
      </c>
      <c r="F77">
        <f>HYPERLINK("https://apply.workable.com/j/8D3F7CC468", "https://apply.workable.com/j/8D3F7CC468")</f>
        <v/>
      </c>
      <c r="G77" t="inlineStr">
        <is>
          <t>Camas, WA, US</t>
        </is>
      </c>
      <c r="H77" s="3" t="n">
        <v>46054</v>
      </c>
      <c r="I77" t="inlineStr">
        <is>
          <t>**Client:** Wealth ManagementPosition:  Sr Data EngineerPay: $120K \- $170K \+ BonusLocations: \- First 90 days on site with 1 day a week WFH afterwards• Plano, TX• Camas, WA
**Scope:** This role will design and deliver modern data solutions using cloud\-based platforms and AI\-driven innovations. They will partner with business, technology, and governance teams to enable scalable, secure and compliant data platforms that power advanced analytics and AI. They will act as the enterprise expert for designing, developing, and optimizing data processing systems and pipelines used to populate data into transactional databases, data warehouses, data marts, or other data repositories. They will also coordinate with other IT teams to configure and implement security, monitoring, tooling, and related capabilities as they apply to their assigned systems.
**Education:** Computer Science, Information Technology, or other relevant field
**Experience:** • 12\+ years' experience developing data\-related solutions and software• 10\+ years of experience working with relational databases and applying it in various applications, including within the Microsoft Azure platform• For DevOps experience Delphix (now part of Perforce) provides a DevOps Data Platform and GenRocket for testing• Experience with Microsoft Purview is a comprehensive portfolio of products spanning data governance, data security, and data compliance solutions.• 4\+ years of experience with multiple cloud technologies in the Microsoft Stack (Azure IaaS and PaaS) designing and development on\-premises and cloud\-based (Azure) infrastructure and platform components• 4\+ years of hands\-on development and deployment experience with Azure cloud using T\-SQL, Azure SQL, Azure Storage, Azure Data Factory, Azure Synapse, Cosmos DB, GitHub, Azure DevOps, and CI/CD pipelines• Advanced knowledge of Extract/Transform/Load (ETL) and/or Extract/Load/Transform (ELT) tools, including both batch and real\-time data transmission applications such as SSIS, Informatica, Kafka, Spark, MuleSoft, or equivalent software• Advanced knowledge of database technologies such as Microsoft SQL Server, Oracle, or NoSQL databases• Advanced knowledge of multiple programming languages, such as Python, SQL, Scala, or similar.• Advanced knowledge of IT infrastructure standards and tools, such as application performance monitoring, IT service management, or DevOps software
**Responsibilities:** • Use Agile practices to elicit and refine requirements through an iterative process of planning, defining acceptance criteria, prioritizing, developing and delivering enterprise data asset solutions in collaboration with business intelligence teams or other IT teams• Develop, configure, customize and manage integration tools, databases, warehouses and analytical systems with the use of data related software• Design, build, and deploy data extraction, transformation, and loading processes and pipelines from various sources including databases, APIs, and data files• Develop and deploy structured, semi\-structured, and unstructured data storage models such as data vault or dimensional modeling on a various platforms to meet business requirements• Coordinate security, application monitoring, development tooling, and related capabilities with responsible teams• Provide operational support and incident management for data pipelines and data flows, including proactively updating internal clients and relevant parties on status changes and issues encountered• Author and maintain accurate and up\-to\-date documentation for processes, procedures, and technical designs• Coach junior data and business intelligence personnel across the company, including developing material and guiding junior personnel on their technical skill growth
**Benefits:** • 100% paid medical, dental and vision premiums for you and your qualifying dependents• A 50% 401(k) match, up to the IRS maximum• 20 days of PTO, plus 10 paid holidays• Family Support programs including 8 week Paid Primary Caregiver Leave, $10,000 fertility, family forming, and hormonal health assistance, and back\-up child, adult, and elder care</t>
        </is>
      </c>
    </row>
    <row r="78">
      <c r="A78" t="inlineStr">
        <is>
          <t>in-e5e190cde5b82b02</t>
        </is>
      </c>
      <c r="B78" t="inlineStr">
        <is>
          <t>Slalom Flex (Project Based)- Federal GCP Data Engineer</t>
        </is>
      </c>
      <c r="C78" t="inlineStr">
        <is>
          <t>Slalom Consulting</t>
        </is>
      </c>
      <c r="D78" t="inlineStr">
        <is>
          <t>indeed</t>
        </is>
      </c>
      <c r="E78">
        <f>HYPERLINK("https://www.indeed.com/viewjob?jk=e5e190cde5b82b02", "https://www.indeed.com/viewjob?jk=e5e190cde5b82b02")</f>
        <v/>
      </c>
      <c r="F78">
        <f>HYPERLINK("https://jobs.slalom.com//#/post/a0hPh000004t0Y9IAI", "https://jobs.slalom.com//#/post/a0hPh000004t0Y9IAI")</f>
        <v/>
      </c>
      <c r="G78" t="inlineStr">
        <is>
          <t>Atlanta, GA, US</t>
        </is>
      </c>
      <c r="H78" s="3" t="n">
        <v>46053</v>
      </c>
      <c r="I78" t="inlineStr">
        <is>
          <t>**GCP Data Engineer**
**About Us**
Slalom is a purpose\-led, global business and technology consulting company. From strategy to implementation, our approach is fiercely human. In six\+ countries and 43\+ markets, we deeply understand our customers—and their customers—to deliver practical, end\-to\-end solutions that drive meaningful impact. Backed by close partnerships with over 400 leading technology providers, our 10,000\+ strong team helps people and organizations dream bigger, move faster, and build better tomorrows for all. We’re honored to be consistently recognized as a great place to work, including being one of Fortune’s 100 Best Companies to Work For seven years running. Learn more at slalom.com.
**About the Role**
We are seeking a GCP Data Engineer with strong BigQuery experience to support a major federal engagement focused on disaster recovery, data modernization, and mission‑critical analytics for FEMA. This role is a hands‑on engineering position working within a secure Google Cloud Platform environment to design, build, and optimize scalable data pipelines and analytics capabilities that enable high‑quality insights and operational excellence for our federal client.
This position requires **U.S. citizenship** and the ability to obtain and maintain a **Public Trust clearance**.
**What You Will Do**
**Data Engineering \&amp; Cloud Development**
* Design, build, and maintain **cloud‑native ETL/ELT data pipelines** using BigQuery, Dataform, Python, Cloud Composer (Airflow), Cloud Functions, and Cloud Storage.
* Develop **BigQuery‑centric data models**, transformations, and analytics layers supporting downstream Looker dashboards and federal reporting needs.
* Implement **modern analytics engineering practices**, including version‑controlled SQLX (Dataform), modular transformations, data quality checks, and documentation.
**Client Leadership \&amp; Delivery**
* Collaborate with federal stakeholders to understand data ingestion, transformation, governance, and reporting requirements.
* Translate technical designs and delivery timelines for both technical and non‑technical audiences.
* Support modernization of legacy data environments into scalable GCP‑based architectures.
* Ensure all solutions align with federal data governance, security, and performance standards.
**Solution Optimization \&amp; Innovation**
* Optimize BigQuery workloads using **partitioning, clustering, incremental processing, and cost‑efficient modeling**.
* Maintain robust CI/CD practices using GitLab or GitHub for version control, merge requests, and promotion pipelines.
* Develop and maintain data lineage, metadata documentation, and enterprise data models.
* Identify linkages across disparate datasets to build unified, interoperable data architectures.
* Perform cleanup of existing datasets and transformation logic where needed.
**Collaboration \&amp; Team Leadership**
* Work closely with data architects, BI developers, cloud engineers, and data scientists.
* Participate in SAFe Agile ceremonies including daily standups, retrospectives, and PI planning.
* Track work in Jira and maintain documentation in Confluence.
* Support testing, deployment, and quality assurance of data products.
* Mentor junior data engineering team members and contribute to best\-practice frameworks.
**Must\-Have Qualifications**
* **U.S. citizenship**
* Ability to obtain and maintain a **federal Public Trust** clearance
* **3\+ years** of experience in cloud\-based data engineering
* Strong hands\-on expertise with **Google BigQuery**
* Proficiency in **Python** for pipeline development, automation, and cloud integration
* Experience building **data pipelines in GCP**, including BigQuery, Dataform, Airflow/Cloud Composer, Cloud Functions, or similar
* Strong SQL skills, including data modeling and data quality testing
* Experience with Git\-based version control and CI/CD concepts
* Familiarity with data governance, metadata management, and compliance considerations
* Strong communication and stakeholder engagement skills
**Nice\-to\-Have Skills**
* Experience supporting federal or regulated environments
* Familiarity with **Looker** and downstream BI enablement
* Understanding of ML workloads or data structures optimized for modeling
* Experience with Agile/Scrum or SAFe
* Knowledge of data quality frameworks and testing strategies
* Exposure to GCP data governance tools such as **Dataplex**
* Experience with serverless architectures (Cloud Functions, Cloud Run)
* Familiarity with JavaScript for Dataform SQLX extensibility
* Hands\-on experience with orchestration tools (Airflow, Prefect, Dagster, Luigi)
* Experience with dbt, Dataform, Databricks, or other analytics engineering tooling
* Relevant **GCP certifications**
**Compensation and Benefits**
Slalom prides itself on helping team members thrive in their work and life. As a result, Slalom is proud to invest in benefits that include meaningful time off and paid holidays, 401(k) with a match, a range of choices for highly subsidized health, dental, \&amp; vision coverage, adoption and fertility assistance, and short/long\-term disability. We also offer yearly $350 reimbursement account for any well\-being\-related expenses.
Slalom is committed to fair and equitable compensation practices. For this position, the base salary pay range is $55/hr to $75/hr. Actual compensation will depend upon an individual’s skills, experience, qualifications, location, and other relevant factors. The salary pay range is subject to change and may be modified at any time.
**EEO and Accommodations**
 *Slalom is an equal opportunity employer and is committed to inclusion, diversity, and equity in the workplace. All qualified applicants will receive consideration*
*for employment without regard to race, color, religion, sex, national origin, disability status, protected veterans’ status, or any other characteristic protected by federal, state, or local laws. Slalom will also consider qualified applications with criminal histories, consistent with legal requirements.*
*Slalom welcomes and encourages applications from individuals with disabilities. Reasonable accommodations are available for candidates during all aspects of the*
*selection process. Please advise the talent acquisition team if you require accommodations during the interview process.*</t>
        </is>
      </c>
    </row>
    <row r="79">
      <c r="A79" t="inlineStr">
        <is>
          <t>in-634a98491ac15d80</t>
        </is>
      </c>
      <c r="B79" t="inlineStr">
        <is>
          <t>BI Engineer II - Snowflake Devloper</t>
        </is>
      </c>
      <c r="C79" t="inlineStr">
        <is>
          <t>Centene</t>
        </is>
      </c>
      <c r="D79" t="inlineStr">
        <is>
          <t>indeed</t>
        </is>
      </c>
      <c r="E79">
        <f>HYPERLINK("https://www.indeed.com/viewjob?jk=634a98491ac15d80", "https://www.indeed.com/viewjob?jk=634a98491ac15d80")</f>
        <v/>
      </c>
      <c r="F79">
        <f>HYPERLINK("https://jobs.centene.com/us/en/jobs/1627600/bi-engineer-ii-snowflake-devloper/", "https://jobs.centene.com/us/en/jobs/1627600/bi-engineer-ii-snowflake-devloper/")</f>
        <v/>
      </c>
      <c r="G79" t="inlineStr">
        <is>
          <t>FL, US</t>
        </is>
      </c>
      <c r="H79" s="3" t="n">
        <v>46053</v>
      </c>
      <c r="I79" t="inlineStr">
        <is>
          <t>You could be the one who changes everything for our 28 million members by using technology to improve health outcomes around the world. As a diversified, national organization, Centene's technology professionals have access to competitive benefits including a fresh perspective on workplace flexibility.  
**Position Purpose:** Creates Enterprise\-class data assets that provide business insight and aid business decision\-making. Assets will include (but are not limited to) reports, visualizations, dashboards, and data extracts. Produces reports and performs meaningful quantitative or qualitative analyses addressing impactful business issues or questions. Combines these reports with subject\-matter expertise to deliver coherent, insightful takeaways comprehensive read\-outs, and advice/recommendations grounded in what our data is telling us.* Develops BI solution architecture that accurately translates business requirements to technology solutions and ensures the design will meet business requirements throughout the lifecycle of a change
* Participates in day\-to\-day activities related to defining architecture, establishing infrastructure, and implementing standards used to create frameworks/patterns for delivering business intelligence solutions
* Conducts business analysis activities to enable technology solutions that adequately fulfill strategic business needs and objectives
* Delivers project setups, analysis, data flows, designs (wireframes/mock\-up), etc., for and in partnership with customers
* Supports the execution of long\-term strategic goals for business intelligence development in conjunction with end users, management, customers, and other stakeholders
* Conducts research and makes recommendations on business intelligence products, services, and standards in support of procurement and development efforts
* Performs and oversees programming, quality assurance reviews, documentation, system deployment, training, and project setup/support
* Provides timely and appropriate communication to business owners, stakeholders, and users on issue status and resolution
* Develops and maintains the business intelligence architecture as a core asset at Centene
* Collaborates with end users to identify needs and opportunities for improved data management, process efficiency with respect to data and delivery
* Collaborates with both Enterprise Architecture (EA) and EDAS Solutions Architecture on the solution/service design to ensure it conforms to enterprise architectural standards and future roadmaps
* Performs other duties as assigned
* Complies with all policies and standards
**Education/Experience:** A Bachelor's degree in a quantitative or business field (e.g., statistics, mathematics, engineering, computer science) and requires 2 – 4 years of related experience.  
Or equivalent experience acquired through accomplishments of applicable knowledge, duties, scope and skill reflective of the level of this position.  
**Technical Skills:**
* One or more of the following skills are desired.
* Experience with one or more of the following Business Intelligence; Data Analysis; Microsoft Azure; SAS (Software); SQL (Programming Language); Statistical Analysis Systems (SAS); Tableau (Business Intelligence Software)
* Experience with Data Modeling; Python (Programming Language); Quality Assurance; SQL (Programming Language)
* Experience with one or more of the following Analytical Techniques; Business Analysis; Quantitative Analysis; Risk Analysis; Root Cause Analysis; Statistical Process Controls
* Knowledge of Microsoft Visio; User Flows; Workflows
 **Soft Skills:**
* Intermediate \- Seeks to acquire knowledge in area of specialty
* Intermediate \- Ability to identify basic problems and procedural irregularities, collect data, establish facts, and draw valid conclusions
* Intermediate \- Ability to work independently
Pay Range: $75,300\.00 \- $135,400\.00 per year
Centene offers a comprehensive benefits package including: competitive pay, health insurance, 401K and stock purchase plans, tuition reimbursement, paid time off plus holidays, and a flexible approach to work with remote, hybrid, field or office work schedules. Actual pay will be adjusted based on an individual's skills, experience, education, and other job\-related factors permitted by law, including full\-time or part\-time status. Total compensation may also include additional forms of incentives. Benefits may be subject to program eligibility.
Centene is an equal opportunity employer that is committed to diversity, and values the ways in which we are different. All qualified applicants will receive consideration for employment without regard to race, color, religion, sex, sexual orientation, gender identity, national origin, disability, veteran status, or other characteristic protected by applicable law.
Qualified applicants with arrest or conviction records will be considered in accordance with the LA County Ordinance and the California Fair Chance Act</t>
        </is>
      </c>
    </row>
    <row r="80">
      <c r="A80" t="inlineStr">
        <is>
          <t>in-26404b1ecef6cb24</t>
        </is>
      </c>
      <c r="B80" t="inlineStr">
        <is>
          <t>BI Engineer II - Snowflake Devloper</t>
        </is>
      </c>
      <c r="C80" t="inlineStr">
        <is>
          <t>Centene</t>
        </is>
      </c>
      <c r="D80" t="inlineStr">
        <is>
          <t>indeed</t>
        </is>
      </c>
      <c r="E80">
        <f>HYPERLINK("https://www.indeed.com/viewjob?jk=26404b1ecef6cb24", "https://www.indeed.com/viewjob?jk=26404b1ecef6cb24")</f>
        <v/>
      </c>
      <c r="F80">
        <f>HYPERLINK("https://jobs.centene.com/us/en/jobs/1627600/bi-engineer-ii-snowflake-devloper/", "https://jobs.centene.com/us/en/jobs/1627600/bi-engineer-ii-snowflake-devloper/")</f>
        <v/>
      </c>
      <c r="G80" t="inlineStr">
        <is>
          <t>MO, US</t>
        </is>
      </c>
      <c r="H80" s="3" t="n">
        <v>46053</v>
      </c>
      <c r="I80" t="inlineStr">
        <is>
          <t>You could be the one who changes everything for our 28 million members by using technology to improve health outcomes around the world. As a diversified, national organization, Centene's technology professionals have access to competitive benefits including a fresh perspective on workplace flexibility.  
**Position Purpose:** Creates Enterprise\-class data assets that provide business insight and aid business decision\-making. Assets will include (but are not limited to) reports, visualizations, dashboards, and data extracts. Produces reports and performs meaningful quantitative or qualitative analyses addressing impactful business issues or questions. Combines these reports with subject\-matter expertise to deliver coherent, insightful takeaways comprehensive read\-outs, and advice/recommendations grounded in what our data is telling us.* Develops BI solution architecture that accurately translates business requirements to technology solutions and ensures the design will meet business requirements throughout the lifecycle of a change
* Participates in day\-to\-day activities related to defining architecture, establishing infrastructure, and implementing standards used to create frameworks/patterns for delivering business intelligence solutions
* Conducts business analysis activities to enable technology solutions that adequately fulfill strategic business needs and objectives
* Delivers project setups, analysis, data flows, designs (wireframes/mock\-up), etc., for and in partnership with customers
* Supports the execution of long\-term strategic goals for business intelligence development in conjunction with end users, management, customers, and other stakeholders
* Conducts research and makes recommendations on business intelligence products, services, and standards in support of procurement and development efforts
* Performs and oversees programming, quality assurance reviews, documentation, system deployment, training, and project setup/support
* Provides timely and appropriate communication to business owners, stakeholders, and users on issue status and resolution
* Develops and maintains the business intelligence architecture as a core asset at Centene
* Collaborates with end users to identify needs and opportunities for improved data management, process efficiency with respect to data and delivery
* Collaborates with both Enterprise Architecture (EA) and EDAS Solutions Architecture on the solution/service design to ensure it conforms to enterprise architectural standards and future roadmaps
* Performs other duties as assigned
* Complies with all policies and standards
**Education/Experience:** A Bachelor's degree in a quantitative or business field (e.g., statistics, mathematics, engineering, computer science) and requires 2 – 4 years of related experience.  
Or equivalent experience acquired through accomplishments of applicable knowledge, duties, scope and skill reflective of the level of this position.  
**Technical Skills:**
* One or more of the following skills are desired.
* Experience with one or more of the following Business Intelligence; Data Analysis; Microsoft Azure; SAS (Software); SQL (Programming Language); Statistical Analysis Systems (SAS); Tableau (Business Intelligence Software)
* Experience with Data Modeling; Python (Programming Language); Quality Assurance; SQL (Programming Language)
* Experience with one or more of the following Analytical Techniques; Business Analysis; Quantitative Analysis; Risk Analysis; Root Cause Analysis; Statistical Process Controls
* Knowledge of Microsoft Visio; User Flows; Workflows
 **Soft Skills:**
* Intermediate \- Seeks to acquire knowledge in area of specialty
* Intermediate \- Ability to identify basic problems and procedural irregularities, collect data, establish facts, and draw valid conclusions
* Intermediate \- Ability to work independently
Pay Range: $75,300\.00 \- $135,400\.00 per year
Centene offers a comprehensive benefits package including: competitive pay, health insurance, 401K and stock purchase plans, tuition reimbursement, paid time off plus holidays, and a flexible approach to work with remote, hybrid, field or office work schedules. Actual pay will be adjusted based on an individual's skills, experience, education, and other job\-related factors permitted by law, including full\-time or part\-time status. Total compensation may also include additional forms of incentives. Benefits may be subject to program eligibility.
Centene is an equal opportunity employer that is committed to diversity, and values the ways in which we are different. All qualified applicants will receive consideration for employment without regard to race, color, religion, sex, sexual orientation, gender identity, national origin, disability, veteran status, or other characteristic protected by applicable law.
Qualified applicants with arrest or conviction records will be considered in accordance with the LA County Ordinance and the California Fair Chance Act</t>
        </is>
      </c>
    </row>
    <row r="81">
      <c r="A81" t="inlineStr">
        <is>
          <t>in-51e6cb89566644db</t>
        </is>
      </c>
      <c r="B81" t="inlineStr">
        <is>
          <t>DATA ENGINEER III</t>
        </is>
      </c>
      <c r="C81" t="inlineStr">
        <is>
          <t>C2Q Health Solutions</t>
        </is>
      </c>
      <c r="D81" t="inlineStr">
        <is>
          <t>indeed</t>
        </is>
      </c>
      <c r="E81">
        <f>HYPERLINK("https://www.indeed.com/viewjob?jk=51e6cb89566644db", "https://www.indeed.com/viewjob?jk=51e6cb89566644db")</f>
        <v/>
      </c>
      <c r="F81">
        <f>HYPERLINK("https://centerlight.wd5.myworkdayjobs.com/en-US/C2Q/job/Remote/DATA-ENGINEER-III_R2025-5912", "https://centerlight.wd5.myworkdayjobs.com/en-US/C2Q/job/Remote/DATA-ENGINEER-III_R2025-5912")</f>
        <v/>
      </c>
      <c r="G81" t="inlineStr">
        <is>
          <t>Remote, US</t>
        </is>
      </c>
      <c r="H81" s="3" t="n">
        <v>46048</v>
      </c>
      <c r="I81" t="inlineStr">
        <is>
          <t>**JOB PURPOSE:**
The Data Engineer III will play a pivotal role in designing, developing, and maintaining the data architecture for our organization. This individual will be responsible for T\-SQL development, ETL processes, and Python scripting to ensure efficient data transfer, transformation, and integration. The primary focus will be on automating data workflows, supporting diverse file formats, and utilizing APIs for seamless data import and export. The Data Engineer will collaborate closely with cross\-functional teams to enhance data\-driven decision\-making and contribute to the overall success of our data infrastructure.
**JOB RESPONSIBILITIES:**
* Utilize advanced T\-SQL skills to design, optimize, and maintain database structures.
* Develop complex SQL queries for reporting and data transformation.
* Design, implement, and optimize ETL processes for efficient data extraction, transformation, and loading.
* Develop and maintain ETL scripts using Python for seamless integration with existing data workflows.
* Automate SFTP file transfer processes, ensuring secure and reliable data exchange.
* Import and export data and files in various formats, including flat file, XML, JSON, X12, Excel, and Parquet using Python.
* Utilize Python to integrate with APIs for importing and exporting data.
* Collaborate with team members and stakeholders to review and optimize code for efficiency and maintainability.
* Collaborate with analysts and business stakeholders to understand data visualization requirements.
* Work closely with cross\-functional teams to understand data requirements and ensure data integrity.
* Document data engineering processes, standards, and best practices.
* Use Git and Github for version control of scripts and queries, ensuring a collaborative and organized development environment.
* Integrate Tableau for effective data representation and reporting.
**Schedule:** 8:30 AM – 5:30 PM
**Weekly Hours:** 40
**QUALIFICATIONS:**
**Education:** Bachelor's Degree in Computer Science, Information Technology, or a related field.
**Experience:** Minimum of 5 years of hands\-on experience in T\-SQL development and ETL processes. Proven experience in Python scripting for data manipulation and automation.
**Additional Requirements:**
**Technical Skills:**
* Strong expertise in database design, optimization, and maintenance using T\-SQL.
* Proficient in developing and optimizing ETL processes.
* Experience with automating SFTP file transfers and handling diverse file formats.
* Knowledge of data formats such as XML, JSON, X12, Excel, and Parquet.
* Familiarity with API integration for data import and export using Python.
* Proficient in version controlling scripts and queries using Git and Github.
**Preferred Skills:**
* Experience in data visualization using Tableau.
* Strong problem\-solving skills and ability to troubleshoot data\-related issues effectively.
* Identify and implement solutions to complex technical projects.
* Ability to work independently and in a team environment.
* Excellent communication and collaboration skills.
* Knowledge of health care delivery and operations a plus.
**Physical Requirements**
Individuals must be able to sustain certain physical requirements essential to the job. This includes, but is not limited to:
* **Standing** – Duration of up to 6 hours a day.
* **Sitting/Stationary Positions** – Sedentary position in duration of up to 6\-8 hours a day for consecutive hours/periods.
* **Lifting/Push/Pull** – Up to 50 pounds of equipment, baggage, supplies, and other items used in the scope of the job using OSHA guidelines, etc.
* **Bending/Squatting** – Have to be able to safely bend or squat to perform the essential functions under the scope of the job.
* **Stairs/Steps/Walking/Climbing** – Must be able to safely maneuver stairs, climb up/down, and walk to access work areas.
* **Agility/Fine Motor Skills** \- Must demonstrate agility and fine motor skills to operate and activate equipment, devices, instruments, and tools to complete essential job functions (ie. typing, use of supplies, equipment, etc.)
* **Sight/Visual Requirements** – Must be able to visually read documentation, papers, orders, signs, etc., and type/write documentation, etc. with accuracy.
* **Audio Hearing and Motor Skills (Language) Requirements** – Must be able to listen attentively and document information from patients, community members, co\-workers, clients, providers, etc., and intake information through audio processing with accuracy. In addition, they must be able to speak comfortably and clearly with language motor skills for customers to understand the individual.
* **Cognitive Ability** – Must be able to demonstrate good decision\-making, reasonableness, cognitive ability, rational processing, and analysis to satisfy essential functions of the job.
**Disclaimer:** Responsibilities and tasks outlined in this job description are not exhaustive and may change as determined by the needs of the company.  
We are an affirmative action and equal opportunity employer. All qualified applicants will receive consideration for employment without regard to race, color, religion, sex, disability, age, sexual orientation, gender identity, national origin, veteran status, height, weight, or genetic information. We are committed to providing access, equal opportunity, and reasonable accommodation for individuals with disabilities in employment, its services, programs, and activities.
**Salary Range (Min\-Max):**
============================
$120,000\.00 \- $135,000\.00
Centerlight Healthcare Systems is based in New York and currently hires employees in states where we are registered to do business. At this time we are able to consider candidates residing in the following states:
* Alabama
* California
* Colorado
* Connecticut
* Florida
* Georgia
* Illinois
* Indiana
* Louisiana
* Massachusetts
* New Jersey
* New York
* North Carolina
* Ohio
* Oklahoma
* Oregon
* Pennsylvania
* Puerto Rico
* South Carolina
* Texas
* Utah
* Virginia
* Wisconsin</t>
        </is>
      </c>
    </row>
    <row r="82">
      <c r="A82" t="inlineStr">
        <is>
          <t>in-1d5607ffbc4723db</t>
        </is>
      </c>
      <c r="B82" t="inlineStr">
        <is>
          <t>Data Engineer, Global Planning, Amazon Leo</t>
        </is>
      </c>
      <c r="C82" t="inlineStr">
        <is>
          <t>Amazon.com</t>
        </is>
      </c>
      <c r="D82" t="inlineStr">
        <is>
          <t>indeed</t>
        </is>
      </c>
      <c r="E82">
        <f>HYPERLINK("https://www.indeed.com/viewjob?jk=1d5607ffbc4723db", "https://www.indeed.com/viewjob?jk=1d5607ffbc4723db")</f>
        <v/>
      </c>
      <c r="F82">
        <f>HYPERLINK("https://www.amazon.jobs/jobs/3169773/data-engineer-global-planning-amazon-leo?cmpid=DA_INAD200785B", "https://www.amazon.jobs/jobs/3169773/data-engineer-global-planning-amazon-leo?cmpid=DA_INAD200785B")</f>
        <v/>
      </c>
      <c r="G82" t="inlineStr">
        <is>
          <t>Bellevue, WA, US</t>
        </is>
      </c>
      <c r="H82" s="3" t="n">
        <v>46037</v>
      </c>
      <c r="I82" t="inlineStr">
        <is>
          <t>**DESCRIPTION**
---------------
Amazon Leo is an initiative to increase global broadband access through a constellation of 3,236 satellites in low Earth orbit. Its mission is to bring fast, affordable broadband to unserved and underserved communities around the world. Amazon Leo will help close the digital divide by delivering fast, affordable broadband to a wide range of customers, including consumers, businesses, government agencies, and other organizations operating in places without reliable connectivity.  
We are looking for a Data Engineer in Leo's Global Planning team to build enterprise\-grade data infrastructure and data assets that will support Leo's Demand Science \&amp; Forecasting models and capacity planning \&amp; simulation systems. You will be responsible to design and implement Data Architecture, using latest AWS services and to develop production level ETL pipelines from external and internal sources / APIs. This role will be instrumental in helping Leo execute on its business plans globally and requires high level of operational excellence with a relentless focus on delivering results.  
Key job responsibilities  
In this role, you will:  
* Develop Leo data products, infrastructure and ETL pipelines to ingest, parse and transform Geospatial datasets from external \&amp; internal APIs using AWS big data technologies (Glue, S3, Redshift, MWAA, EMR, Data Zone, Lambda, etc.)
* Work alongside Data Scientists, Applied Scientists, Software Engineers and Simulation Engineers to develop appropriate data assets for statistical modeling, system integration and capacity simulations
* Improve existing solutions and come up with next generation Leo's Data Architecture to improve scale, quality and performance
* Implement data governance best practices to ensure data accuracy, consistency, and compliance with security and privacy regulations.
* Develop and maintain scripts to automate processes to generate structured datasets for forecasting POR and system inputs, with focus on efficiency and scalability
* Build data dictionary, catalog and governance plan and manage and audit all of the registered data via internal mechanisms
* Provide technical guidance and support to data consumers to leverage Global Planning data assets
Export Control Requirement:  
Due to applicable export control laws and regulations, candidates must be a U.S. citizen or national, U.S. permanent resident (i.e., current Green Card holder), or lawfully admitted into the U.S. as a refugee or granted asylum.  
About the team  
Amazon Leo Global Planning team designs and builds systems that support forecasting, management and optimization of Leo's demand, bandwidth capacity and physical inventory across customer segments and channels, worldwide.**BASIC QUALIFICATIONS**
------------------------
* 3\+ years of data engineering experience
* 1\+ years of developing and operating large\-scale data structures for business intelligence analytics using ETL/ELT processes experience
* 1\+ years of developing and operating large\-scale data structures for business intelligence analytics using OLAP technologies experience
* 1\+ years of developing and operating large\-scale data structures for business intelligence analytics using data modeling experience
* 1\+ years of developing and operating large\-scale data structures for business intelligence analytics using SQL experience
* 1\+ years of developing and operating large\-scale data structures for business intelligence analytics using Oracle experience
* Experience with data modeling, warehousing and building ETL pipelines
**PREFERRED QUALIFICATIONS**
----------------------------
* Experience with AWS technologies like Redshift, S3, AWS Glue, EMR, Kinesis, FireHose, Lambda, and IAM roles and permissions
* Experience with non\-relational databases / data stores (object storage, document or key\-value stores, graph databases, column\-family databases)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VA, Arlington \- 132,100\.00 \- 178,800\.00 USD annually  
USA, WA, Bellevue \- 132,100\.00 \- 178,800\.00 USD annually</t>
        </is>
      </c>
    </row>
    <row r="83">
      <c r="A83" t="inlineStr">
        <is>
          <t>in-9172c31148dff043</t>
        </is>
      </c>
      <c r="B83" t="inlineStr">
        <is>
          <t>Data Engineer, Global Planning, Amazon Leo</t>
        </is>
      </c>
      <c r="C83" t="inlineStr">
        <is>
          <t>Amazon.com</t>
        </is>
      </c>
      <c r="D83" t="inlineStr">
        <is>
          <t>indeed</t>
        </is>
      </c>
      <c r="E83">
        <f>HYPERLINK("https://www.indeed.com/viewjob?jk=9172c31148dff043", "https://www.indeed.com/viewjob?jk=9172c31148dff043")</f>
        <v/>
      </c>
      <c r="F83">
        <f>HYPERLINK("https://www.amazon.jobs/jobs/3169773/data-engineer-global-planning-amazon-leo?cmpid=DA_INAD200785B", "https://www.amazon.jobs/jobs/3169773/data-engineer-global-planning-amazon-leo?cmpid=DA_INAD200785B")</f>
        <v/>
      </c>
      <c r="G83" t="inlineStr">
        <is>
          <t>Arlington, VA, US</t>
        </is>
      </c>
      <c r="H83" s="3" t="n">
        <v>46037</v>
      </c>
      <c r="I83" t="inlineStr">
        <is>
          <t>**DESCRIPTION**
---------------
Amazon Leo is an initiative to increase global broadband access through a constellation of 3,236 satellites in low Earth orbit. Its mission is to bring fast, affordable broadband to unserved and underserved communities around the world. Amazon Leo will help close the digital divide by delivering fast, affordable broadband to a wide range of customers, including consumers, businesses, government agencies, and other organizations operating in places without reliable connectivity.  
We are looking for a Data Engineer in Leo's Global Planning team to build enterprise\-grade data infrastructure and data assets that will support Leo's Demand Science \&amp; Forecasting models and capacity planning \&amp; simulation systems. You will be responsible to design and implement Data Architecture, using latest AWS services and to develop production level ETL pipelines from external and internal sources / APIs. This role will be instrumental in helping Leo execute on its business plans globally and requires high level of operational excellence with a relentless focus on delivering results.  
Key job responsibilities  
In this role, you will:  
* Develop Leo data products, infrastructure and ETL pipelines to ingest, parse and transform Geospatial datasets from external \&amp; internal APIs using AWS big data technologies (Glue, S3, Redshift, MWAA, EMR, Data Zone, Lambda, etc.)
* Work alongside Data Scientists, Applied Scientists, Software Engineers and Simulation Engineers to develop appropriate data assets for statistical modeling, system integration and capacity simulations
* Improve existing solutions and come up with next generation Leo's Data Architecture to improve scale, quality and performance
* Implement data governance best practices to ensure data accuracy, consistency, and compliance with security and privacy regulations.
* Develop and maintain scripts to automate processes to generate structured datasets for forecasting POR and system inputs, with focus on efficiency and scalability
* Build data dictionary, catalog and governance plan and manage and audit all of the registered data via internal mechanisms
* Provide technical guidance and support to data consumers to leverage Global Planning data assets
Export Control Requirement:  
Due to applicable export control laws and regulations, candidates must be a U.S. citizen or national, U.S. permanent resident (i.e., current Green Card holder), or lawfully admitted into the U.S. as a refugee or granted asylum.  
About the team  
Amazon Leo Global Planning team designs and builds systems that support forecasting, management and optimization of Leo's demand, bandwidth capacity and physical inventory across customer segments and channels, worldwide.**BASIC QUALIFICATIONS**
------------------------
* 3\+ years of data engineering experience
* 1\+ years of developing and operating large\-scale data structures for business intelligence analytics using ETL/ELT processes experience
* 1\+ years of developing and operating large\-scale data structures for business intelligence analytics using OLAP technologies experience
* 1\+ years of developing and operating large\-scale data structures for business intelligence analytics using data modeling experience
* 1\+ years of developing and operating large\-scale data structures for business intelligence analytics using SQL experience
* 1\+ years of developing and operating large\-scale data structures for business intelligence analytics using Oracle experience
* Experience with data modeling, warehousing and building ETL pipelines
**PREFERRED QUALIFICATIONS**
----------------------------
* Experience with AWS technologies like Redshift, S3, AWS Glue, EMR, Kinesis, FireHose, Lambda, and IAM roles and permissions
* Experience with non\-relational databases / data stores (object storage, document or key\-value stores, graph databases, column\-family databases)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VA, Arlington \- 132,100\.00 \- 178,800\.00 USD annually  
USA, WA, Bellevue \- 132,100\.00 \- 178,800\.00 USD annually</t>
        </is>
      </c>
    </row>
    <row r="84">
      <c r="A84" t="inlineStr">
        <is>
          <t>in-8b82bd4695be9ac1</t>
        </is>
      </c>
      <c r="B84" t="inlineStr">
        <is>
          <t>Data Engineer, Denied Party Screening, AWS Compliance &amp; Security Assurance</t>
        </is>
      </c>
      <c r="C84" t="inlineStr">
        <is>
          <t>Amazon.com</t>
        </is>
      </c>
      <c r="D84" t="inlineStr">
        <is>
          <t>indeed</t>
        </is>
      </c>
      <c r="E84">
        <f>HYPERLINK("https://www.indeed.com/viewjob?jk=8b82bd4695be9ac1", "https://www.indeed.com/viewjob?jk=8b82bd4695be9ac1")</f>
        <v/>
      </c>
      <c r="F84">
        <f>HYPERLINK("https://www.amazon.jobs/jobs/3160403/data-engineer-denied-party-screening-aws-compliance--security-assurance?cmpid=DA_INAD200785B", "https://www.amazon.jobs/jobs/3160403/data-engineer-denied-party-screening-aws-compliance--security-assurance?cmpid=DA_INAD200785B")</f>
        <v/>
      </c>
      <c r="G84" t="inlineStr">
        <is>
          <t>Seattle, WA, US</t>
        </is>
      </c>
      <c r="H84" s="3" t="n">
        <v>46029</v>
      </c>
      <c r="I84" t="inlineStr">
        <is>
          <t>**DESCRIPTION**
---------------
Amazon seeks an experienced Data Engineer to join the DPS (Deny Party Screening) team. Our mission is to prevent denied parties from transacting with Amazon businesses, including AWS, customers, vendors, sellers, subsidiaries, etc. We screen billions of events every day. We integrate with Tier 1 systems, build DPS systems, and deal with unique scaling challenges.  
As a Data Engineer, you will design, implement and support scalable data infrastructure solutions to integrate with multi heterogeneous data sources, aggregate and retrieve data in a fast and safe mode, curate data that can be used in reporting, analysis, machine learning models and ad\-hoc data requests. You will be exposed to cutting edge AWS big data technologies. You should have excellent business and communication skills to be able to work with business owners and Tech leaders to gather infrastructure requirements, design data infrastructure, build up data pipelines and datasets to meet business needs. You stay abreast of emerging technologies, investigating and implementing where appropriate.  
Key job responsibilities  
* Design, implement, and support data warehouse/ data lake infrastructure using AWS bigdata stack, Python, Redshift, QuickSight, Glue/lake formation, EMR/Spark, Athena etc.
* Develop and manage ETLs to source data from various financial, AWS networking and operational systems and create unified data model for analytics and reporting.
* Creation and support of real\-time data pipelines built on AWS technologies including EMR, Glue, Redshift/Spectrum and Athena.
* Collaborate with other Engineering teams, Product/Finance Managers/Analysts to implement advanced analytics algorithms that exploit our rich datasets for financial model development, statistical analysis, prediction, etc.
* Continual research of the latest big data and visualization technologies to provide new capabilities and increase efficiency.
* Use business intelligence and visualization software (e.g., QuickSight) to develop dashboards those are used by senior leadership.
* Empower technical and non\-technical, internal customers to drive their own analytics and reporting (self\-serve reporting) and support ad\-hoc reporting when needed.
* Working closely with team members to drive real\-time model implementations for monitoring and alerting of risk systems.
* Manage numerous requests concurrently and strategically, prioritizing when necessary
* Partner/collaborate across teams/roles to deliver results.
* Mentor other engineers, influence positively team culture, and help grow the team
About the team  
Denied Party Screening (DPS) is a part of Amazon Security, an organization designed to drive bar\-raising security engagements. The vision of the Amazon DPS program is to ensure that 1\+ billion Amazon accounts spanning across consumers, sellers, developers, employees, and all other Amazon party, are not a denied party, located or incorporated in a sanctioned region or country, or owned or controlled by or subject to the jurisdiction of the government of a sanctioned country.
Why Amazon Security  
At Amazon, security is central to maintaining customer trust and delivering delightful customer experiences. Our organization is responsible for creating and maintaining a high bar for security across all of Amazon’s products and services.  
Work/Life Balance  
We value work\-life harmony. Achieving success at work should never come at the expense of sacrifices at home, which is why flexible work hours and arrangements are part of our culture. When we feel supported in the workplace and at home, there’s nothing we can’t achieve.  
Inclusive Team Culture  
In Amazon Security, it’s in our nature to learn and be curious. Ongoing DEI events and learning experiences inspire us to continue learning and to embrace our uniqueness. Addressing the toughest security challenges requires that we seek out and celebrate a diversity of ideas, perspectives, and voices.  
Training and Career growth  
We’re continuously raising our performance bar as we strive to become Earth’s Best Employer. That’s why you’ll find endless knowledge\-sharing, training, and other career\-advancing resources here to help you develop into a better\-rounded professional.**BASIC QUALIFICATIONS**
------------------------
* 5\+ years of data engineering experience
* Experience programming with at least one modern language such as C\+\+, C\#, Java, Python, Golang, PowerShell, Ruby
* Experience working on and delivering end to end projects independently
* Experience with big data technologies such as: Hadoop, Hive, Spark, EMR
**PREFERRED QUALIFICATIONS**
----------------------------
* Experience with AWS technologies like Redshift, S3, AWS Glue, EMR, Kinesis, FireHose, Lambda, and IAM roles and permissions
* Experience with non\-relational databases / data stores (object storage, document or key\-value stores, graph databases, column\-family databases)
* Experience in at least one modern scripting or programming language, such as Python, Java, Scala, or NodeJS
* Experience with distributed systems as it pertains to data storage and computing
* Experience as a data engineer or related specialty (e.g., software engineer, business intelligence engineer, data scientist) with a track record of manipulating, processing, and extracting value from large datasets
* Experience providing technical leadership and mentoring other engineers for best practices on data engineering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TX, Dallas \- 132,100\.00 \- 178,800\.00 USD annually  
USA, WA, Seattle \- 132,100\.00 \- 178,800\.00 USD annually</t>
        </is>
      </c>
    </row>
    <row r="85">
      <c r="A85" t="inlineStr">
        <is>
          <t>in-ed9949e6ccfd4ba0</t>
        </is>
      </c>
      <c r="B85" t="inlineStr">
        <is>
          <t>Data Engineer, Denied Party Screening, AWS Compliance &amp; Security Assurance</t>
        </is>
      </c>
      <c r="C85" t="inlineStr">
        <is>
          <t>Amazon.com</t>
        </is>
      </c>
      <c r="D85" t="inlineStr">
        <is>
          <t>indeed</t>
        </is>
      </c>
      <c r="E85">
        <f>HYPERLINK("https://www.indeed.com/viewjob?jk=ed9949e6ccfd4ba0", "https://www.indeed.com/viewjob?jk=ed9949e6ccfd4ba0")</f>
        <v/>
      </c>
      <c r="F85">
        <f>HYPERLINK("https://www.amazon.jobs/jobs/3160403/data-engineer-denied-party-screening-aws-compliance--security-assurance?cmpid=DA_INAD200785B", "https://www.amazon.jobs/jobs/3160403/data-engineer-denied-party-screening-aws-compliance--security-assurance?cmpid=DA_INAD200785B")</f>
        <v/>
      </c>
      <c r="G85" t="inlineStr">
        <is>
          <t>Dallas, TX, US</t>
        </is>
      </c>
      <c r="H85" s="3" t="n">
        <v>46029</v>
      </c>
      <c r="I85" t="inlineStr">
        <is>
          <t>**DESCRIPTION**
---------------
Amazon seeks an experienced Data Engineer to join the DPS (Deny Party Screening) team. Our mission is to prevent denied parties from transacting with Amazon businesses, including AWS, customers, vendors, sellers, subsidiaries, etc. We screen billions of events every day. We integrate with Tier 1 systems, build DPS systems, and deal with unique scaling challenges.  
As a Data Engineer, you will design, implement and support scalable data infrastructure solutions to integrate with multi heterogeneous data sources, aggregate and retrieve data in a fast and safe mode, curate data that can be used in reporting, analysis, machine learning models and ad\-hoc data requests. You will be exposed to cutting edge AWS big data technologies. You should have excellent business and communication skills to be able to work with business owners and Tech leaders to gather infrastructure requirements, design data infrastructure, build up data pipelines and datasets to meet business needs. You stay abreast of emerging technologies, investigating and implementing where appropriate.  
Key job responsibilities  
* Design, implement, and support data warehouse/ data lake infrastructure using AWS bigdata stack, Python, Redshift, QuickSight, Glue/lake formation, EMR/Spark, Athena etc.
* Develop and manage ETLs to source data from various financial, AWS networking and operational systems and create unified data model for analytics and reporting.
* Creation and support of real\-time data pipelines built on AWS technologies including EMR, Glue, Redshift/Spectrum and Athena.
* Collaborate with other Engineering teams, Product/Finance Managers/Analysts to implement advanced analytics algorithms that exploit our rich datasets for financial model development, statistical analysis, prediction, etc.
* Continual research of the latest big data and visualization technologies to provide new capabilities and increase efficiency.
* Use business intelligence and visualization software (e.g., QuickSight) to develop dashboards those are used by senior leadership.
* Empower technical and non\-technical, internal customers to drive their own analytics and reporting (self\-serve reporting) and support ad\-hoc reporting when needed.
* Working closely with team members to drive real\-time model implementations for monitoring and alerting of risk systems.
* Manage numerous requests concurrently and strategically, prioritizing when necessary
* Partner/collaborate across teams/roles to deliver results.
* Mentor other engineers, influence positively team culture, and help grow the team
About the team  
Denied Party Screening (DPS) is a part of Amazon Security, an organization designed to drive bar\-raising security engagements. The vision of the Amazon DPS program is to ensure that 1\+ billion Amazon accounts spanning across consumers, sellers, developers, employees, and all other Amazon party, are not a denied party, located or incorporated in a sanctioned region or country, or owned or controlled by or subject to the jurisdiction of the government of a sanctioned country.
Why Amazon Security  
At Amazon, security is central to maintaining customer trust and delivering delightful customer experiences. Our organization is responsible for creating and maintaining a high bar for security across all of Amazon’s products and services.  
Work/Life Balance  
We value work\-life harmony. Achieving success at work should never come at the expense of sacrifices at home, which is why flexible work hours and arrangements are part of our culture. When we feel supported in the workplace and at home, there’s nothing we can’t achieve.  
Inclusive Team Culture  
In Amazon Security, it’s in our nature to learn and be curious. Ongoing DEI events and learning experiences inspire us to continue learning and to embrace our uniqueness. Addressing the toughest security challenges requires that we seek out and celebrate a diversity of ideas, perspectives, and voices.  
Training and Career growth  
We’re continuously raising our performance bar as we strive to become Earth’s Best Employer. That’s why you’ll find endless knowledge\-sharing, training, and other career\-advancing resources here to help you develop into a better\-rounded professional.**BASIC QUALIFICATIONS**
------------------------
* 5\+ years of data engineering experience
* Experience programming with at least one modern language such as C\+\+, C\#, Java, Python, Golang, PowerShell, Ruby
* Experience working on and delivering end to end projects independently
* Experience with big data technologies such as: Hadoop, Hive, Spark, EMR
**PREFERRED QUALIFICATIONS**
----------------------------
* Experience with AWS technologies like Redshift, S3, AWS Glue, EMR, Kinesis, FireHose, Lambda, and IAM roles and permissions
* Experience with non\-relational databases / data stores (object storage, document or key\-value stores, graph databases, column\-family databases)
* Experience in at least one modern scripting or programming language, such as Python, Java, Scala, or NodeJS
* Experience with distributed systems as it pertains to data storage and computing
* Experience as a data engineer or related specialty (e.g., software engineer, business intelligence engineer, data scientist) with a track record of manipulating, processing, and extracting value from large datasets
* Experience providing technical leadership and mentoring other engineers for best practices on data engineering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TX, Dallas \- 132,100\.00 \- 178,800\.00 USD annually  
USA, WA, Seattle \- 132,100\.00 \- 178,800\.00 USD annually</t>
        </is>
      </c>
    </row>
    <row r="86">
      <c r="A86" t="inlineStr">
        <is>
          <t>in-1485b4cb752a16b6</t>
        </is>
      </c>
      <c r="B86" t="inlineStr">
        <is>
          <t>Data Engineer</t>
        </is>
      </c>
      <c r="C86" t="inlineStr">
        <is>
          <t>Amazon.com</t>
        </is>
      </c>
      <c r="D86" t="inlineStr">
        <is>
          <t>indeed</t>
        </is>
      </c>
      <c r="E86">
        <f>HYPERLINK("https://www.indeed.com/viewjob?jk=1485b4cb752a16b6", "https://www.indeed.com/viewjob?jk=1485b4cb752a16b6")</f>
        <v/>
      </c>
      <c r="F86">
        <f>HYPERLINK("https://www.amazon.jobs/jobs/3141339/data-engineer?cmpid=DA_INAD200785B", "https://www.amazon.jobs/jobs/3141339/data-engineer?cmpid=DA_INAD200785B")</f>
        <v/>
      </c>
      <c r="G86" t="inlineStr">
        <is>
          <t>San Francisco, CA, US</t>
        </is>
      </c>
      <c r="H86" s="3" t="n">
        <v>46001</v>
      </c>
      <c r="I86" t="inlineStr">
        <is>
          <t>**DESCRIPTION**
---------------
If you are interested in this position, please apply on Twitch's Career site https://www.twitch.tv/jobs/en/  
About Us:  
Twitch is the world’s biggest live streaming service, with global communities built around gaming, entertainment, music, sports, cooking, and more. It is where thousands of communities come together for whatever, every day.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About the Role  
As a data engineer in the Data Platform organization, you will be transforming Twitch’s largest data sets into offerings that are usable by the entire company. You’ll be working with other senior team members, as well as other data engineers, scientists, and stakeholders from all across the business. You will help define how our core business metrics are managed, as well as how other parts of the company define their individual metrics.  
You Will  
* Work closely with data scientists and engineers from across the company to define and create robust data architectures and pipelines
* Develop and manage scalable data pipelines to extract, transform, and load data from various sources
* Partner with a range of stakeholders to translate the company’s needs into data offerings
* Automate data processing and reporting workflows to improve efficiency and data integrity
* Implement data quality checks and monitor processes to maintain high data accuracy
* Simplify and enhance the accessibility, clarity, and usability of large and complex datasets through the development of data cubes and data sharing solutions
Perks  
* Medical, Dental, Vision \&amp; Disability Insurance
* 401(k)
* Maternity \&amp; Parental Leave
* Flexible PTO
* Amazon Employee Discount
**BASIC QUALIFICATIONS**
------------------------
* 3\+ years of data engineering experience
* 3\+ year of experience working in a data engineering, data science, or software engineering capacity
* Expertise in writing and maintaining robust data pipelines in SQL and Python
* A track record of turning data requirements from stakeholders into actionable plans
* Experience with cloud\-native solutions
* A history of implementing and upholding best practices in data pipelines, ensuring accuracy, consistency, and reliability
**PREFERRED QUALIFICATIONS**
----------------------------
* Bachelor's degree, or Master's degree in computer science, statistics, information systems, or a related, technical field
* Experience with a scripting language (e.g., Python, Java, or R)
* Familiarity and interest in Twitch!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$118,900/year in our lowest geographic market up to $205,600/year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87">
      <c r="A87" t="inlineStr">
        <is>
          <t>in-4e73c15ed5cdee5f</t>
        </is>
      </c>
      <c r="B87" t="inlineStr">
        <is>
          <t>Data Engineer</t>
        </is>
      </c>
      <c r="C87" t="inlineStr">
        <is>
          <t>Amazon.com</t>
        </is>
      </c>
      <c r="D87" t="inlineStr">
        <is>
          <t>indeed</t>
        </is>
      </c>
      <c r="E87">
        <f>HYPERLINK("https://www.indeed.com/viewjob?jk=4e73c15ed5cdee5f", "https://www.indeed.com/viewjob?jk=4e73c15ed5cdee5f")</f>
        <v/>
      </c>
      <c r="F87">
        <f>HYPERLINK("https://www.amazon.jobs/jobs/3141339/data-engineer?cmpid=DA_INAD200785B", "https://www.amazon.jobs/jobs/3141339/data-engineer?cmpid=DA_INAD200785B")</f>
        <v/>
      </c>
      <c r="G87" t="inlineStr">
        <is>
          <t>Seattle, WA, US</t>
        </is>
      </c>
      <c r="H87" s="3" t="n">
        <v>46001</v>
      </c>
      <c r="I87" t="inlineStr">
        <is>
          <t>**DESCRIPTION**
---------------
If you are interested in this position, please apply on Twitch's Career site https://www.twitch.tv/jobs/en/  
About Us:  
Twitch is the world’s biggest live streaming service, with global communities built around gaming, entertainment, music, sports, cooking, and more. It is where thousands of communities come together for whatever, every day.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About the Role  
As a data engineer in the Data Platform organization, you will be transforming Twitch’s largest data sets into offerings that are usable by the entire company. You’ll be working with other senior team members, as well as other data engineers, scientists, and stakeholders from all across the business. You will help define how our core business metrics are managed, as well as how other parts of the company define their individual metrics.  
You Will  
* Work closely with data scientists and engineers from across the company to define and create robust data architectures and pipelines
* Develop and manage scalable data pipelines to extract, transform, and load data from various sources
* Partner with a range of stakeholders to translate the company’s needs into data offerings
* Automate data processing and reporting workflows to improve efficiency and data integrity
* Implement data quality checks and monitor processes to maintain high data accuracy
* Simplify and enhance the accessibility, clarity, and usability of large and complex datasets through the development of data cubes and data sharing solutions
Perks  
* Medical, Dental, Vision \&amp; Disability Insurance
* 401(k)
* Maternity \&amp; Parental Leave
* Flexible PTO
* Amazon Employee Discount
**BASIC QUALIFICATIONS**
------------------------
* 3\+ years of data engineering experience
* 3\+ year of experience working in a data engineering, data science, or software engineering capacity
* Expertise in writing and maintaining robust data pipelines in SQL and Python
* A track record of turning data requirements from stakeholders into actionable plans
* Experience with cloud\-native solutions
* A history of implementing and upholding best practices in data pipelines, ensuring accuracy, consistency, and reliability
**PREFERRED QUALIFICATIONS**
----------------------------
* Bachelor's degree, or Master's degree in computer science, statistics, information systems, or a related, technical field
* Experience with a scripting language (e.g., Python, Java, or R)
* Familiarity and interest in Twitch!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$118,900/year in our lowest geographic market up to $205,600/year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88">
      <c r="A88" t="inlineStr">
        <is>
          <t>in-57756713b2269603</t>
        </is>
      </c>
      <c r="B88" t="inlineStr">
        <is>
          <t>Delivery Consultant - Data Engineer, Data and Machine Learning, WWPS US Federal</t>
        </is>
      </c>
      <c r="C88" t="inlineStr">
        <is>
          <t>Amazon Web Services</t>
        </is>
      </c>
      <c r="D88" t="inlineStr">
        <is>
          <t>indeed</t>
        </is>
      </c>
      <c r="E88">
        <f>HYPERLINK("https://www.indeed.com/viewjob?jk=57756713b2269603", "https://www.indeed.com/viewjob?jk=57756713b2269603")</f>
        <v/>
      </c>
      <c r="F88">
        <f>HYPERLINK("https://www.amazon.jobs/jobs/3134583/delivery-consultant--data-engineer-data-and-machine-learning-wwps-us-federal?cmpid=DA_INAD200785B", "https://www.amazon.jobs/jobs/3134583/delivery-consultant--data-engineer-data-and-machine-learning-wwps-us-federal?cmpid=DA_INAD200785B")</f>
        <v/>
      </c>
      <c r="G88" t="inlineStr">
        <is>
          <t>Herndon, VA, US</t>
        </is>
      </c>
      <c r="H88" s="3" t="n">
        <v>45991</v>
      </c>
      <c r="I88" t="inlineStr">
        <is>
          <t>**DESCRIPTION**
---------------
The Amazon Web Services Professional Services (ProServe) team is seeking a skilled Delivery Consultant to join our team at Amazon Web Services (AWS). In this role, you'll work closely with customers to design, implement, and manage AWS solutions that meet their technical requirements and business objectives. You'll be a key player in driving customer success through their cloud journey, providing technical expertise and best practices throughout the project lifecycle.  
Possessing a deep understanding of AWS products and services, as a Delivery Consultant you will be proficient in architecting complex, scalable, and secure solutions tailored to meet the specific needs of each customer. You’ll work closely with stakeholders to gather requirements, assess current infrastructure, and propose effective migration strategies to AWS. As trusted advisors to our customers, providing guidance on industry trends, emerging technologies, and innovative solutions, you will be responsible for leading the implementation process, ensuring adherence to best practices, optimizing performance, and managing risks throughout the project.
The AWS Professional Services organization is a global team of experts that help customers realize their desired business outcomes when using the AWS Cloud. We work together with customer teams and the AWS Partner Network (APN) to execute enterprise cloud computing initiatives. Our team provides assistance through a collection of offerings which help customers achieve specific outcomes related to enterprise cloud adoption. We also deliver focused guidance through our global specialty practices, which cover a variety of solutions, technologies, and industries.  
It is expected to work from one of the above locations (or customer sites) Monday through Friday each week. This is not a remote position. You are expected to be in the office or with customers as needed.
This position requires that the candidate selected be a US Citizen and must currently possess and maintain an active TS/SCI security clearance with polygraph. The position further requires the candidate to opt into a commensurate clearance for each government agency for which they perform AWS work.
10040  
Key job responsibilities  
As an experienced technology professional, you will be responsible for:
* Designing and implementing complex, scalable, and secure AWS solutions tailored to customer needs
* Providing technical guidance and troubleshooting support throughout project delivery
* Collaborating with stakeholders to gather requirements and propose effective migration strategies
* Acting as a trusted advisor to customers on industry trends and emerging technologies
* Sharing knowledge within the organization through mentoring, training, and creating reusable artifacts
About the team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Diverse Experiences  
AWS values diverse experiences. Even if you do not meet all of the qualifications and skills listed in the job description, we encourage candidates to apply. If your career is just starting, hasn’t followed a traditional path, or includes alternative experiences, don’t let it stop you from applying.  
Inclusive Team Culture  
Here at AWS, it’s in our nature to learn and be curious. Our employee\-led affinity groups foster a culture of inclusion that empower us to be proud of our differences. Ongoing events and learning experiences, including our Conversations on Race and Ethnicity (CORE) and AmazeCon (diversity) conferences, inspire us to never stop embracing our uniqueness.  
Work/Life Balance  
We value work\-life harmony. Achieving success at work should never come at the expense of sacrifices at home, which is why flexible work hours and arrangements are part of our culture. When we feel supported in the workplace and at home, there’s nothing we can’t achieve in the cloud.  
Mentorship \&amp; Career Growth  
We’re continuously raising our performance bar as we strive to become Earth’s Best Employer. That’s why you’ll find endless knowledge\-sharing, mentorship and other career\-advancing resources here to help you develop into a better\-rounded professional.**BASIC QUALIFICATIONS**
------------------------
* Bachelor's degree in Computer Science, Engineering, a related technical field or equivalent
* 3\+ years of cloud architecture and solution implementation experience
* 3\+ years of experience with data warehouse architecture, ETL/ELT tools, data engineering, and large\-scale data manipulation using technologies like Spark, EMR, Hive, Kafka, and Redshift.
* Experience with relational databases, SQL, and performance tuning, as well as software engineering best practices for the development lifecycle, including coding standards, reviews, source control, and testing.
* Current, active US Government Security Clearance of TS/SCI with Polygraph.
**PREFERRED QUALIFICATIONS**
----------------------------
* AWS Professional level certifications (e.g., Solutions Architect Professional, DevOps Engineer Professional) preferred.
* Experience with automation and scripting (e.g., Terraform, Python).
* Knowledge of security and compliance standards (e.g., HIPAA, GDPR).
* Experience leading large\-scale data engineering and analytics projects using AWS technologies like Redshift, S3, Glue, EMR, Kinesis, Firehose, and Lambda.
* Experience with non\-relational databases and implementing data governance solutions.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$118,200/year in our lowest geographic market up to $204,300/year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89">
      <c r="A89" t="inlineStr">
        <is>
          <t>in-32adfeec0f41196e</t>
        </is>
      </c>
      <c r="B89" t="inlineStr">
        <is>
          <t>Delivery Consultant - Data Engineer, Data and Machine Learning, WWPS US Federal</t>
        </is>
      </c>
      <c r="C89" t="inlineStr">
        <is>
          <t>Amazon Web Services</t>
        </is>
      </c>
      <c r="D89" t="inlineStr">
        <is>
          <t>indeed</t>
        </is>
      </c>
      <c r="E89">
        <f>HYPERLINK("https://www.indeed.com/viewjob?jk=32adfeec0f41196e", "https://www.indeed.com/viewjob?jk=32adfeec0f41196e")</f>
        <v/>
      </c>
      <c r="F89">
        <f>HYPERLINK("https://www.amazon.jobs/jobs/3134583/delivery-consultant--data-engineer-data-and-machine-learning-wwps-us-federal?cmpid=DA_INAD200785B", "https://www.amazon.jobs/jobs/3134583/delivery-consultant--data-engineer-data-and-machine-learning-wwps-us-federal?cmpid=DA_INAD200785B")</f>
        <v/>
      </c>
      <c r="G89" t="inlineStr">
        <is>
          <t>Arlington, VA, US</t>
        </is>
      </c>
      <c r="H89" s="3" t="n">
        <v>45991</v>
      </c>
      <c r="I89" t="inlineStr">
        <is>
          <t>**DESCRIPTION**
---------------
The Amazon Web Services Professional Services (ProServe) team is seeking a skilled Delivery Consultant to join our team at Amazon Web Services (AWS). In this role, you'll work closely with customers to design, implement, and manage AWS solutions that meet their technical requirements and business objectives. You'll be a key player in driving customer success through their cloud journey, providing technical expertise and best practices throughout the project lifecycle.  
Possessing a deep understanding of AWS products and services, as a Delivery Consultant you will be proficient in architecting complex, scalable, and secure solutions tailored to meet the specific needs of each customer. You’ll work closely with stakeholders to gather requirements, assess current infrastructure, and propose effective migration strategies to AWS. As trusted advisors to our customers, providing guidance on industry trends, emerging technologies, and innovative solutions, you will be responsible for leading the implementation process, ensuring adherence to best practices, optimizing performance, and managing risks throughout the project.
The AWS Professional Services organization is a global team of experts that help customers realize their desired business outcomes when using the AWS Cloud. We work together with customer teams and the AWS Partner Network (APN) to execute enterprise cloud computing initiatives. Our team provides assistance through a collection of offerings which help customers achieve specific outcomes related to enterprise cloud adoption. We also deliver focused guidance through our global specialty practices, which cover a variety of solutions, technologies, and industries.  
It is expected to work from one of the above locations (or customer sites) Monday through Friday each week. This is not a remote position. You are expected to be in the office or with customers as needed.
This position requires that the candidate selected be a US Citizen and must currently possess and maintain an active TS/SCI security clearance with polygraph. The position further requires the candidate to opt into a commensurate clearance for each government agency for which they perform AWS work.
10040  
Key job responsibilities  
As an experienced technology professional, you will be responsible for:
* Designing and implementing complex, scalable, and secure AWS solutions tailored to customer needs
* Providing technical guidance and troubleshooting support throughout project delivery
* Collaborating with stakeholders to gather requirements and propose effective migration strategies
* Acting as a trusted advisor to customers on industry trends and emerging technologies
* Sharing knowledge within the organization through mentoring, training, and creating reusable artifacts
About the team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Diverse Experiences  
AWS values diverse experiences. Even if you do not meet all of the qualifications and skills listed in the job description, we encourage candidates to apply. If your career is just starting, hasn’t followed a traditional path, or includes alternative experiences, don’t let it stop you from applying.  
Inclusive Team Culture  
Here at AWS, it’s in our nature to learn and be curious. Our employee\-led affinity groups foster a culture of inclusion that empower us to be proud of our differences. Ongoing events and learning experiences, including our Conversations on Race and Ethnicity (CORE) and AmazeCon (diversity) conferences, inspire us to never stop embracing our uniqueness.  
Work/Life Balance  
We value work\-life harmony. Achieving success at work should never come at the expense of sacrifices at home, which is why flexible work hours and arrangements are part of our culture. When we feel supported in the workplace and at home, there’s nothing we can’t achieve in the cloud.  
Mentorship \&amp; Career Growth  
We’re continuously raising our performance bar as we strive to become Earth’s Best Employer. That’s why you’ll find endless knowledge\-sharing, mentorship and other career\-advancing resources here to help you develop into a better\-rounded professional.**BASIC QUALIFICATIONS**
------------------------
* Bachelor's degree in Computer Science, Engineering, a related technical field or equivalent
* 3\+ years of cloud architecture and solution implementation experience
* 3\+ years of experience with data warehouse architecture, ETL/ELT tools, data engineering, and large\-scale data manipulation using technologies like Spark, EMR, Hive, Kafka, and Redshift.
* Experience with relational databases, SQL, and performance tuning, as well as software engineering best practices for the development lifecycle, including coding standards, reviews, source control, and testing.
* Current, active US Government Security Clearance of TS/SCI with Polygraph.
**PREFERRED QUALIFICATIONS**
----------------------------
* AWS Professional level certifications (e.g., Solutions Architect Professional, DevOps Engineer Professional) preferred.
* Experience with automation and scripting (e.g., Terraform, Python).
* Knowledge of security and compliance standards (e.g., HIPAA, GDPR).
* Experience leading large\-scale data engineering and analytics projects using AWS technologies like Redshift, S3, Glue, EMR, Kinesis, Firehose, and Lambda.
* Experience with non\-relational databases and implementing data governance solutions.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$118,200/year in our lowest geographic market up to $204,300/year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90">
      <c r="A90" t="inlineStr">
        <is>
          <t>in-4910653066287e10</t>
        </is>
      </c>
      <c r="B90" t="inlineStr">
        <is>
          <t>Sr. Data Engineer</t>
        </is>
      </c>
      <c r="C90" t="inlineStr">
        <is>
          <t>Ambarella</t>
        </is>
      </c>
      <c r="D90" t="inlineStr">
        <is>
          <t>indeed</t>
        </is>
      </c>
      <c r="E90">
        <f>HYPERLINK("https://www.indeed.com/viewjob?jk=4910653066287e10", "https://www.indeed.com/viewjob?jk=4910653066287e10")</f>
        <v/>
      </c>
      <c r="F90">
        <f>HYPERLINK("https://ambarella.wd108.myworkdayjobs.com/en-US/Ambarella/job/US-Headquarters/Sr-Data-Engineer_JR100121", "https://ambarella.wd108.myworkdayjobs.com/en-US/Ambarella/job/US-Headquarters/Sr-Data-Engineer_JR100121")</f>
        <v/>
      </c>
      <c r="G90" t="inlineStr">
        <is>
          <t>US</t>
        </is>
      </c>
      <c r="H90" s="3" t="n">
        <v>45925</v>
      </c>
      <c r="I90" t="inlineStr">
        <is>
          <t>**AI Vision Processors For Edge Applications**
----------------------------------------------
### ***Our solutions make cameras smarter by extracting valuable data from high\-resolution video streams.***
**Job Description**
We are seeking a **Sr.** **Data Engineer** to join our team and help maintain, improve, and scale our computing resources powered by Kubernetes (K8s). This role is ideal for someone who enjoys working with large\-scale infrastructure, thrives in dynamic environments, and learns new technologies quickly.
**Responsibilities**
Maintain and improve our Kubernetes clusters to ensure high availability, scalability, and efficiency of computing resources. Monitor, troubleshoot, and optimize cluster performance, networking, and storage. Collaborate with engineers to support ML/AI workloads, distributed systems, and high\-performance computing applications. Automate repetitive tasks and develop tools to improve developer and operational workflows. Stay up to date with Kubernetes ecosystem advancements and propose improvements.
**Qualifications**
Strong foundation in software engineering with experience in **Kubernetes** and containerized environments (Docker, containerd, etc.). Solid programming skills in one or more languages (e.g., Python, Go, or similar). Familiarity with Linux systems, networking, and data storage. Ability to learn new technologies quickly and adapt to changing requirements. Strong problem\-solving and debugging skills.
**Nice to Have (Plus)**
Prior experience running or experimenting with Kubernetes clusters at scale. Knowledge of monitoring and observability tools (e.g., Prometheus, Grafana). Experience with infrastructure\-as\-code (e.g., Helm, Terraform, Ansible). Exposure to ML/AI workloads, GPU scheduling, or distributed training frameworks.
**Why Join Us**
Work with cutting\-edge infrastructure and AI/ML workloads. Opportunity to grow with a team building scalable, high\-performance systems. Collaborative culture with emphasis on learning, experimentation, and innovation.
The base range is $150,000\-$165,000\. Your base salary will be determined based on your location, experience, and the pay of employees in similar positions. The successful candidate will have the opportunity to convert to a full\-time regular position. We also offer new\-hire RSU grants and the opportunity for annual RSU grants, as well as other highly competitive benefits</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144"/>
  <sheetViews>
    <sheetView workbookViewId="0">
      <selection activeCell="A1" sqref="A1"/>
    </sheetView>
  </sheetViews>
  <sheetFormatPr baseColWidth="8" defaultRowHeight="15"/>
  <sheetData>
    <row r="1">
      <c r="A1" s="1" t="inlineStr">
        <is>
          <t>job id</t>
        </is>
      </c>
      <c r="B1" s="1" t="inlineStr">
        <is>
          <t>title</t>
        </is>
      </c>
      <c r="C1" s="1" t="inlineStr">
        <is>
          <t>company</t>
        </is>
      </c>
      <c r="D1" s="1" t="inlineStr">
        <is>
          <t>site</t>
        </is>
      </c>
      <c r="E1" s="1" t="inlineStr">
        <is>
          <t>job_url</t>
        </is>
      </c>
      <c r="F1" s="1" t="inlineStr">
        <is>
          <t>job_url_direct</t>
        </is>
      </c>
      <c r="G1" s="1" t="inlineStr">
        <is>
          <t>location</t>
        </is>
      </c>
      <c r="H1" s="1" t="inlineStr">
        <is>
          <t>date posted</t>
        </is>
      </c>
      <c r="I1" s="1" t="inlineStr">
        <is>
          <t>description</t>
        </is>
      </c>
    </row>
    <row r="2">
      <c r="A2" t="inlineStr">
        <is>
          <t>li-4368191946</t>
        </is>
      </c>
      <c r="B2" t="inlineStr">
        <is>
          <t>Senior Data Engineer – Snowflake / Qlik / DBT</t>
        </is>
      </c>
      <c r="C2" t="inlineStr">
        <is>
          <t>NuStar Technologies</t>
        </is>
      </c>
      <c r="D2" t="inlineStr">
        <is>
          <t>linkedin</t>
        </is>
      </c>
      <c r="E2" t="inlineStr"/>
      <c r="F2" t="inlineStr"/>
      <c r="G2" t="inlineStr">
        <is>
          <t>Raleigh, NC</t>
        </is>
      </c>
      <c r="H2" t="inlineStr"/>
      <c r="I2" t="inlineStr">
        <is>
          <t>Data Engineer
* Data Pipelines \- Design, develop, and maintain data pipelines for efficient data processing and integration for real\-time and batch\-processing. Implement and optimize ETL processes to extract, load, transform and integrate data from various sources. Enhance data flows and storage solutions for improved performance
* Data Warehousing \- Design and implement data warehouse structures. Ensure data quality and consistency within the data warehouse. Apply data modeling techniques for efficient data storage and retrieval
* Data Governance, Quality \&amp; Compliance \- Implement data governance policies and procedures. Implement data quality frameworks, standards and documentation. Ensure compliance with relevant data regulations and standards
* Security \&amp; Access Management \- Implement data security measures and access controls. Maintain data protection protocols
* Performance Optimization and Troubleshooting \- Analyze and optimize system performance for large\-scale data operations. Troubleshoot data issues and implement robust solutions
* Testing \&amp; Automation – Write unit test cases, validate the data integrity \&amp; consistency requirements, adopt automated data pipelines using GitLab, Github, CICD tools.
* Code Deployment \&amp; Release Management \- Adopt release management processes to promote code deployment to various environments including production, disaster recovery, and support activities.
* Cross\-Functional Collaboration \- Collaborate with data scientists, analysts, and other teams to understand and meet data requirements. Participate in cross\-functional projects to support data\-driven initiatives
**Technical/Business Skills**
* Hands\-on experience in building robust metadata\-driven, automated data pipeline solutions leveraging modern cloud\-based data technologies, tools for large data platforms.
* Hands\-on experience leveraging data security, governance methodologies meeting data compliance requirements.
* Experience building automated ELT data pipelines, snowpipe frameworks leveraging Qlik Replicate, DBT Cloud, snowflake with CICD.
* Hands\-on experience building data integrity solutions across multiple data sources and targets like SQL Server, Oracle, Mainframe\-DB2, files, Snowflake.
* Experience working with various structured \&amp; semi\-structured data files \- CSV, fixed width, JSON, XML, Excel, and mainframe VSAM.
* Experience using S3, Lambda, SQS, SNS, Glue, RDS AWS services.
* Proficiency in Python, Pyspark, advanced SQL for ingestion frameworks and automation.
* Hands\-on data orchestration experience using DBT cloud, Astronomer Airflow.
* Experience in implementing logging, monitoring, alerting, observability, performance tuning techniques.
* Implement and maintain sensitive data protection strategies – tokenization, snowflake data masking policies, dynamic \&amp; conditional masking, and role based masking rules.
* Strong experience designing, implementing RBAC, data access controls, adopting governance standards across Snowflake and supporting systems.
* Strong experience in adopting release management guidelines, code deployment to various environments, implementing disaster recovery strategies, leading production activities.
* Experience implementing schema drift detection and schema evolution patterns.
* Must have one or more certifications in the relevant technology fields.
* Nice to have Financial banking experience.
 Salary Range\- $100,000\-$110,000 a year</t>
        </is>
      </c>
    </row>
    <row r="3">
      <c r="A3" t="inlineStr">
        <is>
          <t>li-4368305140</t>
        </is>
      </c>
      <c r="B3" t="inlineStr">
        <is>
          <t>Sr. Data Engineer - Qlik Data Engineer/Developer</t>
        </is>
      </c>
      <c r="C3" t="inlineStr">
        <is>
          <t>NuStar Technologies</t>
        </is>
      </c>
      <c r="D3" t="inlineStr">
        <is>
          <t>linkedin</t>
        </is>
      </c>
      <c r="E3" t="inlineStr"/>
      <c r="F3" t="inlineStr"/>
      <c r="G3" t="inlineStr">
        <is>
          <t>Raleigh, NC</t>
        </is>
      </c>
      <c r="H3" t="inlineStr"/>
      <c r="I3" t="inlineStr">
        <is>
          <t>* Data Architecture and Strategy \- Design and implement scalable, efficient data architectures. Lead the development of data strategy aligned with business objectives. Evaluate and integrate new technologies to enhance data capabilities
* Hands\-on Data Pipeline Development \- Implement complex data pipelines for real\-time and batch processing. Optimize data flows for high\-volume, high\-velocity data environments. Develop advanced ETL processes for diverse data sources.
* Data Governance and Quality Management \- Establish and enforce data governance policies and best practices. Implement data quality frameworks and monitoring systems. Ensure compliance with data regulations and standards
* Performance Optimization and Troubleshooting \- Analyze and optimize system performance for large\-scale data operations. Troubleshoot complex data issues and implement robust solutions
* Mentorship and Knowledge Sharing \- Mentor junior data engineers and provide technical guidance. Contribute to the development of best practices and standards. Collaborate with cross\-functional teams to drive data literacy
* Testing \&amp; Automation – Write unit test cases, validate the data integrity \&amp; consistency requirements, build automated data pipelines using GitLab, Github, CICD tools.
* Code Deployment \&amp; Release Management \- Adopt release management processes to promote code deployment to various environments including production, disaster recovery, and support activities.
**Technical/Business Skills**
* Strong hands\-on experience in building robust metadata\-driven, automated data pipeline solutions leveraging modern cloud\-based data technologies, tools for large data platforms.
* Strong experience leveraging data security, governance methodologies meeting data compliance requirements.
* Strong hands\-on experience building medallion architecture automated ELT data pipelines, snowpipe frameworks leveraging Qlik Replicate, DBT Cloud, snowflake with CICD.
* Strong hands\-on experience building data pipelines, data integrity solutions across multiple data sources and targets like SQL Server, Oracle, Mainframe\-DB2, files, Snowflake.
* Experience working with various structured \&amp; semi\-structured data files \- CSV, fixed width, JSON, XML, Excel, and mainframe VSAM.
* Experience using S3, Lambda, SQS, SNS, Glue, RDS AWS services.
* Excellent proficiency in Python, Pyspark, advanced SQL for ingestion frameworks and automation.
* Hands\-on data orchestration experience using DBT cloud, Astronomer Airflow.
* Experience in implementing logging, monitoring, alerting, observability, performance tuning techniques.
* Implement and maintain sensitive data protection strategies – tokenization, snowflake data masking policies, dynamic \&amp; conditional masking, and role based masking rules.
* Strong experience designing, implementing RBAC, data access controls, adopting governance standards across Snowflake and supporting systems.
* Strong experience in adopting release management guidelines, code deployment to various environments, implementing disaster recovery strategies, leading production activities.
* Experience implementing schema drift detection and schema evolution patterns.
* Financial banking experience is a plus.
* Must have one or more certifications in the relevant technology fields.
 Salary Range\- $100,000\-$110,000 a year</t>
        </is>
      </c>
    </row>
    <row r="4">
      <c r="A4" t="inlineStr">
        <is>
          <t>li-4368319695</t>
        </is>
      </c>
      <c r="B4" t="inlineStr">
        <is>
          <t>AI Data Engineer</t>
        </is>
      </c>
      <c r="C4" t="inlineStr">
        <is>
          <t>MLabs</t>
        </is>
      </c>
      <c r="D4" t="inlineStr">
        <is>
          <t>linkedin</t>
        </is>
      </c>
      <c r="E4" t="inlineStr"/>
      <c r="F4" t="inlineStr"/>
      <c r="G4" t="inlineStr"/>
      <c r="H4" t="inlineStr"/>
      <c r="I4" t="inlineStr">
        <is>
          <t>**Senior AI Data Engineer (Agentic Systems)**
**Location:** 
 USA / Europe / Israel \- with a 5hour overlap with EST hours
**Compensation:** 
 $130K \- $150K
 We build the technology that powers safer, more accessible financial markets. Our risk management systems, oracles, and AI models currently secure over
 **$200 billion in assets** 
 across the world's largest decentralized protocols, having processed more than
 **$5 trillion in transaction volume** 
 . We recently launched a pioneering
 **Financial Intelligence Platform** 
 that transforms complex market data into actionable insights, bringing institutional\-grade intelligence to every participant in the ecosystem.
**The Role:** 
 We are looking for a
 **Senior AI Data Engineer** 
 to design and build the agentic systems powering our intelligence platform. You will work at the intersection of LLMs, financial data, and production infrastructure, creating intelligent agents that reason, plan, and execute across complex financial workflows.
**Responsibilities:**
* Agentic Systems: Design and build single and multi\-agent systems incorporating planning, memory, and tool use
* Infrastructure: Build and operate MCP servers with secure schemas and permissions
* Workflows: Develop sophisticated agentic workflows using LangGraph or equivalent frameworks
* LLM Integration: Manage prompts, structured outputs, and tool calling via SDKs
* Evaluation: Define and run LLM evaluation pipelines for quality, correctness, latency, cost, and regressions
* Observability: Build reliability infrastructure, including logging, tracing, retries, and state management
* Performance: Optimize performance and cost\-efficiency from prototype to production
* Mentorship: Establish agentic best practices and mentor junior engineers
**Requirements**
 We need an engineer who moves with precision and understands how to bridge the gap between AI research and production\-grade financial software.
* Experience: 5\+ years of software engineering, with at least 2\+ years specifically building production\-level AI/ML systems
* Agentic Expertise: Hands\-on experience with agentic architectures, tool calling, and LangGraph (or equivalent)
* Protocol Knowledge: Practical experience with Model Context Protocol (MCP) servers
* Evaluation Skills: Demonstrated experience designing and operating LLM evaluation pipelines
* Technical Stack: Strong Python proficiency and API design skills
* Retrieval Systems: Familiarity with RAG pipelines, vector databases, and embedding\-based retrieval
**Preferred Qualifications:**
* Prior experience with financial data, DeFi/Crypto, or quantitative analysis
* Background in distributed systems or high\-throughput data pipelines
* Active contributions to open\-source AI/ML projects
**Benefits**
* Competitive Compensation \&amp; Equity: We offer a package aligned with growth, performance, and merit
* Professional Growth: Be a foundational member of a rapidly expanding, global technology company with significant room for career advancement
* High\-Stakes Impact: Work on systems that secure hundreds of billions of dollars and define the future of financial risk management
* Talent\-Dense Team: Collaborate with world\-class data scientists and engineers in a high\-performance culture
**Due to the high volume of applications we anticipate, we regret that we are unable to provide individual feedback to all candidates. If you do not hear back from us within 4 weeks of your application, please assume that you have not been successful on this occasion. We genuinely appreciate your interest and wish you the best in your job search.**
**Commitment to Equality and Accessibility:**
 At MLabs, we are committed to offer equal opportunities to all candidates. We ensure no discrimination, accessible job adverts, and providing information in accessible formats. Our goal is to foster a diverse, inclusive workplace with equal opportunities for all. If you need any reasonable adjustments during any part of the hiring process or you would like to see the job\-advert in an accessible format please let us know at the earliest opportunity by emailing human\-resources@mlabs.city.
 MLabs Ltd collects and processes the personal information you provide such as your contact details, work history, resume, and other relevant data for recruitment purposes only. This information is managed securely in accordance with MLabs Ltd's Privacy Policy and Information Security Policy, and in compliance with applicable data protection laws. Your data may be shared only with clients and trusted partners where necessary for recruitment purposes. You may request the deletion of your data or withdraw your consent at any time by contacting legal@mlabs.city.</t>
        </is>
      </c>
    </row>
    <row r="5">
      <c r="A5" t="inlineStr">
        <is>
          <t>li-4313819229</t>
        </is>
      </c>
      <c r="B5" t="inlineStr">
        <is>
          <t>Data Engineer, Analytics</t>
        </is>
      </c>
      <c r="C5" t="inlineStr">
        <is>
          <t>OpenAI</t>
        </is>
      </c>
      <c r="D5" t="inlineStr">
        <is>
          <t>linkedin</t>
        </is>
      </c>
      <c r="E5" t="inlineStr"/>
      <c r="F5" t="inlineStr"/>
      <c r="G5" t="inlineStr">
        <is>
          <t>San Francisco, CA</t>
        </is>
      </c>
      <c r="H5" t="inlineStr"/>
      <c r="I5" t="inlineStr">
        <is>
          <t>**About The Team**
 The Applied team works across research, engineering, product, and design to bring OpenAI’s technology to consumers and businesses.
 We seek to learn from deployment and distribute the benefits of AI, while ensuring that this powerful tool is used responsibly and safely. Safety is more important to us than unfettered growth.
**About The Role**
 We're seeking a Data Engineer to take the lead in building our data pipelines and core tables for OpenAI. These pipelines are crucial for powering analyses, safety systems that guide business decisions, product growth, and prevent bad actors. If you're passionate about working with data and are eager to create solutions with significant impact, we'd love to hear from you. This role also provides the opportunity to collaborate closely with the researchers behind ChatGPT and help them train new models to deliver to users. As we continue our rapid growth, we value data\-driven insights, and your contributions will play a pivotal role in our trajectory. Join us in shaping the future of OpenAI!
**In This Role, You Will**
* Design, build and manage our data pipelines, ensuring all user event data is seamlessly integrated into our data warehouse.
* Develop canonical datasets to track key product metrics including user growth, engagement, and revenue.
* Work collaboratively with various teams, including, Infrastructure, Data Science, Product, Marketing, Finance, and Research to understand their data needs and provide solutions.
* Implement robust and fault\-tolerant systems for data ingestion and processing.
* Participate in data architecture and engineering decisions, bringing your strong experience and knowledge to bear.
* Ensure the security, integrity, and compliance of data according to industry and company standards.
**You Might Thrive In This Role If You**
* Have 3\+ years of experience as a data engineer and 8\+ years of any software engineering experience(including data engineering).
* Proficiency in at least one programming language commonly used within Data Engineering, such as Python, Scala, or Java.
* Experience with distributed processing technologies and frameworks, such as Hadoop, Flink and distributed storage systems (e.g., HDFS, S3\).
* Expertise with any of ETL schedulers such as Airflow, Dagster, Prefect or similar frameworks.
* Solid understanding of Spark and ability to write, debug and optimize Spark code.
 This role is exclusively based in our San Francisco HQ. We offer relocation assistance to new employees.
**About OpenAI**
 OpenAI is an AI research and deployment company dedicated to ensuring that general\-purpose artificial intelligence benefits all of humanity. We push the boundaries of the capabilities of AI systems and seek to safely deploy them to the world through our products. AI is an extremely powerful tool that must be created with safety and human needs at its core, and to achieve our mission, we must encompass and value the many different perspectives, voices, and experiences that form the full spectrum of humanity.
 We are an equal opportunity employer, and we do not discriminate on the basis of race, religion, color, national origin, sex, sexual orientation, age, veteran status, disability, genetic information, or other applicable legally protected characteristic.
 For additional information, please see OpenAI’s Affirmative Action and Equal Employment Opportunity Policy Statement.
 Background checks for applicants will be administered in accordance with applicable law, and qualified applicants with arrest or conviction records will be considered for employment consistent with those laws, including the San Francisco Fair Chance Ordinance, the Los Angeles County Fair Chance Ordinance for Employers, and the California Fair Chance Act, for US\-based candidates. For unincorporated Los Angeles County workers: we reasonably believe that criminal history may have a direct, adverse and negative relationship with the following job duties, potentially resulting in the withdrawal of a conditional offer of employment: protect computer hardware entrusted to you from theft, loss or damage; return all computer hardware in your possession (including the data contained therein) upon termination of employment or end of assignment; and maintain the confidentiality of proprietary, confidential, and non\-public information. In addition, job duties require access to secure and protected information technology systems and related data security obligations.
 To notify OpenAI that you believe this job posting is non\-compliant, please submit a report through this form. No response will be provided to inquiries unrelated to job posting compliance.
 We are committed to providing reasonable accommodations to applicants with disabilities, and requests can be made via this link.
 OpenAI Global Applicant Privacy Policy
 At OpenAI, we believe artificial intelligence has the potential to help people solve immense global challenges, and we want the upside of AI to be widely shared. Join us in shaping the future of technology.
 Compensation Range: $255K \- $405K</t>
        </is>
      </c>
    </row>
    <row r="6">
      <c r="A6" t="inlineStr">
        <is>
          <t>li-4368170996</t>
        </is>
      </c>
      <c r="B6" t="inlineStr">
        <is>
          <t>Data Engineer</t>
        </is>
      </c>
      <c r="C6" t="inlineStr">
        <is>
          <t>Fusemachines</t>
        </is>
      </c>
      <c r="D6" t="inlineStr">
        <is>
          <t>linkedin</t>
        </is>
      </c>
      <c r="E6" t="inlineStr"/>
      <c r="F6" t="inlineStr"/>
      <c r="G6" t="inlineStr"/>
      <c r="H6" t="inlineStr"/>
      <c r="I6" t="inlineStr">
        <is>
          <t>**About The Company**
 Fusemachines is a leading provider of AI strategy, talent, and education services dedicated to democratizing artificial intelligence across industries and regions. Founded by Sameer Maskey, Ph.D., an esteemed academic and industry expert, the company has established a global presence with offices and operations in Nepal, the United States, Canada, and the Dominican Republic, employing over 450 professionals worldwide. Fusemachines leverages its extensive expertise in AI to help organizations transform their operations, innovate solutions, and stay competitive in a rapidly evolving technological landscape. Committed to fostering a diverse and inclusive environment, Fusemachines continually seeks to empower individuals and organizations through cutting\-edge AI education and talent development initiatives.
**About The Role**
 This is a full\-time remote position designed for a highly skilled Senior Data Engineer or Technical Lead. The role involves designing, building, testing, optimizing, and maintaining data infrastructure and pipelines that support data integration, storage, processing, and analytics. The ideal candidate will be responsible for creating scalable and reliable data solutions from ingestion to consumption, ensuring high data quality, accessibility, and security for analytics and business intelligence purposes.
 The role requires a strong foundation in programming, particularly Python, SQL, and PySpark, along with extensive experience in cloud\-based data solutions, primarily on AWS and GCP platforms. The candidate should be capable of leading technical initiatives, guiding team members, and making architecture decisions to support the organization’s data\-driven goals. Additionally, this role involves contributing to migration efforts from AWS to GCP, evaluating new technologies, and implementing best practices in data governance and security. The position offers an excellent opportunity to lead innovative data engineering projects, influence strategic decisions, and work within a collaborative Agile environment to deliver impactful data solutions.
**Qualifications**
* Bachelor’s degree in Computer Science, Information Systems, Engineering, or a related field.
* 5\+ years of experience in data engineering, with proven expertise in AWS and GCP cloud platforms (certifications preferred).
* Strong proficiency in Python, SQL, and PySpark.
* Hands\-on experience with designing and optimizing data pipelines, data lakes/warehouses, and integrations using tools like Spark, Kafka, Airflow, and DBT.
* Experience with relational and NoSQL databases such as MySQL, Postgres, Cassandra, and MongoDB.
* Deep understanding of AWS services including Lambda, Kinesis, Redshift, S3, EMR, EC2, IAM, and CloudWatch.
* Knowledge of orchestration tools like Airflow or Composer, DevOps practices including GitHub, CI/CD pipelines, and infrastructure as code with Terraform.
* Strong problem\-solving skills, leadership capabilities, and project management experience.
* Excellent communication skills, with the ability to collaborate effectively with cross\-functional teams and stakeholders.
**Responsibilities**
* Design, implement, deploy, test, and maintain scalable and efficient data architectures, adhering to best practices and standards.
* Ensure the scalability, reliability, quality, and performance of data systems and pipelines.
* Mentor and guide junior and mid\-level data engineers to foster skill development and knowledge sharing.
* Collaborate with product managers, engineers, data scientists, and analysts to understand data requirements and develop appropriate solutions.
* Evaluate and incorporate new technologies and tools to enhance data integration, processing, and analysis capabilities.
* Design architecture, observability, and testing strategies to ensure robust and reliable data infrastructure.
* Manage storage layers, including schema design, indexing, and performance tuning for optimal data access.
* Address and resolve complex data engineering issues, including query bottlenecks and database performance challenges.
* Conduct discovery and assessment of existing data infrastructure, proposing modernization strategies.
* Implement data governance frameworks, including data cataloging, lineage, quality, and compliance practices.
* Define and document data engineering architectures, workflows, and data flow diagrams.
* Continuously evaluate emerging technologies and methodologies to improve data systems and support organizational goals.
* Participate actively in Agile ceremonies, contributing to continuous process improvement and team collaboration.
**Benefits**
* Competitive salary package commensurate with experience and skills.
* Flexible remote work environment supporting work\-life balance.
* Opportunities for professional growth and skill development through training and certifications.
* Collaborative and innovative work culture with diverse global teams.
* Participation in cutting\-edge AI and data engineering projects that make a global impact.
* Health insurance and wellness benefits (if applicable, based on location).
* Paid time off and leave policies supporting personal and family needs.
 Equal Opportunity
 Fusemachines is an equal opportunity employer. We celebrate diversity and are committed to creating an inclusive environment for all employees regardless of race, color, religion, sex, sexual orientation, gender identity, national origin, age, genetic information, disability, protected veteran status, or any other legally protected group. We encourage individuals from all backgrounds to apply and join our mission to democratize AI and foster innovation worldwide.</t>
        </is>
      </c>
    </row>
    <row r="7">
      <c r="A7" t="inlineStr">
        <is>
          <t>li-4356551524</t>
        </is>
      </c>
      <c r="B7" t="inlineStr">
        <is>
          <t>Junior Data Engineer (V)</t>
        </is>
      </c>
      <c r="C7" t="inlineStr">
        <is>
          <t>Blue Coding</t>
        </is>
      </c>
      <c r="D7" t="inlineStr">
        <is>
          <t>linkedin</t>
        </is>
      </c>
      <c r="E7" t="inlineStr"/>
      <c r="F7" t="inlineStr"/>
      <c r="G7" t="inlineStr"/>
      <c r="H7" t="inlineStr"/>
      <c r="I7" t="inlineStr">
        <is>
          <t>**Why Blue Coding?**
 At Blue Coding, we specialize in hiring excellent developers and amazing people from all over Latin America and other parts of the world. For the past 11 years, we’ve helped cutting\-edge companies in the United States and Canada build great development teams and develop great products. Large multinationals, digital agencies, Saas providers, and software consulting firms are just a few of our clients. Our team of over 150 engineers, project managers, QA, UX/UI designers, and many more is distributed in more than 10 countries across the Americas. We are a fully remote company working with a wide array of technologies, and we have expertise in every stage of the software development process.
 Our team is highly connected, united, and culturally diverse, and our collaborators are involved in many initiatives around the world, from wildlife preservation to volunteering at local charities. We stand for honesty, fairness, respect, efficiency, hard work, and cooperation.
**This position is open exclusively to candidates based in LATAM countries.**
**What are we looking for?**
 In this opportunity, we are looking for an experienced Data Engineer to work with one of our US clients, a corporation that, through its subsidiaries, provides life insurance protection targeted to the middle American market. The ideal candidate will be responsible for the development and maintenance of systems in their enterprise data and analytics environments. You will develop deep knowledge of our client's businesses as you help to optimize performance by building and supporting decision\-making tools. You will partner closely with their software engineering, AI/ML, Cybersecurity, and DevOps/SysOps teams to deliver best\-in\-class data solutions that empower enterprise\-wide reporting and analytics, including business\-critical vendor relationships.
 If you are independent, a great communicator, with great attention to detail, and a problem solver this is a great fit for you! Our jobs are fully remote and flexible \- as long as you have the skills and can get the work done well, you can work anywhere in the listed countries (and anytime) you want.
**What's unique about this job?**
 As a member of the Data Engineering team, you will be building the data layer that serves as a foundation for our client's key operations. You will support critical end\-to\-end data pipelines written in Python or Scala which serve internal and external customers. Working within the Agile framework, you will have the opportunity to design data pipelines, build database models, design infrastructure and alerting frameworks, and process data using methods from SFTPs to APIs. Data and Analytics is a key enterprise strength of our client and we look forward to having you on the team!
**Here are some of the exciting day\-to\-day challenges you will face in this role:**
* Design, develop, and maintain data pipelines and data stores that support enterprise data science, analytics, and operations
* Identify, track, and analyze the performance of data layer services, implementing solutions and improvements to enhance stability, efficiency, and performance.
* Collaborate with your peers across the Research and Technology organization
**You will shine if you have:**
* Bachelor’s degree in Computer Science, Information Systems or demonstrated ability in a related field is required
* Experience with Python programming using an IDE, ideally building an application/framework/program
* from scratch
* Experience working with data environments in an engineering or technical capacity
* Experience working with data using structured (SQL) and/or unstructured (NoSQL) approaches
* Experience with or exposure to data visualization principles and practices, especially with Power BI and Tableau
* Ingest data from internal and external sources using cloud\-native AWS platform technologies (e.g., S3, EMR (Spark), Lambda, Kinesis, Firehose, Glue, Terraform)
* Strong communication skills and an interest in advancing your knowledge of data engineering
* Excellent time management skills
* Driven, self\-motivated attitude. Ability to do great work independently with minimal direction.
* Ambitious and collaborative team player.
**What we offer:**
* Salary in USD
* Flexible schedule (within US Time zones)
* 100% Remote
 Ready to learn more? Apply below!
 We may use artificial intelligence (AI) tools to support parts of the hiring process, such as reviewing applications, analyzing resumes, or assessing responses. These tools assist our recruitment team but do not replace human judgment. Final hiring decisions are ultimately made by humans. If you would like more information about how your data is processed, please contact us.</t>
        </is>
      </c>
    </row>
    <row r="8">
      <c r="A8" t="inlineStr">
        <is>
          <t>li-4316165804</t>
        </is>
      </c>
      <c r="B8" t="inlineStr">
        <is>
          <t>Data Engineer — Analytics Infrastructure (Foundational Hire)</t>
        </is>
      </c>
      <c r="C8" t="inlineStr">
        <is>
          <t>Vast.ai</t>
        </is>
      </c>
      <c r="D8" t="inlineStr">
        <is>
          <t>linkedin</t>
        </is>
      </c>
      <c r="E8" t="inlineStr"/>
      <c r="F8" t="inlineStr"/>
      <c r="G8" t="inlineStr">
        <is>
          <t>Los Angeles, CA</t>
        </is>
      </c>
      <c r="H8" t="inlineStr"/>
      <c r="I8" t="inlineStr">
        <is>
          <t>**About Us**
**Vision: To make life substrate independent through Vast Artificial Intelligence**
**Mission: To organize, optimize, and orient the world's computation**
 Vast.ai’s cloud powers AI projects and businesses all over the world. We are democratizing and decentralizing AI computing—reshaping our future for the benefit of humanity.
 We are a growing and highly motivated team dedicated to an ambitious technical plan. Our structure is flat, our ambitions are out‑sized, and leadership is earned by shipping excellence.
 We seek a data engineer with strong intrinsic drive, a true passion for uncovering insights from data, and a mix of analytical, programming, and communication skills.
**LOCATION:** 
 On‑site at our office in Westwood, Los Angeles
**TYPE:** 
 Full‑time
* On‑site
* Immediate start preferred REPORTS TO: Operations (partnering closely with Engineering)
**About the Role**
 This is a foundational role: you’ll own the 0→1 build of our data platform—ingestion, modeling, governance, and self‑serve analytics in QuickSight—for Marketing, Sales, Accounting, and leadership. We’re hiring a Data Engineer to build and own the end‑to‑end data platform at Vast.ai.
 This is a hands‑on role for a builder who can move fast: designing schemas, implementing ELT/ETL, hardening data quality, and enabling secure, governed access to data across the company.
**Full\-time**
**On\-site** 
 at our LA office
 What You’ll Do
* Own the data pipeline: design, build, and operate batch/streaming ingestion from product, billing, CRM, support, and marketing/ad platforms into a central warehouse.
* Model the data: create clean, well‑documented staging and business marts (dimensional/star schemas) that map to the needs of Marketing, Sales, Accounting/Finance, and Operations.
* Enable: publish certified datasets with row‑/column‑level security, manage refresh SLAs, and make it easy for teams to self‑serve.
* Collaborate cross‑functionally: intake requirements, translate them into data contracts and models, and partner with Engineering on event/telemetry capture.
* Document \&amp; scale: maintain clear docs, lineage, and a pragmatic data catalog so others can discover and trust the data.
**Tech Stack**
 Our current environment includes PostgreSQL, Python, SQL, and QuickSight. You’ll lead the next step‑function in maturity using a pragmatic, AWS‑centric stack such as:
* AWS: S3, Glue/Athena or Redshift, Lambda/Step Functions, IAM/KMS
* Orchestration \&amp; Modeling: Airflow or Dagster; dbt (or equivalent SQL modeling)
* Data Quality \&amp; Observability: built‑in checks or tools like Great Expectations
* Source Connectivity: APIs/webhooks; optionally Airbyte/Fivetran for managed connectors
* Versioning/Infra: Git/GitHub Actions; Terraform (nice to have)
* Marketing attribution: Segment io, Posthog, others
*(We’re flexible on exact tools—strong fundamentals matter most.)*
**Qualifications**
**Must‑have**
* 3\+ years (typically 3–6\) in a Data Engineering role building production ELT/ETL on a cloud platform (AWS strongly preferred).
* Expert SQL and solid Python for data processing/automation.
* Proven experience designing data models (staging, marts, star schemas) and standing up a warehouse/lakehouse.
* Orchestration, scheduling, and operational ownership (SLAs, alerting, runbooks).
* Experience enabling a BI layer (ideally QuickSight) with secure, governed datasets.
* Strong collaboration and communication; able to gather requirements from non‑technical stakeholders and translate to data contracts.
**Nice‑to‑have**
* Marketing/Sales/RevOps data (CRM, ads, attribution), Accounting/Finance integrations, or product telemetry/event pipelines.
* Stream processing (Kafka/Kinesis), CDC, or near‑real‑time ingestion.
* Data privacy/security best practices (e.g., CPRA), partitioning/performance tuning, and cost management on AWS.
 90‑Day Outcomes
* Inventory \&amp; architecture: clear map of sources, proposed target architecture, and a prioritized backlog aligned with Ops/Engineering.
* First pipelines live: automated ingestion \+ core staging tables with data quality checks and alerts.
* Business marts: at least two curated domains live (e.g., Marketing \&amp; Sales) powering certified QuickSight datasets for stakeholders.
* Runbook \&amp; docs: onboarding‑ready documentation, lineage, and incident playbooks.
 Interview Process (≈ 1 week)
* 15 min — Initial screening (virtual)
* 45 min — Architecture deep‑dive into our data environment and target platform (virtual)
* 2 hours — On‑site practical: build/modify a small ETL \+ modeling exercise; discuss trade‑offs, quality, and ops
**Annual Salary Range**
 $140,000 – $190,000 \+ equity \+ benefits
**Benefits**
* Comprehensive health, dental, vision, and life insurance
* 401(k) with company match
* Meaningful early\-stage equity
* Onsite meals, snacks, and close collaboration with founders/tech leaders
* Ambitious, fast\-paced startup culture where initiative is rewarded</t>
        </is>
      </c>
    </row>
    <row r="9">
      <c r="A9" t="inlineStr">
        <is>
          <t>li-4368006590</t>
        </is>
      </c>
      <c r="B9" t="inlineStr">
        <is>
          <t>Data Engineer</t>
        </is>
      </c>
      <c r="C9" t="inlineStr">
        <is>
          <t>AARATECH</t>
        </is>
      </c>
      <c r="D9" t="inlineStr">
        <is>
          <t>linkedin</t>
        </is>
      </c>
      <c r="E9" t="inlineStr"/>
      <c r="F9" t="inlineStr"/>
      <c r="G9" t="inlineStr"/>
      <c r="H9" t="inlineStr"/>
      <c r="I9" t="inlineStr">
        <is>
          <t>**Location:** 
 United States (Remote / On\-site – based on client needs)
**Employment Type:** 
 Full\-time (Contract or Contract\-to\-Hire)
**Experience Level:** 
 Entry\-level (0–2 years)
**Company:** 
 Aaratech Inc
 🛑
 **Eligibility:** 
 Open to U.S. Citizens and Green Card holders only. We do not offer visa sponsorship.
 🔍
 **About Aaratech Inc** 
 Aaratech Inc is a specialized IT consulting and staffing company focused on placing talented individuals across data, cloud, and software disciplines. We work with top U.S. enterprises to deliver long\-term roles, competitive compensation, and opportunities to grow in modern data environments.
 🎯
 **Position Overview** 
 We are seeking a
 **Junior Data Analyst** 
 with 0–2 years of experience to support data analysis, reporting, and dashboard development for enterprise clients. This role is ideal for early\-career candidates who want to gain hands\-on experience working with real\-world datasets, analytical tools, and business teams. You will collaborate with senior analysts and data engineers to deliver clean, reliable insights that support business decisions.
 🛠️
 **Key Responsibilities** 
* Assist in analyzing datasets to identify trends and insights
* Support the creation of dashboards and reports using Power BI, Tableau, or Excel
* Write basic SQL queries for data extraction and validation
* Clean, organize, and prepare datasets for analysis
* Document findings and prepare simple data summaries for business teams
* Collaborate with senior analysts on KPIs, metrics, and data requirements
* Help with data quality checks and troubleshoot data discrepancies
* Maintain documentation for reports, dashboards, and data processes
 ✅
 **Required Skills \&amp; Experience** 
* 0–2 years of experience in Data Analysis or a related field
* Basic proficiency in SQL
* Hands\-on experience with Excel (pivot tables, formulas, charts)
* Familiarity with any BI tool (Power BI, Tableau, or Looker)
* Understanding of data cleaning, validation, and analytical concepts
* Knowledge of Python (optional but preferred) for basic data manipulation
* Strong attention to detail and analytical thinking
* Good communication skills and willingness to learn
 ⭐
 **Nice to Have** 
* Exposure to data visualization tools or dashboard building
* Familiarity with data models or basic statistics
* Internship or academic projects related to data analysis
* Experience with Google Analytics, Power Query, or data cleansing tools
* Understanding of cloud platforms (AWS/GCP/Azure) at a basic level</t>
        </is>
      </c>
    </row>
    <row r="10">
      <c r="A10" t="inlineStr">
        <is>
          <t>li-4367865674</t>
        </is>
      </c>
      <c r="B10" t="inlineStr">
        <is>
          <t>Senior Data Engineer</t>
        </is>
      </c>
      <c r="C10" t="inlineStr">
        <is>
          <t>Aspect Software</t>
        </is>
      </c>
      <c r="D10" t="inlineStr">
        <is>
          <t>linkedin</t>
        </is>
      </c>
      <c r="E10" t="inlineStr"/>
      <c r="F10" t="inlineStr"/>
      <c r="G10" t="inlineStr"/>
      <c r="H10" t="inlineStr"/>
      <c r="I10" t="inlineStr">
        <is>
          <t>**Job Title:** 
 Senior Data Engineer
**Location:** 
 US\-remote
**About Aspect Software:** 
 Aspect Software develops world\-class Workforce Engagement Management software that empowers businesses to achieve operational excellence. We are committed to fostering a collaborative and dynamic work environment where cutting\-edge technology and creative problem\-solving converge. Join us as we shape the future of intelligent workforce systems.
**Position Overview:** 
 We are seeking an experienced Senior Data Engineer to design and implement scalable data architectures and pipelines that power advanced analytics and machine learning in the Workforce Management domain. This role plays a critical part in ensuring the seamless, reliable flow of data across our platforms and driving best practices in data engineering. The ideal candidate brings deep expertise in ETL processes, data architecture, and cloud technologies, along with a passion for mentoring.
**Key Responsibilities:** 
* Design, build, and maintain complex ETL pipelines for large\-scale data processing
* Ensure data quality, consistency, and security across data workflows
* Collaborate with data scientists and analysts to deliver clean, production\-ready datasets
* Architect and implement scalable storage solutions using relational and NoSQL databases
* Optimize data workflows for performance, scalability, and reliability
* Develop monitoring systems and troubleshoot data infrastructure issues
* Define and enforce documentation standards and engineering best practices
* Provide technical mentorship to junior engineers and contribute to a high\-performing team culture
**Qualifications:** 
* Bachelor’s or Master’s degree in Computer Science, Data Engineering, or related field
* 5\+ years of experience designing and managing production ETL workflows
* Advanced programming skills in Python, C\+\+, or Scala
* Expert\-level SQL skills and hands\-on experience with both relational and NoSQL databases
* Deep experience with cloud platforms (AWS, Azure, or GCP)
* Strong background in distributed data processing (e.g., Spark, Hadoop)
* Proficiency with Docker, Kubernetes, and other container/orchestration tools
* Excellent problem\-solving skills and attention to detail
* Demonstrated experience leading technical initiatives and mentoring engineers
**Preferred Skills:** 
* Proficiency with real\-time data streaming technologies (e.g., Kafka, Flink)
* Experience with data lake and cloud data warehouse platforms (e.g., Snowflake, Redshift)
* Familiarity with the Workforce Engagement or HR tech domain
* In\-depth understanding of data governance, security, and compliance
* Experience leading or growing data engineering teams
**Why Join Us?** 
* Lead impactful and challenging projects that make a difference.
* Be part of a collaborative and inclusive culture.
* Enjoy competitive compensation and benefits.
* Access professional development and growth opportunities.</t>
        </is>
      </c>
    </row>
    <row r="11">
      <c r="A11" t="inlineStr">
        <is>
          <t>li-4368006583</t>
        </is>
      </c>
      <c r="B11" t="inlineStr">
        <is>
          <t>Data Engineer</t>
        </is>
      </c>
      <c r="C11" t="inlineStr">
        <is>
          <t>AARATECH</t>
        </is>
      </c>
      <c r="D11" t="inlineStr">
        <is>
          <t>linkedin</t>
        </is>
      </c>
      <c r="E11" t="inlineStr"/>
      <c r="F11" t="inlineStr"/>
      <c r="G11" t="inlineStr"/>
      <c r="H11" t="inlineStr"/>
      <c r="I11" t="inlineStr">
        <is>
          <t>Job Title: Data Engineer – Retail / E\-Commerce
 🏢 Company: Aaratech Inc
 🛑 Eligibility: Only U.S. Citizens and Green Card holders are eligible.
 Please note that we do not offer visa sponsorship.
 Job Summary:
 Aaratech Inc. is seeking a results\-driven
 **Data Engineer – Retail / E\-Commerce** 
 to support customer, sales, and product data platforms. The role focuses on building scalable pipelines that enable real\-time and batch analytics for business growth.
 Key Responsibilities:
 🔹 Data Pipeline Development
 Develop and maintain data pipelines for sales, customer, and product data.
 Integrate data from e\-commerce platforms and marketing systems.
 🔹 Data Modeling
 Design data models to support analytics and BI reporting.
 Optimize performance and scalability.
 🔹 Data Quality
 Ensure data accuracy, completeness, and consistency.
 Implement monitoring and error\-handling processes.
 🔹 Collaboration
 Work closely with data analysts, product, and marketing teams.
 🔹 Tools \&amp; Technologies
 Use SQL, Python, ETL tools, and cloud data platforms.
 Qualifications:
 ✅ Bachelor’s degree in Computer Science, Engineering, or related field
 ✅ Minimum 2 years of Data Engineering experience
 ✅ Strong SQL and Python skills
 ✅ Experience with data pipelines and analytics platforms
 ✅ Retail or e\-commerce data experience preferred
 ✅ Strong problem\-solving skills</t>
        </is>
      </c>
    </row>
    <row r="12">
      <c r="A12" t="inlineStr">
        <is>
          <t>li-4368001553</t>
        </is>
      </c>
      <c r="B12" t="inlineStr">
        <is>
          <t>Data Engineer</t>
        </is>
      </c>
      <c r="C12" t="inlineStr">
        <is>
          <t>AARATECH</t>
        </is>
      </c>
      <c r="D12" t="inlineStr">
        <is>
          <t>linkedin</t>
        </is>
      </c>
      <c r="E12" t="inlineStr"/>
      <c r="F12" t="inlineStr"/>
      <c r="G12" t="inlineStr"/>
      <c r="H12" t="inlineStr"/>
      <c r="I12" t="inlineStr">
        <is>
          <t>Job Title: Data Engineer – Healthcare
 🏢 Company: Aaratech Inc
 🛑 Eligibility: Only U.S. Citizens and Green Card holders are eligible.
 Please note that we do not offer visa sponsorship.
 Job Summary:
 Aaratech Inc. is seeking a skilled and detail\-oriented
 **Data Engineer – Healthcare** 
 to design, build, and maintain data pipelines that support healthcare analytics and reporting. The ideal candidate will work with large healthcare datasets to ensure data reliability, scalability, and availability for analytics and decision\-making.
 Key Responsibilities:
 🔹 Data Pipeline Development
 Design, build, and maintain scalable ETL/ELT pipelines for healthcare data.
 Integrate data from multiple internal and external sources.
 🔹 Data Engineering \&amp; Storage
 Develop and manage data warehouses and data lakes.
 Optimize data models for performance and analytics use cases.
 🔹 Data Quality \&amp; Reliability
 Ensure data accuracy, consistency, and integrity across systems.
 Implement monitoring and validation checks.
 🔹 Collaboration
 Work with data analysts, business teams, and IT stakeholders.
 Support analytics and reporting requirements.
 🔹 Tools \&amp; Technologies
 Use SQL, Python, cloud platforms, and ETL tools.
 Qualifications:
 ✅ Bachelor’s degree in Computer Science, Engineering, or related field
 ✅ Minimum 2 years of Data Engineering experience
 ✅ Strong SQL and Python skills
 ✅ Experience with data pipelines and data warehouses
 ✅ Knowledge of healthcare data is a plus
 ✅ Strong problem\-solving and communication skills</t>
        </is>
      </c>
    </row>
    <row r="13">
      <c r="A13" t="inlineStr">
        <is>
          <t>li-4367896748</t>
        </is>
      </c>
      <c r="B13" t="inlineStr">
        <is>
          <t>Data Engineer</t>
        </is>
      </c>
      <c r="C13" t="inlineStr">
        <is>
          <t>AARATECH</t>
        </is>
      </c>
      <c r="D13" t="inlineStr">
        <is>
          <t>linkedin</t>
        </is>
      </c>
      <c r="E13" t="inlineStr"/>
      <c r="F13" t="inlineStr"/>
      <c r="G13" t="inlineStr"/>
      <c r="H13" t="inlineStr"/>
      <c r="I13" t="inlineStr">
        <is>
          <t>Job Title: Data Engineer – CRM / Salesforce
 🏢 Company: Aaratech Inc
 🛑 Eligibility: Only U.S. Citizens and Green Card holders are eligible.
 Please note that we do not offer visa sponsorship.
 Job Summary:
 Aaratech Inc. is seeking a skilled
 **Data Engineer – CRM / Salesforce** 
 to support customer and sales data integration initiatives. The ideal candidate will ensure reliable data pipelines and data models for CRM analytics and reporting.
 Key Responsibilities:
 🔹 Data Integration
 Build and maintain pipelines to extract and load CRM/Salesforce data.
 Integrate CRM data with enterprise data platforms.
 🔹 Data Engineering
 Design data models to support sales and marketing analytics.
 Optimize data pipelines for performance.
 🔹 Data Quality
 Ensure CRM data accuracy and consistency.
 Support data validation and governance processes.
 🔹 Collaboration
 Work with sales, marketing, and analytics teams.
 🔹 Tools \&amp; Technologies
 Use SQL, Python, ETL tools, Salesforce connectors, and cloud platforms.
 Qualifications:
 ✅ Bachelor’s degree in Computer Science, Engineering, or related field
 ✅ 2\+ years of Data Engineering experience
 ✅ Strong SQL and Python skills
 ✅ Experience with CRM or Salesforce data preferred
 ✅ Strong analytical and communication skills</t>
        </is>
      </c>
    </row>
    <row r="14">
      <c r="A14" t="inlineStr">
        <is>
          <t>li-4357393308</t>
        </is>
      </c>
      <c r="B14" t="inlineStr">
        <is>
          <t>Data Engineer</t>
        </is>
      </c>
      <c r="C14" t="inlineStr">
        <is>
          <t>Oxenham Group</t>
        </is>
      </c>
      <c r="D14" t="inlineStr">
        <is>
          <t>linkedin</t>
        </is>
      </c>
      <c r="E14" t="inlineStr"/>
      <c r="F14" t="inlineStr"/>
      <c r="G14" t="inlineStr">
        <is>
          <t>Sioux Falls, SD</t>
        </is>
      </c>
      <c r="H14" t="inlineStr"/>
      <c r="I14" t="inlineStr">
        <is>
          <t>**Key Responsibilities** 
**Data Pipeline Engineering** 
* Build, enhance, and maintain reliable ETL/ELT pipelines for both structured and unstructured datasets.
* Improve data workflows to maximize performance, scalability, and operational stability.
* Integrate data from internal systems and external platforms to support analytics, reporting, and automation initiatives.
**Data Modeling \&amp; Storage** 
* Develop and maintain scalable data models and storage solutions (e.g., relational databases, NoSQL systems, cloud‐based data stores).
* Ensure data security, consistency, and compliance with internal standards and industry best practices.
* Contribute to data governance activities, including metadata tracking and data lifecycle management.
**Documentation \&amp; Knowledge Sharing** 
* Produce high‐quality documentation for data systems, architecture, pipelines, and operational processes.
* Translate complex engineering concepts into digestible materials for both technical and non‐technical audiences.
* Collaborate with internal support and knowledge management teams to keep documentation current and accessible.
**Cross‐Functional Collaboration** 
* Act as a key technical partner for analytics teams, business units, and leadership groups.
* Provide regular updates on project progress, potential challenges, and recommended solutions.
* Assist in the development of training resources and onboarding materials for new tools or data processes.
**Quality Assurance \&amp; Compliance** 
* Participate in UAT and QA activities to ensure data solutions meet quality and compliance requirements.
* Support change management processes, including version control and documentation updates.
**Qualifications** 
**Education \&amp; Experience** 
* Bachelor's degree in Computer Science, Engineering, Mathematics, or a related discipline.
* 3\-5 years of experience in data engineering or a similar technical function.
* Strong programming skills (e.g., SQL, Python, Scala) and familiarity with modern data engineering frameworks (e.g., dbt, Airflow, SSIS, Apache Spark).
* Experience with cloud ecosystems such as AWS, Azure, or GCP.
* Comfortable using project management and documentation tools such as Jira, Asana, Trello, Confluence, or SharePoint.
* Understanding of SDLC principles and Agile methodologies.</t>
        </is>
      </c>
    </row>
    <row r="15">
      <c r="A15" t="inlineStr">
        <is>
          <t>li-4368009195</t>
        </is>
      </c>
      <c r="B15" t="inlineStr">
        <is>
          <t>Senior Data Engineer</t>
        </is>
      </c>
      <c r="C15" t="inlineStr">
        <is>
          <t>InfoCepts</t>
        </is>
      </c>
      <c r="D15" t="inlineStr">
        <is>
          <t>linkedin</t>
        </is>
      </c>
      <c r="E15" t="inlineStr"/>
      <c r="F15" t="inlineStr"/>
      <c r="G15" t="inlineStr">
        <is>
          <t>Coopersburg, PA</t>
        </is>
      </c>
      <c r="H15" t="inlineStr"/>
      <c r="I15" t="inlineStr">
        <is>
          <t>**Position Title: Data Engineer** 
**Work Location: Coopersburg, PA (Hybrid)** 
**Type of Employment: Full time** 
**Role Overview:**
 We are seeking a highly skilled Data Engineer to develop and manage high volume and complex data pipelines using AWS cloud services and multiple ERP platforms like SAP, Oracle applications, Salesforce etc.
 In this role, you will contribute to the overall data architecture, migration strategy, governance model, and implementation best practices for a scalable and secure solutions. You will collaborate with business and technical teams to design solutions that enable advanced analytics, self\-service reporting, and enterprise data adoption.
**Key Result Areas and Activities:**
**1\. Architect \&amp; Design**
* Define and lead the design of enterprise\-scale data platforms, including ingestion pipelines, transformation frameworks, and data models for structured and unstructured data.
* Drive modernization initiatives by migrating legacy systems to cloud\-native architectures (AWS).
* Architect scalable, secure, and high\-performance solutions leveraging distributed systems, data lakes, and data warehouses.
* Establish standards for data modeling, metadata management, and semantic layers to enable advanced analytics and reporting.
**2\. Development Responsibilities**
 I: Software Asset Maintenance \&amp; Upgrades
* Upgrade and maintain third\-party components such as ingress controllers, service meshes, monitoring agents, infrastructure libraries, and cloud\-native tools.
* Apply the latest versions and security patches to ensure compliance, stability, and performance.
 II: Infrastructure as Code (IaC) Enhancements
* Update and enhance IaC scripts to support version upgrades across development, QA, and production environments.
* Validate changes through sandbox testing before deployment to production.
 III: Compatibility \&amp; Dependency Management
* Ensure upgraded components remain compatible with dependent services and applications.
* Identify and mitigate potential breaking changes or dependency conflicts.
 IV: Application Code Adjustments
* Implement necessary code changes in supported languages (e.g., Python) to accommodate new versions or configuration requirements.
* Address minor and moderate changes required for compatibility with upgraded components.
* Update existing unit tests in response to the application code changes.
 V: Security \&amp; Compliance
* Apply immediate fixes for vulnerabilities.
* Maintain adherence to organizational security and governance guidelines.
 VI: Testing \&amp; Validation
* Create and execute test strategies for validating the upgrades.
* Execute existing unit tests and manual test cases post\-upgrade.
* Conduct functional testing of impacted applications to ensure end\-to\-end stability.
* Validate application behavior after code changes and infrastructure updates.
 VII: Reporting \&amp; Governance
* Provide weekly status reports detailing software versions, security posture, upgrade activities, and testing outcomes.
* Participate in regular reviews and acceptance processes.
**3\. Provide Advisory and Consulting Services**
* Act as a trusted advisor to business and technology leaders on data strategy, governance, and architecture.
**4\. Team Collaboration and Leadership**
* Mentor and guide engineering teams on best practices for data engineering, ETL design, and performance optimization.
**Must\-Have Skill Set:**
* Expertise in designing and implementing large\-scale data architectures (data lakes, warehouses, streaming platforms).
* Deep understanding of cloud data services (AWS) and migration strategies.
* Strong proficiency in ETL/ELT pipelines and framework development using Python.
* Skilled in building and optimizing data pipelines for batch and real\-time processing.
* Strong knowledge of data governance, security (row\-level, column\-level), and compliance frameworks.
* Advanced SQL and experience with multiple relational and NoSQL databases (Must have \- Redshift, RDS and Athena).
* Experience with data visualization platforms like Denodo.
* Experience with building scheduled jobs (data load, cache and individual query) in Denodo.
* Ability to interpret complex stored procedures and optimize queries for performance.
* Familiarity with Agile methodologies and DevOps practices for data engineering.
* Exceptional communication skills for engaging executives and non\-technical stakeholders.
* Knowledge of containerization (Docker, Kubernetes) and orchestration for data workloads.
* Experience with BI tools integration with enterprise data platforms.
**Good\-to\-Have Skill Set:**
* Certifications in cloud platforms (AWS) and data engineering.
* Experience with advanced analytics and machine learning pipelines.
* Prior consulting experience or leading large\-scale data transformation programs.
* Knowledge of data extraction from SAP OData Services.
**Qualification:**
* Bachelor’s degree in computer science, engineering, or related field (master's degree is a plus).
* Demonstrated continued learning through one or more technical certifications or related methods.
* At least 10\+ years of relevant experience; two years may be substituted for a master’s degree.</t>
        </is>
      </c>
    </row>
    <row r="16">
      <c r="A16" t="inlineStr">
        <is>
          <t>li-4368008550</t>
        </is>
      </c>
      <c r="B16" t="inlineStr">
        <is>
          <t>Data Engineer</t>
        </is>
      </c>
      <c r="C16" t="inlineStr">
        <is>
          <t>AARATECH</t>
        </is>
      </c>
      <c r="D16" t="inlineStr">
        <is>
          <t>linkedin</t>
        </is>
      </c>
      <c r="E16" t="inlineStr"/>
      <c r="F16" t="inlineStr"/>
      <c r="G16" t="inlineStr"/>
      <c r="H16" t="inlineStr"/>
      <c r="I16" t="inlineStr">
        <is>
          <t>Job Title: Data Engineer – Retail / E\-Commerce
 🏢 Company: Aaratech Inc
 🛑 Eligibility: Only U.S. Citizens and Green Card holders are eligible.
 Please note that we do not offer visa sponsorship.
 Job Summary:
 Aaratech Inc. is seeking a results\-driven
 **Data Engineer – Retail / E\-Commerce** 
 to support customer, sales, and product data platforms. The role focuses on building scalable pipelines that enable real\-time and batch analytics for business growth.
 Key Responsibilities:
 🔹 Data Pipeline Development
 Develop and maintain data pipelines for sales, customer, and product data.
 Integrate data from e\-commerce platforms and marketing systems.
 🔹 Data Modeling
 Design data models to support analytics and BI reporting.
 Optimize performance and scalability.
 🔹 Data Quality
 Ensure data accuracy, completeness, and consistency.
 Implement monitoring and error\-handling processes.
 🔹 Collaboration
 Work closely with data analysts, product, and marketing teams.
 🔹 Tools \&amp; Technologies
 Use SQL, Python, ETL tools, and cloud data platforms.
 Qualifications:
 ✅ Bachelor’s degree in Computer Science, Engineering, or related field
 ✅ Minimum 2 years of Data Engineering experience
 ✅ Strong SQL and Python skills
 ✅ Experience with data pipelines and analytics platforms
 ✅ Retail or e\-commerce data experience preferred
 ✅ Strong problem\-solving skills</t>
        </is>
      </c>
    </row>
    <row r="17">
      <c r="A17" t="inlineStr">
        <is>
          <t>li-4338045068</t>
        </is>
      </c>
      <c r="B17" t="inlineStr">
        <is>
          <t>Senior Data Engineer, Data Lake &amp; Governance</t>
        </is>
      </c>
      <c r="C17" t="inlineStr">
        <is>
          <t>Gridware</t>
        </is>
      </c>
      <c r="D17" t="inlineStr">
        <is>
          <t>linkedin</t>
        </is>
      </c>
      <c r="E17" t="inlineStr"/>
      <c r="F17" t="inlineStr"/>
      <c r="G17" t="inlineStr">
        <is>
          <t>San Francisco, CA</t>
        </is>
      </c>
      <c r="H17" t="inlineStr"/>
      <c r="I17" t="inlineStr">
        <is>
          <t>**About Gridware** 
 Gridware is a San Francisco\-based technology company dedicated to protecting and enhancing the electrical grid. We pioneered a groundbreaking new class of grid management called active grid response (AGR), focused on monitoring the electrical, physical, and environmental aspects of the grid that affect reliability and safety. Gridware’s advanced Active Grid Response platform uses high\-precision sensors to detect potential issues early, enabling proactive maintenance and fault mitigation. This comprehensive approach helps improve safety, reduce outages, and ensure the grid operates efficiently. The company is backed by climate\-tech and Silicon Valley investors. For more information, please visit 
 www.Gridware.io
 .
 Role Description
 As a Senior Data Engineer at Gridware, you’ll design and scale the data infrastructure that powers our real\-time grid monitoring platform. You’ll build high\-performance pipelines that transform massive streams of sensor and telemetry data into actionable insights \- helping detect faults, predict failures, and strengthen the grid that powers entire communities.
**Responsibilities** 
* Deploy and manage Unity Catalog to standardize data governance, lineage, and access control across data domains.
* Design, develop, and maintain scalable data pipelines and architectures.
* Implement data ingestion, transformation, and storage solutions.
* Ensure data quality and integrity across various data sources and destinations.
* Collaborate with software engineers, data scientists, analysts, and other stakeholders to meet data requirements.
* Optimize and tune data workflows for performance and efficiency.
* Monitor, troubleshoot, and resolve issues in data pipelines and related systems.
* Document data processes, architecture, and workflow procedures.﻿﻿
**Required Skills** 
* 5\+ years of professional experience in data engineering or related roles, building and scaling real\-time data infrastructure
* Experience designing and maintaining data lakes and lakehouse architectures with governance and access controls
* Strong in Python and SQL, with deep experience in relational, time\-series, and streaming databases
* Hands\-on with modern data stacks \- Spark, Kafka, Databricks, Grafana, and other cloud\-native tools
* Skilled in data modeling, ETL/ELT pipelines, and real\-time streaming architectures for production systems
* Familiar with CI/CD, version control, and data governance/security best practices
**Bonus Skills** 
* Experience with real\-time data processing and streaming analytics frameworks
* Familiarity with IoT and embedded systems, including sensor data pipelines and edge computing
* Hands\-on with Docker, Kubernetes, and Protobuf in production environments
* Exposure to machine learning workflows and real\-time monitoring for IoT and time\-series data
* Comfortable operating in a high\-growth startup environment, adapting quickly across domains
 This describes the ideal candidate; many of us have picked up this expertise along the way. Even if you meet only part of this list, we encourage you to apply!
**Benefits** 
 Health, Dental \&amp; Vision (Gold and Platinum with some providers plans fully covered) 
 Paid parental leave 
 Alternating day off (every other Monday)
 “Off the Grid”, a two week per year paid break for all employees. 
 Commuter allowance 
 Company\-paid training</t>
        </is>
      </c>
    </row>
    <row r="18">
      <c r="A18" t="inlineStr">
        <is>
          <t>li-4368189709</t>
        </is>
      </c>
      <c r="B18" t="inlineStr">
        <is>
          <t>Senior Data Engineer</t>
        </is>
      </c>
      <c r="C18" t="inlineStr">
        <is>
          <t>James Search Group</t>
        </is>
      </c>
      <c r="D18" t="inlineStr">
        <is>
          <t>linkedin</t>
        </is>
      </c>
      <c r="E18" t="inlineStr"/>
      <c r="F18" t="inlineStr"/>
      <c r="G18" t="inlineStr"/>
      <c r="H18" t="inlineStr"/>
      <c r="I18" t="inlineStr">
        <is>
          <t>**Senior Data Engineer (P\&amp;C Insurance)** 
 Fully Remote \| Full\-Time
 Base Salary: $120,000 – $170,000
**Partnering with a Leading P\&amp;C Insurance Carrier** 
 James Search Group is proud to partner with a highly rated Property \&amp; Casualty insurance carrier that is making significant investments in
 **data engineering, analytics, and machine learning** 
 . The company is building a centralized Data \&amp; ML/AI organization that unites experts across data architecture, engineering, analytics, governance, and modeling—creating a unique opportunity for growth, collaboration, and innovation.
 We are seeking a
 **Senior Data Engineer** 
 to design, build, and maintain the upstream components of a modern data platform. From ingestion and real\-time streaming to data quality frameworks, you’ll play a pivotal role in shaping the technical foundation of the company’s next\-generation data environment. This is a hands\-on role where you’ll be coding daily, mentoring peers, and collaborating closely with analytics engineers, data scientists, and business partners.
**Office Locations (Optional Hybrid):** 
 This is a remote\-first position, but you can also work from one of the carrier’s multiple U.S. office locations.
**What You’ll Do:** 
* Design, build, and optimize
 **scalable data pipelines** 
 for batch and real\-time processing.
* Implement
 **data ingestion frameworks** 
 including CDC from core systems, APIs, and third\-party platforms (Salesforce, Workday, Duck Creek, etc.).
* Develop and optimize
 **Apache Spark jobs on Databricks** 
 , leveraging Delta Lake, DLT pipelines, and lakehouse architectures.
* Ensure
 **data quality, lineage, and governance** 
 using Unity Catalog, CI/CD, and role\-based access/security controls.
* Partner with analytics engineers (dbt) to deliver clean, structured upstream data.
* Mentor peers, contribute to architecture decisions, and foster a culture of craftsmanship.
* Leverage
 **AWS services** 
 (S3, Glue, Lambda, etc.) and DevOps tools (GitHub, CI/CD) for scalable, production\-grade deployments.
**What You Bring:** 
* 3\-5\+ years of professional experience in
 **data engineering** 
 , ideally within insurance or financial services.
* Strong proficiency in
 **Python, SQL, and Spark** 
 for building and optimizing pipelines.
* Hands\-on expertise with
 **Databricks** 
 (Unity Catalog, Delta Lake, DLT pipelines) and/or Azure Data Services.
* Strong knowledge of
 **AWS data services** 
 , with the ability to adapt across cloud platforms (Azure, GCP).
* Familiarity with modern data architectures (medallion, lakehouse, streaming).
* Experience with GitHub, CI/CD pipelines, and testing frameworks.
* A problem\-solving mindset: balancing pragmatism with scalability, and a passion for working in collaborative teams.
**What’s In It for You:** 
* Competitive base salary ($120K–$170K)
* Performance\-based bonus
* Comprehensive benefits package
* 401(k) with company match
* Generous PTO and wellness programs
 This is a rare opportunity to join a
 **ground\-floor data transformation** 
 at a forward\-thinking P\&amp;C insurer, working with the latest tools and approaches to build something lasting.
 If you’re excited to design and deliver production\-grade data systems that directly empower analytics, AI, and business outcomes—we’d love to connect.</t>
        </is>
      </c>
    </row>
    <row r="19">
      <c r="A19" t="inlineStr">
        <is>
          <t>li-4296226968</t>
        </is>
      </c>
      <c r="B19" t="inlineStr">
        <is>
          <t>Data Engineer</t>
        </is>
      </c>
      <c r="C19" t="inlineStr">
        <is>
          <t>ECLARO</t>
        </is>
      </c>
      <c r="D19" t="inlineStr">
        <is>
          <t>linkedin</t>
        </is>
      </c>
      <c r="E19" t="inlineStr"/>
      <c r="F19" t="inlineStr"/>
      <c r="G19" t="inlineStr">
        <is>
          <t>Rutherford, NJ</t>
        </is>
      </c>
      <c r="H19" t="inlineStr"/>
      <c r="I19" t="inlineStr">
        <is>
          <t>**Job Number: 25\-04899**
 ECLARO is hiring for a
 **Data Engineer** 
 for our client in
 **Rutherford, NJ.** 
 An excellent opportunity to grow within the P\&amp;C insurance industry."
 ECLARO's client is a leading insurance company providing risk management services and products to the energy industry. Their vast experience throughout North America spans all sides of energy infrastructure. If you're up to the challenge, then take a chance at this rewarding opportunity!
**Position Overview:**
* Will be responsible for Development and Testing of Data Integration Workflows (ETL Packages, Stored Procedures, UDF, Ad Hoc\-Queries), Test Plans and Test Cases using Microsoft Technologies such as SSIS, SSAS and SQL Server Database, as well as company\-wide Document Management.
* On a day to day the individual is expected to work closely with development team and the analyst team.
* This is an opportunity to join an IT team which maintains a broad portfolio of business\-critical vendor and custom applications.
**Salary:** 
 $125000\-$150000/Year.
**Responsibilities:**
* Responsible for ETL and Data PL/SQL coding and unit testing based on the design provided by the Enterprise Data Lead.
* May have responsibility for development of a part of a larger project or to develop a project more independently.
* Hand off back and forth with offshore developers in a collaborative fashion.
* Collaborate with business analysts, testers and business users to effectively prioritize development activities within resource constraints.
* Provide in\-depth technical support for the assigned applications.
* Create relevant and up to date technical documentation of assigned applications.
* Able to learn new technology practices, platforms, and tools and keeps up to date with the latest technology trends.
* Provide appropriate training to users on the use of assigned applications.
**Required Qualifications:**
* Undergraduate degree in Computer Science, Engineering, Software Engineering or Mathematics, or equivalent work experience.
* Minimum 5\-8 years of experience with:
+ Microsoft SSIS, SSAS and Relational Database technologies.
+ Exposure to web services (SOAP, XML, etc.)
+ SQL Server including T\-SQL or PL/SQL.
+ Data warehousing\- Data Modeling, Data Profiling.
* Experience implementing coding best practices via code reviews and code inspection tools.
* Experience in implementing Code Version Control like GitHub, SourceAnywhere.
* Experience working with Property and Casualty Insurance Data or a company.
* Experience with dimensional modeling and data marts.
* Achievement\-Oriented: Demonstrates persistence and perseverance in achieving concrete and tangible outcomes by taking action to get optimum results when encountering obstacles or resistance.
* Collaborative: Develops and maintains effective working relationships across functional and divisional lines by readily sharing information, knowledge, and resources.
* Detail\-Oriented: Displays thoroughness and accuracy in quality communications and deliverables through the application of technical skills and industry/product knowledge.
* Service\-Oriented: Conveys a genuine desire and ability to anticipate and meet customer needs and creates and nurtures mutually beneficial relationships within AEGIS and with AEGIS Members and brokers.
* Work Ethic: Takes ownership for one's responsibilities by acting with integrity and holding oneself accountable to continuous improvement.
* Leadership (if applicable): Motivates employees to exercise their talents to the fullest and holds them accountable for their best efforts; provides support to develop potential skills for improved individual growth and trains and empowers subordinates effectively.
**Equal Opportunity Employer:** 
 ECLARO values diversity and does not discriminate based on Race, Color, Religion, Sex, Sexual Orientation, National Origin, Age, Genetic Information, Disability, Protected Veteran Status, or any other legally protected group status, in compliance with all applicable laws.</t>
        </is>
      </c>
    </row>
    <row r="20">
      <c r="A20" t="inlineStr">
        <is>
          <t>li-4368301130</t>
        </is>
      </c>
      <c r="B20" t="inlineStr">
        <is>
          <t>Data Engineer</t>
        </is>
      </c>
      <c r="C20" t="inlineStr">
        <is>
          <t>Best Job Tool</t>
        </is>
      </c>
      <c r="D20" t="inlineStr">
        <is>
          <t>linkedin</t>
        </is>
      </c>
      <c r="E20" t="inlineStr"/>
      <c r="F20" t="inlineStr"/>
      <c r="G20" t="inlineStr"/>
      <c r="H20" t="inlineStr"/>
      <c r="I20" t="inlineStr">
        <is>
          <t>**About The Company**
 Ernst \&amp; Young Oman is a leading professional services firm dedicated to providing exceptional advisory, assurance, tax, and transaction advisory services to a diverse range of clients across various industries in Oman. As part of the global Ernst \&amp; Young network, we are committed to building a better working world by fostering innovation, integrity, and excellence. Our team of highly skilled professionals works collaboratively to deliver tailored solutions that help our clients navigate complex business challenges and achieve sustainable growth. We pride ourselves on maintaining a dynamic and inclusive work environment that values diversity, continuous learning, and professional development.
**About The Role**
 We are seeking a highly motivated and detail\-oriented \[Job Title] to join our dynamic team in Oman. The ideal candidate will play a critical role in supporting our clients' strategic initiatives through comprehensive analysis, innovative problem\-solving, and effective project management. This position offers an excellent opportunity for professionals looking to advance their careers within a globally recognized organization that values integrity, collaboration, and excellence. The successful candidate will work closely with senior team members and clients, providing valuable insights and ensuring the delivery of high\-quality services aligned with industry best practices.
**Qualifications**
* Bachelor’s degree in Business Administration, Finance, Accounting, or a related field; a master’s degree or professional certifications such as CPA, ACCA, or CFA is preferred.
* Minimum of \[X] years of relevant experience in consulting, audit, advisory, or a related domain.
* Strong analytical skills with the ability to interpret complex data and generate actionable insights.
* Excellent communication and interpersonal skills to effectively interact with clients and team members.
* Proficiency in Microsoft Office Suite and familiarity with industry\-specific software tools.
* Ability to manage multiple projects simultaneously while maintaining attention to detail and meeting deadlines.
* Fluency in English; knowledge of Arabic is an advantage.
**Responsibilities**
* Assist in the planning, execution, and delivery of client engagements across various service lines.
* Conduct comprehensive research and analysis to support client recommendations and strategic decision\-making.
* Prepare detailed reports, presentations, and documentation that communicate findings effectively.
* Collaborate with cross\-functional teams to develop innovative solutions tailored to client needs.
* Maintain strong relationships with clients by providing exceptional service and ensuring their expectations are met or exceeded.
* Stay updated on industry trends, regulations, and best practices to provide relevant and timely advice.
* Support senior team members in business development activities, including proposal writing and client presentations.
* Participate in internal training sessions and professional development programs to enhance skills and knowledge.
**Benefits**
 Ernst \&amp; Young Oman offers a competitive compensation package complemented by a comprehensive benefits program. Employees enjoy health insurance coverage, retirement plans, and paid leave entitlements. We foster a culture of continuous learning and development, providing access to training programs, certifications, and career advancement opportunities. Our flexible working arrangements and supportive work environment promote work\-life balance. Additionally, employees have the opportunity to work on high\-profile projects with leading clients, gaining valuable experience and expanding their professional network.
 Equal Opportunity
 Ernst \&amp; Young Oman is an equal opportunity employer committed to fostering an inclusive and diverse workplace. We do not discriminate based on race, gender, age, religion, nationality, disability, or any other characteristic protected by law. We believe that diversity enhances our ability to serve our clients effectively and creates a more innovative and engaging work environment for our employees. We encourage applicants from all backgrounds to apply and join our team in building a better working world.</t>
        </is>
      </c>
    </row>
    <row r="21">
      <c r="A21" t="inlineStr">
        <is>
          <t>li-4367874750</t>
        </is>
      </c>
      <c r="B21" t="inlineStr">
        <is>
          <t>Data Engineer</t>
        </is>
      </c>
      <c r="C21" t="inlineStr">
        <is>
          <t>RemoteHunter</t>
        </is>
      </c>
      <c r="D21" t="inlineStr">
        <is>
          <t>linkedin</t>
        </is>
      </c>
      <c r="E21" t="inlineStr"/>
      <c r="F21" t="inlineStr"/>
      <c r="G21" t="inlineStr"/>
      <c r="H21" t="inlineStr"/>
      <c r="I21" t="inlineStr">
        <is>
          <t>About the Opportunity:
 This team is hiring a junior to mid\-level Data Engineer fluent in SQL and Python to build, debug, and maintain production data pipelines and system integrations. The role involves owning these pipelines end to end, partnering with the Business Intelligence team to deliver reliable data, actionable insights, and process automation across the business. The position requires comfort reading, understanding, and improving existing systems, not just building greenfield solutions. The technology stack includes SQL Server, Snowflake, Fivetran, and Python with an emphasis on the Pandas library. Experience with these exact tools is not required, but a solid foundation in SQL and Python is essential.
 Responsibilities:
 • Build and maintain ETL pipelines that ingest and validate source\-system data with minimal transformation.
 • Design and implement SQL transformation layers to create analyst\-ready data models.
 • Build and maintain data integrations via inbound and outbound APIs.
 • Troubleshoot data failures across the entire data pipeline independently.
 • Automate manual processes to improve data delivery and reliability.
 • Create clear documentation for ETL processes, object usage, and data models.
 • Test and validate code changes.
 Requirements:
 • Strong SQL skills to simplify complex logic and messy data into consistent models.
 • Practical experience with Python; familiarity with Pandas is beneficial.
 • Experience integrating external systems using inbound and outbound APIs.
 • Understanding of logging, error handling, and control flow in production data pipelines.
 • Solid knowledge of data architecture and modeling (normalized/denormalized, star/snowflake schemas).
 • Experience using version control with a team, preferably Git.
 • Excellent analytical thinking, problem solving, and communication skills.
 • Ability to work independently, manage priorities, and deliver in a rapidly changing environment.
 • Bachelor’s degree in Computer Science or equivalent experience; non\-traditional candidates encouraged to share relevant projects.
 • Experience maintaining data pipelines and integrations in SQL Server, Snowflake, or similar environments.
 • Experience supporting data ingestion from enterprise systems such as Workday, ERP, or HR platforms.
 • Experience with BI or reporting platforms; strong fundamentals valued over specific tool experience.
 • Relevant certifications are a plus but not required.
 Benefits \&amp; Perks:
 • Remote role based in the U.S. with working hours aligned to Eastern Time.
 • Candidates in Central Time are welcome if able to work an Eastern Time schedule.
 • Strong preference for candidates based in North Carolina.
 Compensation:
 • Determined by experience, skills, and role fit.
 Note:
 RemoteHunter is not the Employer of Record (EOR) for this role. Our purpose in this opportunity is to connect exceptional candidates with leading employers. We help job seekers worldwide discover roles that match their goals and guide them to complete their full application directly through the hiring company’s career page or ATS.</t>
        </is>
      </c>
    </row>
    <row r="22">
      <c r="A22" t="inlineStr">
        <is>
          <t>li-4367889905</t>
        </is>
      </c>
      <c r="B22" t="inlineStr">
        <is>
          <t>Consultant (Data Engineer)</t>
        </is>
      </c>
      <c r="C22" t="inlineStr">
        <is>
          <t>Experis</t>
        </is>
      </c>
      <c r="D22" t="inlineStr">
        <is>
          <t>linkedin</t>
        </is>
      </c>
      <c r="E22" t="inlineStr"/>
      <c r="F22" t="inlineStr"/>
      <c r="G22" t="inlineStr">
        <is>
          <t>Milwaukee, WI</t>
        </is>
      </c>
      <c r="H22" t="inlineStr"/>
      <c r="I22" t="inlineStr">
        <is>
          <t>**For IRMP use Only**
 Consultant (Data Engineer) needed for Experis US LLC located in Milwaukee, WI.
**Job Title:** 
 Consultant (Data Engineer)
 A Consultant (Data Engineer) needed for Experis US, LLC located in Milwaukee, Wisconsin.
**Key Responsibilities**
 Engage in designing and building complex, scalable, ETL pipelines from multiple data sources.
 Will utilize Python, Spark/PySpark, Airflow, REST API, and GIT.
 Will work in both AWS and Azure environments.
 Write SQL queries.
 Will work with Postgres database.
 Will provide services to clients located throughout the US.
 Will be assigned to unanticipated client sites located throughout the US and subject to travel/relocation.
**Requirements**
 Must have a bachelor’s degree in computer science or engineering and 5 years of overall progressive IT experience which includes at least one year of experience in the skill sets listed in the job description. Will also accept a MS in Computer Science or Engineering and 3 years of IT exp. which includes at least one year of experience in the skill sets listed in the job description.
**Benefits**
* Grow and develop your career with an industry leader
* Take advantage of excellent benefit program
 If this is a role that interests you and you’d like to learn more, click apply now and a Recruiter will be in touch with you to discuss this great opportunity. We look forward to hearing from you!
**About ManpowerGroup, Parent Company of: Manpower, Experis, Talent Solutions, and Jefferson Wells**
 ManpowerGroup® (NYSE: MAN), the leading global workforce solutions company, helps organizations transform in a fast\-changing world of work by sourcing, assessing, developing, and managing the talent that enables them to win. We develop innovative solutions for hundreds of thousands of organizations every year, providing them with skilled talent while finding meaningful, sustainable employment for millions of people across a wide range of industries and skills. Our expert family of brands –
 **Manpower, Experis, Talent Solutions, and Jefferson Wells** 
 – creates substantial value for candidates and clients across more than 75 countries and territories and has done so for over 70 years. We are recognized consistently for our diversity \- as a best place to work for Women, Inclusion, Equality and Disability and in 2022 ManpowerGroup was named one of the World's Most Ethical Companies for the 13th year \- all confirming our position as the brand of choice for in\-demand talent.</t>
        </is>
      </c>
    </row>
    <row r="23">
      <c r="A23" t="inlineStr">
        <is>
          <t>li-4335091246</t>
        </is>
      </c>
      <c r="B23" t="inlineStr">
        <is>
          <t>Data Engineer 2</t>
        </is>
      </c>
      <c r="C23" t="inlineStr">
        <is>
          <t>Garmin</t>
        </is>
      </c>
      <c r="D23" t="inlineStr">
        <is>
          <t>linkedin</t>
        </is>
      </c>
      <c r="E23" t="inlineStr"/>
      <c r="F23" t="inlineStr"/>
      <c r="G23" t="inlineStr">
        <is>
          <t>Olathe, KS</t>
        </is>
      </c>
      <c r="H23" t="inlineStr"/>
      <c r="I23" t="inlineStr">
        <is>
          <t>**Overview**
 We are seeking a full\-time
 **Data Engineer 2** 
 in our Olathe, KS location. In this role, you will be responsible for contributing to data development and operational stability of the Big Data ecosystems.
**Essential Functions**
* Provide technical input to feature development plans and concept documents
* Contribute to design and implementation of data pipelines to support data analysis and modeling
* Collaborate with data scientists to design and implement document parsing processes to support information retrieval solutions
* Collaborate with data scientists to design and implement data collection processes
* Understand production and operations issues as they relate to engineering
* Exemplify Garmin's Mission Statement/Quality Policy and proactively improve image/culture
* Develop scalable, extensible solution architectures leveraging contemporary big\-data technologies in an evolving operational framework
* Partner with team lead to identify technical requirements and alternatives to accomplish projects
* Participate in design, code, test, maintenance, enhance and decommission phases throughout software life cycle to contribute technical expertise and to identify issues
* Participate in and help guide research POCs, including design, coding, and performance and efficacy measurement
* Develop solutions to complex problems which require the regular use of ingenuity/creativity and provide innovation within area of expertise
* Demonstrate broad understanding of Garmin's business model, including Engineering, Operations, Finance, Sales and Marketing
* Contribute to and triages major incident troubleshooting involving multiple disciplines
* Apply technical expertise and analysis to initiatives and provide input to broader technology solutions outside of discipline
* Provide 24x7 on call support
**Basic Qualifications**
* Bachelor’s Degree in Computer Science, Information Technology, Management Information Systems, Business or related field AND a minimum of 2 years relevant experience
* Excellent academics with demonstrated ability to apply learned knowledge
* Experience using Hadoop and various components
* Experience tuning and optimizing ETL jobs to perform at scale
* Experience writing complex queries combining data from disparate systems
* Able to implement new technologies effectively and consistently demonstrates quality/effectiveness in work documentation and organization
* Strong/effective verbal, written and interpersonal communication skills in a small team setting
**Desired Qualifications**
* Previous experience working in a team environment
* JAVA or high level object oriented programming experience
* Experience with real\-time streaming technologies such as Kafka
*Garmin International is an equal opportunity employer. Qualified applicants will receive consideration for employment without regard to race, religion, color, national origin, citizenship, sex, sexual orientation, gender identity, veteran’s status, age or disability.*
*This position is eligible for Garmin's benefit program. Details can be found here: Garmin Benefits*</t>
        </is>
      </c>
    </row>
    <row r="24">
      <c r="A24" t="inlineStr">
        <is>
          <t>li-4333629532</t>
        </is>
      </c>
      <c r="B24" t="inlineStr">
        <is>
          <t>Senior Data Engineer</t>
        </is>
      </c>
      <c r="C24" t="inlineStr">
        <is>
          <t>Hippocratic AI</t>
        </is>
      </c>
      <c r="D24" t="inlineStr">
        <is>
          <t>linkedin</t>
        </is>
      </c>
      <c r="E24" t="inlineStr"/>
      <c r="F24" t="inlineStr"/>
      <c r="G24" t="inlineStr">
        <is>
          <t>Palo Alto, CA</t>
        </is>
      </c>
      <c r="H24" t="inlineStr"/>
      <c r="I24" t="inlineStr">
        <is>
          <t>**About Us**
 Hippocratic AI is the leading generative AI company in healthcare. We have the only system that can have safe, autonomous, clinical conversations with patients. We have trained our own LLMs as part of our Polaris constellation, resulting in a system with over 99\.9% accuracy.
**Why Join Our Team**
**Reinvent healthcare with AI that puts safety first.** 
 We’re building the world’s first healthcare‑only, safety‑focused LLM — a breakthrough platform designed to transform patient outcomes at a global scale. This is category creation.
**Work with the people shaping the future.** 
 Hippocratic AI was co‑founded by CEO Munjal Shah and a team of physicians, hospital leaders, AI pioneers, and researchers from institutions like El Camino Health, Johns Hopkins, Washington University in St. Louis, Stanford, Google, Meta, Microsoft, and NVIDIA.
**Backed by the world’s leading healthcare and AI investors.** 
 We recently raised a $126M Series C at a $3\.5B valuation, led by Avenir Growth, bringing total funding to $404M with participation from CapitalG, General Catalyst, a16z, Kleiner Perkins, Premji Invest, UHS, Cincinnati Children’s, WellSpan Health, John Doerr, Rick Klausner, and others.
**Build alongside the best in healthcare and AI.** 
 Join experts who’ve spent their careers improving care, advancing science, and building world‑changing technologies — ensuring our platform is powerful, trusted, and truly transformative.
**Location Requirement**
 We believe the best ideas happen together. To support fast collaboration and a strong team culture, this role is expected to be in our Palo Alto office five days a week, unless otherwise specified.
**About The Role**
 At Hippocratic AI, data is the backbone of everything we build — from our voice\-based generative healthcare agents to the systems that ensure their clinical safety and reliability.
 We’re looking for data engineers who thrive at the intersection of data systems, security, and scalability to design the infrastructure that powers safe AI deployment across healthcare environments.
 As part of the Data Infrastructure team, you’ll design, operate, and scale systems that collect, transform, and serve data for model training, evaluation, and operational analytics. You’ll work closely with ML, AI, and product teams to ensure our data is trustworthy, compliant, and high\-quality — forming the foundation for real\-world, patient\-facing AI systems.
 This is an opportunity to build data systems for a new class of AI products — where correctness, traceability, and privacy aren’t optional, they’re mission\-critical.
 What You'll Do
* Build \&amp; operate data platforms and pipelines (batch/stream) that feed training, RAG, evaluation, and analytics using tools like Prefect, dbt, Airflow, Spark, and cloud data warehouses (Snowflake/BigQuery/Redshift).
* Own data governance and access control: implement HIPAA\-grade permissioning, lineage, audit logging, and DLP; manage IAM, roles, and policy\-as\-code.
* Ensure reliability, observability, and cost efficiency across storage (S3/GCS), warehouses, and ETL/ELT—SLAs/SLOs, data quality checks, monitoring, and disaster recovery.
* Enable self\-service analytics via curated models and semantic layers; mentor engineers on best practices in schema design, SQL performance, and data lifecycle. Partner with ML/Research to provision high\-quality datasets, feature stores, and labeling/eval corpora with reproducibility (versioning, metadata, data contracts).
 What You Bring
**Must\-Have:**
* 5\+ years of software or data engineering experience, with 3\+ years building data infrastructure, ETL/ELT pipelines, or distributed data systems.
* Deep experience with Python and at least one cloud data platform (Snowflake, DataBricks, BigQuery, Redshift, or equivalent).
* Familiarity with orchestration tools (Airflow, prefect, dbt) and infrastructure\-as\-code (Terraform, CloudFormation).
* Strong understanding of data security, access control, and compliance frameworks (HIPAA, SOC 2, GDPR, or similar).
* Proficiency with SQL and experience optimizing query performance and storage design.
* Excellent problem\-solving and collaboration skills — able to work across engineering, ML, and clinical teams.
* Comfortable navigating trade\-offs between performance, cost, and maintainability in complex systems.
**Nice\-to\-Have:**
* Experience supporting ML pipelines, feature stores, or model training datasets.
* Familiarity with real\-time streaming systems (Kafka, Kinesis) or large\-scale unstructured data storage (S3, GCS).
* Background in data reliability engineering, data quality monitoring, or governance automation.
* Experience in healthcare, safety\-critical systems, or regulated environments.
 If you’re passionate about
 **building data systems that power safe, real\-world AI** 
 , we’d love to hear from you. Join
 **Hippocratic AI** 
 and help lay the foundation for
 **clinically safe, data\-driven healthcare agents** 
 that make a measurable impact on patient outcomes.
*Please be aware of recruitment scams impersonating Hippocratic AI. All recruiting communication will come from @* 
*hippocraticai.com* 
*email addresses. We will never request payment or sensitive personal information during the hiring process.*</t>
        </is>
      </c>
    </row>
    <row r="25">
      <c r="A25" t="inlineStr">
        <is>
          <t>li-4368309179</t>
        </is>
      </c>
      <c r="B25" t="inlineStr">
        <is>
          <t>Data Engineer</t>
        </is>
      </c>
      <c r="C25" t="inlineStr">
        <is>
          <t>Harnham</t>
        </is>
      </c>
      <c r="D25" t="inlineStr">
        <is>
          <t>linkedin</t>
        </is>
      </c>
      <c r="E25" t="inlineStr"/>
      <c r="F25" t="inlineStr"/>
      <c r="G25" t="inlineStr">
        <is>
          <t>New Jersey, United States</t>
        </is>
      </c>
      <c r="H25" t="inlineStr"/>
      <c r="I25" t="inlineStr">
        <is>
          <t>**Senior Data Engineer** 
**Location:** 
 New Jersey
**Remote:** 
 Hybrid (2 days on\-site per week)
**Salary:** 
 $120,000 – $140,000 base \+ 10% target bonus (flexible for outstanding profiles)
**Visa:** 
 No sponsorship
**Company** 
 The organization is modernizing a fragmented legacy environment into a cloud\-native data platform built on Databricks and Azure. With strong revenue growth and national expansion underway, data engineering has become a strategic pillar to support pricing, risk, analytics, and operational decision\-making across the business.
**The Role** 
* Design, build, and optimize end\-to\-end data pipelines on Databricks using Python, PySpark, and SQL.
* Implement and evolve Medallion architecture standards (Bronze, Silver, Gold) across multiple data domains.
* Develop ingestion frameworks for batch and streaming data, including structured and semi\-structured sources.
* Partner with actuarial, analytics, underwriting, claims, and marketing teams to deliver trusted, production\-grade data.
* Contribute to data governance, observability, cost optimization, and CI/CD best practices within Databricks.
**Desired Profile** 
* 5–7\+ years of experience in Data Engineering with strong, hands\-on Databricks expertise.
* Proven ability to build, explain, and own production\-grade pipelines from ingestion to consumption.
* Deep understanding of Medallion architecture and schema evolution strategies.
* Strong Python and PySpark coding skills, with solid SQL performance tuning experience.
* Experience working with cloud data lakes (Azure preferred) and modern file formats (Delta, Parquet, JSON, XML).</t>
        </is>
      </c>
    </row>
    <row r="26">
      <c r="A26" t="inlineStr">
        <is>
          <t>li-4313398309</t>
        </is>
      </c>
      <c r="B26" t="inlineStr">
        <is>
          <t>Senior Data Engineer</t>
        </is>
      </c>
      <c r="C26" t="inlineStr">
        <is>
          <t>Kin Insurance</t>
        </is>
      </c>
      <c r="D26" t="inlineStr">
        <is>
          <t>linkedin</t>
        </is>
      </c>
      <c r="E26" t="inlineStr"/>
      <c r="F26" t="inlineStr"/>
      <c r="G26" t="inlineStr"/>
      <c r="H26" t="inlineStr"/>
      <c r="I26" t="inlineStr">
        <is>
          <t>Kin is redesigning insurance to be smarter, faster, and centered on the customer. We use intelligent pricing, offer seamless bundling, and make every step (from purchasing, servicing to claims) simple and friction\-free, especially in the places traditional insurers often ignore.
 We Empower People To Protect What Matters Most, Starting With Their Homes And Expanding To All They Value, In a World Where Climate Risks, Rising Costs, And Outdated Systems Leave Too Many Behind. Our Approach Has Fostered Amazing Growth, Attracted Marquee Investors, And Earned Us Accolades, Including Being Named To
* Built In Chicago's Best Places to Work, Midsize Companies (2021\-2025\).
* Forbes' America's Best Startup Employers (2021\- 2024, Ranked \#37 in 2024\).
* Inc. 5000 Fastest\-Growing Private Companies.
* Forbes’ Fintech 50\.
 Simply put, our people are what make us great – we need forward\-thinking, inspired game\-changers like you to join us in our mission.
**So What’s the Role?**
 As a Senior Data Engineer, you will play a pivotal role in ensuring the quality, integrity, and security of Kin’s data assets. You’ll be responsible for building out a data lakehouse for enterprise reporting, which will involve the design and development of production\-ready data pipelines, modeling raw data for downstream reporting, and quality assurance of the data warehouse.
**What You’ll Do**
 You’ll work on a cross\-functional project team with members from AppEng, DataEng, BI, and Kin’s business to design solutions for effective reporting. You’ll implement data validation standards and QA procedures to ensure effective data lifecycle and management practices. This involves:
* Designing and developing scalable data pipelines and models for downstream analytics and reporting
* Leading and collaborating with a cross\-functional project team to implement data validation, QA standards, and effective data lifecycle management
* Optimizing pipeline performance, cost, and data quality in a large\-scale data environment
* Migrating data warehouse (DBT, Redshift) architecture to Lakehouse (e.g: S3, Glue, Databricks, Unity catalog) architecture
* Mentoring data engineers and promoting best practices in software engineering, documentation, and metadata management
* Ensuring data security and compliance with regulations (e.g., GDPR, CCPA, GLBA) through robust pipeline design and access monitoring
* Translating ambiguous business requirements into technical solutions using marketing domain knowledge
**The Skills To Succeed**
* 4\+ years of hands\-on data engineering experience related to:
+ Data structures and cloud platform environments and best practices (AWS strongly preferred, Azure, or GCP)
+ ETL performance tuning and cost optimization
+ Data lake and lakehouse patterns including open table formats (e.g. Iceberg, Hudi, Delta)
* Proficiency in Python (Pandas, NumPy, etc.) and SQL for advanced data processing and querying
* Expertise in distributed data processing/storage (e.g., Apache Spark, Kafka, Hadoop, or similar)
* Excellent communication skills and ability to explain complex concepts clearly and concisely
* Detail\-oriented with strong data intuition and a passion for data quality
* Proven ability to model data and build production\-ready ETL pipelines handling TBs of data.
* Great time management and prioritization skills
**You should join us if…**
* You want to work on cutting\-edge data solutions in a high\-impact, regulated industry
* You enjoy collaborating with talented teams to solve complex problems and drive business outcomes
* You want to learn from and mentor team members in a dynamic, growth\-oriented environment with opportunities to innovate
* You value making a real world impact on people’s lives through the use of data and technology
* You’re outcome oriented, as well collaborative. Taking ownership and prioritizing key outcomes is important, but so is taking an emotionally intelligent approach to working with others.
**You probably shouldn’t apply if…**
* You are uncomfortable with ambiguity or unclear requirements. We solve a lot of new problems where requirements are not well defined.
* You would rather avoid start\-up environments where processes may not be well\-defined. Change is a way of life at Kin. We’re still establishing some of our processes and evolving how we manage data.
* You see perfection as the only option. We move fast, and we make mistakes. We learn and grow through experimentation and mistakes. While we hold ourselves to high standards, we don’t demand perfection.
* You keep to yourself. We have a collaborative culture where we solve problems together, learn from, and support each other. You’re part of a team here at Kin.
**Oh, and don’t worry, we’ve got you covered!**
 We offer a comprehensive benefits program, allowing you to choose the benefits that are best for you and your family including: Medical, Dental, Vision, Life Insurance and Disability Insurance options, Employee Assistance Program, as well as elective voluntary benefits such as accident insurance, hospital indemnity, critical illness, legal assistance and pet insurance. Kinfolk become eligible for benefits on the first day of the month following their start date.
 In addition to these benefits, we also are excited to offer the following:
* Competitive salary and company equity through Restricted Stock Units (RSUs), granted as part of our standard compensation package and based on role and level.
* 401K with company match of up to 4% of eligible earnings
* Flexible PTO for exempt employees (employees typically take 15\-20 days annually), along with 8 company\-observed holidays
* A paid parental leave program that provides 100% salary continuation of up to 14 weeks for birthing parents and 8 weeks for non birthing parents
* Continuing education and professional development opportunities
*For Sales Agents and Customer Service Agents: These roles sit in any of the following 30 states: AL, AZ, CO, FL, ID, IL, IN, KS, KY, MA, MD, ME, MI, MO, MT, NC, NE, NM, NV, NY, OH, OK, PA, SC, TN, TX, UT, VT, VA, WA, and WI.*
*For remote technical positions located in Canada, we are only able to hire individuals who reside in Ontario. Applicants must be able to live and work full\-time in Ontario to be considered.*
*For all other positions, these roles can sit in any of the following 40 states: AL, AR, AZ, CA (exempt only), CO, CT, FL, GA, ID, IL, IN, IA, KS, KY, MA, ME, MD, MI, MN, MO, MT, NC, NE, NJ, NM, NV, NY, OH, OK, OR, PA, SC, SD, TN, TX, UT, VT, VA, WA, and WI. Please only apply if you are able to live and work full\-time in one of the states listed above.*
*State locations and specifics are subject to change as our hiring requirements shift.*
**About Kin**
 Kin is the only pure\-play, direct\-to\-consumer digital insurer focused on the growing home insurance market. We make policies convenient and affordable through a technology platform that delivers a seamless user experience, customized options for coverage, and fast, high\-quality claims service. Kin is a fully licensed carrier that offers coverage through its reciprocal exchanges which are owned by its policyholders. To learn more, visit www.kin.com.
**EEOC Statement**
 Kin is proud to be an Equal Employment Opportunity and Affirmative Action Employer. We don't just accept difference – we honor it, nurture it, and celebrate it. We don’t discriminate based on race, religion, color, national origin, gender (including pregnancy, childbirth, or related medical conditions), sexual orientation, gender identity, gender expression, age, status as a protected veteran, status as an individual with a disability, or other applicable legally protected characteristics. Kin welcomes and encourages applications from people with disabilities. Accommodations are available on request for candidates taking part in all aspects of the selection process. If you require accommodation, please contact us by sending an email to careers@kin.com</t>
        </is>
      </c>
    </row>
    <row r="27">
      <c r="A27" t="inlineStr">
        <is>
          <t>li-4368168942</t>
        </is>
      </c>
      <c r="B27" t="inlineStr">
        <is>
          <t>Data Platform Engineer - Remote</t>
        </is>
      </c>
      <c r="C27" t="inlineStr">
        <is>
          <t>ExecutivePlacements.com</t>
        </is>
      </c>
      <c r="D27" t="inlineStr">
        <is>
          <t>linkedin</t>
        </is>
      </c>
      <c r="E27" t="inlineStr"/>
      <c r="F27" t="inlineStr"/>
      <c r="G27" t="inlineStr"/>
      <c r="H27" t="inlineStr"/>
      <c r="I27" t="inlineStr">
        <is>
          <t>**What's Under The Hood**
 DriveTime Family of Brands is the largest privately owned used car sales finance \&amp; servicing company in the nation. Headquartered in Tempe, Arizona and Dallas, Texas, we create opportunities and improve the lives of our customers and our employees by placing a focus on putting the right customer, in the right vehicle, on the right terms and on their path to ownership.
 The DriveTime Family of Brands spans across DriveTime, Bridgecrest and SilverRock. You can find us at the intersection of technology and innovation as we use our proprietary tools and over two decades of industry knowledge to redefine the process of purchasing, financing, and protecting your vehicle.
**That's Nice, But What's the Job?**
**This is not a position for which sponsorship will be provided. Individuals with temporary visas or who need sponsorship now or in the future are not eligible for hire at this time.**
 In short, as our remote Data Platform Engineer on the Data Platform team, you are responsible for maintaining data platforms that support data in motion, data governance, automation, self\-service, and standardizing efficient patterns. You will collaborate closely with the DBA's, DevOps Team, and Architecture to gain developer efficiency, improve data quality and increase stability.
**What we would like to see in your Tech Stack:**
* Data Platforms (Snowflake, Microsoft SQL Server, Azure)
* Unstructured Databases (MongoDB, Cosmos)
* Scripting Languages (Python, API's, Powershell)
* Data Integration (FiveTran, Kafka, SSIS)
* CICD Pipelines and Source Control (Azure DevOps, GitHub)
* Orchestrators (Argo, Airflow)
* Infrastructure as Code (Terraform)
* Administration and Monitoring (DataDog)
**So, What Kind of Folks Are We Looking for?**
**The Specifics.**
* 5\+ years' experience in data engineering
* Bachelor's degree in information technology or related field
* Ability to establish cross\-functional, collaborative relationships with technology partners, engineers and architecture
* Strong engineering and data governance fundamentals; recognizes industry patterns and strategies with a focus on maintaining healthy, secure platforms
* Expert at navigating product and engineering tradeoffs within the teams
* Focused on driving what matters forward through deliberate influential action
* Communicates clearly and concisely, both orally and in writing
* Enjoys mentoring engineers and helping to remove roadblocks for them
* Data driven strategy is at the root of their approach to problem solving
* Strong analytical and problem\-solving skills, regardless of technology
**So What About the Perks? Perks matter**
* Work From Home. Feel free to rock the casual wear while still being camera ready. You will be working from your home office (in an approved city \&amp; state) and make sure you have a conducive and quiet workspace with no distractions and reliable and secure internet.
* Medical, dental, and vision, oh my! DriveTime Family of Brands covers a sizable amount of insurance premiums to ensure our employees receive top\-tier healthcare coverage.
* But Wait, There's More. 401(K), Company paid life insurance policy, short and long\-term disability coverage to name a few.
* Growth Opportunities. You grow, I grow, we all grow! But seriously, DriveTime Family of Brands is committed to providing its employees with every opportunity to grow professionally with roughly over 1,000 employees promoted year over year.
* Tuition Reimbursement. We're as passionate about your professional development as you are. With that, we'll put our money where our mouth is.
* Wellness Program. Health is wealth! This program includes self\-guided coaching and journeys, cash incentives and discounts on your medical premiums through engaging in fun activities!
* Gratitude is Green. We offer competitive pay across the organization, because, well... money matters!
* Paid Time Off. Not just lip service: we work hard, to play hard! Paid time off includes (for all full\-time roles) wellness days, holidays, and good ole' fashioned YOU time! For our Part\-timers, don't fear you get some time too...vacation time is available \- the more you work, the more you earn!
**Anything Else? Absolutely.**
 DriveTime Family of Brands is Great Place to Work Certified! And get this: 90% of our rockstar employees say they feel right at home here. We could spend a lot of time having you read about ALL our awards, but we'll save time (and practice some humility) just naming a few others; Comparably Awards: Best Company for Diversity, Best Company Culture and Best Company Leadership, oh and don't forget Phoenix Business Journal Healthiest Employers (okay, we'll stop there)!
 Hiring is contingent upon successful completion of our background and drug screening process. DriveTime is a drug\-free, tobacco\-free workplace and an Equal Opportunity Employer.
 And when it comes to hiring, we don't just look for the right person for the job, we seek out the right person for DriveTime. Buckle up for plenty of opportunities to grow in a professional, fun, and high\-energy environment!</t>
        </is>
      </c>
    </row>
    <row r="28">
      <c r="A28" t="inlineStr">
        <is>
          <t>li-4367871929</t>
        </is>
      </c>
      <c r="B28" t="inlineStr">
        <is>
          <t>Analytics Engineer</t>
        </is>
      </c>
      <c r="C28" t="inlineStr">
        <is>
          <t>RemoteHunter</t>
        </is>
      </c>
      <c r="D28" t="inlineStr">
        <is>
          <t>linkedin</t>
        </is>
      </c>
      <c r="E28" t="inlineStr"/>
      <c r="F28" t="inlineStr"/>
      <c r="G28" t="inlineStr"/>
      <c r="H28" t="inlineStr"/>
      <c r="I28" t="inlineStr">
        <is>
          <t>About the Opportunity:
 A United States based Analytics Engineer is needed to support reporting, ad\-hoc analysis, and analytics development across the organization while helping evolve the data platform over time. This role bridges data engineering and business functions, managing day\-to\-day analytics needs such as Power BI dashboards, ad\-hoc reporting, and SQL development, with growth into data modeling and advanced analytics including machine learning. The role collaborates closely with a Senior Solutions Engineer focused on data ingestion and integrations.
 Responsibilities:
 • Own ad\-hoc reporting and analysis for operations, finance, and leadership
 • Build and maintain Power BI dashboards and reports
 • Translate ambiguous business questions into clear analytical outputs
 • Partner with stakeholders to define and refine KPIs and metrics
 • Ensure reporting is accurate, performant, and trusted
 • Write high\-quality SQL to support reporting and analytics
 • Build and improve analytics\-ready (gold\-layer) datasets
 • Contribute to dimensional and fact\-based data models
 • Improve consistency, usability, and documentation of core datasets
 • Gradually take on more responsibility in data modeling and analytics engineering
 • Collaborate on improving analytics architecture and best practices
 • Explore advanced analytics or machine learning use cases over time
 Requirements:
 • Strong expertise in SQL development with modular design skills
 • Proven ability working with large and complex datasets
 • Hands\-on experience building reports or dashboards (Power BI preferred)
 • Experience handling ad\-hoc analysis and evolving business questions
 • Understanding of dimensional modeling
 • Ability to communicate clearly with non\-technical stakeholders
 • Curiosity and motivation to grow technically
 • Nice to have: 2\+ years of SQL development experience
 • Experience with Databricks, Snowflake, or other cloud data platforms
 • Familiarity with analytics engineering concepts
 • Familiarity with version control and CI/CD tools (GitHub, Gitlab, etc.)
 • Exposure to healthcare, EMR, or regulated data environments
 • Interest in machine learning or advanced analytics (not required)
 Benefits \&amp; Perks:
 • Bonus eligible
 • Health care plan including medical, dental, and vision
 • Retirement plan (401k)
 • Life insurance
 • Paid time off
 • Short term and long term disability
 • Training and development
 Note:
 “RemoteHunter is not the Employer of Record (EOR) for this role. Our purpose in this opportunity is to connect exceptional candidates with leading employers. We help job seekers worldwide discover roles that match their goals and guide them to complete their full application directly through the hiring company’s career page or ATS.”</t>
        </is>
      </c>
    </row>
    <row r="29">
      <c r="A29" t="inlineStr">
        <is>
          <t>li-4303732534</t>
        </is>
      </c>
      <c r="B29" t="inlineStr">
        <is>
          <t>Principal Data Engineer</t>
        </is>
      </c>
      <c r="C29" t="inlineStr">
        <is>
          <t>PepsiCo</t>
        </is>
      </c>
      <c r="D29" t="inlineStr">
        <is>
          <t>linkedin</t>
        </is>
      </c>
      <c r="E29" t="inlineStr"/>
      <c r="F29" t="inlineStr"/>
      <c r="G29" t="inlineStr">
        <is>
          <t>Plano, TX</t>
        </is>
      </c>
      <c r="H29" t="inlineStr"/>
      <c r="I29" t="inlineStr">
        <is>
          <t>**Overview**
 As a member of the data engineering team, you will be the key technical expert developing and overseeing PepsiCo's data product build \&amp; operations and drive a strong vision for how data engineering can proactively create a positive impact on the business. You'll be an empowered member of a team of data engineers who build data pipelines into various source systems, rest data on the PepsiCo Data Lake, and enable exploration and access for analytics, visualization, machine learning, and product development efforts across the company. As a member of the data engineering team, you will help lead the development of very large and complex data applications into public cloud environments directly impacting the design, architecture, and implementation of PepsiCo's flagship data products
**Responsibilities**
* Active contributor to code development in projects and services
* Manage and scale data pipelines from internal and external data sources to support new product launches and drive data quality across data products
* Build and own the automation and monitoring frameworks that captures metrics and operational KPIs for data pipeline quality and performance
* Responsible for implementing best practices around systems integration
* Security, performance and data management
* Empower the business by creating value through the increased adoption of data
* Data science and business intelligence landscape
* Collaborate with internal clients (data science and product teams) to drive solutioning and POC discussions
**Compensation and Benefits:**
* The expected compensation range for this position is between $89,000 \- $149,000
* Location, confirmed job\-related skills, experience, and education will be considered in setting actual starting salary. Your recruiter can share more about the specific salary range during the hiring process
* Bonus based on performance and eligibility target payout is 10% of annual salary paid out annually
* Paid time off subject to eligibility, including paid parental leave, vacation, sick, and bereavement
* In addition to salary, PepsiCo offers a comprehensive benefits package to support our employees and their families, subject to elections and eligibility: Medical, Dental, Vision, Disability, Health, and Dependent Care Reimbursement Accounts, Employee Assistance Program (EAP), Insurance (Accident, Group Legal, Life), Defined Contribution Retirement Plan
**Qualifications**
* 6\+ years of overall technology experience that includes at least 4\+ years of hands\-on software development, data engineering, and systems architecture.
* 4\+ years of experience with Data Lake Infrastructure, Data Warehousing, and Data Analytics tools.
* 4\+ years of experience in SQL optimization and performance tuning, and development experience in programming languages like Python, PySpark, Scala etc.).
* 2\+ years in cloud data engineering experience in Azure(Azure Data Factory(ADF), ADLS\-2, Databricks(Lakehouse, Workflow SQL, Unity catalog).
* Fluent with Azure cloud services. Azure or Databricks Certification is a plus.
* Experience with integration of multi cloud services with on\-premises technologies.
* Experience with data modeling, data warehousing, and building high\-volume ETL/ELT pipelines.
* Experience with data profiling and data quality tools like Apache Griffin, Deequ, and Great Expectations.
* Experience building/operating highly available, distributed systems of data extraction, ingestion, and processing of large data sets.
* Experience with at least one MPP database technology such as Redshift, Synapse or SnowFlake.
* Experience with running and scaling applications on the cloud infrastructure and containerized services like Kubernetes.
* Experience with version control systems like Github and deployment \&amp; CI tools.
* Experience with Azure Data Factory, Azure Databricks and Azure Machine learning tools.
* Experience with Statistical/ML techniques is a plus.
* Experience with building solutions in the Supply chain space(Digital Procurement, Manufacturing, Cost, Warehouse, Network Design) is a plus.
* Understanding of metadata management, data lineage, and data glossaries is a plus.
* Working knowledge of agile development, including DevOps and DataOps concepts.
* Familiarity with business intelligence tools (such as PowerBI).
**EEO Statement**
 Our Company will consider for employment qualified applicants with criminal histories in a manner consistent with the requirements of the Fair Credit Reporting Act, and all other applicable laws, including but not limited to, San Francisco Police Code Sections 4901\-4919, commonly referred to as the San Francisco Fair Chance Ordinance; and Chapter XVII, Article 9 of the Los Angeles Municipal Code, commonly referred to as the Fair Chance Initiative for Hiring Ordinance.
 All qualified applicants will receive consideration for employment without regard to age, race, color, religion, sex, sexual orientation, gender identity, national origin, protected veteran status, or disability status.
 PepsiCo is an Equal Opportunity Employer: Female / Minority / Disability / Protected Veteran / Sexual Orientation / Gender Identity / Age
 If you'd like more information about your EEO rights as an applicant under the law, please download the available EEO is the Law \&amp; EEO is the Law Supplement documents. View PepsiCo EEO Policy.
 Please view our Pay Transparency Statement</t>
        </is>
      </c>
    </row>
    <row r="30">
      <c r="A30" t="inlineStr">
        <is>
          <t>li-4367887561</t>
        </is>
      </c>
      <c r="B30" t="inlineStr">
        <is>
          <t>Senior Data Engineer</t>
        </is>
      </c>
      <c r="C30" t="inlineStr">
        <is>
          <t>RemoteHunter</t>
        </is>
      </c>
      <c r="D30" t="inlineStr">
        <is>
          <t>linkedin</t>
        </is>
      </c>
      <c r="E30" t="inlineStr"/>
      <c r="F30" t="inlineStr"/>
      <c r="G30" t="inlineStr"/>
      <c r="H30" t="inlineStr"/>
      <c r="I30" t="inlineStr">
        <is>
          <t>About the Opportunity:
 This team focuses on using technology to improve health outcomes for millions of members worldwide. The role involves developing and operationalizing data pipelines to support reporting and advanced analytics, ensuring data availability, quality, and efficiency.
 Responsibilities:
 • Develop and operationalize data pipelines including ingestion, transformation, validation, optimization, and orchestration
 • Collaborate with DevSecOps Engineer during continuous integration and continuous deployment
 • Guide design and implementation of data management procedures for staging, ingestion, preparation, provisioning, and destruction
 • Provide guidance to data engineers on large\-scale, high\-volume, high\-performance data structures for business intelligence analytics
 • Design, develop, and maintain real\-time processing applications and data pipelines
 • Ensure quality of technical solutions as data moves across environments
 • Provide senior\-level knowledge of data environment changes, processing, storage, and utilization requirements
 • Develop, construct, test, and maintain architectures using advanced programming languages and tools
 • Identify opportunities to improve data reliability, efficiency, and quality; deploy automation solutions
 • Perform other duties as assigned
 • Comply with all policies and standards
 Requirements:
 • Bachelor’s degree in a quantitative or business field such as statistics, mathematics, engineering, or computer science
 • 4 to 6 years of related experience or equivalent through demonstrated knowledge and skills
 • Experience with Big Data and data processing
 • Skills in diagnosing system issues, data validation, and quality assurance testing
 • Experience with data manipulation and data mining
 • Experience working in a production cloud infrastructure
 • Proficiency in one or more programming languages such as C\#, Java, Python, or SQL
 • Knowledge of Microsoft SQL Servers and SQL
 • Intermediate analytical and project management skills
 • Ability to work independently and demonstrate excellent judgment and decision\-making
 • High level of accuracy under pressure
 Compensation:
 • Pay range $87,000\.00 to $161,300\.00 per year
 • Actual pay adjusted based on skills, experience, education, and other job\-related factors, including full\-time or part\-time status
 • Total compensation may include additional incentives
 Benefits \&amp; Perks:
 • Competitive pay
 • Health insurance
 • 401K and stock purchase plans
 • Tuition reimbursement
 • Paid time off plus holidays
 • Flexible work options including remote, hybrid, field, or office schedules
 Note:
 “RemoteHunter is not the Employer of Record (EOR) for this role. Our purpose in this opportunity is to connect exceptional candidates with leading employers. We help job seekers worldwide discover roles that match their goals and guide them to complete their full application directly through the hiring company’s career page or ATS.”</t>
        </is>
      </c>
    </row>
    <row r="31">
      <c r="A31" t="inlineStr">
        <is>
          <t>li-4282842616</t>
        </is>
      </c>
      <c r="B31" t="inlineStr">
        <is>
          <t>Databricks Data Engineer - Senior - Consulting - Location Open</t>
        </is>
      </c>
      <c r="C31" t="inlineStr">
        <is>
          <t>EY</t>
        </is>
      </c>
      <c r="D31" t="inlineStr">
        <is>
          <t>linkedin</t>
        </is>
      </c>
      <c r="E31" t="inlineStr"/>
      <c r="F31" t="inlineStr"/>
      <c r="G31" t="inlineStr">
        <is>
          <t>Austin, TX</t>
        </is>
      </c>
      <c r="H31" t="inlineStr"/>
      <c r="I31" t="inlineStr">
        <is>
          <t>Location: Anywhere in Country
 At EY, we’re all in to shape your future with confidence.
 We’ll help you succeed in a globally connected powerhouse of diverse teams and take your career wherever you want it to go. Join EY and help to build a better working world.
**Technology – Data and Decision Science – Data Engineering – Senior**
 We are seeking a highly skilled Senior Consultant Data Engineer with expertise in cloud data engineering, specifically Databricks. The ideal candidate will have strong client management and communication skills, along with a proven track record of successful end\-to\-end implementations in data engineering projects.
**The opportunity**
 In this role, you will design and build analytics solutions that deliver significant business value. You will collaborate with other data and analytics professionals, management, and stakeholders to ensure that technical requirements align with business needs. Your responsibilities will include creating scalable data architecture and modeling solutions that support the entire data asset lifecycle.
**Your Key Responsibilities**
 As a Senior Data Engineer, you will play a pivotal role in transforming data into actionable insights. Your time will be spent on various responsibilities, including:
* Designing, building, and operating scalable on\-premises or cloud data architecture.
* Analyzing business requirements and translating them into technical specifications.
* Optimizing data flows for target data platform designs.
* Design, develop, and implement data engineering solutions using Databricks on cloud platforms (e.g., AWS, Azure, GCP).
* Collaborate with clients to understand their data needs and provide tailored solutions that meet their business objectives.
* Lead end\-to\-end data pipeline development, including data ingestion, transformation, and storage.
* Ensure data quality, integrity, and security throughout the data lifecycle.
* Provide technical guidance and mentorship to junior data engineers and team members.
* Communicate effectively with stakeholders, including technical and non\-technical audiences, to convey complex data concepts.
* Manage client relationships and expectations, ensuring high levels of satisfaction and engagement.
* Stay updated with the latest trends and technologies in data engineering and cloud computing.
 This role offers the opportunity to work with cutting\-edge technologies and stay ahead of industry trends, ensuring you gain a competitive advantage in the market. The position may require regular travel to meet with external clients.
**Skills And Attributes For Success**
 To thrive in this role, you will need a blend of technical and interpersonal skills. Your ability to communicate effectively and build relationships will be crucial. Here are some key attributes we look for:
* Strong analytical and decision\-making skills.
* Proficiency in cloud computing and data architecture design.
* Experience in data integration and security.
* Ability to manage complex problem\-solving scenarios.
**To qualify for the role, you must have**
* A Bachelor’s degree in Computer Science, Engineering, or a related field required (4\-year degree). Master’s degree preferred
* Typically, no less than 2 \- 4 years relevant experience in data engineering, with a focus on cloud data solutions.
* 5\+ years of experience in data engineering, with a focus on cloud data solutions.
* Expertise in Databricks and experience with Spark for big data processing.
* Proven experience in at least two end\-to\-end data engineering implementations, including:
* Implementation of a data lake solution using Databricks, integrating various data sources, and enabling analytics for business intelligence.
* Development of a real\-time data processing pipeline using Databricks and cloud services, delivering insights for operational decision\-making.
* Strong programming skills in languages such as Python, Scala, or SQL.
* Experience with data modeling, ETL processes, and data warehousing concepts.
* Excellent problem\-solving skills and the ability to work independently and as part of a team.
* Strong communication and interpersonal skills, with a focus on client management.
**Required Expertise for Senior Consulting Projects:**
* Strategic Thinking: Ability to align data engineering solutions with business strategies and objectives.
* Project Management: Experience in managing multiple projects simultaneously, ensuring timely delivery and adherence to project scope.
* Stakeholder Engagement: Proficiency in engaging with various stakeholders, including executives, to understand their needs and present solutions effectively.
* Change Management: Skills in guiding clients through change processes related to data transformation and technology adoption.
* Risk Management: Ability to identify potential risks in data projects and develop mitigation strategies.
* Technical Leadership: Experience in leading technical discussions and making architectural decisions that impact project outcomes.
* Documentation and Reporting: Proficiency in creating comprehensive documentation and reports to communicate project progress and outcomes to clients.
**Ideally, you’ll also have**
* Experience with data quality management.
* Familiarity with semantic layers in data architecture.
* Familiarity with cloud platforms (AWS, Azure, GCP) and their data services.
* Knowledge of data governance and compliance standards.
* Experience with machine learning frameworks and tools.
**What We Look For**
 We seek individuals who are not only technically proficient but also possess the qualities of top performers. You should be adaptable, collaborative, and driven by a desire to achieve excellence in every project you undertake.
 FY26NATAID
**What We Offer You**
 At EY, we’ll develop you with future\-focused skills and equip you with world\-class experiences. We’ll empower you in a flexible environment, and fuel you and your extraordinary talents in a diverse and inclusive culture of globally connected teams. Learn more.
* We offer a comprehensive compensation and benefits package where you’ll be rewarded based on your performance and recognized for the value you bring to the business. The base salary range for this job in all geographic locations in the US is $106,900 to $176,500\. The base salary range for New York City Metro Area, Washington State and California (excluding Sacramento) is $128,400 to $200,600\. Individual salaries within those ranges are determined through a wide variety of factors including but not limited to education, experience, knowledge, skills and geography. In addition, our Total Rewards package includes medical and dental coverage, pension and 401(k) plans, and a wide range of paid time off options.
* Join us in our team\-led and leader\-enabled hybrid model. Our expectation is for most people in external, client serving roles to work together in person 40\-60% of the time over the course of an engagement, project or year.
* Under our flexible vacation policy, you’ll decide how much vacation time you need based on your own personal circumstances. You’ll also be granted time off for designated EY Paid Holidays, Winter/Summer breaks, Personal/Family Care, and other leaves of absence when needed to support your physical, financial, and emotional well\-being.
**Are you ready to shape your future with confidence? Apply today.**
 EY accepts applications for this position on an on\-going basis.
 For those living in California, please click here for additional information.
 EY focuses on high\-ethical standards and integrity among its employees and expects all candidates to demonstrate these qualities.
**EY \| Building a better working world**
 EY is building a better working world by creating new value for clients, people, society and the planet, while building trust in capital markets.
 Enabled by data, AI and advanced technology, EY teams help clients shape the future with confidence and develop answers for the most pressing issues of today and tomorrow.
 EY teams work across a full spectrum of services in assurance, consulting, tax, strategy and transactions. Fueled by sector insights, a globally connected, multi\-disciplinary network and diverse ecosystem partners, EY teams can provide services in more than 150 countries and territories.
 EY provides equal employment opportunities to applicants and employees without regard to race, color, religion, age, sex, sexual orientation, gender identity/expression, pregnancy, genetic information, national origin, protected veteran status, disability status, or any other legally protected basis, including arrest and conviction records, in accordance with applicable law.
 EY is committed to providing reasonable accommodation to qualified individuals with disabilities including veterans with disabilities. If you have a disability and either need assistance applying online or need to request an accommodation during any part of the application process, please call 1\-800\-EY\-HELP3, select Option 2 for candidate related inquiries, then select Option 1 for candidate queries and finally select Option 2 for candidates with an inquiry which will route you to EY’s Talent Shared Services Team (TSS) or email the TSS at ssc.customersupport@ey.com.</t>
        </is>
      </c>
    </row>
    <row r="32">
      <c r="A32" t="inlineStr">
        <is>
          <t>li-4357482968</t>
        </is>
      </c>
      <c r="B32" t="inlineStr">
        <is>
          <t>Staff Data Engineer</t>
        </is>
      </c>
      <c r="C32" t="inlineStr">
        <is>
          <t>Market America, Inc.</t>
        </is>
      </c>
      <c r="D32" t="inlineStr">
        <is>
          <t>linkedin</t>
        </is>
      </c>
      <c r="E32" t="inlineStr"/>
      <c r="F32" t="inlineStr"/>
      <c r="G32" t="inlineStr">
        <is>
          <t>New York, NY</t>
        </is>
      </c>
      <c r="H32" t="inlineStr"/>
      <c r="I32" t="inlineStr">
        <is>
          <t>Market America, a product brokerage and Internet marketing company that specializes in One\-to\-One Marketing, is seeking an experienced
 **Staff Data Engineer** 
 for our IT team.
 As a senior member of the Data Engineering team, you will have an important role in helping millions of customers on our SHOP.COM and Market America Worldwide multi\-country and multi\-language global eCommerce websites intelligently find what they want within different categories, merchant offers, products and taxonomy.
 We have thousands of 3rd party affiliates / feeds which goes through ETL and data ingestion pipelines before ingesting into our search systems. We have multiple orchestration pipelines supporting various types of data for products, store offers, analytics, customer behavioral profiles, segments, logs and much more.
 If you are passionate about data engineering in processing millions of data, ETL processes for products, stores, customers, analytics, this is highly visible role that will provide you the opportunity to make a huge impact in our business and a difference to millions of customers worldwide. Data engineering team processes large amounts of data that we import and collect. The team works to enrich content, pricing integration, taxonomy assignments and algorithms, category classifier nodes and machine learning integration within the pipeline.
**Key Responsibilities:** 
 · Must have minimum of 10\-12 years of hands\-on development experience implementing batch and events driven applications using Java, Kafka, Spark, Scala, PySpark and Python
 · Experience with Apache Kafka and Connectors, Java, Springboot in building event driven services, Python in building ML pipelines
 · Develop data pipelines responsible for ingesting large amounts of different kinds of data from various sources
 · Help evolve data architecture and work on Next Generation real time pipeline algorithms and architecture in addition to supporting and maintaining current pipelines and legacy systems
 · Write code and develop worker node for business logic, ETL and orchestration processes
 · Develop algorithms for better attribution rules and category classifiers
 · Work with stakeholders throughout the organization to identify opportunities for leveraging company data to drive search, discovery, and recommendations.
 · Work closely with architects, engineers, data analysts, data scientists, contractors/consultants and project managers in assessing project requirements, design, develop and support data ingestions and API services
 · Work with Data Scientists in building feature engineering pipelines and integrating machine learning models during content enrichment process
 · Able to influence on priorities working with various partners including engineers, project management office and leadership
 · Mentor junior team members, define architecture, code review, hands\-on development and deliver the work in sprint cycle
 · Participate in design discussions with Architects and other team members for the design of new systems and re\-engineering of components of existing systems
 · Wear Architect hat when required to bring new ideas to the table, thought leadership and forward thinking
 · Take holistic approach to building solutions by thinking big picture and overall solution
 · Work on moving away from legacy systems into next generation architecture
 · Take complete ownership from requirements, solution design, development, production launch and post launch production support. Participate in code reviews and regular on\-call rotations.
 · Desire to apply best solution in the industry, apply correct design patterns during development and learn best practices and data engineering tools and technologies
**Required Skills \&amp; Experience:** 
 · BS or MS in Computer Science (or related field) with 10\+ years of hands\-on software development experience working in large\-scale data processing pipelines
 · Must have skills are Apache Spark, Scala and PySpark with 2\-4 years of experience building production grade batch pipelines that handle large volumes of data.
 · Must have at least 4\+ years of experience in Java and API / Microservices
 · Must have at least 2\+ years of experience in Python
 · 2\+ years of experience in understanding and writing complex SQL and stored procedures for processing raw data, ETL, data validation, using databases such as SQL Server, Redis and other NoSQL DBs
 · Knowledge of Big data technologies, Hadoop, HDFS
 · Expertise with building events driven pipelines with Kafka, Java / Spark, Apache Flink
 · Expertise with Amazon AWS stack such as EMR, EC2, S3
 · Experience working with APIs to collect and ingest data as well build the APIs for business logic
 · Experience working with setting up, maintaining, and debugging production systems and infrastructure
 · Experience in building fault\-tolerant and resilient system
 · Experience in building worker nodes, knowledge of REST principles and data engineering design patterns
 · In\-depth knowledge of Java, Springboot, Spark, Scala, PySpark, Python, Orchestration tools, ESB, SQL, Stored procedures, Docker, RESTful web services, Kubernetes, CI/CD, Observability techniques, Kafka, Release processes, caching strategies, versioning, B\&amp;D, BitBucket / Git and AWS Cloud Eco\-system, NoSQL Databases, Hazelcast
 · Strong software development, architecture diagramming, problem\-solving and debugging skills
 · Phenomenal communication and influencing skills
**Nice to Have:** 
* Exposure to Machine Learning (ML), LLM models, using AI during coding, build with AI
* Knowledge of Elastic APM, ELK stack and search technologies such as Elasticsearch / Solr
* Nice to have some experience in workflow orchestration tools such as Air Flow or Apache NiFi
 Market America offers competitive salary and generous benefits, including health, dental, vision, life, short and long\-term disability insurance, a 401(k) retirement plan with company match, and an on\-site health clinic.
 Qualified candidates should apply online. This position can work remoted based in NY state. Sorry, we are NOT able to sponsor for this position.
 Market America is proud to be an equal opportunity employer.
 Market America \| SHOP.COM is changing the way people shop and changing the economic paradigm so anyone can become financially independent by creating their own economy and converting their spending into earning with the Shopping Annuity®.
 ABOUT MARKET AMERICA, INC. \&amp; SHOP.COM
 Market America Worldwide \| SHOP.COM is a global e\-commerce and digital marketing company that specializes in one\-to\-one marketing and is the creator of the
 Shopping Annuity
 . Its mission is to provide a robust business system for entrepreneurs, while providing consumers a better way to shop. Headquartered in Greensboro, North Carolina, and with eight sites around the globe, including the U.S., Market America Worldwide was founded in 1992 by Founder, Chairman \&amp; CEO JR Ridinger. Through the company's primary, award\-winning shopping website, SHOP.COM, consumers have access to millions of products, including Market America Worldwide exclusive brands and thousands of top retail brands. Further, SHOP.COM ranks 19th in Newsweek magazine's 2021 Best Online Shops, No. 52 in Digital Commerce 360's (formerly Internet Retailer) 2021 Top 1,000 Online Marketplaces, No. 79 in Digital Commerce 360's 2021 Top 1,000 Online Retailers and No. 11 in the 2021 Digital Commerce 360 Primary Merchandise Category Top 500\. The company is also a two\-time winner of the
 Better Business Bureau's
 Torch Award for Marketplace Ethics and was ranked No. 15 in The Business North Carolina Top 125 Private Companies for 2021\. By combining Market America Worldwide's entrepreneurial business model with SHOP.COM's powerful comparative shopping engine,
 Cashback program
 , Hot Deals,
 ShopBuddy®
 , Express Pay checkout, social shopping integration and countless other features, the company has become the ultimate online shopping destination.
 For more information about Market America Worldwide:
 MarketAmerica.com
 For more information on SHOP.COM, please visit:
 SHOP.COM</t>
        </is>
      </c>
    </row>
    <row r="33">
      <c r="A33" t="inlineStr">
        <is>
          <t>li-4282841810</t>
        </is>
      </c>
      <c r="B33" t="inlineStr">
        <is>
          <t>Databricks Data Engineer - Senior - Consulting - Location Open</t>
        </is>
      </c>
      <c r="C33" t="inlineStr">
        <is>
          <t>EY</t>
        </is>
      </c>
      <c r="D33" t="inlineStr">
        <is>
          <t>linkedin</t>
        </is>
      </c>
      <c r="E33" t="inlineStr"/>
      <c r="F33" t="inlineStr"/>
      <c r="G33" t="inlineStr">
        <is>
          <t>Iselin, NJ</t>
        </is>
      </c>
      <c r="H33" t="inlineStr"/>
      <c r="I33" t="inlineStr">
        <is>
          <t>Location: Anywhere in Country
 At EY, we’re all in to shape your future with confidence.
 We’ll help you succeed in a globally connected powerhouse of diverse teams and take your career wherever you want it to go. Join EY and help to build a better working world.
**Technology – Data and Decision Science – Data Engineering – Senior**
 We are seeking a highly skilled Senior Consultant Data Engineer with expertise in cloud data engineering, specifically Databricks. The ideal candidate will have strong client management and communication skills, along with a proven track record of successful end\-to\-end implementations in data engineering projects.
**The opportunity**
 In this role, you will design and build analytics solutions that deliver significant business value. You will collaborate with other data and analytics professionals, management, and stakeholders to ensure that technical requirements align with business needs. Your responsibilities will include creating scalable data architecture and modeling solutions that support the entire data asset lifecycle.
**Your Key Responsibilities**
 As a Senior Data Engineer, you will play a pivotal role in transforming data into actionable insights. Your time will be spent on various responsibilities, including:
* Designing, building, and operating scalable on\-premises or cloud data architecture.
* Analyzing business requirements and translating them into technical specifications.
* Optimizing data flows for target data platform designs.
* Design, develop, and implement data engineering solutions using Databricks on cloud platforms (e.g., AWS, Azure, GCP).
* Collaborate with clients to understand their data needs and provide tailored solutions that meet their business objectives.
* Lead end\-to\-end data pipeline development, including data ingestion, transformation, and storage.
* Ensure data quality, integrity, and security throughout the data lifecycle.
* Provide technical guidance and mentorship to junior data engineers and team members.
* Communicate effectively with stakeholders, including technical and non\-technical audiences, to convey complex data concepts.
* Manage client relationships and expectations, ensuring high levels of satisfaction and engagement.
* Stay updated with the latest trends and technologies in data engineering and cloud computing.
 This role offers the opportunity to work with cutting\-edge technologies and stay ahead of industry trends, ensuring you gain a competitive advantage in the market. The position may require regular travel to meet with external clients.
**Skills And Attributes For Success**
 To thrive in this role, you will need a blend of technical and interpersonal skills. Your ability to communicate effectively and build relationships will be crucial. Here are some key attributes we look for:
* Strong analytical and decision\-making skills.
* Proficiency in cloud computing and data architecture design.
* Experience in data integration and security.
* Ability to manage complex problem\-solving scenarios.
**To qualify for the role, you must have**
* A Bachelor’s degree in Computer Science, Engineering, or a related field required (4\-year degree). Master’s degree preferred
* Typically, no less than 2 \- 4 years relevant experience in data engineering, with a focus on cloud data solutions.
* 5\+ years of experience in data engineering, with a focus on cloud data solutions.
* Expertise in Databricks and experience with Spark for big data processing.
* Proven experience in at least two end\-to\-end data engineering implementations, including:
* Implementation of a data lake solution using Databricks, integrating various data sources, and enabling analytics for business intelligence.
* Development of a real\-time data processing pipeline using Databricks and cloud services, delivering insights for operational decision\-making.
* Strong programming skills in languages such as Python, Scala, or SQL.
* Experience with data modeling, ETL processes, and data warehousing concepts.
* Excellent problem\-solving skills and the ability to work independently and as part of a team.
* Strong communication and interpersonal skills, with a focus on client management.
**Required Expertise for Senior Consulting Projects:**
* Strategic Thinking: Ability to align data engineering solutions with business strategies and objectives.
* Project Management: Experience in managing multiple projects simultaneously, ensuring timely delivery and adherence to project scope.
* Stakeholder Engagement: Proficiency in engaging with various stakeholders, including executives, to understand their needs and present solutions effectively.
* Change Management: Skills in guiding clients through change processes related to data transformation and technology adoption.
* Risk Management: Ability to identify potential risks in data projects and develop mitigation strategies.
* Technical Leadership: Experience in leading technical discussions and making architectural decisions that impact project outcomes.
* Documentation and Reporting: Proficiency in creating comprehensive documentation and reports to communicate project progress and outcomes to clients.
**Ideally, you’ll also have**
* Experience with data quality management.
* Familiarity with semantic layers in data architecture.
* Familiarity with cloud platforms (AWS, Azure, GCP) and their data services.
* Knowledge of data governance and compliance standards.
* Experience with machine learning frameworks and tools.
**What We Look For**
 We seek individuals who are not only technically proficient but also possess the qualities of top performers. You should be adaptable, collaborative, and driven by a desire to achieve excellence in every project you undertake.
 FY26NATAID
**What We Offer You**
 At EY, we’ll develop you with future\-focused skills and equip you with world\-class experiences. We’ll empower you in a flexible environment, and fuel you and your extraordinary talents in a diverse and inclusive culture of globally connected teams. Learn more.
* We offer a comprehensive compensation and benefits package where you’ll be rewarded based on your performance and recognized for the value you bring to the business. The base salary range for this job in all geographic locations in the US is $106,900 to $176,500\. The base salary range for New York City Metro Area, Washington State and California (excluding Sacramento) is $128,400 to $200,600\. Individual salaries within those ranges are determined through a wide variety of factors including but not limited to education, experience, knowledge, skills and geography. In addition, our Total Rewards package includes medical and dental coverage, pension and 401(k) plans, and a wide range of paid time off options.
* Join us in our team\-led and leader\-enabled hybrid model. Our expectation is for most people in external, client serving roles to work together in person 40\-60% of the time over the course of an engagement, project or year.
* Under our flexible vacation policy, you’ll decide how much vacation time you need based on your own personal circumstances. You’ll also be granted time off for designated EY Paid Holidays, Winter/Summer breaks, Personal/Family Care, and other leaves of absence when needed to support your physical, financial, and emotional well\-being.
**Are you ready to shape your future with confidence? Apply today.**
 EY accepts applications for this position on an on\-going basis.
 For those living in California, please click here for additional information.
 EY focuses on high\-ethical standards and integrity among its employees and expects all candidates to demonstrate these qualities.
**EY \| Building a better working world**
 EY is building a better working world by creating new value for clients, people, society and the planet, while building trust in capital markets.
 Enabled by data, AI and advanced technology, EY teams help clients shape the future with confidence and develop answers for the most pressing issues of today and tomorrow.
 EY teams work across a full spectrum of services in assurance, consulting, tax, strategy and transactions. Fueled by sector insights, a globally connected, multi\-disciplinary network and diverse ecosystem partners, EY teams can provide services in more than 150 countries and territories.
 EY provides equal employment opportunities to applicants and employees without regard to race, color, religion, age, sex, sexual orientation, gender identity/expression, pregnancy, genetic information, national origin, protected veteran status, disability status, or any other legally protected basis, including arrest and conviction records, in accordance with applicable law.
 EY is committed to providing reasonable accommodation to qualified individuals with disabilities including veterans with disabilities. If you have a disability and either need assistance applying online or need to request an accommodation during any part of the application process, please call 1\-800\-EY\-HELP3, select Option 2 for candidate related inquiries, then select Option 1 for candidate queries and finally select Option 2 for candidates with an inquiry which will route you to EY’s Talent Shared Services Team (TSS) or email the TSS at ssc.customersupport@ey.com.</t>
        </is>
      </c>
    </row>
    <row r="34">
      <c r="A34" t="inlineStr">
        <is>
          <t>li-4282846220</t>
        </is>
      </c>
      <c r="B34" t="inlineStr">
        <is>
          <t>Databricks Data Engineer - Manager - Consulting - Location Open</t>
        </is>
      </c>
      <c r="C34" t="inlineStr">
        <is>
          <t>EY</t>
        </is>
      </c>
      <c r="D34" t="inlineStr">
        <is>
          <t>linkedin</t>
        </is>
      </c>
      <c r="E34" t="inlineStr"/>
      <c r="F34" t="inlineStr"/>
      <c r="G34" t="inlineStr">
        <is>
          <t>Palo Alto, CA</t>
        </is>
      </c>
      <c r="H34" t="inlineStr"/>
      <c r="I34" t="inlineStr">
        <is>
          <t>Location: Anywhere in Country
 At EY, we’re all in to shape your future with confidence.
 We’ll help you succeed in a globally connected powerhouse of diverse teams and take your career wherever you want it to go. Join EY and help to build a better working world.
**Technology – Data and Decision Science – Data Engineering – Manager**
 We are looking for a dynamic and experienced Manager of Data Engineering to lead our team in designing and implementing complex cloud analytics solutions with a strong focus on Databricks. The ideal candidate will possess deep technical expertise in data architecture, cloud technologies, and analytics, along with exceptional leadership and client management skills.
**The opportunity:**
 In this role, you will design and build analytics solutions that deliver significant business value. You will collaborate with other data and analytics professionals, management, and stakeholders to ensure that business requirements are translated into effective technical solutions. Key responsibilities include:
* Understanding and analyzing business requirements to translate them into technical requirements.
* Designing, building, and operating scalable data architecture and modeling solutions.
* Staying up to date with the latest trends and emerging technologies to maintain a competitive edge.
**Key Responsibilities:**
 As a Data Engineering Manager, you will play a crucial role in managing and delivering complex technical initiatives. Your time will be spent across various responsibilities, including:
* Leading workstream delivery and ensuring quality in all processes.
* Engaging with clients on a daily basis, actively participating in working sessions, and identifying opportunities for additional services.
* Implementing resource plans and budgets while managing engagement economics.
 This role offers the opportunity to work in a dynamic environment where you will face challenges that require innovative solutions. You will learn and grow as you guide others and interpret internal and external issues to recommend quality solutions. Travel may be required regularly based on client needs.
**Skills and attributes for success:**
 To thrive in this role, you should possess a blend of technical and interpersonal skills. The following attributes will make a significant impact:
* Lead the design and development of scalable data engineering solutions using Databricks on cloud platforms (e.g., AWS, Azure, GCP).
* Oversee the architecture of complex cloud analytics solutions, ensuring alignment with business objectives and best practices.
* Manage and mentor a team of data engineers, fostering a culture of innovation, collaboration, and continuous improvement.
* Collaborate with clients to understand their analytics needs and deliver tailored solutions that drive business value.
* Ensure the quality, integrity, and security of data throughout the data lifecycle, implementing best practices in data governance.
* Drive end\-to\-end data pipeline development, including data ingestion, transformation, and storage, leveraging Databricks and other cloud services.
* Communicate effectively with stakeholders, including technical and non\-technical audiences, to convey complex data concepts and project progress.
* Manage client relationships and expectations, ensuring high levels of satisfaction and engagement.
* Stay abreast of the latest trends and technologies in data engineering, cloud computing, and analytics.
* Strong analytical and problem\-solving abilities.
* Excellent communication skills, with the ability to convey complex information clearly.
* Proven experience in managing and delivering projects effectively.
* Ability to build and manage relationships with clients and stakeholders.
**To qualify for the role, you must have:**
* Bachelor’s degree in computer science, Engineering, or a related field required; Master’s degree preferred.
* Typically, no less than 4 \- 6 years relevant experience in data engineering, with a focus on cloud data solutions and analytics.
* Proven expertise in Databricks and experience with Spark for big data processing.
* Strong background in data architecture and design, with experience in building complex cloud analytics solutions.
* Experience in leading and managing teams, with a focus on mentoring and developing talent.
* Strong programming skills in languages such as Python, Scala, or SQL.
* Excellent problem\-solving skills and the ability to work independently and as part of a team.
* Strong communication and interpersonal skills, with a focus on client management.
**Required Expertise for Managerial Role:**
* Strategic Leadership: Ability to align data engineering initiatives with organizational goals and drive strategic vision.
* Project Management: Experience in managing multiple projects and teams, ensuring timely delivery and adherence to project scope.
* Stakeholder Engagement: Proficiency in engaging with various stakeholders, including executives, to understand their needs and present solutions effectively.
* Change Management: Skills in guiding clients through change processes related to data transformation and technology adoption.
* Risk Management: Ability to identify potential risks in data projects and develop mitigation strategies.
* Technical Leadership: Experience in leading technical discussions and making architectural decisions that impact project outcomes.
* Documentation and Reporting: Proficiency in creating comprehensive documentation and reports to communicate project progress and outcomes to clients.
**Large\-Scale Implementation Programs:**
* Enterprise Data Lake Implementation: Led the design and deployment of a cloud\-based data lake solution for a Fortune 500 retail client, integrating data from multiple sources (e.g., ERPs, POS systems, e\-commerce platforms) to enable advanced analytics and reporting capabilities.
* Real\-Time Analytics Platform: Managed the development of a real\-time analytics platform using Databricks for a financial services organization, enabling real\-time fraud detection and risk assessment through streaming data ingestion and processing.
* Data Warehouse Modernization: Oversaw the modernization of a legacy data warehouse to a cloud\-native architecture for a healthcare provider, implementing ETL processes with Databricks and improving data accessibility for analytics and reporting.
**Ideally, you’ll also have:**
* Experience with advanced data analytics tools and techniques.
* Familiarity with machine learning concepts and applications.
* Knowledge of industry trends and best practices in data engineering.
* Familiarity with cloud platforms (AWS, Azure, GCP) and their data services.
* Knowledge of data governance and compliance standards.
* Experience with machine learning frameworks and tools.
**What we look for:**
 We seek individuals who are not only technically proficient but also possess the qualities of top performers, including a strong sense of collaboration, adaptability, and a passion for continuous learning. If you are driven by results and have a desire to make a meaningful impact, we want to hear from you.
 FY26NATAID
**What We Offer You**
 At EY, we’ll develop you with future\-focused skills and equip you with world\-class experiences. We’ll empower you in a flexible environment, and fuel you and your extraordinary talents in a diverse and inclusive culture of globally connected teams. Learn more.
* We offer a comprehensive compensation and benefits package where you’ll be rewarded based on your performance and recognized for the value you bring to the business. The base salary range for this job in all geographic locations in the US is $125,500 to $230,200\. The base salary range for New York City Metro Area, Washington State and California (excluding Sacramento) is $150,700 to $261,600\. Individual salaries within those ranges are determined through a wide variety of factors including but not limited to education, experience, knowledge, skills and geography. In addition, our Total Rewards package includes medical and dental coverage, pension and 401(k) plans, and a wide range of paid time off options.
* Join us in our team\-led and leader\-enabled hybrid model. Our expectation is for most people in external, client serving roles to work together in person 40\-60% of the time over the course of an engagement, project or year.
* Under our flexible vacation policy, you’ll decide how much vacation time you need based on your own personal circumstances. You’ll also be granted time off for designated EY Paid Holidays, Winter/Summer breaks, Personal/Family Care, and other leaves of absence when needed to support your physical, financial, and emotional well\-being.
**Are you ready to shape your future with confidence? Apply today.**
 EY accepts applications for this position on an on\-going basis.
 For those living in California, please click here for additional information.
 EY focuses on high\-ethical standards and integrity among its employees and expects all candidates to demonstrate these qualities.
**EY \| Building a better working world**
 EY is building a better working world by creating new value for clients, people, society and the planet, while building trust in capital markets.
 Enabled by data, AI and advanced technology, EY teams help clients shape the future with confidence and develop answers for the most pressing issues of today and tomorrow.
 EY teams work across a full spectrum of services in assurance, consulting, tax, strategy and transactions. Fueled by sector insights, a globally connected, multi\-disciplinary network and diverse ecosystem partners, EY teams can provide services in more than 150 countries and territories.
 EY provides equal employment opportunities to applicants and employees without regard to race, color, religion, age, sex, sexual orientation, gender identity/expression, pregnancy, genetic information, national origin, protected veteran status, disability status, or any other legally protected basis, including arrest and conviction records, in accordance with applicable law.
 EY is committed to providing reasonable accommodation to qualified individuals with disabilities including veterans with disabilities. If you have a disability and either need assistance applying online or need to request an accommodation during any part of the application process, please call 1\-800\-EY\-HELP3, select Option 2 for candidate related inquiries, then select Option 1 for candidate queries and finally select Option 2 for candidates with an inquiry which will route you to EY’s Talent Shared Services Team (TSS) or email the TSS at ssc.customersupport@ey.com.</t>
        </is>
      </c>
    </row>
    <row r="35">
      <c r="A35" t="inlineStr">
        <is>
          <t>li-4282846255</t>
        </is>
      </c>
      <c r="B35" t="inlineStr">
        <is>
          <t>Databricks Data Engineer - Senior - Consulting - Location Open</t>
        </is>
      </c>
      <c r="C35" t="inlineStr">
        <is>
          <t>EY</t>
        </is>
      </c>
      <c r="D35" t="inlineStr">
        <is>
          <t>linkedin</t>
        </is>
      </c>
      <c r="E35" t="inlineStr"/>
      <c r="F35" t="inlineStr"/>
      <c r="G35" t="inlineStr">
        <is>
          <t>Hoboken, NJ</t>
        </is>
      </c>
      <c r="H35" t="inlineStr"/>
      <c r="I35" t="inlineStr">
        <is>
          <t>Location: Anywhere in Country
 At EY, we’re all in to shape your future with confidence.
 We’ll help you succeed in a globally connected powerhouse of diverse teams and take your career wherever you want it to go. Join EY and help to build a better working world.
**Technology – Data and Decision Science – Data Engineering – Senior**
 We are seeking a highly skilled Senior Consultant Data Engineer with expertise in cloud data engineering, specifically Databricks. The ideal candidate will have strong client management and communication skills, along with a proven track record of successful end\-to\-end implementations in data engineering projects.
**The opportunity**
 In this role, you will design and build analytics solutions that deliver significant business value. You will collaborate with other data and analytics professionals, management, and stakeholders to ensure that technical requirements align with business needs. Your responsibilities will include creating scalable data architecture and modeling solutions that support the entire data asset lifecycle.
**Your Key Responsibilities**
 As a Senior Data Engineer, you will play a pivotal role in transforming data into actionable insights. Your time will be spent on various responsibilities, including:
* Designing, building, and operating scalable on\-premises or cloud data architecture.
* Analyzing business requirements and translating them into technical specifications.
* Optimizing data flows for target data platform designs.
* Design, develop, and implement data engineering solutions using Databricks on cloud platforms (e.g., AWS, Azure, GCP).
* Collaborate with clients to understand their data needs and provide tailored solutions that meet their business objectives.
* Lead end\-to\-end data pipeline development, including data ingestion, transformation, and storage.
* Ensure data quality, integrity, and security throughout the data lifecycle.
* Provide technical guidance and mentorship to junior data engineers and team members.
* Communicate effectively with stakeholders, including technical and non\-technical audiences, to convey complex data concepts.
* Manage client relationships and expectations, ensuring high levels of satisfaction and engagement.
* Stay updated with the latest trends and technologies in data engineering and cloud computing.
 This role offers the opportunity to work with cutting\-edge technologies and stay ahead of industry trends, ensuring you gain a competitive advantage in the market. The position may require regular travel to meet with external clients.
**Skills And Attributes For Success**
 To thrive in this role, you will need a blend of technical and interpersonal skills. Your ability to communicate effectively and build relationships will be crucial. Here are some key attributes we look for:
* Strong analytical and decision\-making skills.
* Proficiency in cloud computing and data architecture design.
* Experience in data integration and security.
* Ability to manage complex problem\-solving scenarios.
**To qualify for the role, you must have**
* A Bachelor’s degree in Computer Science, Engineering, or a related field required (4\-year degree). Master’s degree preferred
* Typically, no less than 2 \- 4 years relevant experience in data engineering, with a focus on cloud data solutions.
* 5\+ years of experience in data engineering, with a focus on cloud data solutions.
* Expertise in Databricks and experience with Spark for big data processing.
* Proven experience in at least two end\-to\-end data engineering implementations, including:
* Implementation of a data lake solution using Databricks, integrating various data sources, and enabling analytics for business intelligence.
* Development of a real\-time data processing pipeline using Databricks and cloud services, delivering insights for operational decision\-making.
* Strong programming skills in languages such as Python, Scala, or SQL.
* Experience with data modeling, ETL processes, and data warehousing concepts.
* Excellent problem\-solving skills and the ability to work independently and as part of a team.
* Strong communication and interpersonal skills, with a focus on client management.
**Required Expertise for Senior Consulting Projects:**
* Strategic Thinking: Ability to align data engineering solutions with business strategies and objectives.
* Project Management: Experience in managing multiple projects simultaneously, ensuring timely delivery and adherence to project scope.
* Stakeholder Engagement: Proficiency in engaging with various stakeholders, including executives, to understand their needs and present solutions effectively.
* Change Management: Skills in guiding clients through change processes related to data transformation and technology adoption.
* Risk Management: Ability to identify potential risks in data projects and develop mitigation strategies.
* Technical Leadership: Experience in leading technical discussions and making architectural decisions that impact project outcomes.
* Documentation and Reporting: Proficiency in creating comprehensive documentation and reports to communicate project progress and outcomes to clients.
**Ideally, you’ll also have**
* Experience with data quality management.
* Familiarity with semantic layers in data architecture.
* Familiarity with cloud platforms (AWS, Azure, GCP) and their data services.
* Knowledge of data governance and compliance standards.
* Experience with machine learning frameworks and tools.
**What We Look For**
 We seek individuals who are not only technically proficient but also possess the qualities of top performers. You should be adaptable, collaborative, and driven by a desire to achieve excellence in every project you undertake.
 FY26NATAID
**What We Offer You**
 At EY, we’ll develop you with future\-focused skills and equip you with world\-class experiences. We’ll empower you in a flexible environment, and fuel you and your extraordinary talents in a diverse and inclusive culture of globally connected teams. Learn more.
* We offer a comprehensive compensation and benefits package where you’ll be rewarded based on your performance and recognized for the value you bring to the business. The base salary range for this job in all geographic locations in the US is $106,900 to $176,500\. The base salary range for New York City Metro Area, Washington State and California (excluding Sacramento) is $128,400 to $200,600\. Individual salaries within those ranges are determined through a wide variety of factors including but not limited to education, experience, knowledge, skills and geography. In addition, our Total Rewards package includes medical and dental coverage, pension and 401(k) plans, and a wide range of paid time off options.
* Join us in our team\-led and leader\-enabled hybrid model. Our expectation is for most people in external, client serving roles to work together in person 40\-60% of the time over the course of an engagement, project or year.
* Under our flexible vacation policy, you’ll decide how much vacation time you need based on your own personal circumstances. You’ll also be granted time off for designated EY Paid Holidays, Winter/Summer breaks, Personal/Family Care, and other leaves of absence when needed to support your physical, financial, and emotional well\-being.
**Are you ready to shape your future with confidence? Apply today.**
 EY accepts applications for this position on an on\-going basis.
 For those living in California, please click here for additional information.
 EY focuses on high\-ethical standards and integrity among its employees and expects all candidates to demonstrate these qualities.
**EY \| Building a better working world**
 EY is building a better working world by creating new value for clients, people, society and the planet, while building trust in capital markets.
 Enabled by data, AI and advanced technology, EY teams help clients shape the future with confidence and develop answers for the most pressing issues of today and tomorrow.
 EY teams work across a full spectrum of services in assurance, consulting, tax, strategy and transactions. Fueled by sector insights, a globally connected, multi\-disciplinary network and diverse ecosystem partners, EY teams can provide services in more than 150 countries and territories.
 EY provides equal employment opportunities to applicants and employees without regard to race, color, religion, age, sex, sexual orientation, gender identity/expression, pregnancy, genetic information, national origin, protected veteran status, disability status, or any other legally protected basis, including arrest and conviction records, in accordance with applicable law.
 EY is committed to providing reasonable accommodation to qualified individuals with disabilities including veterans with disabilities. If you have a disability and either need assistance applying online or need to request an accommodation during any part of the application process, please call 1\-800\-EY\-HELP3, select Option 2 for candidate related inquiries, then select Option 1 for candidate queries and finally select Option 2 for candidates with an inquiry which will route you to EY’s Talent Shared Services Team (TSS) or email the TSS at ssc.customersupport@ey.com.</t>
        </is>
      </c>
    </row>
    <row r="36">
      <c r="A36" t="inlineStr">
        <is>
          <t>li-4282848087</t>
        </is>
      </c>
      <c r="B36" t="inlineStr">
        <is>
          <t>Databricks Data Engineer - Manager - Consulting - Location Open</t>
        </is>
      </c>
      <c r="C36" t="inlineStr">
        <is>
          <t>EY</t>
        </is>
      </c>
      <c r="D36" t="inlineStr">
        <is>
          <t>linkedin</t>
        </is>
      </c>
      <c r="E36" t="inlineStr"/>
      <c r="F36" t="inlineStr"/>
      <c r="G36" t="inlineStr">
        <is>
          <t>San Jose, CA</t>
        </is>
      </c>
      <c r="H36" t="inlineStr"/>
      <c r="I36" t="inlineStr">
        <is>
          <t>Location: Anywhere in Country
 At EY, we’re all in to shape your future with confidence.
 We’ll help you succeed in a globally connected powerhouse of diverse teams and take your career wherever you want it to go. Join EY and help to build a better working world.
**Technology – Data and Decision Science – Data Engineering – Manager**
 We are looking for a dynamic and experienced Manager of Data Engineering to lead our team in designing and implementing complex cloud analytics solutions with a strong focus on Databricks. The ideal candidate will possess deep technical expertise in data architecture, cloud technologies, and analytics, along with exceptional leadership and client management skills.
**The opportunity:**
 In this role, you will design and build analytics solutions that deliver significant business value. You will collaborate with other data and analytics professionals, management, and stakeholders to ensure that business requirements are translated into effective technical solutions. Key responsibilities include:
* Understanding and analyzing business requirements to translate them into technical requirements.
* Designing, building, and operating scalable data architecture and modeling solutions.
* Staying up to date with the latest trends and emerging technologies to maintain a competitive edge.
**Key Responsibilities:**
 As a Data Engineering Manager, you will play a crucial role in managing and delivering complex technical initiatives. Your time will be spent across various responsibilities, including:
* Leading workstream delivery and ensuring quality in all processes.
* Engaging with clients on a daily basis, actively participating in working sessions, and identifying opportunities for additional services.
* Implementing resource plans and budgets while managing engagement economics.
 This role offers the opportunity to work in a dynamic environment where you will face challenges that require innovative solutions. You will learn and grow as you guide others and interpret internal and external issues to recommend quality solutions. Travel may be required regularly based on client needs.
**Skills and attributes for success:**
 To thrive in this role, you should possess a blend of technical and interpersonal skills. The following attributes will make a significant impact:
* Lead the design and development of scalable data engineering solutions using Databricks on cloud platforms (e.g., AWS, Azure, GCP).
* Oversee the architecture of complex cloud analytics solutions, ensuring alignment with business objectives and best practices.
* Manage and mentor a team of data engineers, fostering a culture of innovation, collaboration, and continuous improvement.
* Collaborate with clients to understand their analytics needs and deliver tailored solutions that drive business value.
* Ensure the quality, integrity, and security of data throughout the data lifecycle, implementing best practices in data governance.
* Drive end\-to\-end data pipeline development, including data ingestion, transformation, and storage, leveraging Databricks and other cloud services.
* Communicate effectively with stakeholders, including technical and non\-technical audiences, to convey complex data concepts and project progress.
* Manage client relationships and expectations, ensuring high levels of satisfaction and engagement.
* Stay abreast of the latest trends and technologies in data engineering, cloud computing, and analytics.
* Strong analytical and problem\-solving abilities.
* Excellent communication skills, with the ability to convey complex information clearly.
* Proven experience in managing and delivering projects effectively.
* Ability to build and manage relationships with clients and stakeholders.
**To qualify for the role, you must have:**
* Bachelor’s degree in computer science, Engineering, or a related field required; Master’s degree preferred.
* Typically, no less than 4 \- 6 years relevant experience in data engineering, with a focus on cloud data solutions and analytics.
* Proven expertise in Databricks and experience with Spark for big data processing.
* Strong background in data architecture and design, with experience in building complex cloud analytics solutions.
* Experience in leading and managing teams, with a focus on mentoring and developing talent.
* Strong programming skills in languages such as Python, Scala, or SQL.
* Excellent problem\-solving skills and the ability to work independently and as part of a team.
* Strong communication and interpersonal skills, with a focus on client management.
**Required Expertise for Managerial Role:**
* Strategic Leadership: Ability to align data engineering initiatives with organizational goals and drive strategic vision.
* Project Management: Experience in managing multiple projects and teams, ensuring timely delivery and adherence to project scope.
* Stakeholder Engagement: Proficiency in engaging with various stakeholders, including executives, to understand their needs and present solutions effectively.
* Change Management: Skills in guiding clients through change processes related to data transformation and technology adoption.
* Risk Management: Ability to identify potential risks in data projects and develop mitigation strategies.
* Technical Leadership: Experience in leading technical discussions and making architectural decisions that impact project outcomes.
* Documentation and Reporting: Proficiency in creating comprehensive documentation and reports to communicate project progress and outcomes to clients.
**Large\-Scale Implementation Programs:**
* Enterprise Data Lake Implementation: Led the design and deployment of a cloud\-based data lake solution for a Fortune 500 retail client, integrating data from multiple sources (e.g., ERPs, POS systems, e\-commerce platforms) to enable advanced analytics and reporting capabilities.
* Real\-Time Analytics Platform: Managed the development of a real\-time analytics platform using Databricks for a financial services organization, enabling real\-time fraud detection and risk assessment through streaming data ingestion and processing.
* Data Warehouse Modernization: Oversaw the modernization of a legacy data warehouse to a cloud\-native architecture for a healthcare provider, implementing ETL processes with Databricks and improving data accessibility for analytics and reporting.
**Ideally, you’ll also have:**
* Experience with advanced data analytics tools and techniques.
* Familiarity with machine learning concepts and applications.
* Knowledge of industry trends and best practices in data engineering.
* Familiarity with cloud platforms (AWS, Azure, GCP) and their data services.
* Knowledge of data governance and compliance standards.
* Experience with machine learning frameworks and tools.
**What we look for:**
 We seek individuals who are not only technically proficient but also possess the qualities of top performers, including a strong sense of collaboration, adaptability, and a passion for continuous learning. If you are driven by results and have a desire to make a meaningful impact, we want to hear from you.
 FY26NATAID
**What We Offer You**
 At EY, we’ll develop you with future\-focused skills and equip you with world\-class experiences. We’ll empower you in a flexible environment, and fuel you and your extraordinary talents in a diverse and inclusive culture of globally connected teams. Learn more.
* We offer a comprehensive compensation and benefits package where you’ll be rewarded based on your performance and recognized for the value you bring to the business. The base salary range for this job in all geographic locations in the US is $125,500 to $230,200\. The base salary range for New York City Metro Area, Washington State and California (excluding Sacramento) is $150,700 to $261,600\. Individual salaries within those ranges are determined through a wide variety of factors including but not limited to education, experience, knowledge, skills and geography. In addition, our Total Rewards package includes medical and dental coverage, pension and 401(k) plans, and a wide range of paid time off options.
* Join us in our team\-led and leader\-enabled hybrid model. Our expectation is for most people in external, client serving roles to work together in person 40\-60% of the time over the course of an engagement, project or year.
* Under our flexible vacation policy, you’ll decide how much vacation time you need based on your own personal circumstances. You’ll also be granted time off for designated EY Paid Holidays, Winter/Summer breaks, Personal/Family Care, and other leaves of absence when needed to support your physical, financial, and emotional well\-being.
**Are you ready to shape your future with confidence? Apply today.**
 EY accepts applications for this position on an on\-going basis.
 For those living in California, please click here for additional information.
 EY focuses on high\-ethical standards and integrity among its employees and expects all candidates to demonstrate these qualities.
**EY \| Building a better working world**
 EY is building a better working world by creating new value for clients, people, society and the planet, while building trust in capital markets.
 Enabled by data, AI and advanced technology, EY teams help clients shape the future with confidence and develop answers for the most pressing issues of today and tomorrow.
 EY teams work across a full spectrum of services in assurance, consulting, tax, strategy and transactions. Fueled by sector insights, a globally connected, multi\-disciplinary network and diverse ecosystem partners, EY teams can provide services in more than 150 countries and territories.
 EY provides equal employment opportunities to applicants and employees without regard to race, color, religion, age, sex, sexual orientation, gender identity/expression, pregnancy, genetic information, national origin, protected veteran status, disability status, or any other legally protected basis, including arrest and conviction records, in accordance with applicable law.
 EY is committed to providing reasonable accommodation to qualified individuals with disabilities including veterans with disabilities. If you have a disability and either need assistance applying online or need to request an accommodation during any part of the application process, please call 1\-800\-EY\-HELP3, select Option 2 for candidate related inquiries, then select Option 1 for candidate queries and finally select Option 2 for candidates with an inquiry which will route you to EY’s Talent Shared Services Team (TSS) or email the TSS at ssc.customersupport@ey.com.</t>
        </is>
      </c>
    </row>
    <row r="37">
      <c r="A37" t="inlineStr">
        <is>
          <t>li-4282846215</t>
        </is>
      </c>
      <c r="B37" t="inlineStr">
        <is>
          <t>Databricks Data Engineer - Manager - Consulting - Location Open</t>
        </is>
      </c>
      <c r="C37" t="inlineStr">
        <is>
          <t>EY</t>
        </is>
      </c>
      <c r="D37" t="inlineStr">
        <is>
          <t>linkedin</t>
        </is>
      </c>
      <c r="E37" t="inlineStr"/>
      <c r="F37" t="inlineStr"/>
      <c r="G37" t="inlineStr">
        <is>
          <t>Houston, TX</t>
        </is>
      </c>
      <c r="H37" t="inlineStr"/>
      <c r="I37" t="inlineStr">
        <is>
          <t>Location: Anywhere in Country
 At EY, we’re all in to shape your future with confidence.
 We’ll help you succeed in a globally connected powerhouse of diverse teams and take your career wherever you want it to go. Join EY and help to build a better working world.
**Technology – Data and Decision Science – Data Engineering – Manager**
 We are looking for a dynamic and experienced Manager of Data Engineering to lead our team in designing and implementing complex cloud analytics solutions with a strong focus on Databricks. The ideal candidate will possess deep technical expertise in data architecture, cloud technologies, and analytics, along with exceptional leadership and client management skills.
**The opportunity:**
 In this role, you will design and build analytics solutions that deliver significant business value. You will collaborate with other data and analytics professionals, management, and stakeholders to ensure that business requirements are translated into effective technical solutions. Key responsibilities include:
* Understanding and analyzing business requirements to translate them into technical requirements.
* Designing, building, and operating scalable data architecture and modeling solutions.
* Staying up to date with the latest trends and emerging technologies to maintain a competitive edge.
**Key Responsibilities:**
 As a Data Engineering Manager, you will play a crucial role in managing and delivering complex technical initiatives. Your time will be spent across various responsibilities, including:
* Leading workstream delivery and ensuring quality in all processes.
* Engaging with clients on a daily basis, actively participating in working sessions, and identifying opportunities for additional services.
* Implementing resource plans and budgets while managing engagement economics.
 This role offers the opportunity to work in a dynamic environment where you will face challenges that require innovative solutions. You will learn and grow as you guide others and interpret internal and external issues to recommend quality solutions. Travel may be required regularly based on client needs.
**Skills and attributes for success:**
 To thrive in this role, you should possess a blend of technical and interpersonal skills. The following attributes will make a significant impact:
* Lead the design and development of scalable data engineering solutions using Databricks on cloud platforms (e.g., AWS, Azure, GCP).
* Oversee the architecture of complex cloud analytics solutions, ensuring alignment with business objectives and best practices.
* Manage and mentor a team of data engineers, fostering a culture of innovation, collaboration, and continuous improvement.
* Collaborate with clients to understand their analytics needs and deliver tailored solutions that drive business value.
* Ensure the quality, integrity, and security of data throughout the data lifecycle, implementing best practices in data governance.
* Drive end\-to\-end data pipeline development, including data ingestion, transformation, and storage, leveraging Databricks and other cloud services.
* Communicate effectively with stakeholders, including technical and non\-technical audiences, to convey complex data concepts and project progress.
* Manage client relationships and expectations, ensuring high levels of satisfaction and engagement.
* Stay abreast of the latest trends and technologies in data engineering, cloud computing, and analytics.
* Strong analytical and problem\-solving abilities.
* Excellent communication skills, with the ability to convey complex information clearly.
* Proven experience in managing and delivering projects effectively.
* Ability to build and manage relationships with clients and stakeholders.
**To qualify for the role, you must have:**
* Bachelor’s degree in computer science, Engineering, or a related field required; Master’s degree preferred.
* Typically, no less than 4 \- 6 years relevant experience in data engineering, with a focus on cloud data solutions and analytics.
* Proven expertise in Databricks and experience with Spark for big data processing.
* Strong background in data architecture and design, with experience in building complex cloud analytics solutions.
* Experience in leading and managing teams, with a focus on mentoring and developing talent.
* Strong programming skills in languages such as Python, Scala, or SQL.
* Excellent problem\-solving skills and the ability to work independently and as part of a team.
* Strong communication and interpersonal skills, with a focus on client management.
**Required Expertise for Managerial Role:**
* Strategic Leadership: Ability to align data engineering initiatives with organizational goals and drive strategic vision.
* Project Management: Experience in managing multiple projects and teams, ensuring timely delivery and adherence to project scope.
* Stakeholder Engagement: Proficiency in engaging with various stakeholders, including executives, to understand their needs and present solutions effectively.
* Change Management: Skills in guiding clients through change processes related to data transformation and technology adoption.
* Risk Management: Ability to identify potential risks in data projects and develop mitigation strategies.
* Technical Leadership: Experience in leading technical discussions and making architectural decisions that impact project outcomes.
* Documentation and Reporting: Proficiency in creating comprehensive documentation and reports to communicate project progress and outcomes to clients.
**Large\-Scale Implementation Programs:**
* Enterprise Data Lake Implementation: Led the design and deployment of a cloud\-based data lake solution for a Fortune 500 retail client, integrating data from multiple sources (e.g., ERPs, POS systems, e\-commerce platforms) to enable advanced analytics and reporting capabilities.
* Real\-Time Analytics Platform: Managed the development of a real\-time analytics platform using Databricks for a financial services organization, enabling real\-time fraud detection and risk assessment through streaming data ingestion and processing.
* Data Warehouse Modernization: Oversaw the modernization of a legacy data warehouse to a cloud\-native architecture for a healthcare provider, implementing ETL processes with Databricks and improving data accessibility for analytics and reporting.
**Ideally, you’ll also have:**
* Experience with advanced data analytics tools and techniques.
* Familiarity with machine learning concepts and applications.
* Knowledge of industry trends and best practices in data engineering.
* Familiarity with cloud platforms (AWS, Azure, GCP) and their data services.
* Knowledge of data governance and compliance standards.
* Experience with machine learning frameworks and tools.
**What we look for:**
 We seek individuals who are not only technically proficient but also possess the qualities of top performers, including a strong sense of collaboration, adaptability, and a passion for continuous learning. If you are driven by results and have a desire to make a meaningful impact, we want to hear from you.
 FY26NATAID
**What We Offer You**
 At EY, we’ll develop you with future\-focused skills and equip you with world\-class experiences. We’ll empower you in a flexible environment, and fuel you and your extraordinary talents in a diverse and inclusive culture of globally connected teams. Learn more.
* We offer a comprehensive compensation and benefits package where you’ll be rewarded based on your performance and recognized for the value you bring to the business. The base salary range for this job in all geographic locations in the US is $125,500 to $230,200\. The base salary range for New York City Metro Area, Washington State and California (excluding Sacramento) is $150,700 to $261,600\. Individual salaries within those ranges are determined through a wide variety of factors including but not limited to education, experience, knowledge, skills and geography. In addition, our Total Rewards package includes medical and dental coverage, pension and 401(k) plans, and a wide range of paid time off options.
* Join us in our team\-led and leader\-enabled hybrid model. Our expectation is for most people in external, client serving roles to work together in person 40\-60% of the time over the course of an engagement, project or year.
* Under our flexible vacation policy, you’ll decide how much vacation time you need based on your own personal circumstances. You’ll also be granted time off for designated EY Paid Holidays, Winter/Summer breaks, Personal/Family Care, and other leaves of absence when needed to support your physical, financial, and emotional well\-being.
**Are you ready to shape your future with confidence? Apply today.**
 EY accepts applications for this position on an on\-going basis.
 For those living in California, please click here for additional information.
 EY focuses on high\-ethical standards and integrity among its employees and expects all candidates to demonstrate these qualities.
**EY \| Building a better working world**
 EY is building a better working world by creating new value for clients, people, society and the planet, while building trust in capital markets.
 Enabled by data, AI and advanced technology, EY teams help clients shape the future with confidence and develop answers for the most pressing issues of today and tomorrow.
 EY teams work across a full spectrum of services in assurance, consulting, tax, strategy and transactions. Fueled by sector insights, a globally connected, multi\-disciplinary network and diverse ecosystem partners, EY teams can provide services in more than 150 countries and territories.
 EY provides equal employment opportunities to applicants and employees without regard to race, color, religion, age, sex, sexual orientation, gender identity/expression, pregnancy, genetic information, national origin, protected veteran status, disability status, or any other legally protected basis, including arrest and conviction records, in accordance with applicable law.
 EY is committed to providing reasonable accommodation to qualified individuals with disabilities including veterans with disabilities. If you have a disability and either need assistance applying online or need to request an accommodation during any part of the application process, please call 1\-800\-EY\-HELP3, select Option 2 for candidate related inquiries, then select Option 1 for candidate queries and finally select Option 2 for candidates with an inquiry which will route you to EY’s Talent Shared Services Team (TSS) or email the TSS at ssc.customersupport@ey.com.</t>
        </is>
      </c>
    </row>
    <row r="38">
      <c r="A38" t="inlineStr">
        <is>
          <t>li-4282840921</t>
        </is>
      </c>
      <c r="B38" t="inlineStr">
        <is>
          <t>Databricks Data Engineer - Senior - Consulting - Location Open</t>
        </is>
      </c>
      <c r="C38" t="inlineStr">
        <is>
          <t>EY</t>
        </is>
      </c>
      <c r="D38" t="inlineStr">
        <is>
          <t>linkedin</t>
        </is>
      </c>
      <c r="E38" t="inlineStr"/>
      <c r="F38" t="inlineStr"/>
      <c r="G38" t="inlineStr">
        <is>
          <t>Atlanta, GA</t>
        </is>
      </c>
      <c r="H38" t="inlineStr"/>
      <c r="I38" t="inlineStr">
        <is>
          <t>Location: Anywhere in Country
 At EY, we’re all in to shape your future with confidence.
 We’ll help you succeed in a globally connected powerhouse of diverse teams and take your career wherever you want it to go. Join EY and help to build a better working world.
**Technology – Data and Decision Science – Data Engineering – Senior**
 We are seeking a highly skilled Senior Consultant Data Engineer with expertise in cloud data engineering, specifically Databricks. The ideal candidate will have strong client management and communication skills, along with a proven track record of successful end\-to\-end implementations in data engineering projects.
**The opportunity**
 In this role, you will design and build analytics solutions that deliver significant business value. You will collaborate with other data and analytics professionals, management, and stakeholders to ensure that technical requirements align with business needs. Your responsibilities will include creating scalable data architecture and modeling solutions that support the entire data asset lifecycle.
**Your Key Responsibilities**
 As a Senior Data Engineer, you will play a pivotal role in transforming data into actionable insights. Your time will be spent on various responsibilities, including:
* Designing, building, and operating scalable on\-premises or cloud data architecture.
* Analyzing business requirements and translating them into technical specifications.
* Optimizing data flows for target data platform designs.
* Design, develop, and implement data engineering solutions using Databricks on cloud platforms (e.g., AWS, Azure, GCP).
* Collaborate with clients to understand their data needs and provide tailored solutions that meet their business objectives.
* Lead end\-to\-end data pipeline development, including data ingestion, transformation, and storage.
* Ensure data quality, integrity, and security throughout the data lifecycle.
* Provide technical guidance and mentorship to junior data engineers and team members.
* Communicate effectively with stakeholders, including technical and non\-technical audiences, to convey complex data concepts.
* Manage client relationships and expectations, ensuring high levels of satisfaction and engagement.
* Stay updated with the latest trends and technologies in data engineering and cloud computing.
 This role offers the opportunity to work with cutting\-edge technologies and stay ahead of industry trends, ensuring you gain a competitive advantage in the market. The position may require regular travel to meet with external clients.
**Skills And Attributes For Success**
 To thrive in this role, you will need a blend of technical and interpersonal skills. Your ability to communicate effectively and build relationships will be crucial. Here are some key attributes we look for:
* Strong analytical and decision\-making skills.
* Proficiency in cloud computing and data architecture design.
* Experience in data integration and security.
* Ability to manage complex problem\-solving scenarios.
**To qualify for the role, you must have**
* A Bachelor’s degree in Computer Science, Engineering, or a related field required (4\-year degree). Master’s degree preferred
* Typically, no less than 2 \- 4 years relevant experience in data engineering, with a focus on cloud data solutions.
* 5\+ years of experience in data engineering, with a focus on cloud data solutions.
* Expertise in Databricks and experience with Spark for big data processing.
* Proven experience in at least two end\-to\-end data engineering implementations, including:
* Implementation of a data lake solution using Databricks, integrating various data sources, and enabling analytics for business intelligence.
* Development of a real\-time data processing pipeline using Databricks and cloud services, delivering insights for operational decision\-making.
* Strong programming skills in languages such as Python, Scala, or SQL.
* Experience with data modeling, ETL processes, and data warehousing concepts.
* Excellent problem\-solving skills and the ability to work independently and as part of a team.
* Strong communication and interpersonal skills, with a focus on client management.
**Required Expertise for Senior Consulting Projects:**
* Strategic Thinking: Ability to align data engineering solutions with business strategies and objectives.
* Project Management: Experience in managing multiple projects simultaneously, ensuring timely delivery and adherence to project scope.
* Stakeholder Engagement: Proficiency in engaging with various stakeholders, including executives, to understand their needs and present solutions effectively.
* Change Management: Skills in guiding clients through change processes related to data transformation and technology adoption.
* Risk Management: Ability to identify potential risks in data projects and develop mitigation strategies.
* Technical Leadership: Experience in leading technical discussions and making architectural decisions that impact project outcomes.
* Documentation and Reporting: Proficiency in creating comprehensive documentation and reports to communicate project progress and outcomes to clients.
**Ideally, you’ll also have**
* Experience with data quality management.
* Familiarity with semantic layers in data architecture.
* Familiarity with cloud platforms (AWS, Azure, GCP) and their data services.
* Knowledge of data governance and compliance standards.
* Experience with machine learning frameworks and tools.
**What We Look For**
 We seek individuals who are not only technically proficient but also possess the qualities of top performers. You should be adaptable, collaborative, and driven by a desire to achieve excellence in every project you undertake.
 FY26NATAID
**What We Offer You**
 At EY, we’ll develop you with future\-focused skills and equip you with world\-class experiences. We’ll empower you in a flexible environment, and fuel you and your extraordinary talents in a diverse and inclusive culture of globally connected teams. Learn more.
* We offer a comprehensive compensation and benefits package where you’ll be rewarded based on your performance and recognized for the value you bring to the business. The base salary range for this job in all geographic locations in the US is $106,900 to $176,500\. The base salary range for New York City Metro Area, Washington State and California (excluding Sacramento) is $128,400 to $200,600\. Individual salaries within those ranges are determined through a wide variety of factors including but not limited to education, experience, knowledge, skills and geography. In addition, our Total Rewards package includes medical and dental coverage, pension and 401(k) plans, and a wide range of paid time off options.
* Join us in our team\-led and leader\-enabled hybrid model. Our expectation is for most people in external, client serving roles to work together in person 40\-60% of the time over the course of an engagement, project or year.
* Under our flexible vacation policy, you’ll decide how much vacation time you need based on your own personal circumstances. You’ll also be granted time off for designated EY Paid Holidays, Winter/Summer breaks, Personal/Family Care, and other leaves of absence when needed to support your physical, financial, and emotional well\-being.
**Are you ready to shape your future with confidence? Apply today.**
 EY accepts applications for this position on an on\-going basis.
 For those living in California, please click here for additional information.
 EY focuses on high\-ethical standards and integrity among its employees and expects all candidates to demonstrate these qualities.
**EY \| Building a better working world**
 EY is building a better working world by creating new value for clients, people, society and the planet, while building trust in capital markets.
 Enabled by data, AI and advanced technology, EY teams help clients shape the future with confidence and develop answers for the most pressing issues of today and tomorrow.
 EY teams work across a full spectrum of services in assurance, consulting, tax, strategy and transactions. Fueled by sector insights, a globally connected, multi\-disciplinary network and diverse ecosystem partners, EY teams can provide services in more than 150 countries and territories.
 EY provides equal employment opportunities to applicants and employees without regard to race, color, religion, age, sex, sexual orientation, gender identity/expression, pregnancy, genetic information, national origin, protected veteran status, disability status, or any other legally protected basis, including arrest and conviction records, in accordance with applicable law.
 EY is committed to providing reasonable accommodation to qualified individuals with disabilities including veterans with disabilities. If you have a disability and either need assistance applying online or need to request an accommodation during any part of the application process, please call 1\-800\-EY\-HELP3, select Option 2 for candidate related inquiries, then select Option 1 for candidate queries and finally select Option 2 for candidates with an inquiry which will route you to EY’s Talent Shared Services Team (TSS) or email the TSS at ssc.customersupport@ey.com.</t>
        </is>
      </c>
    </row>
    <row r="39">
      <c r="A39" t="inlineStr">
        <is>
          <t>li-4282849080</t>
        </is>
      </c>
      <c r="B39" t="inlineStr">
        <is>
          <t>Databricks Data Engineer - Manager - Consulting - Location Open</t>
        </is>
      </c>
      <c r="C39" t="inlineStr">
        <is>
          <t>EY</t>
        </is>
      </c>
      <c r="D39" t="inlineStr">
        <is>
          <t>linkedin</t>
        </is>
      </c>
      <c r="E39" t="inlineStr"/>
      <c r="F39" t="inlineStr"/>
      <c r="G39" t="inlineStr">
        <is>
          <t>San Francisco, CA</t>
        </is>
      </c>
      <c r="H39" t="inlineStr"/>
      <c r="I39" t="inlineStr">
        <is>
          <t>Location: Anywhere in Country
 At EY, we’re all in to shape your future with confidence.
 We’ll help you succeed in a globally connected powerhouse of diverse teams and take your career wherever you want it to go. Join EY and help to build a better working world.
**Technology – Data and Decision Science – Data Engineering – Manager**
 We are looking for a dynamic and experienced Manager of Data Engineering to lead our team in designing and implementing complex cloud analytics solutions with a strong focus on Databricks. The ideal candidate will possess deep technical expertise in data architecture, cloud technologies, and analytics, along with exceptional leadership and client management skills.
**The opportunity:**
 In this role, you will design and build analytics solutions that deliver significant business value. You will collaborate with other data and analytics professionals, management, and stakeholders to ensure that business requirements are translated into effective technical solutions. Key responsibilities include:
* Understanding and analyzing business requirements to translate them into technical requirements.
* Designing, building, and operating scalable data architecture and modeling solutions.
* Staying up to date with the latest trends and emerging technologies to maintain a competitive edge.
**Key Responsibilities:**
 As a Data Engineering Manager, you will play a crucial role in managing and delivering complex technical initiatives. Your time will be spent across various responsibilities, including:
* Leading workstream delivery and ensuring quality in all processes.
* Engaging with clients on a daily basis, actively participating in working sessions, and identifying opportunities for additional services.
* Implementing resource plans and budgets while managing engagement economics.
 This role offers the opportunity to work in a dynamic environment where you will face challenges that require innovative solutions. You will learn and grow as you guide others and interpret internal and external issues to recommend quality solutions. Travel may be required regularly based on client needs.
**Skills and attributes for success:**
 To thrive in this role, you should possess a blend of technical and interpersonal skills. The following attributes will make a significant impact:
* Lead the design and development of scalable data engineering solutions using Databricks on cloud platforms (e.g., AWS, Azure, GCP).
* Oversee the architecture of complex cloud analytics solutions, ensuring alignment with business objectives and best practices.
* Manage and mentor a team of data engineers, fostering a culture of innovation, collaboration, and continuous improvement.
* Collaborate with clients to understand their analytics needs and deliver tailored solutions that drive business value.
* Ensure the quality, integrity, and security of data throughout the data lifecycle, implementing best practices in data governance.
* Drive end\-to\-end data pipeline development, including data ingestion, transformation, and storage, leveraging Databricks and other cloud services.
* Communicate effectively with stakeholders, including technical and non\-technical audiences, to convey complex data concepts and project progress.
* Manage client relationships and expectations, ensuring high levels of satisfaction and engagement.
* Stay abreast of the latest trends and technologies in data engineering, cloud computing, and analytics.
* Strong analytical and problem\-solving abilities.
* Excellent communication skills, with the ability to convey complex information clearly.
* Proven experience in managing and delivering projects effectively.
* Ability to build and manage relationships with clients and stakeholders.
**To qualify for the role, you must have:**
* Bachelor’s degree in computer science, Engineering, or a related field required; Master’s degree preferred.
* Typically, no less than 4 \- 6 years relevant experience in data engineering, with a focus on cloud data solutions and analytics.
* Proven expertise in Databricks and experience with Spark for big data processing.
* Strong background in data architecture and design, with experience in building complex cloud analytics solutions.
* Experience in leading and managing teams, with a focus on mentoring and developing talent.
* Strong programming skills in languages such as Python, Scala, or SQL.
* Excellent problem\-solving skills and the ability to work independently and as part of a team.
* Strong communication and interpersonal skills, with a focus on client management.
**Required Expertise for Managerial Role:**
* Strategic Leadership: Ability to align data engineering initiatives with organizational goals and drive strategic vision.
* Project Management: Experience in managing multiple projects and teams, ensuring timely delivery and adherence to project scope.
* Stakeholder Engagement: Proficiency in engaging with various stakeholders, including executives, to understand their needs and present solutions effectively.
* Change Management: Skills in guiding clients through change processes related to data transformation and technology adoption.
* Risk Management: Ability to identify potential risks in data projects and develop mitigation strategies.
* Technical Leadership: Experience in leading technical discussions and making architectural decisions that impact project outcomes.
* Documentation and Reporting: Proficiency in creating comprehensive documentation and reports to communicate project progress and outcomes to clients.
**Large\-Scale Implementation Programs:**
* Enterprise Data Lake Implementation: Led the design and deployment of a cloud\-based data lake solution for a Fortune 500 retail client, integrating data from multiple sources (e.g., ERPs, POS systems, e\-commerce platforms) to enable advanced analytics and reporting capabilities.
* Real\-Time Analytics Platform: Managed the development of a real\-time analytics platform using Databricks for a financial services organization, enabling real\-time fraud detection and risk assessment through streaming data ingestion and processing.
* Data Warehouse Modernization: Oversaw the modernization of a legacy data warehouse to a cloud\-native architecture for a healthcare provider, implementing ETL processes with Databricks and improving data accessibility for analytics and reporting.
**Ideally, you’ll also have:**
* Experience with advanced data analytics tools and techniques.
* Familiarity with machine learning concepts and applications.
* Knowledge of industry trends and best practices in data engineering.
* Familiarity with cloud platforms (AWS, Azure, GCP) and their data services.
* Knowledge of data governance and compliance standards.
* Experience with machine learning frameworks and tools.
**What we look for:**
 We seek individuals who are not only technically proficient but also possess the qualities of top performers, including a strong sense of collaboration, adaptability, and a passion for continuous learning. If you are driven by results and have a desire to make a meaningful impact, we want to hear from you.
 FY26NATAID
**What We Offer You**
 At EY, we’ll develop you with future\-focused skills and equip you with world\-class experiences. We’ll empower you in a flexible environment, and fuel you and your extraordinary talents in a diverse and inclusive culture of globally connected teams. Learn more.
* We offer a comprehensive compensation and benefits package where you’ll be rewarded based on your performance and recognized for the value you bring to the business. The base salary range for this job in all geographic locations in the US is $125,500 to $230,200\. The base salary range for New York City Metro Area, Washington State and California (excluding Sacramento) is $150,700 to $261,600\. Individual salaries within those ranges are determined through a wide variety of factors including but not limited to education, experience, knowledge, skills and geography. In addition, our Total Rewards package includes medical and dental coverage, pension and 401(k) plans, and a wide range of paid time off options.
* Join us in our team\-led and leader\-enabled hybrid model. Our expectation is for most people in external, client serving roles to work together in person 40\-60% of the time over the course of an engagement, project or year.
* Under our flexible vacation policy, you’ll decide how much vacation time you need based on your own personal circumstances. You’ll also be granted time off for designated EY Paid Holidays, Winter/Summer breaks, Personal/Family Care, and other leaves of absence when needed to support your physical, financial, and emotional well\-being.
**Are you ready to shape your future with confidence? Apply today.**
 EY accepts applications for this position on an on\-going basis.
 For those living in California, please click here for additional information.
 EY focuses on high\-ethical standards and integrity among its employees and expects all candidates to demonstrate these qualities.
**EY \| Building a better working world**
 EY is building a better working world by creating new value for clients, people, society and the planet, while building trust in capital markets.
 Enabled by data, AI and advanced technology, EY teams help clients shape the future with confidence and develop answers for the most pressing issues of today and tomorrow.
 EY teams work across a full spectrum of services in assurance, consulting, tax, strategy and transactions. Fueled by sector insights, a globally connected, multi\-disciplinary network and diverse ecosystem partners, EY teams can provide services in more than 150 countries and territories.
 EY provides equal employment opportunities to applicants and employees without regard to race, color, religion, age, sex, sexual orientation, gender identity/expression, pregnancy, genetic information, national origin, protected veteran status, disability status, or any other legally protected basis, including arrest and conviction records, in accordance with applicable law.
 EY is committed to providing reasonable accommodation to qualified individuals with disabilities including veterans with disabilities. If you have a disability and either need assistance applying online or need to request an accommodation during any part of the application process, please call 1\-800\-EY\-HELP3, select Option 2 for candidate related inquiries, then select Option 1 for candidate queries and finally select Option 2 for candidates with an inquiry which will route you to EY’s Talent Shared Services Team (TSS) or email the TSS at ssc.customersupport@ey.com.</t>
        </is>
      </c>
    </row>
    <row r="40">
      <c r="A40" t="inlineStr">
        <is>
          <t>li-4282843557</t>
        </is>
      </c>
      <c r="B40" t="inlineStr">
        <is>
          <t>Databricks Data Engineer - Senior - Consulting - Location Open</t>
        </is>
      </c>
      <c r="C40" t="inlineStr">
        <is>
          <t>EY</t>
        </is>
      </c>
      <c r="D40" t="inlineStr">
        <is>
          <t>linkedin</t>
        </is>
      </c>
      <c r="E40" t="inlineStr"/>
      <c r="F40" t="inlineStr"/>
      <c r="G40" t="inlineStr">
        <is>
          <t>Columbus, OH</t>
        </is>
      </c>
      <c r="H40" t="inlineStr"/>
      <c r="I40" t="inlineStr">
        <is>
          <t>Location: Anywhere in Country
 At EY, we’re all in to shape your future with confidence.
 We’ll help you succeed in a globally connected powerhouse of diverse teams and take your career wherever you want it to go. Join EY and help to build a better working world.
**Technology – Data and Decision Science – Data Engineering – Senior**
 We are seeking a highly skilled Senior Consultant Data Engineer with expertise in cloud data engineering, specifically Databricks. The ideal candidate will have strong client management and communication skills, along with a proven track record of successful end\-to\-end implementations in data engineering projects.
**The opportunity**
 In this role, you will design and build analytics solutions that deliver significant business value. You will collaborate with other data and analytics professionals, management, and stakeholders to ensure that technical requirements align with business needs. Your responsibilities will include creating scalable data architecture and modeling solutions that support the entire data asset lifecycle.
**Your Key Responsibilities**
 As a Senior Data Engineer, you will play a pivotal role in transforming data into actionable insights. Your time will be spent on various responsibilities, including:
* Designing, building, and operating scalable on\-premises or cloud data architecture.
* Analyzing business requirements and translating them into technical specifications.
* Optimizing data flows for target data platform designs.
* Design, develop, and implement data engineering solutions using Databricks on cloud platforms (e.g., AWS, Azure, GCP).
* Collaborate with clients to understand their data needs and provide tailored solutions that meet their business objectives.
* Lead end\-to\-end data pipeline development, including data ingestion, transformation, and storage.
* Ensure data quality, integrity, and security throughout the data lifecycle.
* Provide technical guidance and mentorship to junior data engineers and team members.
* Communicate effectively with stakeholders, including technical and non\-technical audiences, to convey complex data concepts.
* Manage client relationships and expectations, ensuring high levels of satisfaction and engagement.
* Stay updated with the latest trends and technologies in data engineering and cloud computing.
 This role offers the opportunity to work with cutting\-edge technologies and stay ahead of industry trends, ensuring you gain a competitive advantage in the market. The position may require regular travel to meet with external clients.
**Skills And Attributes For Success**
 To thrive in this role, you will need a blend of technical and interpersonal skills. Your ability to communicate effectively and build relationships will be crucial. Here are some key attributes we look for:
* Strong analytical and decision\-making skills.
* Proficiency in cloud computing and data architecture design.
* Experience in data integration and security.
* Ability to manage complex problem\-solving scenarios.
**To qualify for the role, you must have**
* A Bachelor’s degree in Computer Science, Engineering, or a related field required (4\-year degree). Master’s degree preferred
* Typically, no less than 2 \- 4 years relevant experience in data engineering, with a focus on cloud data solutions.
* 5\+ years of experience in data engineering, with a focus on cloud data solutions.
* Expertise in Databricks and experience with Spark for big data processing.
* Proven experience in at least two end\-to\-end data engineering implementations, including:
* Implementation of a data lake solution using Databricks, integrating various data sources, and enabling analytics for business intelligence.
* Development of a real\-time data processing pipeline using Databricks and cloud services, delivering insights for operational decision\-making.
* Strong programming skills in languages such as Python, Scala, or SQL.
* Experience with data modeling, ETL processes, and data warehousing concepts.
* Excellent problem\-solving skills and the ability to work independently and as part of a team.
* Strong communication and interpersonal skills, with a focus on client management.
**Required Expertise for Senior Consulting Projects:**
* Strategic Thinking: Ability to align data engineering solutions with business strategies and objectives.
* Project Management: Experience in managing multiple projects simultaneously, ensuring timely delivery and adherence to project scope.
* Stakeholder Engagement: Proficiency in engaging with various stakeholders, including executives, to understand their needs and present solutions effectively.
* Change Management: Skills in guiding clients through change processes related to data transformation and technology adoption.
* Risk Management: Ability to identify potential risks in data projects and develop mitigation strategies.
* Technical Leadership: Experience in leading technical discussions and making architectural decisions that impact project outcomes.
* Documentation and Reporting: Proficiency in creating comprehensive documentation and reports to communicate project progress and outcomes to clients.
**Ideally, you’ll also have**
* Experience with data quality management.
* Familiarity with semantic layers in data architecture.
* Familiarity with cloud platforms (AWS, Azure, GCP) and their data services.
* Knowledge of data governance and compliance standards.
* Experience with machine learning frameworks and tools.
**What We Look For**
 We seek individuals who are not only technically proficient but also possess the qualities of top performers. You should be adaptable, collaborative, and driven by a desire to achieve excellence in every project you undertake.
 FY26NATAID
**What We Offer You**
 At EY, we’ll develop you with future\-focused skills and equip you with world\-class experiences. We’ll empower you in a flexible environment, and fuel you and your extraordinary talents in a diverse and inclusive culture of globally connected teams. Learn more.
* We offer a comprehensive compensation and benefits package where you’ll be rewarded based on your performance and recognized for the value you bring to the business. The base salary range for this job in all geographic locations in the US is $106,900 to $176,500\. The base salary range for New York City Metro Area, Washington State and California (excluding Sacramento) is $128,400 to $200,600\. Individual salaries within those ranges are determined through a wide variety of factors including but not limited to education, experience, knowledge, skills and geography. In addition, our Total Rewards package includes medical and dental coverage, pension and 401(k) plans, and a wide range of paid time off options.
* Join us in our team\-led and leader\-enabled hybrid model. Our expectation is for most people in external, client serving roles to work together in person 40\-60% of the time over the course of an engagement, project or year.
* Under our flexible vacation policy, you’ll decide how much vacation time you need based on your own personal circumstances. You’ll also be granted time off for designated EY Paid Holidays, Winter/Summer breaks, Personal/Family Care, and other leaves of absence when needed to support your physical, financial, and emotional well\-being.
**Are you ready to shape your future with confidence? Apply today.**
 EY accepts applications for this position on an on\-going basis.
 For those living in California, please click here for additional information.
 EY focuses on high\-ethical standards and integrity among its employees and expects all candidates to demonstrate these qualities.
**EY \| Building a better working world**
 EY is building a better working world by creating new value for clients, people, society and the planet, while building trust in capital markets.
 Enabled by data, AI and advanced technology, EY teams help clients shape the future with confidence and develop answers for the most pressing issues of today and tomorrow.
 EY teams work across a full spectrum of services in assurance, consulting, tax, strategy and transactions. Fueled by sector insights, a globally connected, multi\-disciplinary network and diverse ecosystem partners, EY teams can provide services in more than 150 countries and territories.
 EY provides equal employment opportunities to applicants and employees without regard to race, color, religion, age, sex, sexual orientation, gender identity/expression, pregnancy, genetic information, national origin, protected veteran status, disability status, or any other legally protected basis, including arrest and conviction records, in accordance with applicable law.
 EY is committed to providing reasonable accommodation to qualified individuals with disabilities including veterans with disabilities. If you have a disability and either need assistance applying online or need to request an accommodation during any part of the application process, please call 1\-800\-EY\-HELP3, select Option 2 for candidate related inquiries, then select Option 1 for candidate queries and finally select Option 2 for candidates with an inquiry which will route you to EY’s Talent Shared Services Team (TSS) or email the TSS at ssc.customersupport@ey.com.</t>
        </is>
      </c>
    </row>
    <row r="41">
      <c r="A41" t="inlineStr">
        <is>
          <t>li-4282845228</t>
        </is>
      </c>
      <c r="B41" t="inlineStr">
        <is>
          <t>Databricks Data Engineer - Manager - Consulting - Location Open</t>
        </is>
      </c>
      <c r="C41" t="inlineStr">
        <is>
          <t>EY</t>
        </is>
      </c>
      <c r="D41" t="inlineStr">
        <is>
          <t>linkedin</t>
        </is>
      </c>
      <c r="E41" t="inlineStr"/>
      <c r="F41" t="inlineStr"/>
      <c r="G41" t="inlineStr">
        <is>
          <t>New Brunswick, NJ</t>
        </is>
      </c>
      <c r="H41" t="inlineStr"/>
      <c r="I41" t="inlineStr">
        <is>
          <t>Location: Anywhere in Country
 At EY, we’re all in to shape your future with confidence.
 We’ll help you succeed in a globally connected powerhouse of diverse teams and take your career wherever you want it to go. Join EY and help to build a better working world.
**Technology – Data and Decision Science – Data Engineering – Manager**
 We are looking for a dynamic and experienced Manager of Data Engineering to lead our team in designing and implementing complex cloud analytics solutions with a strong focus on Databricks. The ideal candidate will possess deep technical expertise in data architecture, cloud technologies, and analytics, along with exceptional leadership and client management skills.
**The opportunity:**
 In this role, you will design and build analytics solutions that deliver significant business value. You will collaborate with other data and analytics professionals, management, and stakeholders to ensure that business requirements are translated into effective technical solutions. Key responsibilities include:
* Understanding and analyzing business requirements to translate them into technical requirements.
* Designing, building, and operating scalable data architecture and modeling solutions.
* Staying up to date with the latest trends and emerging technologies to maintain a competitive edge.
**Key Responsibilities:**
 As a Data Engineering Manager, you will play a crucial role in managing and delivering complex technical initiatives. Your time will be spent across various responsibilities, including:
* Leading workstream delivery and ensuring quality in all processes.
* Engaging with clients on a daily basis, actively participating in working sessions, and identifying opportunities for additional services.
* Implementing resource plans and budgets while managing engagement economics.
 This role offers the opportunity to work in a dynamic environment where you will face challenges that require innovative solutions. You will learn and grow as you guide others and interpret internal and external issues to recommend quality solutions. Travel may be required regularly based on client needs.
**Skills and attributes for success:**
 To thrive in this role, you should possess a blend of technical and interpersonal skills. The following attributes will make a significant impact:
* Lead the design and development of scalable data engineering solutions using Databricks on cloud platforms (e.g., AWS, Azure, GCP).
* Oversee the architecture of complex cloud analytics solutions, ensuring alignment with business objectives and best practices.
* Manage and mentor a team of data engineers, fostering a culture of innovation, collaboration, and continuous improvement.
* Collaborate with clients to understand their analytics needs and deliver tailored solutions that drive business value.
* Ensure the quality, integrity, and security of data throughout the data lifecycle, implementing best practices in data governance.
* Drive end\-to\-end data pipeline development, including data ingestion, transformation, and storage, leveraging Databricks and other cloud services.
* Communicate effectively with stakeholders, including technical and non\-technical audiences, to convey complex data concepts and project progress.
* Manage client relationships and expectations, ensuring high levels of satisfaction and engagement.
* Stay abreast of the latest trends and technologies in data engineering, cloud computing, and analytics.
* Strong analytical and problem\-solving abilities.
* Excellent communication skills, with the ability to convey complex information clearly.
* Proven experience in managing and delivering projects effectively.
* Ability to build and manage relationships with clients and stakeholders.
**To qualify for the role, you must have:**
* Bachelor’s degree in computer science, Engineering, or a related field required; Master’s degree preferred.
* Typically, no less than 4 \- 6 years relevant experience in data engineering, with a focus on cloud data solutions and analytics.
* Proven expertise in Databricks and experience with Spark for big data processing.
* Strong background in data architecture and design, with experience in building complex cloud analytics solutions.
* Experience in leading and managing teams, with a focus on mentoring and developing talent.
* Strong programming skills in languages such as Python, Scala, or SQL.
* Excellent problem\-solving skills and the ability to work independently and as part of a team.
* Strong communication and interpersonal skills, with a focus on client management.
**Required Expertise for Managerial Role:**
* Strategic Leadership: Ability to align data engineering initiatives with organizational goals and drive strategic vision.
* Project Management: Experience in managing multiple projects and teams, ensuring timely delivery and adherence to project scope.
* Stakeholder Engagement: Proficiency in engaging with various stakeholders, including executives, to understand their needs and present solutions effectively.
* Change Management: Skills in guiding clients through change processes related to data transformation and technology adoption.
* Risk Management: Ability to identify potential risks in data projects and develop mitigation strategies.
* Technical Leadership: Experience in leading technical discussions and making architectural decisions that impact project outcomes.
* Documentation and Reporting: Proficiency in creating comprehensive documentation and reports to communicate project progress and outcomes to clients.
**Large\-Scale Implementation Programs:**
* Enterprise Data Lake Implementation: Led the design and deployment of a cloud\-based data lake solution for a Fortune 500 retail client, integrating data from multiple sources (e.g., ERPs, POS systems, e\-commerce platforms) to enable advanced analytics and reporting capabilities.
* Real\-Time Analytics Platform: Managed the development of a real\-time analytics platform using Databricks for a financial services organization, enabling real\-time fraud detection and risk assessment through streaming data ingestion and processing.
* Data Warehouse Modernization: Oversaw the modernization of a legacy data warehouse to a cloud\-native architecture for a healthcare provider, implementing ETL processes with Databricks and improving data accessibility for analytics and reporting.
**Ideally, you’ll also have:**
* Experience with advanced data analytics tools and techniques.
* Familiarity with machine learning concepts and applications.
* Knowledge of industry trends and best practices in data engineering.
* Familiarity with cloud platforms (AWS, Azure, GCP) and their data services.
* Knowledge of data governance and compliance standards.
* Experience with machine learning frameworks and tools.
**What we look for:**
 We seek individuals who are not only technically proficient but also possess the qualities of top performers, including a strong sense of collaboration, adaptability, and a passion for continuous learning. If you are driven by results and have a desire to make a meaningful impact, we want to hear from you.
 FY26NATAID
**What We Offer You**
 At EY, we’ll develop you with future\-focused skills and equip you with world\-class experiences. We’ll empower you in a flexible environment, and fuel you and your extraordinary talents in a diverse and inclusive culture of globally connected teams. Learn more.
* We offer a comprehensive compensation and benefits package where you’ll be rewarded based on your performance and recognized for the value you bring to the business. The base salary range for this job in all geographic locations in the US is $125,500 to $230,200\. The base salary range for New York City Metro Area, Washington State and California (excluding Sacramento) is $150,700 to $261,600\. Individual salaries within those ranges are determined through a wide variety of factors including but not limited to education, experience, knowledge, skills and geography. In addition, our Total Rewards package includes medical and dental coverage, pension and 401(k) plans, and a wide range of paid time off options.
* Join us in our team\-led and leader\-enabled hybrid model. Our expectation is for most people in external, client serving roles to work together in person 40\-60% of the time over the course of an engagement, project or year.
* Under our flexible vacation policy, you’ll decide how much vacation time you need based on your own personal circumstances. You’ll also be granted time off for designated EY Paid Holidays, Winter/Summer breaks, Personal/Family Care, and other leaves of absence when needed to support your physical, financial, and emotional well\-being.
**Are you ready to shape your future with confidence? Apply today.**
 EY accepts applications for this position on an on\-going basis.
 For those living in California, please click here for additional information.
 EY focuses on high\-ethical standards and integrity among its employees and expects all candidates to demonstrate these qualities.
**EY \| Building a better working world**
 EY is building a better working world by creating new value for clients, people, society and the planet, while building trust in capital markets.
 Enabled by data, AI and advanced technology, EY teams help clients shape the future with confidence and develop answers for the most pressing issues of today and tomorrow.
 EY teams work across a full spectrum of services in assurance, consulting, tax, strategy and transactions. Fueled by sector insights, a globally connected, multi\-disciplinary network and diverse ecosystem partners, EY teams can provide services in more than 150 countries and territories.
 EY provides equal employment opportunities to applicants and employees without regard to race, color, religion, age, sex, sexual orientation, gender identity/expression, pregnancy, genetic information, national origin, protected veteran status, disability status, or any other legally protected basis, including arrest and conviction records, in accordance with applicable law.
 EY is committed to providing reasonable accommodation to qualified individuals with disabilities including veterans with disabilities. If you have a disability and either need assistance applying online or need to request an accommodation during any part of the application process, please call 1\-800\-EY\-HELP3, select Option 2 for candidate related inquiries, then select Option 1 for candidate queries and finally select Option 2 for candidates with an inquiry which will route you to EY’s Talent Shared Services Team (TSS) or email the TSS at ssc.customersupport@ey.com.</t>
        </is>
      </c>
    </row>
    <row r="42">
      <c r="A42" t="inlineStr">
        <is>
          <t>li-4282848086</t>
        </is>
      </c>
      <c r="B42" t="inlineStr">
        <is>
          <t>Databricks Data Engineer - Manager - Consulting - Location Open</t>
        </is>
      </c>
      <c r="C42" t="inlineStr">
        <is>
          <t>EY</t>
        </is>
      </c>
      <c r="D42" t="inlineStr">
        <is>
          <t>linkedin</t>
        </is>
      </c>
      <c r="E42" t="inlineStr"/>
      <c r="F42" t="inlineStr"/>
      <c r="G42" t="inlineStr">
        <is>
          <t>Richmond, VA</t>
        </is>
      </c>
      <c r="H42" t="inlineStr"/>
      <c r="I42" t="inlineStr">
        <is>
          <t>Location: Anywhere in Country
 At EY, we’re all in to shape your future with confidence.
 We’ll help you succeed in a globally connected powerhouse of diverse teams and take your career wherever you want it to go. Join EY and help to build a better working world.
**Technology – Data and Decision Science – Data Engineering – Manager**
 We are looking for a dynamic and experienced Manager of Data Engineering to lead our team in designing and implementing complex cloud analytics solutions with a strong focus on Databricks. The ideal candidate will possess deep technical expertise in data architecture, cloud technologies, and analytics, along with exceptional leadership and client management skills.
**The opportunity:**
 In this role, you will design and build analytics solutions that deliver significant business value. You will collaborate with other data and analytics professionals, management, and stakeholders to ensure that business requirements are translated into effective technical solutions. Key responsibilities include:
* Understanding and analyzing business requirements to translate them into technical requirements.
* Designing, building, and operating scalable data architecture and modeling solutions.
* Staying up to date with the latest trends and emerging technologies to maintain a competitive edge.
**Key Responsibilities:**
 As a Data Engineering Manager, you will play a crucial role in managing and delivering complex technical initiatives. Your time will be spent across various responsibilities, including:
* Leading workstream delivery and ensuring quality in all processes.
* Engaging with clients on a daily basis, actively participating in working sessions, and identifying opportunities for additional services.
* Implementing resource plans and budgets while managing engagement economics.
 This role offers the opportunity to work in a dynamic environment where you will face challenges that require innovative solutions. You will learn and grow as you guide others and interpret internal and external issues to recommend quality solutions. Travel may be required regularly based on client needs.
**Skills and attributes for success:**
 To thrive in this role, you should possess a blend of technical and interpersonal skills. The following attributes will make a significant impact:
* Lead the design and development of scalable data engineering solutions using Databricks on cloud platforms (e.g., AWS, Azure, GCP).
* Oversee the architecture of complex cloud analytics solutions, ensuring alignment with business objectives and best practices.
* Manage and mentor a team of data engineers, fostering a culture of innovation, collaboration, and continuous improvement.
* Collaborate with clients to understand their analytics needs and deliver tailored solutions that drive business value.
* Ensure the quality, integrity, and security of data throughout the data lifecycle, implementing best practices in data governance.
* Drive end\-to\-end data pipeline development, including data ingestion, transformation, and storage, leveraging Databricks and other cloud services.
* Communicate effectively with stakeholders, including technical and non\-technical audiences, to convey complex data concepts and project progress.
* Manage client relationships and expectations, ensuring high levels of satisfaction and engagement.
* Stay abreast of the latest trends and technologies in data engineering, cloud computing, and analytics.
* Strong analytical and problem\-solving abilities.
* Excellent communication skills, with the ability to convey complex information clearly.
* Proven experience in managing and delivering projects effectively.
* Ability to build and manage relationships with clients and stakeholders.
**To qualify for the role, you must have:**
* Bachelor’s degree in computer science, Engineering, or a related field required; Master’s degree preferred.
* Typically, no less than 4 \- 6 years relevant experience in data engineering, with a focus on cloud data solutions and analytics.
* Proven expertise in Databricks and experience with Spark for big data processing.
* Strong background in data architecture and design, with experience in building complex cloud analytics solutions.
* Experience in leading and managing teams, with a focus on mentoring and developing talent.
* Strong programming skills in languages such as Python, Scala, or SQL.
* Excellent problem\-solving skills and the ability to work independently and as part of a team.
* Strong communication and interpersonal skills, with a focus on client management.
**Required Expertise for Managerial Role:**
* Strategic Leadership: Ability to align data engineering initiatives with organizational goals and drive strategic vision.
* Project Management: Experience in managing multiple projects and teams, ensuring timely delivery and adherence to project scope.
* Stakeholder Engagement: Proficiency in engaging with various stakeholders, including executives, to understand their needs and present solutions effectively.
* Change Management: Skills in guiding clients through change processes related to data transformation and technology adoption.
* Risk Management: Ability to identify potential risks in data projects and develop mitigation strategies.
* Technical Leadership: Experience in leading technical discussions and making architectural decisions that impact project outcomes.
* Documentation and Reporting: Proficiency in creating comprehensive documentation and reports to communicate project progress and outcomes to clients.
**Large\-Scale Implementation Programs:**
* Enterprise Data Lake Implementation: Led the design and deployment of a cloud\-based data lake solution for a Fortune 500 retail client, integrating data from multiple sources (e.g., ERPs, POS systems, e\-commerce platforms) to enable advanced analytics and reporting capabilities.
* Real\-Time Analytics Platform: Managed the development of a real\-time analytics platform using Databricks for a financial services organization, enabling real\-time fraud detection and risk assessment through streaming data ingestion and processing.
* Data Warehouse Modernization: Oversaw the modernization of a legacy data warehouse to a cloud\-native architecture for a healthcare provider, implementing ETL processes with Databricks and improving data accessibility for analytics and reporting.
**Ideally, you’ll also have:**
* Experience with advanced data analytics tools and techniques.
* Familiarity with machine learning concepts and applications.
* Knowledge of industry trends and best practices in data engineering.
* Familiarity with cloud platforms (AWS, Azure, GCP) and their data services.
* Knowledge of data governance and compliance standards.
* Experience with machine learning frameworks and tools.
**What we look for:**
 We seek individuals who are not only technically proficient but also possess the qualities of top performers, including a strong sense of collaboration, adaptability, and a passion for continuous learning. If you are driven by results and have a desire to make a meaningful impact, we want to hear from you.
 FY26NATAID
**What We Offer You**
 At EY, we’ll develop you with future\-focused skills and equip you with world\-class experiences. We’ll empower you in a flexible environment, and fuel you and your extraordinary talents in a diverse and inclusive culture of globally connected teams. Learn more.
* We offer a comprehensive compensation and benefits package where you’ll be rewarded based on your performance and recognized for the value you bring to the business. The base salary range for this job in all geographic locations in the US is $125,500 to $230,200\. The base salary range for New York City Metro Area, Washington State and California (excluding Sacramento) is $150,700 to $261,600\. Individual salaries within those ranges are determined through a wide variety of factors including but not limited to education, experience, knowledge, skills and geography. In addition, our Total Rewards package includes medical and dental coverage, pension and 401(k) plans, and a wide range of paid time off options.
* Join us in our team\-led and leader\-enabled hybrid model. Our expectation is for most people in external, client serving roles to work together in person 40\-60% of the time over the course of an engagement, project or year.
* Under our flexible vacation policy, you’ll decide how much vacation time you need based on your own personal circumstances. You’ll also be granted time off for designated EY Paid Holidays, Winter/Summer breaks, Personal/Family Care, and other leaves of absence when needed to support your physical, financial, and emotional well\-being.
**Are you ready to shape your future with confidence? Apply today.**
 EY accepts applications for this position on an on\-going basis.
 For those living in California, please click here for additional information.
 EY focuses on high\-ethical standards and integrity among its employees and expects all candidates to demonstrate these qualities.
**EY \| Building a better working world**
 EY is building a better working world by creating new value for clients, people, society and the planet, while building trust in capital markets.
 Enabled by data, AI and advanced technology, EY teams help clients shape the future with confidence and develop answers for the most pressing issues of today and tomorrow.
 EY teams work across a full spectrum of services in assurance, consulting, tax, strategy and transactions. Fueled by sector insights, a globally connected, multi\-disciplinary network and diverse ecosystem partners, EY teams can provide services in more than 150 countries and territories.
 EY provides equal employment opportunities to applicants and employees without regard to race, color, religion, age, sex, sexual orientation, gender identity/expression, pregnancy, genetic information, national origin, protected veteran status, disability status, or any other legally protected basis, including arrest and conviction records, in accordance with applicable law.
 EY is committed to providing reasonable accommodation to qualified individuals with disabilities including veterans with disabilities. If you have a disability and either need assistance applying online or need to request an accommodation during any part of the application process, please call 1\-800\-EY\-HELP3, select Option 2 for candidate related inquiries, then select Option 1 for candidate queries and finally select Option 2 for candidates with an inquiry which will route you to EY’s Talent Shared Services Team (TSS) or email the TSS at ssc.customersupport@ey.com.</t>
        </is>
      </c>
    </row>
    <row r="43">
      <c r="A43" t="inlineStr">
        <is>
          <t>li-4282843514</t>
        </is>
      </c>
      <c r="B43" t="inlineStr">
        <is>
          <t>Databricks Data Engineer - Manager - Consulting - Location Open</t>
        </is>
      </c>
      <c r="C43" t="inlineStr">
        <is>
          <t>EY</t>
        </is>
      </c>
      <c r="D43" t="inlineStr">
        <is>
          <t>linkedin</t>
        </is>
      </c>
      <c r="E43" t="inlineStr"/>
      <c r="F43" t="inlineStr"/>
      <c r="G43" t="inlineStr">
        <is>
          <t>Cincinnati, OH</t>
        </is>
      </c>
      <c r="H43" t="inlineStr"/>
      <c r="I43" t="inlineStr">
        <is>
          <t>Location: Anywhere in Country
 At EY, we’re all in to shape your future with confidence.
 We’ll help you succeed in a globally connected powerhouse of diverse teams and take your career wherever you want it to go. Join EY and help to build a better working world.
**Technology – Data and Decision Science – Data Engineering – Manager**
 We are looking for a dynamic and experienced Manager of Data Engineering to lead our team in designing and implementing complex cloud analytics solutions with a strong focus on Databricks. The ideal candidate will possess deep technical expertise in data architecture, cloud technologies, and analytics, along with exceptional leadership and client management skills.
**The opportunity:**
 In this role, you will design and build analytics solutions that deliver significant business value. You will collaborate with other data and analytics professionals, management, and stakeholders to ensure that business requirements are translated into effective technical solutions. Key responsibilities include:
* Understanding and analyzing business requirements to translate them into technical requirements.
* Designing, building, and operating scalable data architecture and modeling solutions.
* Staying up to date with the latest trends and emerging technologies to maintain a competitive edge.
**Key Responsibilities:**
 As a Data Engineering Manager, you will play a crucial role in managing and delivering complex technical initiatives. Your time will be spent across various responsibilities, including:
* Leading workstream delivery and ensuring quality in all processes.
* Engaging with clients on a daily basis, actively participating in working sessions, and identifying opportunities for additional services.
* Implementing resource plans and budgets while managing engagement economics.
 This role offers the opportunity to work in a dynamic environment where you will face challenges that require innovative solutions. You will learn and grow as you guide others and interpret internal and external issues to recommend quality solutions. Travel may be required regularly based on client needs.
**Skills and attributes for success:**
 To thrive in this role, you should possess a blend of technical and interpersonal skills. The following attributes will make a significant impact:
* Lead the design and development of scalable data engineering solutions using Databricks on cloud platforms (e.g., AWS, Azure, GCP).
* Oversee the architecture of complex cloud analytics solutions, ensuring alignment with business objectives and best practices.
* Manage and mentor a team of data engineers, fostering a culture of innovation, collaboration, and continuous improvement.
* Collaborate with clients to understand their analytics needs and deliver tailored solutions that drive business value.
* Ensure the quality, integrity, and security of data throughout the data lifecycle, implementing best practices in data governance.
* Drive end\-to\-end data pipeline development, including data ingestion, transformation, and storage, leveraging Databricks and other cloud services.
* Communicate effectively with stakeholders, including technical and non\-technical audiences, to convey complex data concepts and project progress.
* Manage client relationships and expectations, ensuring high levels of satisfaction and engagement.
* Stay abreast of the latest trends and technologies in data engineering, cloud computing, and analytics.
* Strong analytical and problem\-solving abilities.
* Excellent communication skills, with the ability to convey complex information clearly.
* Proven experience in managing and delivering projects effectively.
* Ability to build and manage relationships with clients and stakeholders.
**To qualify for the role, you must have:**
* Bachelor’s degree in computer science, Engineering, or a related field required; Master’s degree preferred.
* Typically, no less than 4 \- 6 years relevant experience in data engineering, with a focus on cloud data solutions and analytics.
* Proven expertise in Databricks and experience with Spark for big data processing.
* Strong background in data architecture and design, with experience in building complex cloud analytics solutions.
* Experience in leading and managing teams, with a focus on mentoring and developing talent.
* Strong programming skills in languages such as Python, Scala, or SQL.
* Excellent problem\-solving skills and the ability to work independently and as part of a team.
* Strong communication and interpersonal skills, with a focus on client management.
**Required Expertise for Managerial Role:**
* Strategic Leadership: Ability to align data engineering initiatives with organizational goals and drive strategic vision.
* Project Management: Experience in managing multiple projects and teams, ensuring timely delivery and adherence to project scope.
* Stakeholder Engagement: Proficiency in engaging with various stakeholders, including executives, to understand their needs and present solutions effectively.
* Change Management: Skills in guiding clients through change processes related to data transformation and technology adoption.
* Risk Management: Ability to identify potential risks in data projects and develop mitigation strategies.
* Technical Leadership: Experience in leading technical discussions and making architectural decisions that impact project outcomes.
* Documentation and Reporting: Proficiency in creating comprehensive documentation and reports to communicate project progress and outcomes to clients.
**Large\-Scale Implementation Programs:**
* Enterprise Data Lake Implementation: Led the design and deployment of a cloud\-based data lake solution for a Fortune 500 retail client, integrating data from multiple sources (e.g., ERPs, POS systems, e\-commerce platforms) to enable advanced analytics and reporting capabilities.
* Real\-Time Analytics Platform: Managed the development of a real\-time analytics platform using Databricks for a financial services organization, enabling real\-time fraud detection and risk assessment through streaming data ingestion and processing.
* Data Warehouse Modernization: Oversaw the modernization of a legacy data warehouse to a cloud\-native architecture for a healthcare provider, implementing ETL processes with Databricks and improving data accessibility for analytics and reporting.
**Ideally, you’ll also have:**
* Experience with advanced data analytics tools and techniques.
* Familiarity with machine learning concepts and applications.
* Knowledge of industry trends and best practices in data engineering.
* Familiarity with cloud platforms (AWS, Azure, GCP) and their data services.
* Knowledge of data governance and compliance standards.
* Experience with machine learning frameworks and tools.
**What we look for:**
 We seek individuals who are not only technically proficient but also possess the qualities of top performers, including a strong sense of collaboration, adaptability, and a passion for continuous learning. If you are driven by results and have a desire to make a meaningful impact, we want to hear from you.
 FY26NATAID
**What We Offer You**
 At EY, we’ll develop you with future\-focused skills and equip you with world\-class experiences. We’ll empower you in a flexible environment, and fuel you and your extraordinary talents in a diverse and inclusive culture of globally connected teams. Learn more.
* We offer a comprehensive compensation and benefits package where you’ll be rewarded based on your performance and recognized for the value you bring to the business. The base salary range for this job in all geographic locations in the US is $125,500 to $230,200\. The base salary range for New York City Metro Area, Washington State and California (excluding Sacramento) is $150,700 to $261,600\. Individual salaries within those ranges are determined through a wide variety of factors including but not limited to education, experience, knowledge, skills and geography. In addition, our Total Rewards package includes medical and dental coverage, pension and 401(k) plans, and a wide range of paid time off options.
* Join us in our team\-led and leader\-enabled hybrid model. Our expectation is for most people in external, client serving roles to work together in person 40\-60% of the time over the course of an engagement, project or year.
* Under our flexible vacation policy, you’ll decide how much vacation time you need based on your own personal circumstances. You’ll also be granted time off for designated EY Paid Holidays, Winter/Summer breaks, Personal/Family Care, and other leaves of absence when needed to support your physical, financial, and emotional well\-being.
**Are you ready to shape your future with confidence? Apply today.**
 EY accepts applications for this position on an on\-going basis.
 For those living in California, please click here for additional information.
 EY focuses on high\-ethical standards and integrity among its employees and expects all candidates to demonstrate these qualities.
**EY \| Building a better working world**
 EY is building a better working world by creating new value for clients, people, society and the planet, while building trust in capital markets.
 Enabled by data, AI and advanced technology, EY teams help clients shape the future with confidence and develop answers for the most pressing issues of today and tomorrow.
 EY teams work across a full spectrum of services in assurance, consulting, tax, strategy and transactions. Fueled by sector insights, a globally connected, multi\-disciplinary network and diverse ecosystem partners, EY teams can provide services in more than 150 countries and territories.
 EY provides equal employment opportunities to applicants and employees without regard to race, color, religion, age, sex, sexual orientation, gender identity/expression, pregnancy, genetic information, national origin, protected veteran status, disability status, or any other legally protected basis, including arrest and conviction records, in accordance with applicable law.
 EY is committed to providing reasonable accommodation to qualified individuals with disabilities including veterans with disabilities. If you have a disability and either need assistance applying online or need to request an accommodation during any part of the application process, please call 1\-800\-EY\-HELP3, select Option 2 for candidate related inquiries, then select Option 1 for candidate queries and finally select Option 2 for candidates with an inquiry which will route you to EY’s Talent Shared Services Team (TSS) or email the TSS at ssc.customersupport@ey.com.</t>
        </is>
      </c>
    </row>
    <row r="44">
      <c r="A44" t="inlineStr">
        <is>
          <t>li-4282847125</t>
        </is>
      </c>
      <c r="B44" t="inlineStr">
        <is>
          <t>Databricks Data Engineer - Manager - Consulting - Location Open</t>
        </is>
      </c>
      <c r="C44" t="inlineStr">
        <is>
          <t>EY</t>
        </is>
      </c>
      <c r="D44" t="inlineStr">
        <is>
          <t>linkedin</t>
        </is>
      </c>
      <c r="E44" t="inlineStr"/>
      <c r="F44" t="inlineStr"/>
      <c r="G44" t="inlineStr">
        <is>
          <t>Boston, MA</t>
        </is>
      </c>
      <c r="H44" t="inlineStr"/>
      <c r="I44" t="inlineStr">
        <is>
          <t>Location: Anywhere in Country
 At EY, we’re all in to shape your future with confidence.
 We’ll help you succeed in a globally connected powerhouse of diverse teams and take your career wherever you want it to go. Join EY and help to build a better working world.
**Technology – Data and Decision Science – Data Engineering – Manager**
 We are looking for a dynamic and experienced Manager of Data Engineering to lead our team in designing and implementing complex cloud analytics solutions with a strong focus on Databricks. The ideal candidate will possess deep technical expertise in data architecture, cloud technologies, and analytics, along with exceptional leadership and client management skills.
**The opportunity:**
 In this role, you will design and build analytics solutions that deliver significant business value. You will collaborate with other data and analytics professionals, management, and stakeholders to ensure that business requirements are translated into effective technical solutions. Key responsibilities include:
* Understanding and analyzing business requirements to translate them into technical requirements.
* Designing, building, and operating scalable data architecture and modeling solutions.
* Staying up to date with the latest trends and emerging technologies to maintain a competitive edge.
**Key Responsibilities:**
 As a Data Engineering Manager, you will play a crucial role in managing and delivering complex technical initiatives. Your time will be spent across various responsibilities, including:
* Leading workstream delivery and ensuring quality in all processes.
* Engaging with clients on a daily basis, actively participating in working sessions, and identifying opportunities for additional services.
* Implementing resource plans and budgets while managing engagement economics.
 This role offers the opportunity to work in a dynamic environment where you will face challenges that require innovative solutions. You will learn and grow as you guide others and interpret internal and external issues to recommend quality solutions. Travel may be required regularly based on client needs.
**Skills and attributes for success:**
 To thrive in this role, you should possess a blend of technical and interpersonal skills. The following attributes will make a significant impact:
* Lead the design and development of scalable data engineering solutions using Databricks on cloud platforms (e.g., AWS, Azure, GCP).
* Oversee the architecture of complex cloud analytics solutions, ensuring alignment with business objectives and best practices.
* Manage and mentor a team of data engineers, fostering a culture of innovation, collaboration, and continuous improvement.
* Collaborate with clients to understand their analytics needs and deliver tailored solutions that drive business value.
* Ensure the quality, integrity, and security of data throughout the data lifecycle, implementing best practices in data governance.
* Drive end\-to\-end data pipeline development, including data ingestion, transformation, and storage, leveraging Databricks and other cloud services.
* Communicate effectively with stakeholders, including technical and non\-technical audiences, to convey complex data concepts and project progress.
* Manage client relationships and expectations, ensuring high levels of satisfaction and engagement.
* Stay abreast of the latest trends and technologies in data engineering, cloud computing, and analytics.
* Strong analytical and problem\-solving abilities.
* Excellent communication skills, with the ability to convey complex information clearly.
* Proven experience in managing and delivering projects effectively.
* Ability to build and manage relationships with clients and stakeholders.
**To qualify for the role, you must have:**
* Bachelor’s degree in computer science, Engineering, or a related field required; Master’s degree preferred.
* Typically, no less than 4 \- 6 years relevant experience in data engineering, with a focus on cloud data solutions and analytics.
* Proven expertise in Databricks and experience with Spark for big data processing.
* Strong background in data architecture and design, with experience in building complex cloud analytics solutions.
* Experience in leading and managing teams, with a focus on mentoring and developing talent.
* Strong programming skills in languages such as Python, Scala, or SQL.
* Excellent problem\-solving skills and the ability to work independently and as part of a team.
* Strong communication and interpersonal skills, with a focus on client management.
**Required Expertise for Managerial Role:**
* Strategic Leadership: Ability to align data engineering initiatives with organizational goals and drive strategic vision.
* Project Management: Experience in managing multiple projects and teams, ensuring timely delivery and adherence to project scope.
* Stakeholder Engagement: Proficiency in engaging with various stakeholders, including executives, to understand their needs and present solutions effectively.
* Change Management: Skills in guiding clients through change processes related to data transformation and technology adoption.
* Risk Management: Ability to identify potential risks in data projects and develop mitigation strategies.
* Technical Leadership: Experience in leading technical discussions and making architectural decisions that impact project outcomes.
* Documentation and Reporting: Proficiency in creating comprehensive documentation and reports to communicate project progress and outcomes to clients.
**Large\-Scale Implementation Programs:**
* Enterprise Data Lake Implementation: Led the design and deployment of a cloud\-based data lake solution for a Fortune 500 retail client, integrating data from multiple sources (e.g., ERPs, POS systems, e\-commerce platforms) to enable advanced analytics and reporting capabilities.
* Real\-Time Analytics Platform: Managed the development of a real\-time analytics platform using Databricks for a financial services organization, enabling real\-time fraud detection and risk assessment through streaming data ingestion and processing.
* Data Warehouse Modernization: Oversaw the modernization of a legacy data warehouse to a cloud\-native architecture for a healthcare provider, implementing ETL processes with Databricks and improving data accessibility for analytics and reporting.
**Ideally, you’ll also have:**
* Experience with advanced data analytics tools and techniques.
* Familiarity with machine learning concepts and applications.
* Knowledge of industry trends and best practices in data engineering.
* Familiarity with cloud platforms (AWS, Azure, GCP) and their data services.
* Knowledge of data governance and compliance standards.
* Experience with machine learning frameworks and tools.
**What we look for:**
 We seek individuals who are not only technically proficient but also possess the qualities of top performers, including a strong sense of collaboration, adaptability, and a passion for continuous learning. If you are driven by results and have a desire to make a meaningful impact, we want to hear from you.
 FY26NATAID
**What We Offer You**
 At EY, we’ll develop you with future\-focused skills and equip you with world\-class experiences. We’ll empower you in a flexible environment, and fuel you and your extraordinary talents in a diverse and inclusive culture of globally connected teams. Learn more.
* We offer a comprehensive compensation and benefits package where you’ll be rewarded based on your performance and recognized for the value you bring to the business. The base salary range for this job in all geographic locations in the US is $125,500 to $230,200\. The base salary range for New York City Metro Area, Washington State and California (excluding Sacramento) is $150,700 to $261,600\. Individual salaries within those ranges are determined through a wide variety of factors including but not limited to education, experience, knowledge, skills and geography. In addition, our Total Rewards package includes medical and dental coverage, pension and 401(k) plans, and a wide range of paid time off options.
* Join us in our team\-led and leader\-enabled hybrid model. Our expectation is for most people in external, client serving roles to work together in person 40\-60% of the time over the course of an engagement, project or year.
* Under our flexible vacation policy, you’ll decide how much vacation time you need based on your own personal circumstances. You’ll also be granted time off for designated EY Paid Holidays, Winter/Summer breaks, Personal/Family Care, and other leaves of absence when needed to support your physical, financial, and emotional well\-being.
**Are you ready to shape your future with confidence? Apply today.**
 EY accepts applications for this position on an on\-going basis.
 For those living in California, please click here for additional information.
 EY focuses on high\-ethical standards and integrity among its employees and expects all candidates to demonstrate these qualities.
**EY \| Building a better working world**
 EY is building a better working world by creating new value for clients, people, society and the planet, while building trust in capital markets.
 Enabled by data, AI and advanced technology, EY teams help clients shape the future with confidence and develop answers for the most pressing issues of today and tomorrow.
 EY teams work across a full spectrum of services in assurance, consulting, tax, strategy and transactions. Fueled by sector insights, a globally connected, multi\-disciplinary network and diverse ecosystem partners, EY teams can provide services in more than 150 countries and territories.
 EY provides equal employment opportunities to applicants and employees without regard to race, color, religion, age, sex, sexual orientation, gender identity/expression, pregnancy, genetic information, national origin, protected veteran status, disability status, or any other legally protected basis, including arrest and conviction records, in accordance with applicable law.
 EY is committed to providing reasonable accommodation to qualified individuals with disabilities including veterans with disabilities. If you have a disability and either need assistance applying online or need to request an accommodation during any part of the application process, please call 1\-800\-EY\-HELP3, select Option 2 for candidate related inquiries, then select Option 1 for candidate queries and finally select Option 2 for candidates with an inquiry which will route you to EY’s Talent Shared Services Team (TSS) or email the TSS at ssc.customersupport@ey.com.</t>
        </is>
      </c>
    </row>
    <row r="45">
      <c r="A45" t="inlineStr">
        <is>
          <t>li-4282843521</t>
        </is>
      </c>
      <c r="B45" t="inlineStr">
        <is>
          <t>Databricks Data Engineer - Manager - Consulting - Location Open</t>
        </is>
      </c>
      <c r="C45" t="inlineStr">
        <is>
          <t>EY</t>
        </is>
      </c>
      <c r="D45" t="inlineStr">
        <is>
          <t>linkedin</t>
        </is>
      </c>
      <c r="E45" t="inlineStr"/>
      <c r="F45" t="inlineStr"/>
      <c r="G45" t="inlineStr">
        <is>
          <t>Sacramento, CA</t>
        </is>
      </c>
      <c r="H45" t="inlineStr"/>
      <c r="I45" t="inlineStr">
        <is>
          <t>Location: Anywhere in Country
 At EY, we’re all in to shape your future with confidence.
 We’ll help you succeed in a globally connected powerhouse of diverse teams and take your career wherever you want it to go. Join EY and help to build a better working world.
**Technology – Data and Decision Science – Data Engineering – Manager**
 We are looking for a dynamic and experienced Manager of Data Engineering to lead our team in designing and implementing complex cloud analytics solutions with a strong focus on Databricks. The ideal candidate will possess deep technical expertise in data architecture, cloud technologies, and analytics, along with exceptional leadership and client management skills.
**The opportunity:**
 In this role, you will design and build analytics solutions that deliver significant business value. You will collaborate with other data and analytics professionals, management, and stakeholders to ensure that business requirements are translated into effective technical solutions. Key responsibilities include:
* Understanding and analyzing business requirements to translate them into technical requirements.
* Designing, building, and operating scalable data architecture and modeling solutions.
* Staying up to date with the latest trends and emerging technologies to maintain a competitive edge.
**Key Responsibilities:**
 As a Data Engineering Manager, you will play a crucial role in managing and delivering complex technical initiatives. Your time will be spent across various responsibilities, including:
* Leading workstream delivery and ensuring quality in all processes.
* Engaging with clients on a daily basis, actively participating in working sessions, and identifying opportunities for additional services.
* Implementing resource plans and budgets while managing engagement economics.
 This role offers the opportunity to work in a dynamic environment where you will face challenges that require innovative solutions. You will learn and grow as you guide others and interpret internal and external issues to recommend quality solutions. Travel may be required regularly based on client needs.
**Skills and attributes for success:**
 To thrive in this role, you should possess a blend of technical and interpersonal skills. The following attributes will make a significant impact:
* Lead the design and development of scalable data engineering solutions using Databricks on cloud platforms (e.g., AWS, Azure, GCP).
* Oversee the architecture of complex cloud analytics solutions, ensuring alignment with business objectives and best practices.
* Manage and mentor a team of data engineers, fostering a culture of innovation, collaboration, and continuous improvement.
* Collaborate with clients to understand their analytics needs and deliver tailored solutions that drive business value.
* Ensure the quality, integrity, and security of data throughout the data lifecycle, implementing best practices in data governance.
* Drive end\-to\-end data pipeline development, including data ingestion, transformation, and storage, leveraging Databricks and other cloud services.
* Communicate effectively with stakeholders, including technical and non\-technical audiences, to convey complex data concepts and project progress.
* Manage client relationships and expectations, ensuring high levels of satisfaction and engagement.
* Stay abreast of the latest trends and technologies in data engineering, cloud computing, and analytics.
* Strong analytical and problem\-solving abilities.
* Excellent communication skills, with the ability to convey complex information clearly.
* Proven experience in managing and delivering projects effectively.
* Ability to build and manage relationships with clients and stakeholders.
**To qualify for the role, you must have:**
* Bachelor’s degree in computer science, Engineering, or a related field required; Master’s degree preferred.
* Typically, no less than 4 \- 6 years relevant experience in data engineering, with a focus on cloud data solutions and analytics.
* Proven expertise in Databricks and experience with Spark for big data processing.
* Strong background in data architecture and design, with experience in building complex cloud analytics solutions.
* Experience in leading and managing teams, with a focus on mentoring and developing talent.
* Strong programming skills in languages such as Python, Scala, or SQL.
* Excellent problem\-solving skills and the ability to work independently and as part of a team.
* Strong communication and interpersonal skills, with a focus on client management.
**Required Expertise for Managerial Role:**
* Strategic Leadership: Ability to align data engineering initiatives with organizational goals and drive strategic vision.
* Project Management: Experience in managing multiple projects and teams, ensuring timely delivery and adherence to project scope.
* Stakeholder Engagement: Proficiency in engaging with various stakeholders, including executives, to understand their needs and present solutions effectively.
* Change Management: Skills in guiding clients through change processes related to data transformation and technology adoption.
* Risk Management: Ability to identify potential risks in data projects and develop mitigation strategies.
* Technical Leadership: Experience in leading technical discussions and making architectural decisions that impact project outcomes.
* Documentation and Reporting: Proficiency in creating comprehensive documentation and reports to communicate project progress and outcomes to clients.
**Large\-Scale Implementation Programs:**
* Enterprise Data Lake Implementation: Led the design and deployment of a cloud\-based data lake solution for a Fortune 500 retail client, integrating data from multiple sources (e.g., ERPs, POS systems, e\-commerce platforms) to enable advanced analytics and reporting capabilities.
* Real\-Time Analytics Platform: Managed the development of a real\-time analytics platform using Databricks for a financial services organization, enabling real\-time fraud detection and risk assessment through streaming data ingestion and processing.
* Data Warehouse Modernization: Oversaw the modernization of a legacy data warehouse to a cloud\-native architecture for a healthcare provider, implementing ETL processes with Databricks and improving data accessibility for analytics and reporting.
**Ideally, you’ll also have:**
* Experience with advanced data analytics tools and techniques.
* Familiarity with machine learning concepts and applications.
* Knowledge of industry trends and best practices in data engineering.
* Familiarity with cloud platforms (AWS, Azure, GCP) and their data services.
* Knowledge of data governance and compliance standards.
* Experience with machine learning frameworks and tools.
**What we look for:**
 We seek individuals who are not only technically proficient but also possess the qualities of top performers, including a strong sense of collaboration, adaptability, and a passion for continuous learning. If you are driven by results and have a desire to make a meaningful impact, we want to hear from you.
 FY26NATAID
**What We Offer You**
 At EY, we’ll develop you with future\-focused skills and equip you with world\-class experiences. We’ll empower you in a flexible environment, and fuel you and your extraordinary talents in a diverse and inclusive culture of globally connected teams. Learn more.
* We offer a comprehensive compensation and benefits package where you’ll be rewarded based on your performance and recognized for the value you bring to the business. The base salary range for this job in all geographic locations in the US is $125,500 to $230,200\. The base salary range for New York City Metro Area, Washington State and California (excluding Sacramento) is $150,700 to $261,600\. Individual salaries within those ranges are determined through a wide variety of factors including but not limited to education, experience, knowledge, skills and geography. In addition, our Total Rewards package includes medical and dental coverage, pension and 401(k) plans, and a wide range of paid time off options.
* Join us in our team\-led and leader\-enabled hybrid model. Our expectation is for most people in external, client serving roles to work together in person 40\-60% of the time over the course of an engagement, project or year.
* Under our flexible vacation policy, you’ll decide how much vacation time you need based on your own personal circumstances. You’ll also be granted time off for designated EY Paid Holidays, Winter/Summer breaks, Personal/Family Care, and other leaves of absence when needed to support your physical, financial, and emotional well\-being.
**Are you ready to shape your future with confidence? Apply today.**
 EY accepts applications for this position on an on\-going basis.
 For those living in California, please click here for additional information.
 EY focuses on high\-ethical standards and integrity among its employees and expects all candidates to demonstrate these qualities.
**EY \| Building a better working world**
 EY is building a better working world by creating new value for clients, people, society and the planet, while building trust in capital markets.
 Enabled by data, AI and advanced technology, EY teams help clients shape the future with confidence and develop answers for the most pressing issues of today and tomorrow.
 EY teams work across a full spectrum of services in assurance, consulting, tax, strategy and transactions. Fueled by sector insights, a globally connected, multi\-disciplinary network and diverse ecosystem partners, EY teams can provide services in more than 150 countries and territories.
 EY provides equal employment opportunities to applicants and employees without regard to race, color, religion, age, sex, sexual orientation, gender identity/expression, pregnancy, genetic information, national origin, protected veteran status, disability status, or any other legally protected basis, including arrest and conviction records, in accordance with applicable law.
 EY is committed to providing reasonable accommodation to qualified individuals with disabilities including veterans with disabilities. If you have a disability and either need assistance applying online or need to request an accommodation during any part of the application process, please call 1\-800\-EY\-HELP3, select Option 2 for candidate related inquiries, then select Option 1 for candidate queries and finally select Option 2 for candidates with an inquiry which will route you to EY’s Talent Shared Services Team (TSS) or email the TSS at ssc.customersupport@ey.com.</t>
        </is>
      </c>
    </row>
    <row r="46">
      <c r="A46" t="inlineStr">
        <is>
          <t>li-4282848112</t>
        </is>
      </c>
      <c r="B46" t="inlineStr">
        <is>
          <t>Databricks Data Engineer - Senior - Consulting - Location Open</t>
        </is>
      </c>
      <c r="C46" t="inlineStr">
        <is>
          <t>EY</t>
        </is>
      </c>
      <c r="D46" t="inlineStr">
        <is>
          <t>linkedin</t>
        </is>
      </c>
      <c r="E46" t="inlineStr"/>
      <c r="F46" t="inlineStr"/>
      <c r="G46" t="inlineStr">
        <is>
          <t>Boca Raton, FL</t>
        </is>
      </c>
      <c r="H46" t="inlineStr"/>
      <c r="I46" t="inlineStr">
        <is>
          <t>Location: Anywhere in Country
 At EY, we’re all in to shape your future with confidence.
 We’ll help you succeed in a globally connected powerhouse of diverse teams and take your career wherever you want it to go. Join EY and help to build a better working world.
**Technology – Data and Decision Science – Data Engineering – Senior**
 We are seeking a highly skilled Senior Consultant Data Engineer with expertise in cloud data engineering, specifically Databricks. The ideal candidate will have strong client management and communication skills, along with a proven track record of successful end\-to\-end implementations in data engineering projects.
**The opportunity**
 In this role, you will design and build analytics solutions that deliver significant business value. You will collaborate with other data and analytics professionals, management, and stakeholders to ensure that technical requirements align with business needs. Your responsibilities will include creating scalable data architecture and modeling solutions that support the entire data asset lifecycle.
**Your Key Responsibilities**
 As a Senior Data Engineer, you will play a pivotal role in transforming data into actionable insights. Your time will be spent on various responsibilities, including:
* Designing, building, and operating scalable on\-premises or cloud data architecture.
* Analyzing business requirements and translating them into technical specifications.
* Optimizing data flows for target data platform designs.
* Design, develop, and implement data engineering solutions using Databricks on cloud platforms (e.g., AWS, Azure, GCP).
* Collaborate with clients to understand their data needs and provide tailored solutions that meet their business objectives.
* Lead end\-to\-end data pipeline development, including data ingestion, transformation, and storage.
* Ensure data quality, integrity, and security throughout the data lifecycle.
* Provide technical guidance and mentorship to junior data engineers and team members.
* Communicate effectively with stakeholders, including technical and non\-technical audiences, to convey complex data concepts.
* Manage client relationships and expectations, ensuring high levels of satisfaction and engagement.
* Stay updated with the latest trends and technologies in data engineering and cloud computing.
 This role offers the opportunity to work with cutting\-edge technologies and stay ahead of industry trends, ensuring you gain a competitive advantage in the market. The position may require regular travel to meet with external clients.
**Skills And Attributes For Success**
 To thrive in this role, you will need a blend of technical and interpersonal skills. Your ability to communicate effectively and build relationships will be crucial. Here are some key attributes we look for:
* Strong analytical and decision\-making skills.
* Proficiency in cloud computing and data architecture design.
* Experience in data integration and security.
* Ability to manage complex problem\-solving scenarios.
**To qualify for the role, you must have**
* A Bachelor’s degree in Computer Science, Engineering, or a related field required (4\-year degree). Master’s degree preferred
* Typically, no less than 2 \- 4 years relevant experience in data engineering, with a focus on cloud data solutions.
* 5\+ years of experience in data engineering, with a focus on cloud data solutions.
* Expertise in Databricks and experience with Spark for big data processing.
* Proven experience in at least two end\-to\-end data engineering implementations, including:
* Implementation of a data lake solution using Databricks, integrating various data sources, and enabling analytics for business intelligence.
* Development of a real\-time data processing pipeline using Databricks and cloud services, delivering insights for operational decision\-making.
* Strong programming skills in languages such as Python, Scala, or SQL.
* Experience with data modeling, ETL processes, and data warehousing concepts.
* Excellent problem\-solving skills and the ability to work independently and as part of a team.
* Strong communication and interpersonal skills, with a focus on client management.
**Required Expertise for Senior Consulting Projects:**
* Strategic Thinking: Ability to align data engineering solutions with business strategies and objectives.
* Project Management: Experience in managing multiple projects simultaneously, ensuring timely delivery and adherence to project scope.
* Stakeholder Engagement: Proficiency in engaging with various stakeholders, including executives, to understand their needs and present solutions effectively.
* Change Management: Skills in guiding clients through change processes related to data transformation and technology adoption.
* Risk Management: Ability to identify potential risks in data projects and develop mitigation strategies.
* Technical Leadership: Experience in leading technical discussions and making architectural decisions that impact project outcomes.
* Documentation and Reporting: Proficiency in creating comprehensive documentation and reports to communicate project progress and outcomes to clients.
**Ideally, you’ll also have**
* Experience with data quality management.
* Familiarity with semantic layers in data architecture.
* Familiarity with cloud platforms (AWS, Azure, GCP) and their data services.
* Knowledge of data governance and compliance standards.
* Experience with machine learning frameworks and tools.
**What We Look For**
 We seek individuals who are not only technically proficient but also possess the qualities of top performers. You should be adaptable, collaborative, and driven by a desire to achieve excellence in every project you undertake.
 FY26NATAID
**What We Offer You**
 At EY, we’ll develop you with future\-focused skills and equip you with world\-class experiences. We’ll empower you in a flexible environment, and fuel you and your extraordinary talents in a diverse and inclusive culture of globally connected teams. Learn more.
* We offer a comprehensive compensation and benefits package where you’ll be rewarded based on your performance and recognized for the value you bring to the business. The base salary range for this job in all geographic locations in the US is $106,900 to $176,500\. The base salary range for New York City Metro Area, Washington State and California (excluding Sacramento) is $128,400 to $200,600\. Individual salaries within those ranges are determined through a wide variety of factors including but not limited to education, experience, knowledge, skills and geography. In addition, our Total Rewards package includes medical and dental coverage, pension and 401(k) plans, and a wide range of paid time off options.
* Join us in our team\-led and leader\-enabled hybrid model. Our expectation is for most people in external, client serving roles to work together in person 40\-60% of the time over the course of an engagement, project or year.
* Under our flexible vacation policy, you’ll decide how much vacation time you need based on your own personal circumstances. You’ll also be granted time off for designated EY Paid Holidays, Winter/Summer breaks, Personal/Family Care, and other leaves of absence when needed to support your physical, financial, and emotional well\-being.
**Are you ready to shape your future with confidence? Apply today.**
 EY accepts applications for this position on an on\-going basis.
 For those living in California, please click here for additional information.
 EY focuses on high\-ethical standards and integrity among its employees and expects all candidates to demonstrate these qualities.
**EY \| Building a better working world**
 EY is building a better working world by creating new value for clients, people, society and the planet, while building trust in capital markets.
 Enabled by data, AI and advanced technology, EY teams help clients shape the future with confidence and develop answers for the most pressing issues of today and tomorrow.
 EY teams work across a full spectrum of services in assurance, consulting, tax, strategy and transactions. Fueled by sector insights, a globally connected, multi\-disciplinary network and diverse ecosystem partners, EY teams can provide services in more than 150 countries and territories.
 EY provides equal employment opportunities to applicants and employees without regard to race, color, religion, age, sex, sexual orientation, gender identity/expression, pregnancy, genetic information, national origin, protected veteran status, disability status, or any other legally protected basis, including arrest and conviction records, in accordance with applicable law.
 EY is committed to providing reasonable accommodation to qualified individuals with disabilities including veterans with disabilities. If you have a disability and either need assistance applying online or need to request an accommodation during any part of the application process, please call 1\-800\-EY\-HELP3, select Option 2 for candidate related inquiries, then select Option 1 for candidate queries and finally select Option 2 for candidates with an inquiry which will route you to EY’s Talent Shared Services Team (TSS) or email the TSS at ssc.customersupport@ey.com.</t>
        </is>
      </c>
    </row>
    <row r="47">
      <c r="A47" t="inlineStr">
        <is>
          <t>li-4282841779</t>
        </is>
      </c>
      <c r="B47" t="inlineStr">
        <is>
          <t>Databricks Data Engineer - Manager - Consulting - Location Open</t>
        </is>
      </c>
      <c r="C47" t="inlineStr">
        <is>
          <t>EY</t>
        </is>
      </c>
      <c r="D47" t="inlineStr">
        <is>
          <t>linkedin</t>
        </is>
      </c>
      <c r="E47" t="inlineStr"/>
      <c r="F47" t="inlineStr"/>
      <c r="G47" t="inlineStr">
        <is>
          <t>McLean, VA</t>
        </is>
      </c>
      <c r="H47" t="inlineStr"/>
      <c r="I47" t="inlineStr">
        <is>
          <t>Location: Anywhere in Country
 At EY, we’re all in to shape your future with confidence.
 We’ll help you succeed in a globally connected powerhouse of diverse teams and take your career wherever you want it to go. Join EY and help to build a better working world.
**Technology – Data and Decision Science – Data Engineering – Manager**
 We are looking for a dynamic and experienced Manager of Data Engineering to lead our team in designing and implementing complex cloud analytics solutions with a strong focus on Databricks. The ideal candidate will possess deep technical expertise in data architecture, cloud technologies, and analytics, along with exceptional leadership and client management skills.
**The opportunity:**
 In this role, you will design and build analytics solutions that deliver significant business value. You will collaborate with other data and analytics professionals, management, and stakeholders to ensure that business requirements are translated into effective technical solutions. Key responsibilities include:
* Understanding and analyzing business requirements to translate them into technical requirements.
* Designing, building, and operating scalable data architecture and modeling solutions.
* Staying up to date with the latest trends and emerging technologies to maintain a competitive edge.
**Key Responsibilities:**
 As a Data Engineering Manager, you will play a crucial role in managing and delivering complex technical initiatives. Your time will be spent across various responsibilities, including:
* Leading workstream delivery and ensuring quality in all processes.
* Engaging with clients on a daily basis, actively participating in working sessions, and identifying opportunities for additional services.
* Implementing resource plans and budgets while managing engagement economics.
 This role offers the opportunity to work in a dynamic environment where you will face challenges that require innovative solutions. You will learn and grow as you guide others and interpret internal and external issues to recommend quality solutions. Travel may be required regularly based on client needs.
**Skills and attributes for success:**
 To thrive in this role, you should possess a blend of technical and interpersonal skills. The following attributes will make a significant impact:
* Lead the design and development of scalable data engineering solutions using Databricks on cloud platforms (e.g., AWS, Azure, GCP).
* Oversee the architecture of complex cloud analytics solutions, ensuring alignment with business objectives and best practices.
* Manage and mentor a team of data engineers, fostering a culture of innovation, collaboration, and continuous improvement.
* Collaborate with clients to understand their analytics needs and deliver tailored solutions that drive business value.
* Ensure the quality, integrity, and security of data throughout the data lifecycle, implementing best practices in data governance.
* Drive end\-to\-end data pipeline development, including data ingestion, transformation, and storage, leveraging Databricks and other cloud services.
* Communicate effectively with stakeholders, including technical and non\-technical audiences, to convey complex data concepts and project progress.
* Manage client relationships and expectations, ensuring high levels of satisfaction and engagement.
* Stay abreast of the latest trends and technologies in data engineering, cloud computing, and analytics.
* Strong analytical and problem\-solving abilities.
* Excellent communication skills, with the ability to convey complex information clearly.
* Proven experience in managing and delivering projects effectively.
* Ability to build and manage relationships with clients and stakeholders.
**To qualify for the role, you must have:**
* Bachelor’s degree in computer science, Engineering, or a related field required; Master’s degree preferred.
* Typically, no less than 4 \- 6 years relevant experience in data engineering, with a focus on cloud data solutions and analytics.
* Proven expertise in Databricks and experience with Spark for big data processing.
* Strong background in data architecture and design, with experience in building complex cloud analytics solutions.
* Experience in leading and managing teams, with a focus on mentoring and developing talent.
* Strong programming skills in languages such as Python, Scala, or SQL.
* Excellent problem\-solving skills and the ability to work independently and as part of a team.
* Strong communication and interpersonal skills, with a focus on client management.
**Required Expertise for Managerial Role:**
* Strategic Leadership: Ability to align data engineering initiatives with organizational goals and drive strategic vision.
* Project Management: Experience in managing multiple projects and teams, ensuring timely delivery and adherence to project scope.
* Stakeholder Engagement: Proficiency in engaging with various stakeholders, including executives, to understand their needs and present solutions effectively.
* Change Management: Skills in guiding clients through change processes related to data transformation and technology adoption.
* Risk Management: Ability to identify potential risks in data projects and develop mitigation strategies.
* Technical Leadership: Experience in leading technical discussions and making architectural decisions that impact project outcomes.
* Documentation and Reporting: Proficiency in creating comprehensive documentation and reports to communicate project progress and outcomes to clients.
**Large\-Scale Implementation Programs:**
* Enterprise Data Lake Implementation: Led the design and deployment of a cloud\-based data lake solution for a Fortune 500 retail client, integrating data from multiple sources (e.g., ERPs, POS systems, e\-commerce platforms) to enable advanced analytics and reporting capabilities.
* Real\-Time Analytics Platform: Managed the development of a real\-time analytics platform using Databricks for a financial services organization, enabling real\-time fraud detection and risk assessment through streaming data ingestion and processing.
* Data Warehouse Modernization: Oversaw the modernization of a legacy data warehouse to a cloud\-native architecture for a healthcare provider, implementing ETL processes with Databricks and improving data accessibility for analytics and reporting.
**Ideally, you’ll also have:**
* Experience with advanced data analytics tools and techniques.
* Familiarity with machine learning concepts and applications.
* Knowledge of industry trends and best practices in data engineering.
* Familiarity with cloud platforms (AWS, Azure, GCP) and their data services.
* Knowledge of data governance and compliance standards.
* Experience with machine learning frameworks and tools.
**What we look for:**
 We seek individuals who are not only technically proficient but also possess the qualities of top performers, including a strong sense of collaboration, adaptability, and a passion for continuous learning. If you are driven by results and have a desire to make a meaningful impact, we want to hear from you.
 FY26NATAID
**What We Offer You**
 At EY, we’ll develop you with future\-focused skills and equip you with world\-class experiences. We’ll empower you in a flexible environment, and fuel you and your extraordinary talents in a diverse and inclusive culture of globally connected teams. Learn more.
* We offer a comprehensive compensation and benefits package where you’ll be rewarded based on your performance and recognized for the value you bring to the business. The base salary range for this job in all geographic locations in the US is $125,500 to $230,200\. The base salary range for New York City Metro Area, Washington State and California (excluding Sacramento) is $150,700 to $261,600\. Individual salaries within those ranges are determined through a wide variety of factors including but not limited to education, experience, knowledge, skills and geography. In addition, our Total Rewards package includes medical and dental coverage, pension and 401(k) plans, and a wide range of paid time off options.
* Join us in our team\-led and leader\-enabled hybrid model. Our expectation is for most people in external, client serving roles to work together in person 40\-60% of the time over the course of an engagement, project or year.
* Under our flexible vacation policy, you’ll decide how much vacation time you need based on your own personal circumstances. You’ll also be granted time off for designated EY Paid Holidays, Winter/Summer breaks, Personal/Family Care, and other leaves of absence when needed to support your physical, financial, and emotional well\-being.
**Are you ready to shape your future with confidence? Apply today.**
 EY accepts applications for this position on an on\-going basis.
 For those living in California, please click here for additional information.
 EY focuses on high\-ethical standards and integrity among its employees and expects all candidates to demonstrate these qualities.
**EY \| Building a better working world**
 EY is building a better working world by creating new value for clients, people, society and the planet, while building trust in capital markets.
 Enabled by data, AI and advanced technology, EY teams help clients shape the future with confidence and develop answers for the most pressing issues of today and tomorrow.
 EY teams work across a full spectrum of services in assurance, consulting, tax, strategy and transactions. Fueled by sector insights, a globally connected, multi\-disciplinary network and diverse ecosystem partners, EY teams can provide services in more than 150 countries and territories.
 EY provides equal employment opportunities to applicants and employees without regard to race, color, religion, age, sex, sexual orientation, gender identity/expression, pregnancy, genetic information, national origin, protected veteran status, disability status, or any other legally protected basis, including arrest and conviction records, in accordance with applicable law.
 EY is committed to providing reasonable accommodation to qualified individuals with disabilities including veterans with disabilities. If you have a disability and either need assistance applying online or need to request an accommodation during any part of the application process, please call 1\-800\-EY\-HELP3, select Option 2 for candidate related inquiries, then select Option 1 for candidate queries and finally select Option 2 for candidates with an inquiry which will route you to EY’s Talent Shared Services Team (TSS) or email the TSS at ssc.customersupport@ey.com.</t>
        </is>
      </c>
    </row>
    <row r="48">
      <c r="A48" t="inlineStr">
        <is>
          <t>li-4282849112</t>
        </is>
      </c>
      <c r="B48" t="inlineStr">
        <is>
          <t>Databricks Data Engineer - Senior - Consulting - Location Open</t>
        </is>
      </c>
      <c r="C48" t="inlineStr">
        <is>
          <t>EY</t>
        </is>
      </c>
      <c r="D48" t="inlineStr">
        <is>
          <t>linkedin</t>
        </is>
      </c>
      <c r="E48" t="inlineStr"/>
      <c r="F48" t="inlineStr"/>
      <c r="G48" t="inlineStr">
        <is>
          <t>Jacksonville, FL</t>
        </is>
      </c>
      <c r="H48" t="inlineStr"/>
      <c r="I48" t="inlineStr">
        <is>
          <t>Location: Anywhere in Country
 At EY, we’re all in to shape your future with confidence.
 We’ll help you succeed in a globally connected powerhouse of diverse teams and take your career wherever you want it to go. Join EY and help to build a better working world.
**Technology – Data and Decision Science – Data Engineering – Senior**
 We are seeking a highly skilled Senior Consultant Data Engineer with expertise in cloud data engineering, specifically Databricks. The ideal candidate will have strong client management and communication skills, along with a proven track record of successful end\-to\-end implementations in data engineering projects.
**The opportunity**
 In this role, you will design and build analytics solutions that deliver significant business value. You will collaborate with other data and analytics professionals, management, and stakeholders to ensure that technical requirements align with business needs. Your responsibilities will include creating scalable data architecture and modeling solutions that support the entire data asset lifecycle.
**Your Key Responsibilities**
 As a Senior Data Engineer, you will play a pivotal role in transforming data into actionable insights. Your time will be spent on various responsibilities, including:
* Designing, building, and operating scalable on\-premises or cloud data architecture.
* Analyzing business requirements and translating them into technical specifications.
* Optimizing data flows for target data platform designs.
* Design, develop, and implement data engineering solutions using Databricks on cloud platforms (e.g., AWS, Azure, GCP).
* Collaborate with clients to understand their data needs and provide tailored solutions that meet their business objectives.
* Lead end\-to\-end data pipeline development, including data ingestion, transformation, and storage.
* Ensure data quality, integrity, and security throughout the data lifecycle.
* Provide technical guidance and mentorship to junior data engineers and team members.
* Communicate effectively with stakeholders, including technical and non\-technical audiences, to convey complex data concepts.
* Manage client relationships and expectations, ensuring high levels of satisfaction and engagement.
* Stay updated with the latest trends and technologies in data engineering and cloud computing.
 This role offers the opportunity to work with cutting\-edge technologies and stay ahead of industry trends, ensuring you gain a competitive advantage in the market. The position may require regular travel to meet with external clients.
**Skills And Attributes For Success**
 To thrive in this role, you will need a blend of technical and interpersonal skills. Your ability to communicate effectively and build relationships will be crucial. Here are some key attributes we look for:
* Strong analytical and decision\-making skills.
* Proficiency in cloud computing and data architecture design.
* Experience in data integration and security.
* Ability to manage complex problem\-solving scenarios.
**To qualify for the role, you must have**
* A Bachelor’s degree in Computer Science, Engineering, or a related field required (4\-year degree). Master’s degree preferred
* Typically, no less than 2 \- 4 years relevant experience in data engineering, with a focus on cloud data solutions.
* 5\+ years of experience in data engineering, with a focus on cloud data solutions.
* Expertise in Databricks and experience with Spark for big data processing.
* Proven experience in at least two end\-to\-end data engineering implementations, including:
* Implementation of a data lake solution using Databricks, integrating various data sources, and enabling analytics for business intelligence.
* Development of a real\-time data processing pipeline using Databricks and cloud services, delivering insights for operational decision\-making.
* Strong programming skills in languages such as Python, Scala, or SQL.
* Experience with data modeling, ETL processes, and data warehousing concepts.
* Excellent problem\-solving skills and the ability to work independently and as part of a team.
* Strong communication and interpersonal skills, with a focus on client management.
**Required Expertise for Senior Consulting Projects:**
* Strategic Thinking: Ability to align data engineering solutions with business strategies and objectives.
* Project Management: Experience in managing multiple projects simultaneously, ensuring timely delivery and adherence to project scope.
* Stakeholder Engagement: Proficiency in engaging with various stakeholders, including executives, to understand their needs and present solutions effectively.
* Change Management: Skills in guiding clients through change processes related to data transformation and technology adoption.
* Risk Management: Ability to identify potential risks in data projects and develop mitigation strategies.
* Technical Leadership: Experience in leading technical discussions and making architectural decisions that impact project outcomes.
* Documentation and Reporting: Proficiency in creating comprehensive documentation and reports to communicate project progress and outcomes to clients.
**Ideally, you’ll also have**
* Experience with data quality management.
* Familiarity with semantic layers in data architecture.
* Familiarity with cloud platforms (AWS, Azure, GCP) and their data services.
* Knowledge of data governance and compliance standards.
* Experience with machine learning frameworks and tools.
**What We Look For**
 We seek individuals who are not only technically proficient but also possess the qualities of top performers. You should be adaptable, collaborative, and driven by a desire to achieve excellence in every project you undertake.
 FY26NATAID
**What We Offer You**
 At EY, we’ll develop you with future\-focused skills and equip you with world\-class experiences. We’ll empower you in a flexible environment, and fuel you and your extraordinary talents in a diverse and inclusive culture of globally connected teams. Learn more.
* We offer a comprehensive compensation and benefits package where you’ll be rewarded based on your performance and recognized for the value you bring to the business. The base salary range for this job in all geographic locations in the US is $106,900 to $176,500\. The base salary range for New York City Metro Area, Washington State and California (excluding Sacramento) is $128,400 to $200,600\. Individual salaries within those ranges are determined through a wide variety of factors including but not limited to education, experience, knowledge, skills and geography. In addition, our Total Rewards package includes medical and dental coverage, pension and 401(k) plans, and a wide range of paid time off options.
* Join us in our team\-led and leader\-enabled hybrid model. Our expectation is for most people in external, client serving roles to work together in person 40\-60% of the time over the course of an engagement, project or year.
* Under our flexible vacation policy, you’ll decide how much vacation time you need based on your own personal circumstances. You’ll also be granted time off for designated EY Paid Holidays, Winter/Summer breaks, Personal/Family Care, and other leaves of absence when needed to support your physical, financial, and emotional well\-being.
**Are you ready to shape your future with confidence? Apply today.**
 EY accepts applications for this position on an on\-going basis.
 For those living in California, please click here for additional information.
 EY focuses on high\-ethical standards and integrity among its employees and expects all candidates to demonstrate these qualities.
**EY \| Building a better working world**
 EY is building a better working world by creating new value for clients, people, society and the planet, while building trust in capital markets.
 Enabled by data, AI and advanced technology, EY teams help clients shape the future with confidence and develop answers for the most pressing issues of today and tomorrow.
 EY teams work across a full spectrum of services in assurance, consulting, tax, strategy and transactions. Fueled by sector insights, a globally connected, multi\-disciplinary network and diverse ecosystem partners, EY teams can provide services in more than 150 countries and territories.
 EY provides equal employment opportunities to applicants and employees without regard to race, color, religion, age, sex, sexual orientation, gender identity/expression, pregnancy, genetic information, national origin, protected veteran status, disability status, or any other legally protected basis, including arrest and conviction records, in accordance with applicable law.
 EY is committed to providing reasonable accommodation to qualified individuals with disabilities including veterans with disabilities. If you have a disability and either need assistance applying online or need to request an accommodation during any part of the application process, please call 1\-800\-EY\-HELP3, select Option 2 for candidate related inquiries, then select Option 1 for candidate queries and finally select Option 2 for candidates with an inquiry which will route you to EY’s Talent Shared Services Team (TSS) or email the TSS at ssc.customersupport@ey.com.</t>
        </is>
      </c>
    </row>
    <row r="49">
      <c r="A49" t="inlineStr">
        <is>
          <t>li-4282848114</t>
        </is>
      </c>
      <c r="B49" t="inlineStr">
        <is>
          <t>Databricks Data Engineer - Senior - Consulting - Location Open</t>
        </is>
      </c>
      <c r="C49" t="inlineStr">
        <is>
          <t>EY</t>
        </is>
      </c>
      <c r="D49" t="inlineStr">
        <is>
          <t>linkedin</t>
        </is>
      </c>
      <c r="E49" t="inlineStr"/>
      <c r="F49" t="inlineStr"/>
      <c r="G49" t="inlineStr">
        <is>
          <t>Tallahassee, FL</t>
        </is>
      </c>
      <c r="H49" t="inlineStr"/>
      <c r="I49" t="inlineStr">
        <is>
          <t>Location: Anywhere in Country
 At EY, we’re all in to shape your future with confidence.
 We’ll help you succeed in a globally connected powerhouse of diverse teams and take your career wherever you want it to go. Join EY and help to build a better working world.
**Technology – Data and Decision Science – Data Engineering – Senior**
 We are seeking a highly skilled Senior Consultant Data Engineer with expertise in cloud data engineering, specifically Databricks. The ideal candidate will have strong client management and communication skills, along with a proven track record of successful end\-to\-end implementations in data engineering projects.
**The opportunity**
 In this role, you will design and build analytics solutions that deliver significant business value. You will collaborate with other data and analytics professionals, management, and stakeholders to ensure that technical requirements align with business needs. Your responsibilities will include creating scalable data architecture and modeling solutions that support the entire data asset lifecycle.
**Your Key Responsibilities**
 As a Senior Data Engineer, you will play a pivotal role in transforming data into actionable insights. Your time will be spent on various responsibilities, including:
* Designing, building, and operating scalable on\-premises or cloud data architecture.
* Analyzing business requirements and translating them into technical specifications.
* Optimizing data flows for target data platform designs.
* Design, develop, and implement data engineering solutions using Databricks on cloud platforms (e.g., AWS, Azure, GCP).
* Collaborate with clients to understand their data needs and provide tailored solutions that meet their business objectives.
* Lead end\-to\-end data pipeline development, including data ingestion, transformation, and storage.
* Ensure data quality, integrity, and security throughout the data lifecycle.
* Provide technical guidance and mentorship to junior data engineers and team members.
* Communicate effectively with stakeholders, including technical and non\-technical audiences, to convey complex data concepts.
* Manage client relationships and expectations, ensuring high levels of satisfaction and engagement.
* Stay updated with the latest trends and technologies in data engineering and cloud computing.
 This role offers the opportunity to work with cutting\-edge technologies and stay ahead of industry trends, ensuring you gain a competitive advantage in the market. The position may require regular travel to meet with external clients.
**Skills And Attributes For Success**
 To thrive in this role, you will need a blend of technical and interpersonal skills. Your ability to communicate effectively and build relationships will be crucial. Here are some key attributes we look for:
* Strong analytical and decision\-making skills.
* Proficiency in cloud computing and data architecture design.
* Experience in data integration and security.
* Ability to manage complex problem\-solving scenarios.
**To qualify for the role, you must have**
* A Bachelor’s degree in Computer Science, Engineering, or a related field required (4\-year degree). Master’s degree preferred
* Typically, no less than 2 \- 4 years relevant experience in data engineering, with a focus on cloud data solutions.
* 5\+ years of experience in data engineering, with a focus on cloud data solutions.
* Expertise in Databricks and experience with Spark for big data processing.
* Proven experience in at least two end\-to\-end data engineering implementations, including:
* Implementation of a data lake solution using Databricks, integrating various data sources, and enabling analytics for business intelligence.
* Development of a real\-time data processing pipeline using Databricks and cloud services, delivering insights for operational decision\-making.
* Strong programming skills in languages such as Python, Scala, or SQL.
* Experience with data modeling, ETL processes, and data warehousing concepts.
* Excellent problem\-solving skills and the ability to work independently and as part of a team.
* Strong communication and interpersonal skills, with a focus on client management.
**Required Expertise for Senior Consulting Projects:**
* Strategic Thinking: Ability to align data engineering solutions with business strategies and objectives.
* Project Management: Experience in managing multiple projects simultaneously, ensuring timely delivery and adherence to project scope.
* Stakeholder Engagement: Proficiency in engaging with various stakeholders, including executives, to understand their needs and present solutions effectively.
* Change Management: Skills in guiding clients through change processes related to data transformation and technology adoption.
* Risk Management: Ability to identify potential risks in data projects and develop mitigation strategies.
* Technical Leadership: Experience in leading technical discussions and making architectural decisions that impact project outcomes.
* Documentation and Reporting: Proficiency in creating comprehensive documentation and reports to communicate project progress and outcomes to clients.
**Ideally, you’ll also have**
* Experience with data quality management.
* Familiarity with semantic layers in data architecture.
* Familiarity with cloud platforms (AWS, Azure, GCP) and their data services.
* Knowledge of data governance and compliance standards.
* Experience with machine learning frameworks and tools.
**What We Look For**
 We seek individuals who are not only technically proficient but also possess the qualities of top performers. You should be adaptable, collaborative, and driven by a desire to achieve excellence in every project you undertake.
 FY26NATAID
**What We Offer You**
 At EY, we’ll develop you with future\-focused skills and equip you with world\-class experiences. We’ll empower you in a flexible environment, and fuel you and your extraordinary talents in a diverse and inclusive culture of globally connected teams. Learn more.
* We offer a comprehensive compensation and benefits package where you’ll be rewarded based on your performance and recognized for the value you bring to the business. The base salary range for this job in all geographic locations in the US is $106,900 to $176,500\. The base salary range for New York City Metro Area, Washington State and California (excluding Sacramento) is $128,400 to $200,600\. Individual salaries within those ranges are determined through a wide variety of factors including but not limited to education, experience, knowledge, skills and geography. In addition, our Total Rewards package includes medical and dental coverage, pension and 401(k) plans, and a wide range of paid time off options.
* Join us in our team\-led and leader\-enabled hybrid model. Our expectation is for most people in external, client serving roles to work together in person 40\-60% of the time over the course of an engagement, project or year.
* Under our flexible vacation policy, you’ll decide how much vacation time you need based on your own personal circumstances. You’ll also be granted time off for designated EY Paid Holidays, Winter/Summer breaks, Personal/Family Care, and other leaves of absence when needed to support your physical, financial, and emotional well\-being.
**Are you ready to shape your future with confidence? Apply today.**
 EY accepts applications for this position on an on\-going basis.
 For those living in California, please click here for additional information.
 EY focuses on high\-ethical standards and integrity among its employees and expects all candidates to demonstrate these qualities.
**EY \| Building a better working world**
 EY is building a better working world by creating new value for clients, people, society and the planet, while building trust in capital markets.
 Enabled by data, AI and advanced technology, EY teams help clients shape the future with confidence and develop answers for the most pressing issues of today and tomorrow.
 EY teams work across a full spectrum of services in assurance, consulting, tax, strategy and transactions. Fueled by sector insights, a globally connected, multi\-disciplinary network and diverse ecosystem partners, EY teams can provide services in more than 150 countries and territories.
 EY provides equal employment opportunities to applicants and employees without regard to race, color, religion, age, sex, sexual orientation, gender identity/expression, pregnancy, genetic information, national origin, protected veteran status, disability status, or any other legally protected basis, including arrest and conviction records, in accordance with applicable law.
 EY is committed to providing reasonable accommodation to qualified individuals with disabilities including veterans with disabilities. If you have a disability and either need assistance applying online or need to request an accommodation during any part of the application process, please call 1\-800\-EY\-HELP3, select Option 2 for candidate related inquiries, then select Option 1 for candidate queries and finally select Option 2 for candidates with an inquiry which will route you to EY’s Talent Shared Services Team (TSS) or email the TSS at ssc.customersupport@ey.com.</t>
        </is>
      </c>
    </row>
    <row r="50">
      <c r="A50" t="inlineStr">
        <is>
          <t>li-4282849108</t>
        </is>
      </c>
      <c r="B50" t="inlineStr">
        <is>
          <t>Databricks Data Engineer - Senior - Consulting - Location Open</t>
        </is>
      </c>
      <c r="C50" t="inlineStr">
        <is>
          <t>EY</t>
        </is>
      </c>
      <c r="D50" t="inlineStr">
        <is>
          <t>linkedin</t>
        </is>
      </c>
      <c r="E50" t="inlineStr"/>
      <c r="F50" t="inlineStr"/>
      <c r="G50" t="inlineStr">
        <is>
          <t>Charleston, WV</t>
        </is>
      </c>
      <c r="H50" t="inlineStr"/>
      <c r="I50" t="inlineStr">
        <is>
          <t>Location: Anywhere in Country
 At EY, we’re all in to shape your future with confidence.
 We’ll help you succeed in a globally connected powerhouse of diverse teams and take your career wherever you want it to go. Join EY and help to build a better working world.
**Technology – Data and Decision Science – Data Engineering – Senior**
 We are seeking a highly skilled Senior Consultant Data Engineer with expertise in cloud data engineering, specifically Databricks. The ideal candidate will have strong client management and communication skills, along with a proven track record of successful end\-to\-end implementations in data engineering projects.
**The opportunity**
 In this role, you will design and build analytics solutions that deliver significant business value. You will collaborate with other data and analytics professionals, management, and stakeholders to ensure that technical requirements align with business needs. Your responsibilities will include creating scalable data architecture and modeling solutions that support the entire data asset lifecycle.
**Your Key Responsibilities**
 As a Senior Data Engineer, you will play a pivotal role in transforming data into actionable insights. Your time will be spent on various responsibilities, including:
* Designing, building, and operating scalable on\-premises or cloud data architecture.
* Analyzing business requirements and translating them into technical specifications.
* Optimizing data flows for target data platform designs.
* Design, develop, and implement data engineering solutions using Databricks on cloud platforms (e.g., AWS, Azure, GCP).
* Collaborate with clients to understand their data needs and provide tailored solutions that meet their business objectives.
* Lead end\-to\-end data pipeline development, including data ingestion, transformation, and storage.
* Ensure data quality, integrity, and security throughout the data lifecycle.
* Provide technical guidance and mentorship to junior data engineers and team members.
* Communicate effectively with stakeholders, including technical and non\-technical audiences, to convey complex data concepts.
* Manage client relationships and expectations, ensuring high levels of satisfaction and engagement.
* Stay updated with the latest trends and technologies in data engineering and cloud computing.
 This role offers the opportunity to work with cutting\-edge technologies and stay ahead of industry trends, ensuring you gain a competitive advantage in the market. The position may require regular travel to meet with external clients.
**Skills And Attributes For Success**
 To thrive in this role, you will need a blend of technical and interpersonal skills. Your ability to communicate effectively and build relationships will be crucial. Here are some key attributes we look for:
* Strong analytical and decision\-making skills.
* Proficiency in cloud computing and data architecture design.
* Experience in data integration and security.
* Ability to manage complex problem\-solving scenarios.
**To qualify for the role, you must have**
* A Bachelor’s degree in Computer Science, Engineering, or a related field required (4\-year degree). Master’s degree preferred
* Typically, no less than 2 \- 4 years relevant experience in data engineering, with a focus on cloud data solutions.
* 5\+ years of experience in data engineering, with a focus on cloud data solutions.
* Expertise in Databricks and experience with Spark for big data processing.
* Proven experience in at least two end\-to\-end data engineering implementations, including:
* Implementation of a data lake solution using Databricks, integrating various data sources, and enabling analytics for business intelligence.
* Development of a real\-time data processing pipeline using Databricks and cloud services, delivering insights for operational decision\-making.
* Strong programming skills in languages such as Python, Scala, or SQL.
* Experience with data modeling, ETL processes, and data warehousing concepts.
* Excellent problem\-solving skills and the ability to work independently and as part of a team.
* Strong communication and interpersonal skills, with a focus on client management.
**Required Expertise for Senior Consulting Projects:**
* Strategic Thinking: Ability to align data engineering solutions with business strategies and objectives.
* Project Management: Experience in managing multiple projects simultaneously, ensuring timely delivery and adherence to project scope.
* Stakeholder Engagement: Proficiency in engaging with various stakeholders, including executives, to understand their needs and present solutions effectively.
* Change Management: Skills in guiding clients through change processes related to data transformation and technology adoption.
* Risk Management: Ability to identify potential risks in data projects and develop mitigation strategies.
* Technical Leadership: Experience in leading technical discussions and making architectural decisions that impact project outcomes.
* Documentation and Reporting: Proficiency in creating comprehensive documentation and reports to communicate project progress and outcomes to clients.
**Ideally, you’ll also have**
* Experience with data quality management.
* Familiarity with semantic layers in data architecture.
* Familiarity with cloud platforms (AWS, Azure, GCP) and their data services.
* Knowledge of data governance and compliance standards.
* Experience with machine learning frameworks and tools.
**What We Look For**
 We seek individuals who are not only technically proficient but also possess the qualities of top performers. You should be adaptable, collaborative, and driven by a desire to achieve excellence in every project you undertake.
 FY26NATAID
**What We Offer You**
 At EY, we’ll develop you with future\-focused skills and equip you with world\-class experiences. We’ll empower you in a flexible environment, and fuel you and your extraordinary talents in a diverse and inclusive culture of globally connected teams. Learn more.
* We offer a comprehensive compensation and benefits package where you’ll be rewarded based on your performance and recognized for the value you bring to the business. The base salary range for this job in all geographic locations in the US is $106,900 to $176,500\. The base salary range for New York City Metro Area, Washington State and California (excluding Sacramento) is $128,400 to $200,600\. Individual salaries within those ranges are determined through a wide variety of factors including but not limited to education, experience, knowledge, skills and geography. In addition, our Total Rewards package includes medical and dental coverage, pension and 401(k) plans, and a wide range of paid time off options.
* Join us in our team\-led and leader\-enabled hybrid model. Our expectation is for most people in external, client serving roles to work together in person 40\-60% of the time over the course of an engagement, project or year.
* Under our flexible vacation policy, you’ll decide how much vacation time you need based on your own personal circumstances. You’ll also be granted time off for designated EY Paid Holidays, Winter/Summer breaks, Personal/Family Care, and other leaves of absence when needed to support your physical, financial, and emotional well\-being.
**Are you ready to shape your future with confidence? Apply today.**
 EY accepts applications for this position on an on\-going basis.
 For those living in California, please click here for additional information.
 EY focuses on high\-ethical standards and integrity among its employees and expects all candidates to demonstrate these qualities.
**EY \| Building a better working world**
 EY is building a better working world by creating new value for clients, people, society and the planet, while building trust in capital markets.
 Enabled by data, AI and advanced technology, EY teams help clients shape the future with confidence and develop answers for the most pressing issues of today and tomorrow.
 EY teams work across a full spectrum of services in assurance, consulting, tax, strategy and transactions. Fueled by sector insights, a globally connected, multi\-disciplinary network and diverse ecosystem partners, EY teams can provide services in more than 150 countries and territories.
 EY provides equal employment opportunities to applicants and employees without regard to race, color, religion, age, sex, sexual orientation, gender identity/expression, pregnancy, genetic information, national origin, protected veteran status, disability status, or any other legally protected basis, including arrest and conviction records, in accordance with applicable law.
 EY is committed to providing reasonable accommodation to qualified individuals with disabilities including veterans with disabilities. If you have a disability and either need assistance applying online or need to request an accommodation during any part of the application process, please call 1\-800\-EY\-HELP3, select Option 2 for candidate related inquiries, then select Option 1 for candidate queries and finally select Option 2 for candidates with an inquiry which will route you to EY’s Talent Shared Services Team (TSS) or email the TSS at ssc.customersupport@ey.com.</t>
        </is>
      </c>
    </row>
    <row r="51">
      <c r="A51" t="inlineStr">
        <is>
          <t>li-4282844227</t>
        </is>
      </c>
      <c r="B51" t="inlineStr">
        <is>
          <t>Databricks Data Engineer - Manager - Consulting - Location Open</t>
        </is>
      </c>
      <c r="C51" t="inlineStr">
        <is>
          <t>EY</t>
        </is>
      </c>
      <c r="D51" t="inlineStr">
        <is>
          <t>linkedin</t>
        </is>
      </c>
      <c r="E51" t="inlineStr"/>
      <c r="F51" t="inlineStr"/>
      <c r="G51" t="inlineStr">
        <is>
          <t>Philadelphia, PA</t>
        </is>
      </c>
      <c r="H51" t="inlineStr"/>
      <c r="I51" t="inlineStr">
        <is>
          <t>Location: Anywhere in Country
 At EY, we’re all in to shape your future with confidence.
 We’ll help you succeed in a globally connected powerhouse of diverse teams and take your career wherever you want it to go. Join EY and help to build a better working world.
**Technology – Data and Decision Science – Data Engineering – Manager**
 We are looking for a dynamic and experienced Manager of Data Engineering to lead our team in designing and implementing complex cloud analytics solutions with a strong focus on Databricks. The ideal candidate will possess deep technical expertise in data architecture, cloud technologies, and analytics, along with exceptional leadership and client management skills.
**The opportunity:**
 In this role, you will design and build analytics solutions that deliver significant business value. You will collaborate with other data and analytics professionals, management, and stakeholders to ensure that business requirements are translated into effective technical solutions. Key responsibilities include:
* Understanding and analyzing business requirements to translate them into technical requirements.
* Designing, building, and operating scalable data architecture and modeling solutions.
* Staying up to date with the latest trends and emerging technologies to maintain a competitive edge.
**Key Responsibilities:**
 As a Data Engineering Manager, you will play a crucial role in managing and delivering complex technical initiatives. Your time will be spent across various responsibilities, including:
* Leading workstream delivery and ensuring quality in all processes.
* Engaging with clients on a daily basis, actively participating in working sessions, and identifying opportunities for additional services.
* Implementing resource plans and budgets while managing engagement economics.
 This role offers the opportunity to work in a dynamic environment where you will face challenges that require innovative solutions. You will learn and grow as you guide others and interpret internal and external issues to recommend quality solutions. Travel may be required regularly based on client needs.
**Skills and attributes for success:**
 To thrive in this role, you should possess a blend of technical and interpersonal skills. The following attributes will make a significant impact:
* Lead the design and development of scalable data engineering solutions using Databricks on cloud platforms (e.g., AWS, Azure, GCP).
* Oversee the architecture of complex cloud analytics solutions, ensuring alignment with business objectives and best practices.
* Manage and mentor a team of data engineers, fostering a culture of innovation, collaboration, and continuous improvement.
* Collaborate with clients to understand their analytics needs and deliver tailored solutions that drive business value.
* Ensure the quality, integrity, and security of data throughout the data lifecycle, implementing best practices in data governance.
* Drive end\-to\-end data pipeline development, including data ingestion, transformation, and storage, leveraging Databricks and other cloud services.
* Communicate effectively with stakeholders, including technical and non\-technical audiences, to convey complex data concepts and project progress.
* Manage client relationships and expectations, ensuring high levels of satisfaction and engagement.
* Stay abreast of the latest trends and technologies in data engineering, cloud computing, and analytics.
* Strong analytical and problem\-solving abilities.
* Excellent communication skills, with the ability to convey complex information clearly.
* Proven experience in managing and delivering projects effectively.
* Ability to build and manage relationships with clients and stakeholders.
**To qualify for the role, you must have:**
* Bachelor’s degree in computer science, Engineering, or a related field required; Master’s degree preferred.
* Typically, no less than 4 \- 6 years relevant experience in data engineering, with a focus on cloud data solutions and analytics.
* Proven expertise in Databricks and experience with Spark for big data processing.
* Strong background in data architecture and design, with experience in building complex cloud analytics solutions.
* Experience in leading and managing teams, with a focus on mentoring and developing talent.
* Strong programming skills in languages such as Python, Scala, or SQL.
* Excellent problem\-solving skills and the ability to work independently and as part of a team.
* Strong communication and interpersonal skills, with a focus on client management.
**Required Expertise for Managerial Role:**
* Strategic Leadership: Ability to align data engineering initiatives with organizational goals and drive strategic vision.
* Project Management: Experience in managing multiple projects and teams, ensuring timely delivery and adherence to project scope.
* Stakeholder Engagement: Proficiency in engaging with various stakeholders, including executives, to understand their needs and present solutions effectively.
* Change Management: Skills in guiding clients through change processes related to data transformation and technology adoption.
* Risk Management: Ability to identify potential risks in data projects and develop mitigation strategies.
* Technical Leadership: Experience in leading technical discussions and making architectural decisions that impact project outcomes.
* Documentation and Reporting: Proficiency in creating comprehensive documentation and reports to communicate project progress and outcomes to clients.
**Large\-Scale Implementation Programs:**
* Enterprise Data Lake Implementation: Led the design and deployment of a cloud\-based data lake solution for a Fortune 500 retail client, integrating data from multiple sources (e.g., ERPs, POS systems, e\-commerce platforms) to enable advanced analytics and reporting capabilities.
* Real\-Time Analytics Platform: Managed the development of a real\-time analytics platform using Databricks for a financial services organization, enabling real\-time fraud detection and risk assessment through streaming data ingestion and processing.
* Data Warehouse Modernization: Oversaw the modernization of a legacy data warehouse to a cloud\-native architecture for a healthcare provider, implementing ETL processes with Databricks and improving data accessibility for analytics and reporting.
**Ideally, you’ll also have:**
* Experience with advanced data analytics tools and techniques.
* Familiarity with machine learning concepts and applications.
* Knowledge of industry trends and best practices in data engineering.
* Familiarity with cloud platforms (AWS, Azure, GCP) and their data services.
* Knowledge of data governance and compliance standards.
* Experience with machine learning frameworks and tools.
**What we look for:**
 We seek individuals who are not only technically proficient but also possess the qualities of top performers, including a strong sense of collaboration, adaptability, and a passion for continuous learning. If you are driven by results and have a desire to make a meaningful impact, we want to hear from you.
 FY26NATAID
**What We Offer You**
 At EY, we’ll develop you with future\-focused skills and equip you with world\-class experiences. We’ll empower you in a flexible environment, and fuel you and your extraordinary talents in a diverse and inclusive culture of globally connected teams. Learn more.
* We offer a comprehensive compensation and benefits package where you’ll be rewarded based on your performance and recognized for the value you bring to the business. The base salary range for this job in all geographic locations in the US is $125,500 to $230,200\. The base salary range for New York City Metro Area, Washington State and California (excluding Sacramento) is $150,700 to $261,600\. Individual salaries within those ranges are determined through a wide variety of factors including but not limited to education, experience, knowledge, skills and geography. In addition, our Total Rewards package includes medical and dental coverage, pension and 401(k) plans, and a wide range of paid time off options.
* Join us in our team\-led and leader\-enabled hybrid model. Our expectation is for most people in external, client serving roles to work together in person 40\-60% of the time over the course of an engagement, project or year.
* Under our flexible vacation policy, you’ll decide how much vacation time you need based on your own personal circumstances. You’ll also be granted time off for designated EY Paid Holidays, Winter/Summer breaks, Personal/Family Care, and other leaves of absence when needed to support your physical, financial, and emotional well\-being.
**Are you ready to shape your future with confidence? Apply today.**
 EY accepts applications for this position on an on\-going basis.
 For those living in California, please click here for additional information.
 EY focuses on high\-ethical standards and integrity among its employees and expects all candidates to demonstrate these qualities.
**EY \| Building a better working world**
 EY is building a better working world by creating new value for clients, people, society and the planet, while building trust in capital markets.
 Enabled by data, AI and advanced technology, EY teams help clients shape the future with confidence and develop answers for the most pressing issues of today and tomorrow.
 EY teams work across a full spectrum of services in assurance, consulting, tax, strategy and transactions. Fueled by sector insights, a globally connected, multi\-disciplinary network and diverse ecosystem partners, EY teams can provide services in more than 150 countries and territories.
 EY provides equal employment opportunities to applicants and employees without regard to race, color, religion, age, sex, sexual orientation, gender identity/expression, pregnancy, genetic information, national origin, protected veteran status, disability status, or any other legally protected basis, including arrest and conviction records, in accordance with applicable law.
 EY is committed to providing reasonable accommodation to qualified individuals with disabilities including veterans with disabilities. If you have a disability and either need assistance applying online or need to request an accommodation during any part of the application process, please call 1\-800\-EY\-HELP3, select Option 2 for candidate related inquiries, then select Option 1 for candidate queries and finally select Option 2 for candidates with an inquiry which will route you to EY’s Talent Shared Services Team (TSS) or email the TSS at ssc.customersupport@ey.com.</t>
        </is>
      </c>
    </row>
    <row r="52">
      <c r="A52" t="inlineStr">
        <is>
          <t>li-4306887317</t>
        </is>
      </c>
      <c r="B52" t="inlineStr">
        <is>
          <t>Staff Data Engineer - AI Tooling</t>
        </is>
      </c>
      <c r="C52" t="inlineStr">
        <is>
          <t>HCA Healthcare</t>
        </is>
      </c>
      <c r="D52" t="inlineStr">
        <is>
          <t>linkedin</t>
        </is>
      </c>
      <c r="E52" t="inlineStr"/>
      <c r="F52" t="inlineStr"/>
      <c r="G52" t="inlineStr">
        <is>
          <t>Nashville, TN</t>
        </is>
      </c>
      <c r="H52" t="inlineStr"/>
      <c r="I52" t="inlineStr">
        <is>
          <t>****Description****
 Introduction
 Experience the HCA Healthcare difference where colleagues are trusted, valued members of our healthcare team. Grow your career with an organization committed to delivering respectful, compassionate care, and where the unique and intrinsic worth of each individual is recognized. Submit your application for the opportunity below: Staff Data Engineer HCA Healthcare
**Benefits**
 HCA Healthcare, offers a total rewards package that supports the health, life, career and retirement of our colleagues. The available plans and programs include:
* Comprehensive medical coverage that covers many common services at no cost or for a low copay. Plans include prescription drug and behavioral health coverage as well as free telemedicine services and free AirMed medical transportation.
* Additional options for dental and vision benefits, life and disability coverage, flexible spending accounts, supplemental health protection plans (accident, critical illness, hospital indemnity), auto and home insurance, identity theft protection, legal counseling, long\-term care coverage, moving assistance, pet insurance and more.
* Free counseling services and resources for emotional, physical and financial wellbeing
* 401(k) Plan with a 100% match on 3% to 9% of pay (based on years of service)
* Employee Stock Purchase Plan with 10% off HCA Healthcare stock
* Family support through fertility and family building benefits with Progyny and adoption assistance.
* Referral services for child, elder and pet care, home and auto repair, event planning and more
* Consumer discounts through Abenity and Consumer Discounts
* Retirement readiness, rollover assistance services and preferred banking partnerships
* Education assistance (tuition, student loan, certification support, dependent scholarships)
* Colleague recognition program
* Time Away From Work Program (paid time off, paid family leave, long\- and short\-term disability coverage and leaves of absence)
* Employee Health Assistance Fund that offers free employee\-only coverage to full\-time and part\-time colleagues based on income.
 Learn More About Employee Benefits
*Note: Eligibility for benefits may vary by location.*
 We are seeking a(an) Staff Data Engineer for our team to ensure that we continue to provide all patients with high quality, efficient care. Did you get into our industry for these reasons? We are an amazing team that works hard to support each other and are seeking a phenomenal addition like you who feels patient care is as meaningful as we do. We want you to apply!
**Job Summary And Qualifications**
 The Staff Data Engineer serves as a primary development resource for design, writing code, test, implementation, document functionality, and maintain of NextGen solutions for the GCP Cloud enterprise data initiatives. The role requires working closely with data teams, frequently in a matrixed environment as part of a broader project team. This role requires ‘self\-starters’ who are proficient in problem solving and capable of bringing clarity to complex situations. The culture of the organization places an emphasis on teamwork, so social and interpersonal skills are equally important as technical capability. Due to the emerging and fast\-evolving nature of GCP technology and practice, the position requires that one stay well\-informed of technological advancements and be proficient at putting new innovations into effective practice.
 In addition, this candidate will have a history of increasing responsibility in a small multi\-role team. This position requires a candidate who can analyze business requirements, perform design tasks, construct, test, and implement solutions with minimal supervision. This candidate will have a record of accomplishment of participation in successful projects in a fast\-paced, mixed team (consultant and employee) environment. In addition, the applicant must be willing to mentor other developers to prepare them for assuming the responsibilities.
 As a Staff Data Engineer, you will collaborate closely with all team members to create a modular, scalable solution that addresses current needs, but will also serve as a foundation for future success. The position will be critical in building the team’s engineering practices in test driven development, continuous integration, and automated deployment and is a hands\-on team member who actively coaches the team to solve complex problems.
 In addition, the Staff Data Engineer will be expected to leverage AI\-native workflows to accelerate solution delivery. This includes the ability to use AI\-assisted development tools for rapid software engineering, apply modern AI building blocks such as prompting, retrieval\-augmented generation (RAG), evaluation frameworks, agentic workflows, and machine learning, and to rapidly prototype and iterate on data\-driven applications.
 What you will do:
 At HCA DT\&amp;I, your deliverables will influence patient care. Every process, technology, and decision matters. This role will provide application development for specific business environments. Focus on setting technical direction on groups of applications and similar technologies as well as taking responsibility for technically robust solutions encompassing all business, architecture, and technology constraints.
* Work with data engineers, data architects, data scientists, and other internal stakeholders to understand product requirements and then design, build, and monitor data platforms and pipelines that meet today's requirements but can gracefully scale.
* Implement automated workflows that lower manual/operational costs, define and uphold SLAs for timely delivery of data, and move the company closer to democratizing data.
* Enable a self\-service data architecture supporting query exploration, dashboards, data catalog, and rich data discovery.
* Promote a collaborative team environment that prioritizes effective communication, team member growth, and success of the team over success of the individual.
* Design and create real\-time data pipelines that accelerate the time from idea to insight.
* Adheres to and supports data engineering best practices, processes, and standards.
* Produce high quality, modular, reusable code that incorporates best practices and serves as an example for less experienced engineers.
* Helps promote and support data security best practices that align with industry standards and regulatory and legal requirements.
* Help mentor team members on complex data projects and following the Agile process.
* Help lead data analysis efforts and solution proposals to data related and data architecture problems.
* Help lead implementation of unit and integration tests and promote and conduct performance testing where appropriate.
* Be a leader in the HCA data community. Evangelize data engineering best practices and standards, participate, or present at community events, and encourage the continual growth and development of others.
* Be curious. Be growth minded. Encourage and enable this in others.
* Demonstrate professional and personal maturity through self\-leadership.
* Build productive and healthy relationships within the department and other teams to foster growth of our culture, our people, and our platforms.
* Practices and adheres to the “Code of Conduct” philosophy and “Mission and Value Statement.”
* Perform other duties as assigned.
* Responsible for building and supporting a GCP based ecosystem designed for enterprise\-wide analysis of structured, semi\-structured, and unstructured data.
* Work independently, and complete tasks on\-schedule by exercising strong judgment and problem\-solving skills.
* Analyze requirements, design AI/ML based solutions, and integrate those solutions for customer environments.
* Proven experience effectively prioritizing workload to meet deadlines and work objectives.
* Works in an environment with rapidly changing business requirements and priorities
* Shares knowledge and experience to contribute to growth of overall team capabilities.
* Actively participate in technical group discussions and adopt any modern technologies to improve the development and operations.
* Apply AI\-native engineering practices to design, implement, and optimize data and software systems, accelerating time\-to\-value.
* Incorporate prompt engineering, RAG pipelines, and automated evaluation techniques into data solutions and workflows.
* Prototype, test, and iterate rapidly using AI\-assisted development approaches, ensuring scalable and reliable production systems.
* Explore and integrate agentic workflows and emerging AI/ML capabilities to enhance automation and decision\-making across platforms.
**What you will need to have:**
* Bachelor's degree in computer science, related technical field, or equivalent experience required
* Master's degree in computer science or related field preferred
* 5\+ years of experience as a Data Engineer required
* 1\+ year(s) of experience in healthcare preferred
* 7\+ years of experience in information technology required
* Demonstrates an empathetic and growth mindset with a willingness to learn new skills, technologies, and methodologies. required
* Strong knowledge of public cloud best practices and design patterns used in creating, automating, and supporting data pipelines. required
* Strong ability to assemble large, complex sets of data that meet functional and non\-functional product requirements. required
* Strong ability to identify, design, and implement internal process improvements including redesigning data platforms for greater scalability, optimized data delivery, and automating manual processes. required
* Strong ability to create and use analytical tools to monitor data pipeline metrics and provide actionable intelligence to increase operational efficiency and valuable data outcomes. required
* Strong ability to present and facilitate technical ideas. required
* Expert ability using source control management tools such as Git/GitHub. required
* Expert ability using CI/CD automation tools. required
* Strong understanding of SQL and analytical data warehouses. required
* Strong understanding of Agile methodologies and how to apply Agile within the team. required
* Helps coach and mentor junior team members and others external to the team. required
* Proven ability to complete work, make sound decisions, and plan and accomplish goals without explicit direction/guidance from leadership. required
* Builds and nurtures healthy relationships with all colleagues. required
* Stays abreast of public cloud technologies, capabilities, and industry use of public cloud to help guide HCA’s strategy and adoption. required
* Demonstrates productive and inclusive communication skills with all colleagues. required
* Excellent problem\-solving and analytical skills. required
* Experience applying prompt engineering techniques to improve accuracy and efficiency of AI\-assisted solutions. required
* Strong ability to prototype and iterate using AI\-assisted development tools (e.g., Copilot, ChatGPT, or equivalent). required
* 2\+ years hands\-on experience with GCP platform and experience with many of the following components:
 Cloud Run, GKE, Cloud Functions
 Pub/Sub,Bigtable, Cloud SQL, Cloud Spanner
 BigQuery, Dataflow, Data Fusion
 Cloud Composer, DataProc, CI/CD, Cloud Logging
 Vertex AI, NLP, GitHub
* 4\+ Years of hands\-on experience with many of the following components:
 Spark Streaming, Kafka
 SQL, JSON, Avro, Parquet
 Java, Python, or Scala
* 18\+ months of hands\-on experience with many of the following components:
 Hands\-on experience with AI\-assisted development tools (e.g., Copilot, ChatGPT, or equivalent) to accelerate engineering tasks.
* Familiarity with modern AI application patterns such as prompting strategies, RAG, evals, and agent\-based systems.
* Demonstrated ability to rapidly prototype and iterate with AI/ML technologies to deliver practical, production\-ready solutions.
* A growth mindset with curiosity to experiment with emerging AI frameworks and incorporate them into engineering practices.
 Certifications (a plus, but not required): GCP Cloud Professional Data Engineer
 "There is so much good to do in the world and so many different ways to do it."\- Dr. Thomas Frist, Sr.
 HCA Healthcare Co\-Founder
 If you find this opportunity compelling, we encourage you to apply for our Staff Data Engineer opening. We promptly review all applications. Highly qualified candidates will be directly contacted by a member of our team.We are interviewing apply today!
 We are an equal opportunity employer. We do not discriminate on the basis of race, religion, color, national origin, gender, sexual orientation, age, marital status, veteran status, or disability status.</t>
        </is>
      </c>
    </row>
    <row r="53">
      <c r="A53" t="inlineStr">
        <is>
          <t>li-4282840894</t>
        </is>
      </c>
      <c r="B53" t="inlineStr">
        <is>
          <t>Databricks Data Engineer - Manager - Consulting - Location Open</t>
        </is>
      </c>
      <c r="C53" t="inlineStr">
        <is>
          <t>EY</t>
        </is>
      </c>
      <c r="D53" t="inlineStr">
        <is>
          <t>linkedin</t>
        </is>
      </c>
      <c r="E53" t="inlineStr"/>
      <c r="F53" t="inlineStr"/>
      <c r="G53" t="inlineStr">
        <is>
          <t>Las Vegas, NV</t>
        </is>
      </c>
      <c r="H53" t="inlineStr"/>
      <c r="I53" t="inlineStr">
        <is>
          <t>Location: Anywhere in Country
 At EY, we’re all in to shape your future with confidence.
 We’ll help you succeed in a globally connected powerhouse of diverse teams and take your career wherever you want it to go. Join EY and help to build a better working world.
**Technology – Data and Decision Science – Data Engineering – Manager**
 We are looking for a dynamic and experienced Manager of Data Engineering to lead our team in designing and implementing complex cloud analytics solutions with a strong focus on Databricks. The ideal candidate will possess deep technical expertise in data architecture, cloud technologies, and analytics, along with exceptional leadership and client management skills.
**The opportunity:**
 In this role, you will design and build analytics solutions that deliver significant business value. You will collaborate with other data and analytics professionals, management, and stakeholders to ensure that business requirements are translated into effective technical solutions. Key responsibilities include:
* Understanding and analyzing business requirements to translate them into technical requirements.
* Designing, building, and operating scalable data architecture and modeling solutions.
* Staying up to date with the latest trends and emerging technologies to maintain a competitive edge.
**Key Responsibilities:**
 As a Data Engineering Manager, you will play a crucial role in managing and delivering complex technical initiatives. Your time will be spent across various responsibilities, including:
* Leading workstream delivery and ensuring quality in all processes.
* Engaging with clients on a daily basis, actively participating in working sessions, and identifying opportunities for additional services.
* Implementing resource plans and budgets while managing engagement economics.
 This role offers the opportunity to work in a dynamic environment where you will face challenges that require innovative solutions. You will learn and grow as you guide others and interpret internal and external issues to recommend quality solutions. Travel may be required regularly based on client needs.
**Skills and attributes for success:**
 To thrive in this role, you should possess a blend of technical and interpersonal skills. The following attributes will make a significant impact:
* Lead the design and development of scalable data engineering solutions using Databricks on cloud platforms (e.g., AWS, Azure, GCP).
* Oversee the architecture of complex cloud analytics solutions, ensuring alignment with business objectives and best practices.
* Manage and mentor a team of data engineers, fostering a culture of innovation, collaboration, and continuous improvement.
* Collaborate with clients to understand their analytics needs and deliver tailored solutions that drive business value.
* Ensure the quality, integrity, and security of data throughout the data lifecycle, implementing best practices in data governance.
* Drive end\-to\-end data pipeline development, including data ingestion, transformation, and storage, leveraging Databricks and other cloud services.
* Communicate effectively with stakeholders, including technical and non\-technical audiences, to convey complex data concepts and project progress.
* Manage client relationships and expectations, ensuring high levels of satisfaction and engagement.
* Stay abreast of the latest trends and technologies in data engineering, cloud computing, and analytics.
* Strong analytical and problem\-solving abilities.
* Excellent communication skills, with the ability to convey complex information clearly.
* Proven experience in managing and delivering projects effectively.
* Ability to build and manage relationships with clients and stakeholders.
**To qualify for the role, you must have:**
* Bachelor’s degree in computer science, Engineering, or a related field required; Master’s degree preferred.
* Typically, no less than 4 \- 6 years relevant experience in data engineering, with a focus on cloud data solutions and analytics.
* Proven expertise in Databricks and experience with Spark for big data processing.
* Strong background in data architecture and design, with experience in building complex cloud analytics solutions.
* Experience in leading and managing teams, with a focus on mentoring and developing talent.
* Strong programming skills in languages such as Python, Scala, or SQL.
* Excellent problem\-solving skills and the ability to work independently and as part of a team.
* Strong communication and interpersonal skills, with a focus on client management.
**Required Expertise for Managerial Role:**
* Strategic Leadership: Ability to align data engineering initiatives with organizational goals and drive strategic vision.
* Project Management: Experience in managing multiple projects and teams, ensuring timely delivery and adherence to project scope.
* Stakeholder Engagement: Proficiency in engaging with various stakeholders, including executives, to understand their needs and present solutions effectively.
* Change Management: Skills in guiding clients through change processes related to data transformation and technology adoption.
* Risk Management: Ability to identify potential risks in data projects and develop mitigation strategies.
* Technical Leadership: Experience in leading technical discussions and making architectural decisions that impact project outcomes.
* Documentation and Reporting: Proficiency in creating comprehensive documentation and reports to communicate project progress and outcomes to clients.
**Large\-Scale Implementation Programs:**
* Enterprise Data Lake Implementation: Led the design and deployment of a cloud\-based data lake solution for a Fortune 500 retail client, integrating data from multiple sources (e.g., ERPs, POS systems, e\-commerce platforms) to enable advanced analytics and reporting capabilities.
* Real\-Time Analytics Platform: Managed the development of a real\-time analytics platform using Databricks for a financial services organization, enabling real\-time fraud detection and risk assessment through streaming data ingestion and processing.
* Data Warehouse Modernization: Oversaw the modernization of a legacy data warehouse to a cloud\-native architecture for a healthcare provider, implementing ETL processes with Databricks and improving data accessibility for analytics and reporting.
**Ideally, you’ll also have:**
* Experience with advanced data analytics tools and techniques.
* Familiarity with machine learning concepts and applications.
* Knowledge of industry trends and best practices in data engineering.
* Familiarity with cloud platforms (AWS, Azure, GCP) and their data services.
* Knowledge of data governance and compliance standards.
* Experience with machine learning frameworks and tools.
**What we look for:**
 We seek individuals who are not only technically proficient but also possess the qualities of top performers, including a strong sense of collaboration, adaptability, and a passion for continuous learning. If you are driven by results and have a desire to make a meaningful impact, we want to hear from you.
 FY26NATAID
**What We Offer You**
 At EY, we’ll develop you with future\-focused skills and equip you with world\-class experiences. We’ll empower you in a flexible environment, and fuel you and your extraordinary talents in a diverse and inclusive culture of globally connected teams. Learn more.
* We offer a comprehensive compensation and benefits package where you’ll be rewarded based on your performance and recognized for the value you bring to the business. The base salary range for this job in all geographic locations in the US is $125,500 to $230,200\. The base salary range for New York City Metro Area, Washington State and California (excluding Sacramento) is $150,700 to $261,600\. Individual salaries within those ranges are determined through a wide variety of factors including but not limited to education, experience, knowledge, skills and geography. In addition, our Total Rewards package includes medical and dental coverage, pension and 401(k) plans, and a wide range of paid time off options.
* Join us in our team\-led and leader\-enabled hybrid model. Our expectation is for most people in external, client serving roles to work together in person 40\-60% of the time over the course of an engagement, project or year.
* Under our flexible vacation policy, you’ll decide how much vacation time you need based on your own personal circumstances. You’ll also be granted time off for designated EY Paid Holidays, Winter/Summer breaks, Personal/Family Care, and other leaves of absence when needed to support your physical, financial, and emotional well\-being.
**Are you ready to shape your future with confidence? Apply today.**
 EY accepts applications for this position on an on\-going basis.
 For those living in California, please click here for additional information.
 EY focuses on high\-ethical standards and integrity among its employees and expects all candidates to demonstrate these qualities.
**EY \| Building a better working world**
 EY is building a better working world by creating new value for clients, people, society and the planet, while building trust in capital markets.
 Enabled by data, AI and advanced technology, EY teams help clients shape the future with confidence and develop answers for the most pressing issues of today and tomorrow.
 EY teams work across a full spectrum of services in assurance, consulting, tax, strategy and transactions. Fueled by sector insights, a globally connected, multi\-disciplinary network and diverse ecosystem partners, EY teams can provide services in more than 150 countries and territories.
 EY provides equal employment opportunities to applicants and employees without regard to race, color, religion, age, sex, sexual orientation, gender identity/expression, pregnancy, genetic information, national origin, protected veteran status, disability status, or any other legally protected basis, including arrest and conviction records, in accordance with applicable law.
 EY is committed to providing reasonable accommodation to qualified individuals with disabilities including veterans with disabilities. If you have a disability and either need assistance applying online or need to request an accommodation during any part of the application process, please call 1\-800\-EY\-HELP3, select Option 2 for candidate related inquiries, then select Option 1 for candidate queries and finally select Option 2 for candidates with an inquiry which will route you to EY’s Talent Shared Services Team (TSS) or email the TSS at ssc.customersupport@ey.com.</t>
        </is>
      </c>
    </row>
    <row r="54">
      <c r="A54" t="inlineStr">
        <is>
          <t>li-4282840890</t>
        </is>
      </c>
      <c r="B54" t="inlineStr">
        <is>
          <t>Databricks Data Engineer - Manager - Consulting - Location Open</t>
        </is>
      </c>
      <c r="C54" t="inlineStr">
        <is>
          <t>EY</t>
        </is>
      </c>
      <c r="D54" t="inlineStr">
        <is>
          <t>linkedin</t>
        </is>
      </c>
      <c r="E54" t="inlineStr"/>
      <c r="F54" t="inlineStr"/>
      <c r="G54" t="inlineStr">
        <is>
          <t>Des Moines, IA</t>
        </is>
      </c>
      <c r="H54" t="inlineStr"/>
      <c r="I54" t="inlineStr">
        <is>
          <t>Location: Anywhere in Country
 At EY, we’re all in to shape your future with confidence.
 We’ll help you succeed in a globally connected powerhouse of diverse teams and take your career wherever you want it to go. Join EY and help to build a better working world.
**Technology – Data and Decision Science – Data Engineering – Manager**
 We are looking for a dynamic and experienced Manager of Data Engineering to lead our team in designing and implementing complex cloud analytics solutions with a strong focus on Databricks. The ideal candidate will possess deep technical expertise in data architecture, cloud technologies, and analytics, along with exceptional leadership and client management skills.
**The opportunity:**
 In this role, you will design and build analytics solutions that deliver significant business value. You will collaborate with other data and analytics professionals, management, and stakeholders to ensure that business requirements are translated into effective technical solutions. Key responsibilities include:
* Understanding and analyzing business requirements to translate them into technical requirements.
* Designing, building, and operating scalable data architecture and modeling solutions.
* Staying up to date with the latest trends and emerging technologies to maintain a competitive edge.
**Key Responsibilities:**
 As a Data Engineering Manager, you will play a crucial role in managing and delivering complex technical initiatives. Your time will be spent across various responsibilities, including:
* Leading workstream delivery and ensuring quality in all processes.
* Engaging with clients on a daily basis, actively participating in working sessions, and identifying opportunities for additional services.
* Implementing resource plans and budgets while managing engagement economics.
 This role offers the opportunity to work in a dynamic environment where you will face challenges that require innovative solutions. You will learn and grow as you guide others and interpret internal and external issues to recommend quality solutions. Travel may be required regularly based on client needs.
**Skills and attributes for success:**
 To thrive in this role, you should possess a blend of technical and interpersonal skills. The following attributes will make a significant impact:
* Lead the design and development of scalable data engineering solutions using Databricks on cloud platforms (e.g., AWS, Azure, GCP).
* Oversee the architecture of complex cloud analytics solutions, ensuring alignment with business objectives and best practices.
* Manage and mentor a team of data engineers, fostering a culture of innovation, collaboration, and continuous improvement.
* Collaborate with clients to understand their analytics needs and deliver tailored solutions that drive business value.
* Ensure the quality, integrity, and security of data throughout the data lifecycle, implementing best practices in data governance.
* Drive end\-to\-end data pipeline development, including data ingestion, transformation, and storage, leveraging Databricks and other cloud services.
* Communicate effectively with stakeholders, including technical and non\-technical audiences, to convey complex data concepts and project progress.
* Manage client relationships and expectations, ensuring high levels of satisfaction and engagement.
* Stay abreast of the latest trends and technologies in data engineering, cloud computing, and analytics.
* Strong analytical and problem\-solving abilities.
* Excellent communication skills, with the ability to convey complex information clearly.
* Proven experience in managing and delivering projects effectively.
* Ability to build and manage relationships with clients and stakeholders.
**To qualify for the role, you must have:**
* Bachelor’s degree in computer science, Engineering, or a related field required; Master’s degree preferred.
* Typically, no less than 4 \- 6 years relevant experience in data engineering, with a focus on cloud data solutions and analytics.
* Proven expertise in Databricks and experience with Spark for big data processing.
* Strong background in data architecture and design, with experience in building complex cloud analytics solutions.
* Experience in leading and managing teams, with a focus on mentoring and developing talent.
* Strong programming skills in languages such as Python, Scala, or SQL.
* Excellent problem\-solving skills and the ability to work independently and as part of a team.
* Strong communication and interpersonal skills, with a focus on client management.
**Required Expertise for Managerial Role:**
* Strategic Leadership: Ability to align data engineering initiatives with organizational goals and drive strategic vision.
* Project Management: Experience in managing multiple projects and teams, ensuring timely delivery and adherence to project scope.
* Stakeholder Engagement: Proficiency in engaging with various stakeholders, including executives, to understand their needs and present solutions effectively.
* Change Management: Skills in guiding clients through change processes related to data transformation and technology adoption.
* Risk Management: Ability to identify potential risks in data projects and develop mitigation strategies.
* Technical Leadership: Experience in leading technical discussions and making architectural decisions that impact project outcomes.
* Documentation and Reporting: Proficiency in creating comprehensive documentation and reports to communicate project progress and outcomes to clients.
**Large\-Scale Implementation Programs:**
* Enterprise Data Lake Implementation: Led the design and deployment of a cloud\-based data lake solution for a Fortune 500 retail client, integrating data from multiple sources (e.g., ERPs, POS systems, e\-commerce platforms) to enable advanced analytics and reporting capabilities.
* Real\-Time Analytics Platform: Managed the development of a real\-time analytics platform using Databricks for a financial services organization, enabling real\-time fraud detection and risk assessment through streaming data ingestion and processing.
* Data Warehouse Modernization: Oversaw the modernization of a legacy data warehouse to a cloud\-native architecture for a healthcare provider, implementing ETL processes with Databricks and improving data accessibility for analytics and reporting.
**Ideally, you’ll also have:**
* Experience with advanced data analytics tools and techniques.
* Familiarity with machine learning concepts and applications.
* Knowledge of industry trends and best practices in data engineering.
* Familiarity with cloud platforms (AWS, Azure, GCP) and their data services.
* Knowledge of data governance and compliance standards.
* Experience with machine learning frameworks and tools.
**What we look for:**
 We seek individuals who are not only technically proficient but also possess the qualities of top performers, including a strong sense of collaboration, adaptability, and a passion for continuous learning. If you are driven by results and have a desire to make a meaningful impact, we want to hear from you.
 FY26NATAID
**What We Offer You**
 At EY, we’ll develop you with future\-focused skills and equip you with world\-class experiences. We’ll empower you in a flexible environment, and fuel you and your extraordinary talents in a diverse and inclusive culture of globally connected teams. Learn more.
* We offer a comprehensive compensation and benefits package where you’ll be rewarded based on your performance and recognized for the value you bring to the business. The base salary range for this job in all geographic locations in the US is $125,500 to $230,200\. The base salary range for New York City Metro Area, Washington State and California (excluding Sacramento) is $150,700 to $261,600\. Individual salaries within those ranges are determined through a wide variety of factors including but not limited to education, experience, knowledge, skills and geography. In addition, our Total Rewards package includes medical and dental coverage, pension and 401(k) plans, and a wide range of paid time off options.
* Join us in our team\-led and leader\-enabled hybrid model. Our expectation is for most people in external, client serving roles to work together in person 40\-60% of the time over the course of an engagement, project or year.
* Under our flexible vacation policy, you’ll decide how much vacation time you need based on your own personal circumstances. You’ll also be granted time off for designated EY Paid Holidays, Winter/Summer breaks, Personal/Family Care, and other leaves of absence when needed to support your physical, financial, and emotional well\-being.
**Are you ready to shape your future with confidence? Apply today.**
 EY accepts applications for this position on an on\-going basis.
 For those living in California, please click here for additional information.
 EY focuses on high\-ethical standards and integrity among its employees and expects all candidates to demonstrate these qualities.
**EY \| Building a better working world**
 EY is building a better working world by creating new value for clients, people, society and the planet, while building trust in capital markets.
 Enabled by data, AI and advanced technology, EY teams help clients shape the future with confidence and develop answers for the most pressing issues of today and tomorrow.
 EY teams work across a full spectrum of services in assurance, consulting, tax, strategy and transactions. Fueled by sector insights, a globally connected, multi\-disciplinary network and diverse ecosystem partners, EY teams can provide services in more than 150 countries and territories.
 EY provides equal employment opportunities to applicants and employees without regard to race, color, religion, age, sex, sexual orientation, gender identity/expression, pregnancy, genetic information, national origin, protected veteran status, disability status, or any other legally protected basis, including arrest and conviction records, in accordance with applicable law.
 EY is committed to providing reasonable accommodation to qualified individuals with disabilities including veterans with disabilities. If you have a disability and either need assistance applying online or need to request an accommodation during any part of the application process, please call 1\-800\-EY\-HELP3, select Option 2 for candidate related inquiries, then select Option 1 for candidate queries and finally select Option 2 for candidates with an inquiry which will route you to EY’s Talent Shared Services Team (TSS) or email the TSS at ssc.customersupport@ey.com.</t>
        </is>
      </c>
    </row>
    <row r="55">
      <c r="A55" t="inlineStr">
        <is>
          <t>li-4282844225</t>
        </is>
      </c>
      <c r="B55" t="inlineStr">
        <is>
          <t>Databricks Data Engineer - Manager - Consulting - Location Open</t>
        </is>
      </c>
      <c r="C55" t="inlineStr">
        <is>
          <t>EY</t>
        </is>
      </c>
      <c r="D55" t="inlineStr">
        <is>
          <t>linkedin</t>
        </is>
      </c>
      <c r="E55" t="inlineStr"/>
      <c r="F55" t="inlineStr"/>
      <c r="G55" t="inlineStr">
        <is>
          <t>Kansas City, MO</t>
        </is>
      </c>
      <c r="H55" t="inlineStr"/>
      <c r="I55" t="inlineStr">
        <is>
          <t>Location: Anywhere in Country
 At EY, we’re all in to shape your future with confidence.
 We’ll help you succeed in a globally connected powerhouse of diverse teams and take your career wherever you want it to go. Join EY and help to build a better working world.
**Technology – Data and Decision Science – Data Engineering – Manager**
 We are looking for a dynamic and experienced Manager of Data Engineering to lead our team in designing and implementing complex cloud analytics solutions with a strong focus on Databricks. The ideal candidate will possess deep technical expertise in data architecture, cloud technologies, and analytics, along with exceptional leadership and client management skills.
**The opportunity:**
 In this role, you will design and build analytics solutions that deliver significant business value. You will collaborate with other data and analytics professionals, management, and stakeholders to ensure that business requirements are translated into effective technical solutions. Key responsibilities include:
* Understanding and analyzing business requirements to translate them into technical requirements.
* Designing, building, and operating scalable data architecture and modeling solutions.
* Staying up to date with the latest trends and emerging technologies to maintain a competitive edge.
**Key Responsibilities:**
 As a Data Engineering Manager, you will play a crucial role in managing and delivering complex technical initiatives. Your time will be spent across various responsibilities, including:
* Leading workstream delivery and ensuring quality in all processes.
* Engaging with clients on a daily basis, actively participating in working sessions, and identifying opportunities for additional services.
* Implementing resource plans and budgets while managing engagement economics.
 This role offers the opportunity to work in a dynamic environment where you will face challenges that require innovative solutions. You will learn and grow as you guide others and interpret internal and external issues to recommend quality solutions. Travel may be required regularly based on client needs.
**Skills and attributes for success:**
 To thrive in this role, you should possess a blend of technical and interpersonal skills. The following attributes will make a significant impact:
* Lead the design and development of scalable data engineering solutions using Databricks on cloud platforms (e.g., AWS, Azure, GCP).
* Oversee the architecture of complex cloud analytics solutions, ensuring alignment with business objectives and best practices.
* Manage and mentor a team of data engineers, fostering a culture of innovation, collaboration, and continuous improvement.
* Collaborate with clients to understand their analytics needs and deliver tailored solutions that drive business value.
* Ensure the quality, integrity, and security of data throughout the data lifecycle, implementing best practices in data governance.
* Drive end\-to\-end data pipeline development, including data ingestion, transformation, and storage, leveraging Databricks and other cloud services.
* Communicate effectively with stakeholders, including technical and non\-technical audiences, to convey complex data concepts and project progress.
* Manage client relationships and expectations, ensuring high levels of satisfaction and engagement.
* Stay abreast of the latest trends and technologies in data engineering, cloud computing, and analytics.
* Strong analytical and problem\-solving abilities.
* Excellent communication skills, with the ability to convey complex information clearly.
* Proven experience in managing and delivering projects effectively.
* Ability to build and manage relationships with clients and stakeholders.
**To qualify for the role, you must have:**
* Bachelor’s degree in computer science, Engineering, or a related field required; Master’s degree preferred.
* Typically, no less than 4 \- 6 years relevant experience in data engineering, with a focus on cloud data solutions and analytics.
* Proven expertise in Databricks and experience with Spark for big data processing.
* Strong background in data architecture and design, with experience in building complex cloud analytics solutions.
* Experience in leading and managing teams, with a focus on mentoring and developing talent.
* Strong programming skills in languages such as Python, Scala, or SQL.
* Excellent problem\-solving skills and the ability to work independently and as part of a team.
* Strong communication and interpersonal skills, with a focus on client management.
**Required Expertise for Managerial Role:**
* Strategic Leadership: Ability to align data engineering initiatives with organizational goals and drive strategic vision.
* Project Management: Experience in managing multiple projects and teams, ensuring timely delivery and adherence to project scope.
* Stakeholder Engagement: Proficiency in engaging with various stakeholders, including executives, to understand their needs and present solutions effectively.
* Change Management: Skills in guiding clients through change processes related to data transformation and technology adoption.
* Risk Management: Ability to identify potential risks in data projects and develop mitigation strategies.
* Technical Leadership: Experience in leading technical discussions and making architectural decisions that impact project outcomes.
* Documentation and Reporting: Proficiency in creating comprehensive documentation and reports to communicate project progress and outcomes to clients.
**Large\-Scale Implementation Programs:**
* Enterprise Data Lake Implementation: Led the design and deployment of a cloud\-based data lake solution for a Fortune 500 retail client, integrating data from multiple sources (e.g., ERPs, POS systems, e\-commerce platforms) to enable advanced analytics and reporting capabilities.
* Real\-Time Analytics Platform: Managed the development of a real\-time analytics platform using Databricks for a financial services organization, enabling real\-time fraud detection and risk assessment through streaming data ingestion and processing.
* Data Warehouse Modernization: Oversaw the modernization of a legacy data warehouse to a cloud\-native architecture for a healthcare provider, implementing ETL processes with Databricks and improving data accessibility for analytics and reporting.
**Ideally, you’ll also have:**
* Experience with advanced data analytics tools and techniques.
* Familiarity with machine learning concepts and applications.
* Knowledge of industry trends and best practices in data engineering.
* Familiarity with cloud platforms (AWS, Azure, GCP) and their data services.
* Knowledge of data governance and compliance standards.
* Experience with machine learning frameworks and tools.
**What we look for:**
 We seek individuals who are not only technically proficient but also possess the qualities of top performers, including a strong sense of collaboration, adaptability, and a passion for continuous learning. If you are driven by results and have a desire to make a meaningful impact, we want to hear from you.
 FY26NATAID
**What We Offer You**
 At EY, we’ll develop you with future\-focused skills and equip you with world\-class experiences. We’ll empower you in a flexible environment, and fuel you and your extraordinary talents in a diverse and inclusive culture of globally connected teams. Learn more.
* We offer a comprehensive compensation and benefits package where you’ll be rewarded based on your performance and recognized for the value you bring to the business. The base salary range for this job in all geographic locations in the US is $125,500 to $230,200\. The base salary range for New York City Metro Area, Washington State and California (excluding Sacramento) is $150,700 to $261,600\. Individual salaries within those ranges are determined through a wide variety of factors including but not limited to education, experience, knowledge, skills and geography. In addition, our Total Rewards package includes medical and dental coverage, pension and 401(k) plans, and a wide range of paid time off options.
* Join us in our team\-led and leader\-enabled hybrid model. Our expectation is for most people in external, client serving roles to work together in person 40\-60% of the time over the course of an engagement, project or year.
* Under our flexible vacation policy, you’ll decide how much vacation time you need based on your own personal circumstances. You’ll also be granted time off for designated EY Paid Holidays, Winter/Summer breaks, Personal/Family Care, and other leaves of absence when needed to support your physical, financial, and emotional well\-being.
**Are you ready to shape your future with confidence? Apply today.**
 EY accepts applications for this position on an on\-going basis.
 For those living in California, please click here for additional information.
 EY focuses on high\-ethical standards and integrity among its employees and expects all candidates to demonstrate these qualities.
**EY \| Building a better working world**
 EY is building a better working world by creating new value for clients, people, society and the planet, while building trust in capital markets.
 Enabled by data, AI and advanced technology, EY teams help clients shape the future with confidence and develop answers for the most pressing issues of today and tomorrow.
 EY teams work across a full spectrum of services in assurance, consulting, tax, strategy and transactions. Fueled by sector insights, a globally connected, multi\-disciplinary network and diverse ecosystem partners, EY teams can provide services in more than 150 countries and territories.
 EY provides equal employment opportunities to applicants and employees without regard to race, color, religion, age, sex, sexual orientation, gender identity/expression, pregnancy, genetic information, national origin, protected veteran status, disability status, or any other legally protected basis, including arrest and conviction records, in accordance with applicable law.
 EY is committed to providing reasonable accommodation to qualified individuals with disabilities including veterans with disabilities. If you have a disability and either need assistance applying online or need to request an accommodation during any part of the application process, please call 1\-800\-EY\-HELP3, select Option 2 for candidate related inquiries, then select Option 1 for candidate queries and finally select Option 2 for candidates with an inquiry which will route you to EY’s Talent Shared Services Team (TSS) or email the TSS at ssc.customersupport@ey.com.</t>
        </is>
      </c>
    </row>
    <row r="56">
      <c r="A56" t="inlineStr">
        <is>
          <t>li-4282842592</t>
        </is>
      </c>
      <c r="B56" t="inlineStr">
        <is>
          <t>Databricks Data Engineer - Manager - Consulting - Location Open</t>
        </is>
      </c>
      <c r="C56" t="inlineStr">
        <is>
          <t>EY</t>
        </is>
      </c>
      <c r="D56" t="inlineStr">
        <is>
          <t>linkedin</t>
        </is>
      </c>
      <c r="E56" t="inlineStr"/>
      <c r="F56" t="inlineStr"/>
      <c r="G56" t="inlineStr">
        <is>
          <t>Tucson, AZ</t>
        </is>
      </c>
      <c r="H56" t="inlineStr"/>
      <c r="I56" t="inlineStr">
        <is>
          <t>Location: Anywhere in Country
 At EY, we’re all in to shape your future with confidence.
 We’ll help you succeed in a globally connected powerhouse of diverse teams and take your career wherever you want it to go. Join EY and help to build a better working world.
**Technology – Data and Decision Science – Data Engineering – Manager**
 We are looking for a dynamic and experienced Manager of Data Engineering to lead our team in designing and implementing complex cloud analytics solutions with a strong focus on Databricks. The ideal candidate will possess deep technical expertise in data architecture, cloud technologies, and analytics, along with exceptional leadership and client management skills.
**The opportunity:**
 In this role, you will design and build analytics solutions that deliver significant business value. You will collaborate with other data and analytics professionals, management, and stakeholders to ensure that business requirements are translated into effective technical solutions. Key responsibilities include:
* Understanding and analyzing business requirements to translate them into technical requirements.
* Designing, building, and operating scalable data architecture and modeling solutions.
* Staying up to date with the latest trends and emerging technologies to maintain a competitive edge.
**Key Responsibilities:**
 As a Data Engineering Manager, you will play a crucial role in managing and delivering complex technical initiatives. Your time will be spent across various responsibilities, including:
* Leading workstream delivery and ensuring quality in all processes.
* Engaging with clients on a daily basis, actively participating in working sessions, and identifying opportunities for additional services.
* Implementing resource plans and budgets while managing engagement economics.
 This role offers the opportunity to work in a dynamic environment where you will face challenges that require innovative solutions. You will learn and grow as you guide others and interpret internal and external issues to recommend quality solutions. Travel may be required regularly based on client needs.
**Skills and attributes for success:**
 To thrive in this role, you should possess a blend of technical and interpersonal skills. The following attributes will make a significant impact:
* Lead the design and development of scalable data engineering solutions using Databricks on cloud platforms (e.g., AWS, Azure, GCP).
* Oversee the architecture of complex cloud analytics solutions, ensuring alignment with business objectives and best practices.
* Manage and mentor a team of data engineers, fostering a culture of innovation, collaboration, and continuous improvement.
* Collaborate with clients to understand their analytics needs and deliver tailored solutions that drive business value.
* Ensure the quality, integrity, and security of data throughout the data lifecycle, implementing best practices in data governance.
* Drive end\-to\-end data pipeline development, including data ingestion, transformation, and storage, leveraging Databricks and other cloud services.
* Communicate effectively with stakeholders, including technical and non\-technical audiences, to convey complex data concepts and project progress.
* Manage client relationships and expectations, ensuring high levels of satisfaction and engagement.
* Stay abreast of the latest trends and technologies in data engineering, cloud computing, and analytics.
* Strong analytical and problem\-solving abilities.
* Excellent communication skills, with the ability to convey complex information clearly.
* Proven experience in managing and delivering projects effectively.
* Ability to build and manage relationships with clients and stakeholders.
**To qualify for the role, you must have:**
* Bachelor’s degree in computer science, Engineering, or a related field required; Master’s degree preferred.
* Typically, no less than 4 \- 6 years relevant experience in data engineering, with a focus on cloud data solutions and analytics.
* Proven expertise in Databricks and experience with Spark for big data processing.
* Strong background in data architecture and design, with experience in building complex cloud analytics solutions.
* Experience in leading and managing teams, with a focus on mentoring and developing talent.
* Strong programming skills in languages such as Python, Scala, or SQL.
* Excellent problem\-solving skills and the ability to work independently and as part of a team.
* Strong communication and interpersonal skills, with a focus on client management.
**Required Expertise for Managerial Role:**
* Strategic Leadership: Ability to align data engineering initiatives with organizational goals and drive strategic vision.
* Project Management: Experience in managing multiple projects and teams, ensuring timely delivery and adherence to project scope.
* Stakeholder Engagement: Proficiency in engaging with various stakeholders, including executives, to understand their needs and present solutions effectively.
* Change Management: Skills in guiding clients through change processes related to data transformation and technology adoption.
* Risk Management: Ability to identify potential risks in data projects and develop mitigation strategies.
* Technical Leadership: Experience in leading technical discussions and making architectural decisions that impact project outcomes.
* Documentation and Reporting: Proficiency in creating comprehensive documentation and reports to communicate project progress and outcomes to clients.
**Large\-Scale Implementation Programs:**
* Enterprise Data Lake Implementation: Led the design and deployment of a cloud\-based data lake solution for a Fortune 500 retail client, integrating data from multiple sources (e.g., ERPs, POS systems, e\-commerce platforms) to enable advanced analytics and reporting capabilities.
* Real\-Time Analytics Platform: Managed the development of a real\-time analytics platform using Databricks for a financial services organization, enabling real\-time fraud detection and risk assessment through streaming data ingestion and processing.
* Data Warehouse Modernization: Oversaw the modernization of a legacy data warehouse to a cloud\-native architecture for a healthcare provider, implementing ETL processes with Databricks and improving data accessibility for analytics and reporting.
**Ideally, you’ll also have:**
* Experience with advanced data analytics tools and techniques.
* Familiarity with machine learning concepts and applications.
* Knowledge of industry trends and best practices in data engineering.
* Familiarity with cloud platforms (AWS, Azure, GCP) and their data services.
* Knowledge of data governance and compliance standards.
* Experience with machine learning frameworks and tools.
**What we look for:**
 We seek individuals who are not only technically proficient but also possess the qualities of top performers, including a strong sense of collaboration, adaptability, and a passion for continuous learning. If you are driven by results and have a desire to make a meaningful impact, we want to hear from you.
 FY26NATAID
**What We Offer You**
 At EY, we’ll develop you with future\-focused skills and equip you with world\-class experiences. We’ll empower you in a flexible environment, and fuel you and your extraordinary talents in a diverse and inclusive culture of globally connected teams. Learn more.
* We offer a comprehensive compensation and benefits package where you’ll be rewarded based on your performance and recognized for the value you bring to the business. The base salary range for this job in all geographic locations in the US is $125,500 to $230,200\. The base salary range for New York City Metro Area, Washington State and California (excluding Sacramento) is $150,700 to $261,600\. Individual salaries within those ranges are determined through a wide variety of factors including but not limited to education, experience, knowledge, skills and geography. In addition, our Total Rewards package includes medical and dental coverage, pension and 401(k) plans, and a wide range of paid time off options.
* Join us in our team\-led and leader\-enabled hybrid model. Our expectation is for most people in external, client serving roles to work together in person 40\-60% of the time over the course of an engagement, project or year.
* Under our flexible vacation policy, you’ll decide how much vacation time you need based on your own personal circumstances. You’ll also be granted time off for designated EY Paid Holidays, Winter/Summer breaks, Personal/Family Care, and other leaves of absence when needed to support your physical, financial, and emotional well\-being.
**Are you ready to shape your future with confidence? Apply today.**
 EY accepts applications for this position on an on\-going basis.
 For those living in California, please click here for additional information.
 EY focuses on high\-ethical standards and integrity among its employees and expects all candidates to demonstrate these qualities.
**EY \| Building a better working world**
 EY is building a better working world by creating new value for clients, people, society and the planet, while building trust in capital markets.
 Enabled by data, AI and advanced technology, EY teams help clients shape the future with confidence and develop answers for the most pressing issues of today and tomorrow.
 EY teams work across a full spectrum of services in assurance, consulting, tax, strategy and transactions. Fueled by sector insights, a globally connected, multi\-disciplinary network and diverse ecosystem partners, EY teams can provide services in more than 150 countries and territories.
 EY provides equal employment opportunities to applicants and employees without regard to race, color, religion, age, sex, sexual orientation, gender identity/expression, pregnancy, genetic information, national origin, protected veteran status, disability status, or any other legally protected basis, including arrest and conviction records, in accordance with applicable law.
 EY is committed to providing reasonable accommodation to qualified individuals with disabilities including veterans with disabilities. If you have a disability and either need assistance applying online or need to request an accommodation during any part of the application process, please call 1\-800\-EY\-HELP3, select Option 2 for candidate related inquiries, then select Option 1 for candidate queries and finally select Option 2 for candidates with an inquiry which will route you to EY’s Talent Shared Services Team (TSS) or email the TSS at ssc.customersupport@ey.com.</t>
        </is>
      </c>
    </row>
    <row r="57">
      <c r="A57" t="inlineStr">
        <is>
          <t>li-4282843517</t>
        </is>
      </c>
      <c r="B57" t="inlineStr">
        <is>
          <t>Databricks Data Engineer - Manager - Consulting - Location Open</t>
        </is>
      </c>
      <c r="C57" t="inlineStr">
        <is>
          <t>EY</t>
        </is>
      </c>
      <c r="D57" t="inlineStr">
        <is>
          <t>linkedin</t>
        </is>
      </c>
      <c r="E57" t="inlineStr"/>
      <c r="F57" t="inlineStr"/>
      <c r="G57" t="inlineStr">
        <is>
          <t>Charleston, WV</t>
        </is>
      </c>
      <c r="H57" t="inlineStr"/>
      <c r="I57" t="inlineStr">
        <is>
          <t>Location: Anywhere in Country
 At EY, we’re all in to shape your future with confidence.
 We’ll help you succeed in a globally connected powerhouse of diverse teams and take your career wherever you want it to go. Join EY and help to build a better working world.
**Technology – Data and Decision Science – Data Engineering – Manager**
 We are looking for a dynamic and experienced Manager of Data Engineering to lead our team in designing and implementing complex cloud analytics solutions with a strong focus on Databricks. The ideal candidate will possess deep technical expertise in data architecture, cloud technologies, and analytics, along with exceptional leadership and client management skills.
**The opportunity:**
 In this role, you will design and build analytics solutions that deliver significant business value. You will collaborate with other data and analytics professionals, management, and stakeholders to ensure that business requirements are translated into effective technical solutions. Key responsibilities include:
* Understanding and analyzing business requirements to translate them into technical requirements.
* Designing, building, and operating scalable data architecture and modeling solutions.
* Staying up to date with the latest trends and emerging technologies to maintain a competitive edge.
**Key Responsibilities:**
 As a Data Engineering Manager, you will play a crucial role in managing and delivering complex technical initiatives. Your time will be spent across various responsibilities, including:
* Leading workstream delivery and ensuring quality in all processes.
* Engaging with clients on a daily basis, actively participating in working sessions, and identifying opportunities for additional services.
* Implementing resource plans and budgets while managing engagement economics.
 This role offers the opportunity to work in a dynamic environment where you will face challenges that require innovative solutions. You will learn and grow as you guide others and interpret internal and external issues to recommend quality solutions. Travel may be required regularly based on client needs.
**Skills and attributes for success:**
 To thrive in this role, you should possess a blend of technical and interpersonal skills. The following attributes will make a significant impact:
* Lead the design and development of scalable data engineering solutions using Databricks on cloud platforms (e.g., AWS, Azure, GCP).
* Oversee the architecture of complex cloud analytics solutions, ensuring alignment with business objectives and best practices.
* Manage and mentor a team of data engineers, fostering a culture of innovation, collaboration, and continuous improvement.
* Collaborate with clients to understand their analytics needs and deliver tailored solutions that drive business value.
* Ensure the quality, integrity, and security of data throughout the data lifecycle, implementing best practices in data governance.
* Drive end\-to\-end data pipeline development, including data ingestion, transformation, and storage, leveraging Databricks and other cloud services.
* Communicate effectively with stakeholders, including technical and non\-technical audiences, to convey complex data concepts and project progress.
* Manage client relationships and expectations, ensuring high levels of satisfaction and engagement.
* Stay abreast of the latest trends and technologies in data engineering, cloud computing, and analytics.
* Strong analytical and problem\-solving abilities.
* Excellent communication skills, with the ability to convey complex information clearly.
* Proven experience in managing and delivering projects effectively.
* Ability to build and manage relationships with clients and stakeholders.
**To qualify for the role, you must have:**
* Bachelor’s degree in computer science, Engineering, or a related field required; Master’s degree preferred.
* Typically, no less than 4 \- 6 years relevant experience in data engineering, with a focus on cloud data solutions and analytics.
* Proven expertise in Databricks and experience with Spark for big data processing.
* Strong background in data architecture and design, with experience in building complex cloud analytics solutions.
* Experience in leading and managing teams, with a focus on mentoring and developing talent.
* Strong programming skills in languages such as Python, Scala, or SQL.
* Excellent problem\-solving skills and the ability to work independently and as part of a team.
* Strong communication and interpersonal skills, with a focus on client management.
**Required Expertise for Managerial Role:**
* Strategic Leadership: Ability to align data engineering initiatives with organizational goals and drive strategic vision.
* Project Management: Experience in managing multiple projects and teams, ensuring timely delivery and adherence to project scope.
* Stakeholder Engagement: Proficiency in engaging with various stakeholders, including executives, to understand their needs and present solutions effectively.
* Change Management: Skills in guiding clients through change processes related to data transformation and technology adoption.
* Risk Management: Ability to identify potential risks in data projects and develop mitigation strategies.
* Technical Leadership: Experience in leading technical discussions and making architectural decisions that impact project outcomes.
* Documentation and Reporting: Proficiency in creating comprehensive documentation and reports to communicate project progress and outcomes to clients.
**Large\-Scale Implementation Programs:**
* Enterprise Data Lake Implementation: Led the design and deployment of a cloud\-based data lake solution for a Fortune 500 retail client, integrating data from multiple sources (e.g., ERPs, POS systems, e\-commerce platforms) to enable advanced analytics and reporting capabilities.
* Real\-Time Analytics Platform: Managed the development of a real\-time analytics platform using Databricks for a financial services organization, enabling real\-time fraud detection and risk assessment through streaming data ingestion and processing.
* Data Warehouse Modernization: Oversaw the modernization of a legacy data warehouse to a cloud\-native architecture for a healthcare provider, implementing ETL processes with Databricks and improving data accessibility for analytics and reporting.
**Ideally, you’ll also have:**
* Experience with advanced data analytics tools and techniques.
* Familiarity with machine learning concepts and applications.
* Knowledge of industry trends and best practices in data engineering.
* Familiarity with cloud platforms (AWS, Azure, GCP) and their data services.
* Knowledge of data governance and compliance standards.
* Experience with machine learning frameworks and tools.
**What we look for:**
 We seek individuals who are not only technically proficient but also possess the qualities of top performers, including a strong sense of collaboration, adaptability, and a passion for continuous learning. If you are driven by results and have a desire to make a meaningful impact, we want to hear from you.
 FY26NATAID
**What We Offer You**
 At EY, we’ll develop you with future\-focused skills and equip you with world\-class experiences. We’ll empower you in a flexible environment, and fuel you and your extraordinary talents in a diverse and inclusive culture of globally connected teams. Learn more.
* We offer a comprehensive compensation and benefits package where you’ll be rewarded based on your performance and recognized for the value you bring to the business. The base salary range for this job in all geographic locations in the US is $125,500 to $230,200\. The base salary range for New York City Metro Area, Washington State and California (excluding Sacramento) is $150,700 to $261,600\. Individual salaries within those ranges are determined through a wide variety of factors including but not limited to education, experience, knowledge, skills and geography. In addition, our Total Rewards package includes medical and dental coverage, pension and 401(k) plans, and a wide range of paid time off options.
* Join us in our team\-led and leader\-enabled hybrid model. Our expectation is for most people in external, client serving roles to work together in person 40\-60% of the time over the course of an engagement, project or year.
* Under our flexible vacation policy, you’ll decide how much vacation time you need based on your own personal circumstances. You’ll also be granted time off for designated EY Paid Holidays, Winter/Summer breaks, Personal/Family Care, and other leaves of absence when needed to support your physical, financial, and emotional well\-being.
**Are you ready to shape your future with confidence? Apply today.**
 EY accepts applications for this position on an on\-going basis.
 For those living in California, please click here for additional information.
 EY focuses on high\-ethical standards and integrity among its employees and expects all candidates to demonstrate these qualities.
**EY \| Building a better working world**
 EY is building a better working world by creating new value for clients, people, society and the planet, while building trust in capital markets.
 Enabled by data, AI and advanced technology, EY teams help clients shape the future with confidence and develop answers for the most pressing issues of today and tomorrow.
 EY teams work across a full spectrum of services in assurance, consulting, tax, strategy and transactions. Fueled by sector insights, a globally connected, multi\-disciplinary network and diverse ecosystem partners, EY teams can provide services in more than 150 countries and territories.
 EY provides equal employment opportunities to applicants and employees without regard to race, color, religion, age, sex, sexual orientation, gender identity/expression, pregnancy, genetic information, national origin, protected veteran status, disability status, or any other legally protected basis, including arrest and conviction records, in accordance with applicable law.
 EY is committed to providing reasonable accommodation to qualified individuals with disabilities including veterans with disabilities. If you have a disability and either need assistance applying online or need to request an accommodation during any part of the application process, please call 1\-800\-EY\-HELP3, select Option 2 for candidate related inquiries, then select Option 1 for candidate queries and finally select Option 2 for candidates with an inquiry which will route you to EY’s Talent Shared Services Team (TSS) or email the TSS at ssc.customersupport@ey.com.</t>
        </is>
      </c>
    </row>
    <row r="58">
      <c r="A58" t="inlineStr">
        <is>
          <t>li-4282843513</t>
        </is>
      </c>
      <c r="B58" t="inlineStr">
        <is>
          <t>Databricks Data Engineer - Manager - Consulting - Location Open</t>
        </is>
      </c>
      <c r="C58" t="inlineStr">
        <is>
          <t>EY</t>
        </is>
      </c>
      <c r="D58" t="inlineStr">
        <is>
          <t>linkedin</t>
        </is>
      </c>
      <c r="E58" t="inlineStr"/>
      <c r="F58" t="inlineStr"/>
      <c r="G58" t="inlineStr">
        <is>
          <t>Oklahoma City, OK</t>
        </is>
      </c>
      <c r="H58" t="inlineStr"/>
      <c r="I58" t="inlineStr">
        <is>
          <t>Location: Anywhere in Country
 At EY, we’re all in to shape your future with confidence.
 We’ll help you succeed in a globally connected powerhouse of diverse teams and take your career wherever you want it to go. Join EY and help to build a better working world.
**Technology – Data and Decision Science – Data Engineering – Manager**
 We are looking for a dynamic and experienced Manager of Data Engineering to lead our team in designing and implementing complex cloud analytics solutions with a strong focus on Databricks. The ideal candidate will possess deep technical expertise in data architecture, cloud technologies, and analytics, along with exceptional leadership and client management skills.
**The opportunity:**
 In this role, you will design and build analytics solutions that deliver significant business value. You will collaborate with other data and analytics professionals, management, and stakeholders to ensure that business requirements are translated into effective technical solutions. Key responsibilities include:
* Understanding and analyzing business requirements to translate them into technical requirements.
* Designing, building, and operating scalable data architecture and modeling solutions.
* Staying up to date with the latest trends and emerging technologies to maintain a competitive edge.
**Key Responsibilities:**
 As a Data Engineering Manager, you will play a crucial role in managing and delivering complex technical initiatives. Your time will be spent across various responsibilities, including:
* Leading workstream delivery and ensuring quality in all processes.
* Engaging with clients on a daily basis, actively participating in working sessions, and identifying opportunities for additional services.
* Implementing resource plans and budgets while managing engagement economics.
 This role offers the opportunity to work in a dynamic environment where you will face challenges that require innovative solutions. You will learn and grow as you guide others and interpret internal and external issues to recommend quality solutions. Travel may be required regularly based on client needs.
**Skills and attributes for success:**
 To thrive in this role, you should possess a blend of technical and interpersonal skills. The following attributes will make a significant impact:
* Lead the design and development of scalable data engineering solutions using Databricks on cloud platforms (e.g., AWS, Azure, GCP).
* Oversee the architecture of complex cloud analytics solutions, ensuring alignment with business objectives and best practices.
* Manage and mentor a team of data engineers, fostering a culture of innovation, collaboration, and continuous improvement.
* Collaborate with clients to understand their analytics needs and deliver tailored solutions that drive business value.
* Ensure the quality, integrity, and security of data throughout the data lifecycle, implementing best practices in data governance.
* Drive end\-to\-end data pipeline development, including data ingestion, transformation, and storage, leveraging Databricks and other cloud services.
* Communicate effectively with stakeholders, including technical and non\-technical audiences, to convey complex data concepts and project progress.
* Manage client relationships and expectations, ensuring high levels of satisfaction and engagement.
* Stay abreast of the latest trends and technologies in data engineering, cloud computing, and analytics.
* Strong analytical and problem\-solving abilities.
* Excellent communication skills, with the ability to convey complex information clearly.
* Proven experience in managing and delivering projects effectively.
* Ability to build and manage relationships with clients and stakeholders.
**To qualify for the role, you must have:**
* Bachelor’s degree in computer science, Engineering, or a related field required; Master’s degree preferred.
* Typically, no less than 4 \- 6 years relevant experience in data engineering, with a focus on cloud data solutions and analytics.
* Proven expertise in Databricks and experience with Spark for big data processing.
* Strong background in data architecture and design, with experience in building complex cloud analytics solutions.
* Experience in leading and managing teams, with a focus on mentoring and developing talent.
* Strong programming skills in languages such as Python, Scala, or SQL.
* Excellent problem\-solving skills and the ability to work independently and as part of a team.
* Strong communication and interpersonal skills, with a focus on client management.
**Required Expertise for Managerial Role:**
* Strategic Leadership: Ability to align data engineering initiatives with organizational goals and drive strategic vision.
* Project Management: Experience in managing multiple projects and teams, ensuring timely delivery and adherence to project scope.
* Stakeholder Engagement: Proficiency in engaging with various stakeholders, including executives, to understand their needs and present solutions effectively.
* Change Management: Skills in guiding clients through change processes related to data transformation and technology adoption.
* Risk Management: Ability to identify potential risks in data projects and develop mitigation strategies.
* Technical Leadership: Experience in leading technical discussions and making architectural decisions that impact project outcomes.
* Documentation and Reporting: Proficiency in creating comprehensive documentation and reports to communicate project progress and outcomes to clients.
**Large\-Scale Implementation Programs:**
* Enterprise Data Lake Implementation: Led the design and deployment of a cloud\-based data lake solution for a Fortune 500 retail client, integrating data from multiple sources (e.g., ERPs, POS systems, e\-commerce platforms) to enable advanced analytics and reporting capabilities.
* Real\-Time Analytics Platform: Managed the development of a real\-time analytics platform using Databricks for a financial services organization, enabling real\-time fraud detection and risk assessment through streaming data ingestion and processing.
* Data Warehouse Modernization: Oversaw the modernization of a legacy data warehouse to a cloud\-native architecture for a healthcare provider, implementing ETL processes with Databricks and improving data accessibility for analytics and reporting.
**Ideally, you’ll also have:**
* Experience with advanced data analytics tools and techniques.
* Familiarity with machine learning concepts and applications.
* Knowledge of industry trends and best practices in data engineering.
* Familiarity with cloud platforms (AWS, Azure, GCP) and their data services.
* Knowledge of data governance and compliance standards.
* Experience with machine learning frameworks and tools.
**What we look for:**
 We seek individuals who are not only technically proficient but also possess the qualities of top performers, including a strong sense of collaboration, adaptability, and a passion for continuous learning. If you are driven by results and have a desire to make a meaningful impact, we want to hear from you.
 FY26NATAID
**What We Offer You**
 At EY, we’ll develop you with future\-focused skills and equip you with world\-class experiences. We’ll empower you in a flexible environment, and fuel you and your extraordinary talents in a diverse and inclusive culture of globally connected teams. Learn more.
* We offer a comprehensive compensation and benefits package where you’ll be rewarded based on your performance and recognized for the value you bring to the business. The base salary range for this job in all geographic locations in the US is $125,500 to $230,200\. The base salary range for New York City Metro Area, Washington State and California (excluding Sacramento) is $150,700 to $261,600\. Individual salaries within those ranges are determined through a wide variety of factors including but not limited to education, experience, knowledge, skills and geography. In addition, our Total Rewards package includes medical and dental coverage, pension and 401(k) plans, and a wide range of paid time off options.
* Join us in our team\-led and leader\-enabled hybrid model. Our expectation is for most people in external, client serving roles to work together in person 40\-60% of the time over the course of an engagement, project or year.
* Under our flexible vacation policy, you’ll decide how much vacation time you need based on your own personal circumstances. You’ll also be granted time off for designated EY Paid Holidays, Winter/Summer breaks, Personal/Family Care, and other leaves of absence when needed to support your physical, financial, and emotional well\-being.
**Are you ready to shape your future with confidence? Apply today.**
 EY accepts applications for this position on an on\-going basis.
 For those living in California, please click here for additional information.
 EY focuses on high\-ethical standards and integrity among its employees and expects all candidates to demonstrate these qualities.
**EY \| Building a better working world**
 EY is building a better working world by creating new value for clients, people, society and the planet, while building trust in capital markets.
 Enabled by data, AI and advanced technology, EY teams help clients shape the future with confidence and develop answers for the most pressing issues of today and tomorrow.
 EY teams work across a full spectrum of services in assurance, consulting, tax, strategy and transactions. Fueled by sector insights, a globally connected, multi\-disciplinary network and diverse ecosystem partners, EY teams can provide services in more than 150 countries and territories.
 EY provides equal employment opportunities to applicants and employees without regard to race, color, religion, age, sex, sexual orientation, gender identity/expression, pregnancy, genetic information, national origin, protected veteran status, disability status, or any other legally protected basis, including arrest and conviction records, in accordance with applicable law.
 EY is committed to providing reasonable accommodation to qualified individuals with disabilities including veterans with disabilities. If you have a disability and either need assistance applying online or need to request an accommodation during any part of the application process, please call 1\-800\-EY\-HELP3, select Option 2 for candidate related inquiries, then select Option 1 for candidate queries and finally select Option 2 for candidates with an inquiry which will route you to EY’s Talent Shared Services Team (TSS) or email the TSS at ssc.customersupport@ey.com.</t>
        </is>
      </c>
    </row>
    <row r="59">
      <c r="A59" t="inlineStr">
        <is>
          <t>li-4282847130</t>
        </is>
      </c>
      <c r="B59" t="inlineStr">
        <is>
          <t>Databricks Data Engineer - Manager - Consulting - Location Open</t>
        </is>
      </c>
      <c r="C59" t="inlineStr">
        <is>
          <t>EY</t>
        </is>
      </c>
      <c r="D59" t="inlineStr">
        <is>
          <t>linkedin</t>
        </is>
      </c>
      <c r="E59" t="inlineStr"/>
      <c r="F59" t="inlineStr"/>
      <c r="G59" t="inlineStr">
        <is>
          <t>Providence, RI</t>
        </is>
      </c>
      <c r="H59" t="inlineStr"/>
      <c r="I59" t="inlineStr">
        <is>
          <t>Location: Anywhere in Country
 At EY, we’re all in to shape your future with confidence.
 We’ll help you succeed in a globally connected powerhouse of diverse teams and take your career wherever you want it to go. Join EY and help to build a better working world.
**Technology – Data and Decision Science – Data Engineering – Manager**
 We are looking for a dynamic and experienced Manager of Data Engineering to lead our team in designing and implementing complex cloud analytics solutions with a strong focus on Databricks. The ideal candidate will possess deep technical expertise in data architecture, cloud technologies, and analytics, along with exceptional leadership and client management skills.
**The opportunity:**
 In this role, you will design and build analytics solutions that deliver significant business value. You will collaborate with other data and analytics professionals, management, and stakeholders to ensure that business requirements are translated into effective technical solutions. Key responsibilities include:
* Understanding and analyzing business requirements to translate them into technical requirements.
* Designing, building, and operating scalable data architecture and modeling solutions.
* Staying up to date with the latest trends and emerging technologies to maintain a competitive edge.
**Key Responsibilities:**
 As a Data Engineering Manager, you will play a crucial role in managing and delivering complex technical initiatives. Your time will be spent across various responsibilities, including:
* Leading workstream delivery and ensuring quality in all processes.
* Engaging with clients on a daily basis, actively participating in working sessions, and identifying opportunities for additional services.
* Implementing resource plans and budgets while managing engagement economics.
 This role offers the opportunity to work in a dynamic environment where you will face challenges that require innovative solutions. You will learn and grow as you guide others and interpret internal and external issues to recommend quality solutions. Travel may be required regularly based on client needs.
**Skills and attributes for success:**
 To thrive in this role, you should possess a blend of technical and interpersonal skills. The following attributes will make a significant impact:
* Lead the design and development of scalable data engineering solutions using Databricks on cloud platforms (e.g., AWS, Azure, GCP).
* Oversee the architecture of complex cloud analytics solutions, ensuring alignment with business objectives and best practices.
* Manage and mentor a team of data engineers, fostering a culture of innovation, collaboration, and continuous improvement.
* Collaborate with clients to understand their analytics needs and deliver tailored solutions that drive business value.
* Ensure the quality, integrity, and security of data throughout the data lifecycle, implementing best practices in data governance.
* Drive end\-to\-end data pipeline development, including data ingestion, transformation, and storage, leveraging Databricks and other cloud services.
* Communicate effectively with stakeholders, including technical and non\-technical audiences, to convey complex data concepts and project progress.
* Manage client relationships and expectations, ensuring high levels of satisfaction and engagement.
* Stay abreast of the latest trends and technologies in data engineering, cloud computing, and analytics.
* Strong analytical and problem\-solving abilities.
* Excellent communication skills, with the ability to convey complex information clearly.
* Proven experience in managing and delivering projects effectively.
* Ability to build and manage relationships with clients and stakeholders.
**To qualify for the role, you must have:**
* Bachelor’s degree in computer science, Engineering, or a related field required; Master’s degree preferred.
* Typically, no less than 4 \- 6 years relevant experience in data engineering, with a focus on cloud data solutions and analytics.
* Proven expertise in Databricks and experience with Spark for big data processing.
* Strong background in data architecture and design, with experience in building complex cloud analytics solutions.
* Experience in leading and managing teams, with a focus on mentoring and developing talent.
* Strong programming skills in languages such as Python, Scala, or SQL.
* Excellent problem\-solving skills and the ability to work independently and as part of a team.
* Strong communication and interpersonal skills, with a focus on client management.
**Required Expertise for Managerial Role:**
* Strategic Leadership: Ability to align data engineering initiatives with organizational goals and drive strategic vision.
* Project Management: Experience in managing multiple projects and teams, ensuring timely delivery and adherence to project scope.
* Stakeholder Engagement: Proficiency in engaging with various stakeholders, including executives, to understand their needs and present solutions effectively.
* Change Management: Skills in guiding clients through change processes related to data transformation and technology adoption.
* Risk Management: Ability to identify potential risks in data projects and develop mitigation strategies.
* Technical Leadership: Experience in leading technical discussions and making architectural decisions that impact project outcomes.
* Documentation and Reporting: Proficiency in creating comprehensive documentation and reports to communicate project progress and outcomes to clients.
**Large\-Scale Implementation Programs:**
* Enterprise Data Lake Implementation: Led the design and deployment of a cloud\-based data lake solution for a Fortune 500 retail client, integrating data from multiple sources (e.g., ERPs, POS systems, e\-commerce platforms) to enable advanced analytics and reporting capabilities.
* Real\-Time Analytics Platform: Managed the development of a real\-time analytics platform using Databricks for a financial services organization, enabling real\-time fraud detection and risk assessment through streaming data ingestion and processing.
* Data Warehouse Modernization: Oversaw the modernization of a legacy data warehouse to a cloud\-native architecture for a healthcare provider, implementing ETL processes with Databricks and improving data accessibility for analytics and reporting.
**Ideally, you’ll also have:**
* Experience with advanced data analytics tools and techniques.
* Familiarity with machine learning concepts and applications.
* Knowledge of industry trends and best practices in data engineering.
* Familiarity with cloud platforms (AWS, Azure, GCP) and their data services.
* Knowledge of data governance and compliance standards.
* Experience with machine learning frameworks and tools.
**What we look for:**
 We seek individuals who are not only technically proficient but also possess the qualities of top performers, including a strong sense of collaboration, adaptability, and a passion for continuous learning. If you are driven by results and have a desire to make a meaningful impact, we want to hear from you.
 FY26NATAID
**What We Offer You**
 At EY, we’ll develop you with future\-focused skills and equip you with world\-class experiences. We’ll empower you in a flexible environment, and fuel you and your extraordinary talents in a diverse and inclusive culture of globally connected teams. Learn more.
* We offer a comprehensive compensation and benefits package where you’ll be rewarded based on your performance and recognized for the value you bring to the business. The base salary range for this job in all geographic locations in the US is $125,500 to $230,200\. The base salary range for New York City Metro Area, Washington State and California (excluding Sacramento) is $150,700 to $261,600\. Individual salaries within those ranges are determined through a wide variety of factors including but not limited to education, experience, knowledge, skills and geography. In addition, our Total Rewards package includes medical and dental coverage, pension and 401(k) plans, and a wide range of paid time off options.
* Join us in our team\-led and leader\-enabled hybrid model. Our expectation is for most people in external, client serving roles to work together in person 40\-60% of the time over the course of an engagement, project or year.
* Under our flexible vacation policy, you’ll decide how much vacation time you need based on your own personal circumstances. You’ll also be granted time off for designated EY Paid Holidays, Winter/Summer breaks, Personal/Family Care, and other leaves of absence when needed to support your physical, financial, and emotional well\-being.
**Are you ready to shape your future with confidence? Apply today.**
 EY accepts applications for this position on an on\-going basis.
 For those living in California, please click here for additional information.
 EY focuses on high\-ethical standards and integrity among its employees and expects all candidates to demonstrate these qualities.
**EY \| Building a better working world**
 EY is building a better working world by creating new value for clients, people, society and the planet, while building trust in capital markets.
 Enabled by data, AI and advanced technology, EY teams help clients shape the future with confidence and develop answers for the most pressing issues of today and tomorrow.
 EY teams work across a full spectrum of services in assurance, consulting, tax, strategy and transactions. Fueled by sector insights, a globally connected, multi\-disciplinary network and diverse ecosystem partners, EY teams can provide services in more than 150 countries and territories.
 EY provides equal employment opportunities to applicants and employees without regard to race, color, religion, age, sex, sexual orientation, gender identity/expression, pregnancy, genetic information, national origin, protected veteran status, disability status, or any other legally protected basis, including arrest and conviction records, in accordance with applicable law.
 EY is committed to providing reasonable accommodation to qualified individuals with disabilities including veterans with disabilities. If you have a disability and either need assistance applying online or need to request an accommodation during any part of the application process, please call 1\-800\-EY\-HELP3, select Option 2 for candidate related inquiries, then select Option 1 for candidate queries and finally select Option 2 for candidates with an inquiry which will route you to EY’s Talent Shared Services Team (TSS) or email the TSS at ssc.customersupport@ey.com.</t>
        </is>
      </c>
    </row>
    <row r="60">
      <c r="A60" t="inlineStr">
        <is>
          <t>li-4368358483</t>
        </is>
      </c>
      <c r="B60" t="inlineStr">
        <is>
          <t>Data Engineer</t>
        </is>
      </c>
      <c r="C60" t="inlineStr">
        <is>
          <t>Streamline Innovations</t>
        </is>
      </c>
      <c r="D60" t="inlineStr">
        <is>
          <t>linkedin</t>
        </is>
      </c>
      <c r="E60" t="inlineStr"/>
      <c r="F60" t="inlineStr"/>
      <c r="G60" t="inlineStr">
        <is>
          <t>San Antonio, TX</t>
        </is>
      </c>
      <c r="H60" t="inlineStr"/>
      <c r="I60" t="inlineStr">
        <is>
          <t>We are seeking a Data Engineer passionate about bridging operational technology (OT) and information technology (IT). In this role, you will design and implement scalable data platforms that transform industrial and process control data into actionable intelligence.
 You will work at the intersection of data engineering, cloud, and industrial automation, helping build out our Industry 4\.0 infrastructure by connecting plant\-floor systems (PLCs, SCADA, historians, sensors) to advanced analytics, dashboards, and AI\-driven decision\-support tools.
**Job Duties**
* Architect, develop, and maintain data pipelines that integrate IIoT, SCADA, and MES sources into cloud\-based data platforms
* Build APIs and microservices to serve real\-time and historical process data to analytics and visualization applications
* Develop user\-facing applications and dashboards (React, Vue, or similar) for operations, reliability, and performance optimization
* Implement and maintain data models and transformation workflows using modern tools like dbt, Airflow, or Prefect
* Design efficient data storage schemas in time\-series and analytical databases (e.g., InfluxDB, TimescaleDB, Snowflake)
* Deploy and manage streaming and messaging infrastructure (MQTT, Kafka, OPC UA servers, or Ignition gateways)
* Collaborate with data scientists, control engineers, and IT/OT teams to support predictive maintenance, process analytics, and digital twin initiatives
* Apply DevOps best practices, including CI/CD for data pipelines, containerization, and infrastructure automation
**Requirements**
 Required Skills
* Bachelor's or Master's degree in Computer Science, Data Engineering, or a related engineering discipline
* 4\+ years of experience in software or data engineering, with solid experience in industrial or IIoT data integration
* Expertise in Python, SQL, and API development (REST/GraphQL)
* Familiarity with industrial data protocols (MQTT, OPC UA, Modbus, BACnet) and SCADA/MES connectivity
* Experience with cloud platforms (AWS, Azure, or GCP) for ingestion, storage, and analytics
* Strong understanding of front\-end frameworks (React, Angular, or Vue)
* Experience with data orchestration tools and container technologies (Airflow, Docker, Kubernetes)
* Proven ability to design reliable, maintainable, and secure data architectures for OT/IT convergence
 Bonus Skills
* Certification through IIoT University's Mentorship or Mastermind Program
* Hands\-on experience with Ignition (Inductive Automation), Aveva, or Rockwell Automation ecosystems
* Familiarity with process historians (OSIsoft PI, Canary, Aspen IP.21\)
* Background in manufacturing, chemical, or energy operations environments
* Exposure to edge computing architectures or data streaming from embedded or plant\-floor devices
**Work Environment** 
 \- Conditions vary and include:
* Controlled office environment
* Occasional trips to the field
* Travel: 10%\-15%
**Physical Requirements**
* Prolonged periods sitting at a desk and working on a computer
* Must be able to lift to 15lbs pounds at times
**Benefits**
* Salary, Exempt
* Unlimited PTO
* Paid Holidays
* Insurance: Major medical, dental, and vision for employee and dependents
* Short\-Term, Long\-Term Disability, and Life Insurance
* 401(k) Retirement Plan with an Employer Match
* Company Credit Card
* Cellular Reimbursement \- $100/month
**EEO Statement:**
 Streamline Innovations, Inc. is an Equal Opportunity Employer (EEO) and provides equal employment opportunities to all employees and applicants for employment without regard to race, color, religion, sex, national origin, age, disability or genetics. In addition to federal law requirements, Streamline Innovations, Inc. complies with applicable state and local laws governing nondiscrimination in employment in every location in which the company has facilities.</t>
        </is>
      </c>
    </row>
    <row r="61">
      <c r="A61" t="inlineStr">
        <is>
          <t>li-4368326468</t>
        </is>
      </c>
      <c r="B61" t="inlineStr">
        <is>
          <t>Data Engineer</t>
        </is>
      </c>
      <c r="C61" t="inlineStr">
        <is>
          <t>Largeton Group</t>
        </is>
      </c>
      <c r="D61" t="inlineStr">
        <is>
          <t>linkedin</t>
        </is>
      </c>
      <c r="E61" t="inlineStr"/>
      <c r="F61" t="inlineStr"/>
      <c r="G61" t="inlineStr"/>
      <c r="H61" t="inlineStr"/>
      <c r="I61" t="inlineStr">
        <is>
          <t>Duration: 6 months open to talk about going perm
 Location \&amp; Travel: Candidates local to Tulsa, Longview, Memphis, Redmond (OR) is preferred /Open to Remote candidates with an expectation of 50\-60% travel
 Interview Process: 1\-2 interviews
 Start date: Feb 23 could be pushed out a few weeks for onboarding purposes
 Interview will be technical and they will have any eye movement detector.
**Data Engineer**
 Role Summary
 The Data Engineer will design, build, and optimize client’s end\-to\-end data pipelines across SAP S/4HANA, CRM/D365, and manufacturing systems into the AAON Data Lake.
 Key Responsibilities
* Build and maintain ETL/ELT pipelines (ADF, Databricks, SQL, Python).
* Create reusable ingestion frameworks and orchestrations.
* Build curated datasets for analytics and reporting teams.
* Develop data quality rules \&amp; validation logic.
* Troubleshoot pipeline failures and maintain SLAs.
* Participate in CI/CD processes for data pipelines.
**Required Qualifications**
* 4–7 years Data Engineering experience.
* Strong Azure Data Factory, Databricks, SQL, Python.
* SAP/ERP ingestion experience strongly preferred.
**Preferred Qualifications**
* Power BI dataset optimization.
* Manufacturing data experience.</t>
        </is>
      </c>
    </row>
    <row r="62">
      <c r="A62" t="inlineStr">
        <is>
          <t>li-4368321966</t>
        </is>
      </c>
      <c r="B62" t="inlineStr">
        <is>
          <t>Sr Data Engineer</t>
        </is>
      </c>
      <c r="C62" t="inlineStr">
        <is>
          <t>The Value Maximizer</t>
        </is>
      </c>
      <c r="D62" t="inlineStr">
        <is>
          <t>linkedin</t>
        </is>
      </c>
      <c r="E62" t="inlineStr"/>
      <c r="F62" t="inlineStr"/>
      <c r="G62" t="inlineStr">
        <is>
          <t>Austin, TX</t>
        </is>
      </c>
      <c r="H62" t="inlineStr"/>
      <c r="I62" t="inlineStr">
        <is>
          <t>**Client: Wealth Management** 
**Position:** 
  Sr Data Engineer
 **Pay: $120K \- $170K \+ Bonus** 
**Locations: \- First 90 days on site with 1 day a week WFH afterwards**
* Plano, TX
* Camas, WA Scope: This role will design and deliver modern data solutions using cloud\-based platforms and AI\-driven innovations. They will partner with business, technology, and governance teams to enable scalable, secure and compliant data platforms that power advanced analytics and AI. They will act as the enterprise expert for designing, developing, and optimizing data processing systems and pipelines used to populate data into transactional databases, data warehouses, data marts, or other data repositories. They will also coordinate with other IT teams to configure and implement security, monitoring, tooling, and related capabilities as they apply to their assigned systems. Education: Computer Science, Information Technology, or other relevant field Experience:
* 12\+ years' experience developing data\-related solutions and software
* 10\+ years of experience working with relational databases and applying it in various applications, including within the Microsoft Azure platform
* For DevOps experience Delphix (now part of Perforce) provides a DevOps Data Platform and GenRocket for testing
* Experience with Microsoft Purview is a comprehensive portfolio of products spanning data governance, data security, and data compliance solutions
* 4\+ years of experience with multiple cloud technologies in the Microsoft Stack (Azure IaaS and PaaS) designing and development on\-premises and cloud\-based (Azure) infrastructure and platform components
* 4\+ years of hands\-on development and deployment experience with Azure cloud using T\-SQL, Azure SQL, Azure Storage, Azure Data Factory, Azure Synapse, Cosmos DB, GitHub, Azure DevOps, and CI/CD pipelines
* Advanced knowledge of Extract/Transform/Load (ETL) and/or Extract/Load/Transform (ELT) tools, including both batch and real\-time data transmission applications such as SSIS, Informatica, Kafka, Spark, MuleSoft, or equivalent software
* Advanced knowledge of database technologies such as Microsoft SQL Server, Oracle, or NoSQL databases
* Advanced knowledge of multiple programming languages, such as Python, SQL, Scala, or similar
* Advanced knowledge of IT infrastructure standards and tools, such as application performance monitoring, IT service management, or DevOps software Responsibilities:
* Use Agile practices to elicit and refine requirements through an iterative process of planning, defining acceptance criteria, prioritizing, developing and delivering enterprise data asset solutions in collaboration with business intelligence teams or other IT teams
* Develop, configure, customize and manage integration tools, databases, warehouses and analytical systems with the use of data related software
* Design, build, and deploy data extraction, transformation, and loading processes and pipelines from various sources including databases, APIs, and data files
* Develop and deploy structured, semi\-structured, and unstructured data storage models such as data vault or dimensional modeling on a various platforms to meet business requirements
* Coordinate security, application monitoring, development tooling, and related capabilities with responsible teams
* Provide operational support and incident management for data pipelines and data flows, including proactively updating internal clients and relevant parties on status changes and issues encountered
* Author and maintain accurate and up\-to\-date documentation for processes, procedures, and technical designs
* Coach junior data and business intelligence personnel across the company, including developing material and guiding junior personnel on their technical skill growth Benefits:
* 100% paid medical, dental and vision premiums for you and your qualifying dependents
* A 50% 401(k) match, up to the IRS maximum
* 20 days of PTO, plus 10 paid holidays
* Family Support programs including 8 week Paid Primary Caregiver Leave, $10,000 fertility, family forming, and hormonal health assistance, and back\-up child, adult, and elder care</t>
        </is>
      </c>
    </row>
    <row r="63">
      <c r="A63" t="inlineStr">
        <is>
          <t>li-4357591129</t>
        </is>
      </c>
      <c r="B63" t="inlineStr">
        <is>
          <t>Data Engineer Co-Op</t>
        </is>
      </c>
      <c r="C63" t="inlineStr">
        <is>
          <t>Bose Corporation</t>
        </is>
      </c>
      <c r="D63" t="inlineStr">
        <is>
          <t>linkedin</t>
        </is>
      </c>
      <c r="E63" t="inlineStr"/>
      <c r="F63" t="inlineStr"/>
      <c r="G63" t="inlineStr">
        <is>
          <t>Framingham, MA</t>
        </is>
      </c>
      <c r="H63" t="inlineStr"/>
      <c r="I63" t="inlineStr">
        <is>
          <t>At Bose Corporation, we believe sound is the most powerful force on earth — and for over 60 years, we have been a company built on innovation, excellence, and independence. Privately owned, fiercely customer\-focused, and driven by our values, we continue to lead industries and transform lives through sound.
 Today, Bose Corporation is entering an exciting new era. Across multiple global Business Units and Global Functions, we are shaping the future of audio technology, automotive, luxury, and premium experiences. We invite you to join us in this transformation.
**Job Description**
**THE PROGRAM**
 We're looking for students to join our Co\-Op Program who are obsessively curious about 'what's next'. You'll get hands on experience with our products and learn from the best of the best in the business. You will immerse yourself into Bose for 6 months and get the opportunity to grow the skills your learned in the classroom with hands on work experience. By the time you end your time with us, you will have been given the opportunity to truly make a real impact in the future of Bose and your career!
 Opportunities don't stop at your day\-to\-day work. While you're getting an in depth look at your area of expertise, we'll expose you to other areas of the company. Our Co\-Ops are given the opportunity to connect with senior leadership across the business to understand different perspectives at Bose. You'll network with other Co\-Ops and colleagues to grow your network for the future!
**Fall Co\-op: Candidates must be available to work full\-time (40 hours per week) in a hybrid, in\-office format from July 13 through December 18, 2026\. No relocation assistance is available.**
**Being currently authorized to work in the U.S. is a precondition of employment for this position.**
**THE ROLE**
 The Bose Data Engineering team is responsible for design, development and enhancement of Bose Data Platforms (Analytics \&amp; Customer Data Platforms) in leading and supporting Advanced Analytics. This team is highly impactful and a key enabler of Bose Digital journey by playing a central role in the Data driven transformation.
 What you will be working on?
 As a junior Data Engineer, you will work closely with internal customers to build and design data pipelines, spanning from data acquisition to data pipelines ML model deployment and monitoring. Being part of an agile delivery team, you will design, develop, deploy, and support data pipelines, applying best practices and implementing necessary integrations with our Data Platform ecosystem. This role requires a passion for operations, AWS Serverless solutions, Python, and SQL coding.
 Under the supervision of a Senior Data Engineer, some of your responsibilities will include:
* Continuing the full life cycle management of data pipelines: designing, developing, and providing production support for data pipelines that support customer experiences on connected devices, web applications, and mobile applications.
* Staying up to date on relevant technologies, participating in user groups, understanding trends, and identifying opportunities to ensure the adoption of the best techniques and tools. For instance, we are currently utilizing Snowflake, databricks, and AWS Serverless technologies.
* Collaborating with AWS Cloud Architects to optimize and evaluate scalable, serverless solutions, becoming the Subject Matter Expert (SME) for AWS solutions.
* Working in multi\-functional agile teams to continuously experiment, iterate, and deliver on new data product objectives.
 Candidates should have a bachelors in Computer Science and working towards masters
 At Bose, you're inspired to be and do your best and are rewarded for your unique talents! Our compensation is thoughtfully tailored to your skills, experience, education, and location, and goes beyond base salary. The hiring range for this position in the primary work location of Framingham, Massachusetts is: $29\.00\-$37\.25 per hour.The hiring range for other Bose work locations may vary. In addition to competitive base pay we offer rewards including bonus programs, comprehensive health and welfare benefits, a 401(k) plan, plus exclusive perks designed to support your wellbeing, and a generous employee discount where you can immerse yourself in our products and experiences. We are a proudly independent company—driven by purpose, guided by our values, and united by a belief in the power of sound. As the world leader in audio experiences, we’re creating what’s next—pushing boundaries and delivering transformative sound experiences for people everywhere. Join us and make your next career move a mic\-drop. Let’s Make Waves.
 ‎
 Bose is an equal opportunity employer. We evaluate qualified applicants without regard to race, color, religion, sex, sexual orientation, gender identity, genetic information, national origin, age, disability, veteran status, or any other legally protected characteristics. The EEOC’s “Know Your Rights: Workplace discrimination is illegal” Poster is available here: https://www.eeoc.gov/sites/default/files/2023\-06/22\-088\_EEOC\_KnowYourRights6\.12ScreenRdr.pdf. Bose is committed to providing reasonable accommodations to individuals with disabilities. If you require reasonable accommodation in completing this application, interviewing, completing any pre\-employment testing, or otherwise participating in the employee selection process, please direct your inquiries to applicant\_disability\_accommodationrequest@bose.com. Please include "Application Accommodation Request" in the subject of the email.
 ‎
 Our goal is to create an atmosphere where every candidate feels supported and empowered in the interviewing process. Diversity and inclusion are integral to our success, and we believe that providing reasonable accommodation is not only a legal obligation but also a fundamental aspect of our commitment to being an employer of choice. We recognize that individuals may have different needs and requirements based on their abilities, and we provide reasonable accommodations to ensure ideal conditions are met during the application process.</t>
        </is>
      </c>
    </row>
    <row r="64">
      <c r="A64" t="inlineStr">
        <is>
          <t>li-4357373812</t>
        </is>
      </c>
      <c r="B64" t="inlineStr">
        <is>
          <t>Data Analytics Engineer Co-op</t>
        </is>
      </c>
      <c r="C64" t="inlineStr">
        <is>
          <t>Bose Corporation</t>
        </is>
      </c>
      <c r="D64" t="inlineStr">
        <is>
          <t>linkedin</t>
        </is>
      </c>
      <c r="E64" t="inlineStr"/>
      <c r="F64" t="inlineStr"/>
      <c r="G64" t="inlineStr">
        <is>
          <t>Framingham, MA</t>
        </is>
      </c>
      <c r="H64" t="inlineStr"/>
      <c r="I64" t="inlineStr">
        <is>
          <t>At Bose Corporation, we believe sound is the most powerful force on earth — and for over 60 years, we have been a company built on innovation, excellence, and independence. Privately owned, fiercely customer\-focused, and driven by our values, we continue to lead industries and transform lives through sound.
 Today, Bose Corporation is entering an exciting new era. Across multiple global Business Units and Global Functions, we are shaping the future of audio technology, automotive, luxury, and premium experiences. We invite you to join us in this transformation.
**Job Description**
**About the Role:**
 We are looking for a
 **Data Analytics Engineering Co\-op** 
 to join our
 **Data and Analytics Center of Excellence (D\&amp;A CoE)** 
 . This role provides an exciting opportunity to gain hands\-on experience in the data and analytics engineering work that drives a multi\-billion dollar business like Bose. You will work alongside experienced professionals to develop and support data\-driven solutions that enhance business strategies and improve customer experiences.
 As a
 **Data Analytics Engineering Co\-op** 
 , you will assist in transforming raw, diverse datasets into meaningful insights. This includes data pipeline development and modeling work that supports business analysts as well as data scientists who are creating AI solutions. Applications include marketing, engineering, product development, supply chain, and finance. You will work with a modern technology stack, including AWS and Snowflake, and write code using engineering best practices. This role is ideal for someone who is eager to learn, detail\-oriented, and passionate about leveraging data to drive decision\-making. Quality data models are the foundation of what we do in the D\&amp;A CoE, from executive level reporting to AI models that optimize our business.
**Key Responsibilities**
* Assist in the development and maintenance of business\-critical data pipelines, typically built in SQL and Python
* Support the design and implementation of logical and physical data models to enhance data accessibility.
* Conduct data wrangling and preprocessing to clean and structure datasets for analysis.
* Help build and maintain semantic layers to enable dashboard development and data science work.
* Contribute to new tools and techniques that make data analytics engineering more efficient and effective.
* Work with cross\-functional teams to understand business requirements and translate them into data solutions.
* Assist in creating dashboards and reports that provide actionable insights for business teams.
* Learn and apply best practices for data governance, security, and quality assurance.
**Must Be**
* Fully available July 13\- December 2026
* Currently enrolled in university
* Willing to relocate on your own to Framingham, MA
 At Bose, you're inspired to be and do your best and are rewarded for your unique talents! Our compensation is thoughtfully tailored to your skills, experience, education, and location, and goes beyond base salary. The hiring range for this position in the primary work location of Framingham, Massachusetts is: $29\.00\-$37\.25 per hour.The hiring range for other Bose work locations may vary. In addition to competitive base pay we offer rewards including bonus programs, comprehensive health and welfare benefits, a 401(k) plan, plus exclusive perks designed to support your wellbeing, and a generous employee discount where you can immerse yourself in our products and experiences. We are a proudly independent company—driven by purpose, guided by our values, and united by a belief in the power of sound. As the world leader in audio experiences, we’re creating what’s next—pushing boundaries and delivering transformative sound experiences for people everywhere. Join us and make your next career move a mic\-drop. Let’s Make Waves.
 ‎
 Bose is an equal opportunity employer. We evaluate qualified applicants without regard to race, color, religion, sex, sexual orientation, gender identity, genetic information, national origin, age, disability, veteran status, or any other legally protected characteristics. The EEOC’s “Know Your Rights: Workplace discrimination is illegal” Poster is available here: https://www.eeoc.gov/sites/default/files/2023\-06/22\-088\_EEOC\_KnowYourRights6\.12ScreenRdr.pdf. Bose is committed to providing reasonable accommodations to individuals with disabilities. If you require reasonable accommodation in completing this application, interviewing, completing any pre\-employment testing, or otherwise participating in the employee selection process, please direct your inquiries to applicant\_disability\_accommodationrequest@bose.com. Please include "Application Accommodation Request" in the subject of the email.
 ‎
 Our goal is to create an atmosphere where every candidate feels supported and empowered in the interviewing process. Diversity and inclusion are integral to our success, and we believe that providing reasonable accommodation is not only a legal obligation but also a fundamental aspect of our commitment to being an employer of choice. We recognize that individuals may have different needs and requirements based on their abilities, and we provide reasonable accommodations to ensure ideal conditions are met during the application process.</t>
        </is>
      </c>
    </row>
    <row r="65">
      <c r="A65" t="inlineStr">
        <is>
          <t>li-4368358419</t>
        </is>
      </c>
      <c r="B65" t="inlineStr">
        <is>
          <t>Data Engineer</t>
        </is>
      </c>
      <c r="C65" t="inlineStr">
        <is>
          <t>Gruve</t>
        </is>
      </c>
      <c r="D65" t="inlineStr">
        <is>
          <t>linkedin</t>
        </is>
      </c>
      <c r="E65" t="inlineStr"/>
      <c r="F65" t="inlineStr"/>
      <c r="G65" t="inlineStr">
        <is>
          <t>California, PA</t>
        </is>
      </c>
      <c r="H65" t="inlineStr"/>
      <c r="I65" t="inlineStr">
        <is>
          <t>**About Gruve**
 Gruve is an innovative software services startup dedicated to transforming enterprises to AI powerhouses. We specialize in cybersecurity, customer experience, cloud infrastructure, and advanced technologies such as Large Language Models (LLMs). Our mission is to assist our customers in their business strategies utilizing their data to make more intelligent decisions. As a well\-funded early\-stage startup, Gruve offers a dynamic environment with strong customer and partner networks.
**About The Role**
 We are seeking a skilled Data Engineer to design, build, and maintain end\-to\-end data pipelines and scalable infrastructure that supports machine learning models for the Data Science team and other business units. This role involves close collaboration with data scientists, researchers, and cross\-functional technology teams to understand data processing and analytics requirements and translate them into effective technical solutions. You will also troubleshoot infrastructure issues, analyze data flows across company applications, and ensure reliable, secure, and compliant system operations in both production and non\-production environments.
**Key Responsibilities**
* Design, develop, and maintain data pipelines and infrastructure to support machine learning solutions.
* Collaborate with data scientists and technology teams to understand analytics requirements and implement technical designs.
* Support development, validation, and deployment of machine learning models on healthcare and other business data.
* Analyze data flows across company applications to guide technology and platform decisions.
* Troubleshoot infrastructure issues across production and non\-production environments.
* Partner with Technology and Digital Solutions teams to ensure secure, reliable, and compliant system operations.
* Participate in iterative design and continuous improvement of data infrastructure.
**Basic Qualification**
* Bachelor’s or Master’s degree in Computer Science, Engineering, or a related field, or equivalent work experience.
* 3\+ years of experience building data infrastructure for analytics teams.
* Strong coding skills in SQL, Python, or R for processing large datasets in distributed cloud environments.
* Experience with cloud deployment strategies and CI/CD pipelines.
* Experience with SaaS\-based data infrastructure.
* Knowledge of multiple programming languages with willingness to learn new languages as needed.
* Familiarity with resource management and workflow automation tools.
* Collaborative mindset and ability to work closely with data science teams.
**Preferred Qualifications**
* Hands\-on experience with machine learning model deployment and monitoring.
* Experience with healthcare data or regulated industries.
* Knowledge of modern workflow orchestration tools (e.g., Airflow, Prefect).
* Strong understanding of data security, compliance, and governance best practices.
* Experience in optimizing data pipelines for performance and cost\-efficiency.
**Salary Range**
 $141,802 \- $151,802 USD
***This position is being hired for a customer of Gruve.***
**Candidates May Engage In One Of The Following Ways**
* W\-2 employee of Gruve, contracted to provide services to one of our clients
* 1099 independent contractor arrangement
***Gruve is not able to provide visa sponsorship for this role. Applicants must be authorized to work in the United States without the need for current or future sponsorship.***
**Why Gruve**
 At Gruve, we foster a culture of innovation, collaboration, and continuous learning. We are committed to building a diverse and inclusive workplace where everyone can thrive and contribute their best work. If you’re passionate about technology and eager to make an impact, we’d love to hear from you.
 Gruve is an equal opportunity employer. We welcome applicants from all backgrounds and thank all who apply; however, only those selected for an interview will be contacted.</t>
        </is>
      </c>
    </row>
    <row r="66">
      <c r="A66" t="inlineStr">
        <is>
          <t>li-4368009960</t>
        </is>
      </c>
      <c r="B66" t="inlineStr">
        <is>
          <t>Data Engineer (AI)</t>
        </is>
      </c>
      <c r="C66" t="inlineStr">
        <is>
          <t>Customers Bank</t>
        </is>
      </c>
      <c r="D66" t="inlineStr">
        <is>
          <t>linkedin</t>
        </is>
      </c>
      <c r="E66" t="inlineStr"/>
      <c r="F66" t="inlineStr"/>
      <c r="G66" t="inlineStr">
        <is>
          <t>Malvern, PA</t>
        </is>
      </c>
      <c r="H66" t="inlineStr"/>
      <c r="I66" t="inlineStr">
        <is>
          <t>At Customers Bank, we believe in working hard, working smart, working together to deliver memorable customer experiences and having fun. Our vision, mission, and values guide us along our path to achieve excellence. Passion, attitude, creativity, integrity, alignment, and execution are cornerstones of our behaviors. They define who we are as an organization and as individuals. Everyone is encouraged to have personal development plans. By doing so, our team members are on their way to achieve their highest potential and be successful in their personal and professional lives.
 Must be legally eligible to work in the United States without sponsorship, now or in the future, to be considered.
*We’re looking for builders who want to be early — not in a startup with no guardrails, and not in a legacy organization where change is slow, but in the rare middle ground where innovation actually ships. This team has a clear mandate and strong executive air cover: AI and automation were called out as a strategic priority on our most recent earnings call and are top of mind for the CEO and executive team, with direct support from senior leadership. The opportunity is ownership — helping reimagine how banking gets done by blending legacy and modern technologies, building durable capabilities from the ground up, and contributing to a model for what a 21st\-century bank can look like.*
**Who is Customers Bank?**
 Founded in 2009, Customers Bank is a super\-community bank with over $22 billion in assets. We believe in dedicated personal service for the businesses, professionals, individuals, and families we work with.
**We get you further, faster.**
**Focused on you: We** 
 provide every customer with a single point of contact. A dedicated team member who’s committed to meeting your needs today and tomorrow.
**On the leading edge:** 
 We’re innovating with the latest tools and technology so we can react to market conditions quicker and help you get ahead.
**Proven reliability:** 
 We always ground our innovation in our deep experience and strong financial foundation, so we’re a partner you can trust.
**What You’ll Do**
 The Data Engineer will play a foundational role in building Customers Bank’s modern data ecosystem, enabling enterprise automation, analytics, and AI initiatives. This is an opportunity to join at the ground floor of a growing data capability and help define how data is ingested, transformed, governed, and delivered across the organization.
 Working as part of a cross\-functional delta team, the Data Engineer will partner closely with RPA developers, analytics teams, and business stakeholders to support ETL/ELT pipelines, data integrations, and data acquisition efforts across operational, financial, and third\-party systems. The role emphasizes both hands\-on engineering delivery and thoughtful data design, with a strong focus on quality, reliability, and scalability.
 This position sits within the data and strategy organization and contributes directly to high\-visibility initiatives tied to operational efficiency, automation, and AI enablement.
**Key Responsibilities**
* Design, build, and maintain ETL/ELT pipelines that ingest, transform, and integrate data from a wide variety of source systems.
* Support data gathering and integration efforts across core operational, financial, and third\-party platforms using REST and SOAP APIs, files, and database connections.
* Enable downstream consumption of data by RPA automations, analytics dashboards, reporting, and AI/ML solutions.
* Work with structured and semi\-structured data supporting batch, scheduled, event\-driven, and near\-real\-time use cases.
* Partner closely with business SMEs, automation developers, and analysts to understand data requirements and translate them into scalable, production\-ready engineering solutions.
* Implement data quality checks, validation rules, and monitoring to ensure accuracy, consistency, and reliability.
* Contributes to the definition of data engineering standards, patterns, and best practices suitable for enterprise scale.
* Document data pipelines, data flows, and assumptions to support transparency, maintainability, and governance.
* Troubleshoot data issues, optimize pipeline performance, and continuously improve reliability and efficiency.
* Support data governance, security, and access controls in alignment with enterprise and regulatory requirements.
* Stay current on modern data engineering tools, cloud data platforms, and industry best practices.
**What Do You Need?**
* 5\+ years of experience in data engineering, data integration, or ETL development, ideally in financial services, consulting, or complex enterprise environments.
* 5\+ years of expert\-level SQL proficiency, including CTE’s, window functions, performance tuning, and data modeling
* 1\+ years of experience integrating with REST and/or SOAP APIs.
* Strong problem\-solving skills and the ability to work across ambiguous, evolving requirements.
* Experience collaborating closely with technical and non\-technical stakeholders.
* Solid understanding of the Software Development Life Cycle (SDLC) and experience working in Agile delivery environments.
* Bachelor’s degree in computer science, Information Systems, Engineering, or a related field (or equivalent practical experience). Advanced degree or relevant certifications preferred.
**Technology Skills**
* Advanced SQL expertise across relational and analytical databases.
* Hands\-on experience with cloud data platforms Snowflake and Azure’s Fabric
* Experience building modern pipelines using tools such as Azure Data Factory, dbt, Microsoft Fabric, or equivalent ELT/ETL technologies.
* Experience with Talend and familiarity with Power BI for downstream consumption is preferred (major plus)
* Proficiency in Python (or similar languages such as Java, R, or C\#) for data processing, transformation, and integration.
* Experience working with SQL and NoSQL databases (e.g., SQL Server, Oracle, PostgreSQL, MySQL, Aurora, BigQuery, Presto).
* Exposure to Azure data services (e.g., Azure SQL, Databricks, MLflow) or equivalent cloud\-native tooling.
* Familiarity with CI/CD and DevOps practices, including exposure to Azure DevOps (ADO) or similar platforms.
* Understanding of data quality practices, logging, monitoring, and operational support.
* Bonus: Exposure to event\-driven architectures, streaming data, or AI/ML data enablement.
**Soft Skills \&amp; Ways Of Working**
* Collaborative and consultative, with a strong partnership mindset.
* Detail\-oriented with a strong sense of ownership and accountability.
* Able to explain data concepts and trade\-offs to non\-technical audiences.
* Comfortable balancing speed of delivery with data quality and long\-term sustainability.
* Curious and proactive, with a desire to continuously improve data capabilities.
**Growth \&amp; Opportunity**
**This Role Offers The Opportunity To**
* Help shape the foundation of Customers Bank’s data platform and engineering practices.
* Work closely with automation, analytics, and AI teams on enterprise\-impacting initiatives.
* Gain exposure to senior leadership and cross\-functional strategy efforts.
* Grow into senior engineering, architecture, or data platform leadership roles as the data organization matures.
 Customers Bank is an equal opportunity employer. We do not discriminate based upon race, religion, color, national origin, gender (including pregnancy, childbirth, or related medical conditions), sexual orientation, gender identity, gender expression, age, status as a protected veteran, status as an individual with a disability, or other applicable legally protected characteristics.
 We also provide “reasonable accommodations”, upon request, to qualified individuals with disabilities, in accordance with the Americans with Disabilities Act and applicable state and local laws.
**Diversity Statement**
 At Customers Bank, we believe in working smart, working together, and having fun while delivering innovative solutions and memorable experiences for our customers. We are committed to the continual advancement of a culture which reflects the value we place on diversity, equity, and inclusion. We honor the diverse experiences, perspectives, and identities of our team members, and we recognize that it is their passion, creativity, and integrity that drives our success. Step into your future with us! Let’s take on tomorrow.</t>
        </is>
      </c>
    </row>
    <row r="67">
      <c r="A67" t="inlineStr">
        <is>
          <t>li-4368334429</t>
        </is>
      </c>
      <c r="B67" t="inlineStr">
        <is>
          <t>Senior Data Engineer</t>
        </is>
      </c>
      <c r="C67" t="inlineStr">
        <is>
          <t>540</t>
        </is>
      </c>
      <c r="D67" t="inlineStr">
        <is>
          <t>linkedin</t>
        </is>
      </c>
      <c r="E67" t="inlineStr"/>
      <c r="F67" t="inlineStr"/>
      <c r="G67" t="inlineStr">
        <is>
          <t>Arlington, VA</t>
        </is>
      </c>
      <c r="H67" t="inlineStr"/>
      <c r="I67" t="inlineStr">
        <is>
          <t>540 is seeking a Senior Data Engineer to design, build, and optimize cloud\-based data pipelines supporting high\-impact federal missions. In this role, you'll contribute hands\-on to the development of scalable data pipelines in AWS while collaborating closely with technical leads and stakeholders to deliver robust solutions that drive meaningful business insights.
 This position is ideal for an experienced data engineer who enjoys solving complex data challenges, writing production\-quality code, and mentoring junior team members while continuing to grow their own technical impact.
**Location** 
 : Remote within the continental United States. Core collaboration hours align with Eastern Time, with flexibility. Occasional travel (3\-4x annually)
**Citizenship \&amp; Clearance Requirement** 
 : per client requirements, must be a U.S. Citizen with the ability to obtain a DoD Secret clearance
**Education Requirement:** 
 Bachelor's Degree in Computer Science or related engineering field (preferred)
**540 Internal Thrive Level:** 
 Software Engineer III or Senior
**WHY 540?**
 540 is a forward\-thinking company that the government turns to in order to \#getshitdone. We don't just talk about innovation – we deliver it. We break down barriers, build impactful technology, and solve mission\-critical problems.
**HOW YOU'LL DRIVE IMPACT**
* Design, develop, and maintain scalable data pipelines and ETL processes using Python and AWS services
* Build and deploy serverless functions using AWS Lambda for data processing and automation
* Implement data integration solutions connecting diverse source systems to analytics platforms
* Mentor junior data engineers through pair programming, code reviews, and technical coaching
* Collaborate with data analysts and business stakeholders to understand requirements and deliver solutions
* Optimize data pipeline performance, reliability, and cost efficiency in AWS environments
* Develop and maintain comprehensive documentation for data systems and processes
* Participate in on\-call rotation to support production data infrastructure
* Contribute to the establishment of team coding standards and engineering best practices
* Work with Git for version control and participate in collaborative development workflows
**REQUIRED SKILLS \&amp; EXPERIENCE**
* 6\+ years of experience in data engineering or related technical roles
* Strong proficiency in Python programming with experience building production data applications
* Solid understanding of AWS architecture and services (Lambda, S3, Glue, RDS, Redshift, etc.)
* Experience with Git version control and branching strategies
* Knowledge of SQL and relational database design principles
* Familiarity with data modeling techniques and data warehouse concepts
* Experience with RESTful APIs and data integration patterns
* Strong problem\-solving skills and attention to detail
* Excellent communication skills and demonstrated ability to mentor others
* Currently possess or be able to obtain within 30 days of hire:
+ AWS Cloud Practitioner certification (or higher)
+ CompTIA Security\+ certification (or higher)
**NICE TO HAVE**
* Familiarity with X12/MILS processing
* Experience with Apache Spark, Kafka, or other distributed processing frameworks
* Knowledge of data orchestration tools (Apache Airflow, AWS Step Functions)
* Exposure to Infrastructure\-as\-Code tools (Terraform, CloudFormation)
* Understanding of DevOps practices and CI/CD pipelines
* AWS certifications (Solutions Architect, Data Analytics, or similar)
**BENEFITS \&amp; PERKS**
* Flexible PTO \+ all Federal holidays off
* Health, dental and vision insurance plans
* Flexible Spending Account (FSA)
* 401k with employer match
* Company\-sponsored life insurance, short\- and long\-term disability
* Professional development (training, certifications, conferences)
* Paid cloud developer accounts
* Referral bonuses
* HQ office perks (parking / metro reimbursement, nitro coffee \&amp; lunches)
* Annual social events (540 Week, hackathon, charity golf tournament, etc.)
* Access to 540's Washington Capitals \&amp; Nationals tickets
**EQUAL EMPLOYMENT OPPORTUNITY (EEO)**
 540's policy is to provide equal employment opportunity to all employees and applicants for employment and prohibits discrimination and harassment of any type without regard to race, color, religion, age, sex, national origin, disability status, genetics, protected veteran status, sexual orientation, gender identity or expression, or any other characteristic protected by federal, state or local laws.
 This policy applies to all terms and conditions of employment, including recruiting, hiring, placement, promotion, termination, layoff, recall, transfer, leaves of absence, compensation and training.</t>
        </is>
      </c>
    </row>
    <row r="68">
      <c r="A68" t="inlineStr">
        <is>
          <t>li-4368368547</t>
        </is>
      </c>
      <c r="B68" t="inlineStr">
        <is>
          <t>Data Engineer</t>
        </is>
      </c>
      <c r="C68" t="inlineStr">
        <is>
          <t>LMCU</t>
        </is>
      </c>
      <c r="D68" t="inlineStr">
        <is>
          <t>linkedin</t>
        </is>
      </c>
      <c r="E68" t="inlineStr"/>
      <c r="F68" t="inlineStr"/>
      <c r="G68" t="inlineStr">
        <is>
          <t>Grand Rapids, MI</t>
        </is>
      </c>
      <c r="H68" t="inlineStr"/>
      <c r="I68" t="inlineStr">
        <is>
          <t>Primary Location: Grand Rapids, MI
 Employee Status: Full\-Time
 Workplace Type: Hybrid \- In office 2\-3 days per week
**Who we are:**
 At LMCU, you'll find more than just a job \- discover a fulfilling career where your contributions truly matter. Join our talented team at Lake Michigan Credit Union and discover the difference an employer who puts people first can make in your career and life.
**About this position:**
 The Data Engineer is responsible for designing, building, and maintaining data pipelines and models that enable analytics and operational reporting across LMCU. This role supports the organization’s data modernization and governance initiatives by ensuring data is accurate, consistent, and optimized for consumption. The engineer collaborates with business and technical teams to deliver trusted data assets that drive member insights and strategic decision\-making.
**What you’ll do:**
* Develop and maintain ETL/ELT processes for data integration and transformation.
* Ensure pipelines are efficient, scalable, and aligned with business requirements.
* Build and optimize data models for analytics consumption using best practices.
* Apply modeling techniques such as Star Schema, Snowflake Schema, and Medallion Architecture for Lakehouse design.
* Work with business stakeholders to understand requirements and translate them into technical solutions.
* Partner with data stewards and governance teams to align engineering with EDG standards.
* Monitor pipeline performance and resolve issues promptly.
* Document workflows and maintain transparency for operational efficiency.
**What you’ll bring:**
* 3–5 years of experience building and maintaining ETL/ELT data pipelines.
* Bachelor’s degree in Computer Science, Information Systems, Data Management, or related field.
* Experience designing scalable data models using Star, Snowflake, or Medallion architectures.
* Strong SQL and Python skills for data engineering and automation.
* Familiarity with Lakehouse principles and platforms like Microsoft Fabric.
* Experience with orchestration tools (e.g., Data Factory, Airflow, FiveTran).
* Ability to monitor, troubleshoot, and optimize pipeline performance.
* Understanding of metadata management, lineage, and data governance practices.
* Strong collaboration skills to translate business needs into technical solutions.
* Ability to work with data stewards and governance teams to meet EDG standards.
* Proven documentation skills to maintain clear and transparent workflows.
* Knowledge of tools like Collibra, Atlan, or Precisely; relevant certifications a plus.
**What you’ll get:**
* All Employees: weekly pay and retirement savings options.
* Full Time Employees: comprehensive health coverage including medical (with prescription), dental, vision, HSA match, paid parental leave, and tuition reimbursement.
* To see a full list of our benefit offerings, check out this helpful guide!
**Have additional questions about the role? Email the Talent Acquisition Team at:** 
**Careers@lmcu.org** 
**.**
 If you lack access to the internet or require an accommodation in the application process, please send your resume via mail to 5664 Prairie Creek Drive, Caledonia, MI 49316\.
 LMCU is an Equal Opportunity Employer</t>
        </is>
      </c>
    </row>
    <row r="69">
      <c r="A69" t="inlineStr">
        <is>
          <t>li-4360794181</t>
        </is>
      </c>
      <c r="B69" t="inlineStr">
        <is>
          <t>Sr. Data Engineer - Analytics</t>
        </is>
      </c>
      <c r="C69" t="inlineStr">
        <is>
          <t>Scoular</t>
        </is>
      </c>
      <c r="D69" t="inlineStr">
        <is>
          <t>linkedin</t>
        </is>
      </c>
      <c r="E69" t="inlineStr"/>
      <c r="F69" t="inlineStr"/>
      <c r="G69" t="inlineStr">
        <is>
          <t>Omaha, NE</t>
        </is>
      </c>
      <c r="H69" t="inlineStr"/>
      <c r="I69" t="inlineStr">
        <is>
          <t>**About The Role**
 The Senior Data Engineer will be a key contributor in designing, building, and optimizing data solutions that power our analytics ecosystem. This role focuses on hands\-on development, ensuring data integrity, performance, and scalability across our platforms. The Senior Data Engineer will collaborate closely with leads, analysts, and business stakeholders to deliver high\-quality data products and solutions.
* Design, develop, and maintain scalable data pipelines and integration solutions by analyzing business requirements and system dependencies to deliver efficient, reliable, and secure data solutions.
* Build and optimize ETL/ELT workflows using pipeline and PySpark frameworks, following medallion architecture principles.
* Implement best practices for data modeling, performance tuning, and scalability across data platforms.
* Work with modern file formats (e.g., Parquet, Delta) to ensure efficient storage and processing.
* Ensure data quality, security, and compliance across all solutions.
* Monitor and maintain data systems, proactively identifying and resolving performance issues.
* Collaborate with cross\-functional teams to deliver integrated solutions for complex business problems.
* Stay current with emerging technologies and recommend improvements to enhance the data ecosystem.
* Contribute to documentation and knowledge sharing within the team.
**About You**
* 5\+ years of experience in data engineering and analytics, with strong expertise in ETL/ELT processes including using medallion framework.
* Proficiency in PySpark and Azure Data Services (Azure Synapse Analytics, Azure Data Factory, Azure Data Lake Storage Gen2, Azure SQL Databases).
* Experience working with Parquet and Delta file formats.
* Familiarity with architecture involving Warehouse, Lakehouse, and operational data stores.
* Knowledge of CI/CD pipelines using Azure DevOps and Agile development methodologies.
* Bachelor’s Degree in Computer Science, MIS, or related field (or equivalent experience).
* Excellent problem\-solving skills and ability to work independently or in a team environment.
* Strong communication skills to collaborate effectively across technical and business teams.
**Preferred Experiences**
* Working knowledge of Microsoft Fabric and Power BI (development and optimization).
* Experience with API connectivity
* Exposure to Databricks, Snowflake, or similar platforms.
* Understanding of data governance, lineage, and audit logging.
**Our Company**
 Scoular has been leading the way in safe, reliable, and innovative supply chain solutions for over 130 years. Our business is feed and food, transportation and logistics, and our people are our passion. In everything we do, we put relationships first and always leave room for what's possible.We are a $7 billion company filled with problem solvers and compassionate leaders committed to revolutionizing the future of agriculture. With 1400 employees and over 100 offices and facilities across North America and Asia, you can count on Scoular people.
 We are committed to building a culture of real inclusion for all employees. We support customers and communities around the globe and believe our workforce should reflect that diversity. Scoular Employee Resource Groups (ERGs) connect, support, and empower our people. Learn more about diversity and inclusion commitments here.
**Our Benefits**
* We offer competitive health plans that begin on the employee's first day \-\- there's no waiting period so you can be your best from the very beginning
* On top of your competitive base pay, you'll have an incentive opportunity, 401k safe harbor and additional company match
* Your hard work and dedication deserve a break. In addition to our 12 paid holidays, you'll receive vacation, sick and wellbeing time off
* We give you the opportunity to revolutionize your community. With 8 hours of paid volunteer time every year. We encourage team members to give back and make a social impact
* This position is eligible for annual incentive opportunities based on business and individual performance.</t>
        </is>
      </c>
    </row>
    <row r="70">
      <c r="A70" t="inlineStr">
        <is>
          <t>li-4367894914</t>
        </is>
      </c>
      <c r="B70" t="inlineStr">
        <is>
          <t>Data Engineer</t>
        </is>
      </c>
      <c r="C70" t="inlineStr">
        <is>
          <t>Storm4</t>
        </is>
      </c>
      <c r="D70" t="inlineStr">
        <is>
          <t>linkedin</t>
        </is>
      </c>
      <c r="E70" t="inlineStr"/>
      <c r="F70" t="inlineStr"/>
      <c r="G70" t="inlineStr">
        <is>
          <t>Texas, United States</t>
        </is>
      </c>
      <c r="H70" t="inlineStr"/>
      <c r="I70" t="inlineStr">
        <is>
          <t>💼 Data Engineer
 📍 Houston or Austin (Onsite)
 🚀
 **Energy Markets \&amp; Energy Storage** 
**The Opportunity**
 I’m partnered with a fast\-growing, mission\-driven energy analytics company applying
 **advanced data engineering, machine learning, and optimization** 
 to real\-world power market and energy storage challenges.
 This role sits at the intersection of
 **energy markets, real\-time trading, AI/ML, and cloud\-scale data platforms** 
 . As an early team member, you’ll work closely with engineers, traders, and leadership to build and deploy production\-grade data and ML systems that directly influence trading and operational decisions.
**What You’ll Be Doing**
* **Design \&amp; Build Advanced Data Pipelines:** 
 Develop scalable data engineering and data science pipelines to support AI models and business applications, including
 **energy storage optimization and market strategy** 
 , using
 **Azure, Databricks, and Spark** 
 .
* **DataOps \&amp; MLOps Ownership:** 
 Own routine
 **DataOps and MLOps workflows** 
 , supporting full ML lifecycle management from data ingestion through deployment and monitoring.
* **Energy Trading \&amp; Real\-Time Analytics:** 
 Maintain and enhance
 **real\-time trading and analytics tools** 
 , delivering reliable, actionable data to trading desks and operations teams.
* **Applied Data Science \&amp; Modeling:** 
 Apply strong mathematical, statistical, and software engineering skills to assess
 **data quality, model structure, hyperparameters, and outputs** 
 .
* **Cross\-Functional Collaboration:** 
 Partner closely with
 **engineering, finance, trading, and operations** 
 to deliver high\-impact data and analytics solutions.
* **Translate Complexity into Insight:** 
 Communicate complex technical concepts clearly to non\-technical stakeholders to support strategic and commercial decision\-making.
* **Innovation \&amp; Research:** 
 Stay current with emerging trends in
 **data engineering, AI/ML, and energy storage** 
 , incorporating new approaches where they create competitive advantage.
**What We’re Looking For**
**Education:** 
* Bachelor’s or Master’s degree in
 **Computer Science, Data Science, Engineering, or a related field**
* **Top 20 Computer Science Universities Only**
**Core Experience (Must\-Have)** 
* 2\+ years of
 **full stack software development**
* Strong proficiency in
 **Python** 
 and
 **PySpark**
* Hands\-on experience with
 **Databricks** 
 and
 **Spark**
* Experience working in
 **cloud environments** 
 (Azure preferred)
**Nice\-to\-Have Experience** 
* 2\+ years in
 **data engineering and/or machine learning**
* Experience with
 **Visual Basic** 
 and Excel\-based automation
* Exposure to
 **Hadoop** 
 , big data ecosystems, or real\-time data systems
**Technical Strengths** 
* Strong understanding of
 **data profiling, data quality, and statistical methods**
* Experience managing ML and data projects across the full lifecycle using
 **DevOps, DataOps, and MLOps best practices**
* Full stack development exposure (frontend \+ backend preferred)
**Domain Interest / Experience** 
* Energy markets, power markets, or infrastructure optimization
* Energy storage (BESS), renewable energy, or energy trading highly valued
**Why This Role?**
* **Early\-stage impact** 
 with high ownership and visibility
* Direct influence on
 **product direction, trading strategy, and system design**
* Solve meaningful, technically challenging problems accelerating the
 **energy transition**
* Work closely with senior leadership in a fast\-moving, highly collaborative environment</t>
        </is>
      </c>
    </row>
    <row r="71">
      <c r="A71" t="inlineStr">
        <is>
          <t>li-4368030781</t>
        </is>
      </c>
      <c r="B71" t="inlineStr">
        <is>
          <t>Data Engineer</t>
        </is>
      </c>
      <c r="C71" t="inlineStr">
        <is>
          <t>Ensemble Health Partners</t>
        </is>
      </c>
      <c r="D71" t="inlineStr">
        <is>
          <t>linkedin</t>
        </is>
      </c>
      <c r="E71" t="inlineStr"/>
      <c r="F71" t="inlineStr"/>
      <c r="G71" t="inlineStr">
        <is>
          <t>Austin, TX</t>
        </is>
      </c>
      <c r="H71" t="inlineStr"/>
      <c r="I71" t="inlineStr">
        <is>
          <t>**Thank you for considering a career at Ensemble Health Partners!**
 Ensemble Health Partners is a leading provider of technology\-enabled revenue cycle management solutions for health systems, including hospitals and affiliated physician groups. They offer end\-to\-end revenue cycle solutions as well as a comprehensive suite of point solutions to clients across the country.
 Ensemble keeps communities healthy by keeping hospitals healthy. We recognize that healthcare requires a human touch, and we believe that every touch should be meaningful. This is why our people are the most important part of who we are. By empowering them to challenge the status quo, we know they will be the difference!
 O.N.E Purpose:
* Customer Obsession: Consistently provide exceptional experiences for our clients, patients, and colleagues by understanding their needs and exceeding their expectations.
* Embracing New Ideas: Continuously innovate by embracing emerging technology and fostering a culture of creativity and experimentation.
* Striving for Excellence: Execute at a high level by demonstrating our “Best in KLAS” Ensemble Difference Principles and consistently delivering outstanding results.
**The Opportunity:**
**Welcome to Orchestration Works — Ensemble’s bold leap into the future of healthcare innovation.**
 We’re building something big. Orchestration Works is a brand\-new division designed to move fast, break barriers, and bring cutting‑edge technology like AI and automation to life across the healthcare revenue cycle. This is where ideas don’t just get tested — they get scaled. Our mission is simple: transform how we work, deliver next‑level results for our clients, and lead the industry into tomorrow.
**Why Orchestration Works Exists**
 Healthcare is changing at warp speed. To stay ahead, we’re taking R\+D out of the lab and putting it into real operations — quickly, intelligently, and boldly. This new division gives us the freedom and focus to experiment, learn, and deploy innovations that make a measurable impact.
**What Makes It Different**
* A dedicated R\+D powerhouse: A 50‑person independent team headquartered in Austin, Texas — built to move at startup speed.
* Real autonomy: Independent leadership, resources, and decision\-making authority that lets us innovate without friction.
* A laser focus: Revenue Cycle Management innovations powered by automation, AI, and reimagined processes — including work on advanced Administrative and Clinical Reasoning Models.
* A future‑ready mindset: We’re here to help Ensemble evolve rapidly while protecting what makes us exceptional.
**Why It Matters**
 The future of healthcare isn’t waiting — and neither are we. Orchestration Works positions Ensemble to stay ahead of industry shifts, unlock new performance breakthroughs, and deliver smarter, faster, more reliable results for the organizations we serve.
**Position Overview**
 As a
 **Senior Data Engineer** 
 , you will play a critical role in shaping and executing Ensemble’s enterprise data engineering strategy. You will design and deliver scalable, high‑performing data solutions that enable advanced analytics, operational intelligence, and strategic decision‑making across the organization.
 In this role, you will provide technical leadership by developing reusable components, defining engineering best practices, and guiding architectural decisions. You’ll influence team direction through hands‑on design, deep code reviews, and mentorship of engineers. Your contributions will directly accelerate our long‑term technology transformation and data platform modernization efforts.
**Relocation to Austin, Texas is highly preferred for the role. Candidates must either currently reside in the Austin area or be willing to relocate. Relocation assistance may be available for eligible candidates.**
**Essential Job Functions**
* Design, build, and optimize scalable data pipelines and API integrations to support increasing data volume and complexity.
* Translate business and product needs into technical solutions and delivery plans that provide frequent, high‑quality value.
* Contribute to engineering excellence through code reviews, hands‑on design, and adoption of best practices.
* Implement data quality, monitoring, and reliability processes to ensure trusted production data across the organization.
* Recommend and apply architectural patterns that enhance performance, scalability, and alignment with enterprise platforms.
**Qualifications**
**Required Skills \&amp; Experience**
* Bachelor’s degree in Computer Science, Statistics, Mathematics, or a related technical field
* 5\+ years of coding experience with Microsoft SQL.
* 3\+ years working with big data technologies including but not limited to Databricks, Apache Spark, Python, Microsoft Azure (Data Factory, Dataflows, Azure Functions, Azure Service Bus) with a willingness and ability to learn new ones.
* Excellent understanding of engineering fundamentals: testing automation, code reviews, telemetry, iterative delivery and DevOps
* Experience with polyglot storage architectures including relational, columnar, key\-value, graph or equivalent
* Expertise in working with Delta Lake, Parquet, and data lake storage patterns in ADLS.
* Experience delivering applications using componentized and distributed architectures using event driven patterns
* Demonstrated ability to communicate effectively to both technical and non\-technical, globally distributed audiences
* Solid foundations in formal architecture, design patterns and best practices
* Experience working with healthcare datasets
* Very strong attention to detail
**Join An Award\-winning Company**
 Five\-time winner of “Best in KLAS” 2020\-2022, 2024\-2025
 Black Book Research's Top Revenue Cycle Management Outsourcing Solution 2021\-2024
 22 Healthcare Financial Management Association (HFMA) MAP Awards for High Performance in Revenue Cycle 2019\-2024
 Leader in Everest Group's RCM Operations PEAK Matrix Assessment 2024
 Clarivate Healthcare Business Insights (HBI) Revenue Cycle Awards for strong performance 2020, 2022\-2023
 Energage Top Workplaces USA 2022\-2024
 Fortune Media Best Workplaces in Healthcare 2024
 Monster Top Workplace for Remote Work 2024
 Great Place to Work certified 2023\-2024
* Innovation
* Work\-Life Flexibility
* Leadership
* Purpose \+ Values
 Bottom line, we believe in empowering people and giving them the tools and resources needed to thrive. A few of those include:
* Associate Benefits – We offer a comprehensive benefits package designed to support the physical, emotional, and financial health of you and your family, including healthcare, time off, retirement, and well\-being programs.
* Our Culture – Ensemble is a place where associates can do their best work and be their best selves. We put people first, last and always. Our culture is rooted in collaboration, growth, and innovation.
* Growth – We invest in your professional development. Each associate will earn a professional certification relevant to their field and can obtain tuition reimbursement.
* Recognition – We offer quarterly and annual incentive programs for all employees who go beyond and keep raising the bar for themselves and the company.
 Ensemble Health Partners is an equal employment opportunity employer. It is our policy not to discriminate against any applicant or employee based on race, color, sex, sexual orientation, gender, gender identity, religion, national origin, age, disability, military or veteran status, genetic information or any other basis protected by applicable federal, state, or local laws. Ensemble Health Partners also prohibits harassment of applicants or employees based on any of these protected categories.
 Ensemble Health Partners provides reasonable accommodations to qualified individuals with disabilities in accordance with the Americans with Disabilities Act and applicable state and local law. If you require accommodation in the application process, please contact TA@ensemblehp.com.
 This posting addresses state specific requirements to provide pay transparency. Compensation decisions consider many job\-related factors, including but not limited to geographic location; knowledge; skills; relevant experience; education; licensure; internal equity; time in position. A candidate entry rate of pay does not typically fall at the minimum or maximum of the role’s range.
 EEOC – Know Your Rights
 FMLA Rights \- English
 La FMLA Español
 E\-Verify Participating Employer (English and Spanish)
 Know your Rights</t>
        </is>
      </c>
    </row>
    <row r="72">
      <c r="A72" t="inlineStr">
        <is>
          <t>li-4367233577</t>
        </is>
      </c>
      <c r="B72" t="inlineStr">
        <is>
          <t>Azure Data Engineer</t>
        </is>
      </c>
      <c r="C72" t="inlineStr">
        <is>
          <t>Precision Technologies</t>
        </is>
      </c>
      <c r="D72" t="inlineStr">
        <is>
          <t>linkedin</t>
        </is>
      </c>
      <c r="E72" t="inlineStr"/>
      <c r="F72" t="inlineStr"/>
      <c r="G72" t="inlineStr"/>
      <c r="H72" t="inlineStr"/>
      <c r="I72" t="inlineStr">
        <is>
          <t>💼
 **Senior / Lead Data Engineer** 
**Location:** 
 Multiple Client Locations across the USA (Open to Relocation)
**Experience:** 
 8\+ Years
**Employment Type:** 
 Full\-time.
**About the Role** 
 We’re looking for an experienced
 **Senior or Lead Data Engineer** 
 to join our client projects across diverse domains \- finance, healthcare, retail, and cloud\-based ecosystems. This role involves designing, building, and optimizing large\-scale data processing systems, ensuring data availability and integrity across platforms.
**Key Responsibilities:** 
* Architect, build, and maintain scalable
 **data pipelines** 
 and
 **ETL processes** 
 using modern tools and cloud technologies
* Develop and deploy
 **data ingestion frameworks** 
 for structured and unstructured data sources.
* Work closely with
 **data scientists, analysts, and DevOps teams** 
 to design efficient data models and ensure seamless integrations.
* Optimize performance of large\-scale
 **data lakes and warehouses** 
 .
* Implement
 **data governance, lineage, and quality frameworks** 
 .
* Lead and mentor junior data engineers and ensure best practices in data engineering.
**Required Skills:** 
* 8\+ years of hands\-on experience in
 **data engineering, ETL development, and pipeline automation** 
 .
* Strong expertise in at least one cloud platform \-
 **AWS, Azure, or GCP** 
 .
* Hands\-on with
 **Spark, PySpark, Databricks, Kafka, Snowflake, Airflow, SQL, and Python** 
 .
* Experience with
 **data warehousing** 
 (Redshift, BigQuery, Synapse, etc.) and
 **streaming technologies** 
 .
* Solid understanding of
 **data modeling, orchestration, and performance tuning** 
 .
* Excellent communication skills and ability to work in collaborative, cross\-functional teams.
**Nice to Have:** 
* Experience in
 **data modernization or migration projects** 
 .
* Familiarity with
 **CI/CD pipelines** 
 and
 **containerization** 
 (Docker/Kubernetes).
 📩
 **Interested candidates can apply directly or share resumes at** 
**raviteja.d@precisiontechcorp.com** 
 Let’s build the future of data together!</t>
        </is>
      </c>
    </row>
    <row r="73">
      <c r="A73" t="inlineStr">
        <is>
          <t>li-4358135119</t>
        </is>
      </c>
      <c r="B73" t="inlineStr">
        <is>
          <t>Data Analytics Engineer</t>
        </is>
      </c>
      <c r="C73" t="inlineStr">
        <is>
          <t>Harnham</t>
        </is>
      </c>
      <c r="D73" t="inlineStr">
        <is>
          <t>linkedin</t>
        </is>
      </c>
      <c r="E73" t="inlineStr"/>
      <c r="F73" t="inlineStr"/>
      <c r="G73" t="inlineStr">
        <is>
          <t>Austin, TX</t>
        </is>
      </c>
      <c r="H73" t="inlineStr"/>
      <c r="I73" t="inlineStr">
        <is>
          <t>About the Role
 We are looking for a
 **Data Analytics Engineer** 
 who sits at the intersection of data engineering and analytics. In this role, you will transform raw, messy data from vehicles, APIs, and operational systems into clean, reliable datasets that are trusted and widely used—from engineering teams to executive leadership.
 You will own data pipelines end to end and build dashboards that surface insights, track performance, and help teams quickly identify issues.
 What You’ll Do
* Build and maintain ETL pipelines that ingest data from diverse internal systems into a centralized analytics warehouse
* Work with unique and high\-volume datasets, including vehicle telemetry, sensor\-derived signals, logistics data, and system test results
* Write efficient, well\-structured SQL to model and prepare data for analysis and reporting
* Design, build, and maintain dashboards (e.g., Grafana or similar) used to monitor system performance and operational health
* Partner closely with engineering, operations, and leadership teams to understand data needs and deliver actionable datasets
* Explore internal AI\- and LLM\-based tools to automate analysis and uncover new insights
 What You’ll Need
* Strong hands\-on experience with
 **Python** 
 and data libraries such as pandas, Polars, or similar
* Advanced
 **SQL** 
 skills, including complex joins, window functions, and query optimization
* Proven experience building and operating
 **ETL pipelines** 
 using modern data tooling
* Experience with
 **BI and visualization tools** 
 (e.g., Grafana, Tableau, Looker)
* Familiarity with
 **workflow orchestration** 
 tools such as Airflow, Dagster, or Prefect
* High\-level understanding of
 **LLMs** 
 and interest in applying them to data and analytics workflows
* Strong ownership mindset and commitment to data quality and reliability
 Nice to Have
* Experience with
 **ClickHouse** 
 or other analytical databases (e.g., Snowflake, BigQuery, Redshift)
* Background working with
 **vehicle, sensor, or logistics data**
* Prior experience in
 **autonomous systems, robotics, or other data\-intensive hardware\-driven domains**</t>
        </is>
      </c>
    </row>
    <row r="74">
      <c r="A74" t="inlineStr">
        <is>
          <t>li-4368363757</t>
        </is>
      </c>
      <c r="B74" t="inlineStr">
        <is>
          <t>Senior Analytics Engineer</t>
        </is>
      </c>
      <c r="C74" t="inlineStr">
        <is>
          <t>APN Consulting, Inc.</t>
        </is>
      </c>
      <c r="D74" t="inlineStr">
        <is>
          <t>linkedin</t>
        </is>
      </c>
      <c r="E74" t="inlineStr"/>
      <c r="F74" t="inlineStr"/>
      <c r="G74" t="inlineStr">
        <is>
          <t>Jersey City, NJ</t>
        </is>
      </c>
      <c r="H74" t="inlineStr"/>
      <c r="I74" t="inlineStr">
        <is>
          <t>**Role: Senior Analytics Engineer** 
**Duration: Fulltime** 
**Location: Jersey City, NJ** 
**The Role** 
 Client is seeking a highly skilled and experienced Senior Analytics Engineer to join our development team and contribute to the ongoing development of our analytics platforms. You will be expected to possess deep technical expertise in our tech stack and stay abreast of the latest industry technology trends. We value team members who are driven to achieve results, maintain high quality standards, and exhibit a flexible entrepreneurial spirit in the face of scope changes. You will be joining a fast\-moving team that requires the ability to work autonomously while also collaborating closely with others.
**We’ll trust you to:** 
* Design and develop next\-generation equity and credit analytics platforms.
* Collaborate closely with business partners and analysts to understand data requirements and analyze and design the necessary data pipeline and database design.
* Design, implement and maintain data pipelines that can efficiently and reliably ingest and store data from a variety of internal and external sources.
* Develop robust quality control processing, monitoring, and workflow dashboards.
* Proficient in handling backend database work, well\-versed in Python or Java, with the expertise to process and load data seamlessly into databases.
* Integrate risk and quantitative models.
* Simplify and automate existing manual data processes.
* Provide support for overnight batch jobs.
* Participate in strategic discussions.
* Work closely with a team of frontend and backend engineers, product managers, and analysts.
**You'll need to have:** 
* Bachelor’s or master’s degree in computer science, Engineering, Physics, Math, or related work experience.
* Highly experienced candidate with a minimum of 10 years of expertise in application design, coding, testing, maintenance, and debugging.
* Experience creating and maintaining Conceptual, Logical, and Physical data models.
* Experience in building data pipelines, designing data models, and architecting data systems from the ground up.
* Skilled in developing Python APIs and writing code for loading and processing data.
* Experience in writing complex SQL queries, stored procedures, functions, and query optimization performance tuning.
* Strong proficiency in Java, REST, Microservices, Spring Boot, and API gateway.
* Experience working with various cloud technologies, including AWS, Azure, GCP, Snowflake, Spark, and their associated tools.
* Ability to identify opportunities to reuse data and reduce redundancy across the enterprise.
* Experience with Git/GitHub.
* Experience with DevOps tools like Jira, Confluence, and CI/CD pipelines (Jenkins).
* Experience with messaging technologies such as Kafka, as well as queuing technologies and other related tools.
* Strong analytical skills.
* Candidate must be willing to take full ownership of projects, covering discovery, analysis, technical design and implementation, testing, and deployment tasks.
* Must demonstrate good communication skills and be comfortable working closely with senior quantitative analysts, risk analysts and business partners.
* A strong desire to document and share work done to aid in long term support.
* Candidate must be a self\-starter, a dependable partner, and team player.
* Experience working in the finance industry.
* Experience with market data vendors \- Bloomberg, Markit, ICE/BAML, S\&amp;P, Moodys, Fitch, Russell, Intex, JPM, Factset, State Street, CRD, and Yieldbook.
* Experience working on distributed system and handling \&amp; processing of large\-scale data (trades, risk, market data etc).
* Knowledge of fixed income analytics for asset types such as corporate bonds, Treasuries, Derivatives, Sovereigns, Bank Loans, MBS, ABS, and CLO.
* Proficient in managing foundational data, including security master, entity master, and account master.</t>
        </is>
      </c>
    </row>
    <row r="75">
      <c r="A75" t="inlineStr">
        <is>
          <t>li-4368310869</t>
        </is>
      </c>
      <c r="B75" t="inlineStr">
        <is>
          <t>Azure Data Engineer</t>
        </is>
      </c>
      <c r="C75" t="inlineStr">
        <is>
          <t>SPECTRAFORCE</t>
        </is>
      </c>
      <c r="D75" t="inlineStr">
        <is>
          <t>linkedin</t>
        </is>
      </c>
      <c r="E75" t="inlineStr"/>
      <c r="F75" t="inlineStr"/>
      <c r="G75" t="inlineStr">
        <is>
          <t>Glendale, AZ</t>
        </is>
      </c>
      <c r="H75" t="inlineStr"/>
      <c r="I75" t="inlineStr">
        <is>
          <t>**Role: Azure Data Engineer** 
**Location: Glendale, AZ (Hybrid)** 
**Duration: 6 Months** 
**Overview:** 
 We are seeking a highly skilled and motivated Senior Software Engineer specializing in Data Engineering to join our growing team. This critical role will focus on designing, developing, and optimizing our data infrastructure within the Azure cloud environment, enabling data\-driven insights for the business.
**Key Responsibilities:** 
* Design, develop, and optimize scalable and efficient data processing pipelines and architectures within Azure Data Lake and Databricks
* Implement and manage complex ETL (Extract, Transform, Load) processes to integrate data from diverse sources into Azure Data Lake
* Develop and maintain interactive dashboards and reports using SAP Business Objects and Power BI
* Leverage Azure Data Factory for data orchestration, workflow automation, and scheduling
* Implement and maintain Azure Security \&amp; Governance policies to ensure data protection
* Optimize data storage and retrieval mechanisms within Azure, including performance tuning of Databricks clusters
* Collaborate effectively with cross\-functional teams to understand business requirements and translate them into technical solutions
* Implement data quality checks and validation rules throughout the data pipeline
* Monitor, troubleshoot, and enhance existing data solutions, identifying and resolving performance bottlenecks
* Create and maintain comprehensive technical documentation to facilitate knowledge sharing
**Required Qualifications:** 
* Must be a U.S. Citizen
* Bachelor's degree in Computer Science, Engineering, or a related field
* 10 years of hands\-on experience in data engineering, data warehousing, and cloud\-based data platforms
* Deep expertise in Azure Data Lake, Azure Data Factory, Azure Security \&amp; Governance, Databricks
* Strong techno\-functional experience with SAP Business Objects
* Strong proficiency in SQL, including complex query writing and performance tuning
* Proven experience in developing and maintaining Power BI dashboards and reports
* Hands\-on experience with Azure services such as Azure Synapse Analytics and Azure SQL Database
* Solid understanding of data modeling concepts, ETL processes, and big data
* Experience in optimizing and managing large\-scale datasets in cloud environments
* Strong analytical and problem\-solving skills with attention to detail
* Excellent communication and collaboration skills
**Preferred Qualifications:** 
* Master's degree in a relevant field
* Understanding of DevOps practices and CI/CD pipelines for data applications</t>
        </is>
      </c>
    </row>
    <row r="76">
      <c r="A76" t="inlineStr">
        <is>
          <t>li-4368331249</t>
        </is>
      </c>
      <c r="B76" t="inlineStr">
        <is>
          <t>Data Engineer</t>
        </is>
      </c>
      <c r="C76" t="inlineStr">
        <is>
          <t>TalentAlly</t>
        </is>
      </c>
      <c r="D76" t="inlineStr">
        <is>
          <t>linkedin</t>
        </is>
      </c>
      <c r="E76" t="inlineStr"/>
      <c r="F76" t="inlineStr"/>
      <c r="G76" t="inlineStr">
        <is>
          <t>Irving, TX</t>
        </is>
      </c>
      <c r="H76" t="inlineStr"/>
      <c r="I76" t="inlineStr">
        <is>
          <t>McKesson is an impact\-driven, Fortune 10 company that touches virtually every aspect of healthcare. We are known for delivering insights, products, and services that make quality care more accessible and affordable. Here, we focus on the health, happiness, and well\-being of you and those we serve \- we care.
 What you do at McKesson matters. We foster a culture where you can grow, make an impact, and are empowered to bring new ideas. Together, we thrive as we shape the future of health for patients, our communities, and our people. If you want to be part of tomorrow's health today, we want to hear from you.
 We are seeking an exceptional Senior Director of Data Engineering to join McKesson Technology US Pharmaceutical Distribution (USPD) Decision Intelligence organization and lead the data strategy and execution of design, development, and optimization of USPD data products. This role will define and drive the strategic vision for data engineering across various USPD while managing large\-scale data operations built on modern data stack. This role involves collaborating with stakeholders to align data capabilities with business objectives and overseeing data governance, security, and best practices. The successful candidate will combine deep technical expertise with proven leadership capabilities to deliver high\-impact data solutions that power critical business decisions across our USPD portfolio.
 1\. Strategic Leadership
 Develop and execute comprehensive data engineering strategy aligned with business goals and digital transformation initiatives, identifying opportunities to leverage data for competitive advantage
 Partner with executives, business leaders, and technology stakeholders to define data architecture vision and roadmap
 Drive innovation in data engineering practices, emerging technologies, and platform capabilities to maintain competitive advantage
 Establish data engineering standards, best practices, and governance frameworks across the organization
 2\. Technical Excellence
 Design, build, and maintain scalable and secure data platforms leveraging Microsoft Azure ecosystem, ensuring efficient data ingestion, transformation, and storage.
 Lead advanced implementation of Databricks for large\-scale data processing, machine learning workflows, and real\-time analytics
 Design and implement robust data pipelines supporting petabyte\-scale data ingestion, transformation, and distribution
 Ensure data platform security, compliance, and performance optimization across all environments
 3\. Organizational Leadership
 Build, mentor, and lead a high\-performing team of Data Engineering Directors, and technical specialists
 Collaborate cross\-functionally with Operations, Data Science, Analytics, IT, and Business Intelligence teams to deliver integrated solutions
 Establish talent development programs, technical career progression paths, and engineering excellence initiatives
 Foster culture of innovation, continuous learning, and technical excellence within the data engineering organization
 4\. Operational Excellence
 Lead delivery of USPD data engineering products development in alignment with USPD DI Operations uptime, optimal performance, and cost efficiency
 Implement comprehensive monitoring, alerting, and incident response capabilities for mission\-critical data systems
 Partner with Enterprise Data Platform team to implement automation initiatives and DevOps practices to enhance deployment speed and operational reliability
 Manage technology budgets, vendor relationships, and strategic partnerships to optimize total cost of ownership
 5\. USPD Domain Expertise
 Deep understanding of Pharmaceutical BuySide/Sellside concepts, contract data, core distribution models, and pharmaceutical/specialty pharma operations, and customer management.
 Understanding Supply Chain, Manufacturer and enterprise data products
 Minimum Qualifications
 Master's in engineering \&amp; science or Equivalentexperience. Typically requires15\+ years of professionalexperience and 10\+ years ofmanagement experience.
 Business Experience
 Proven success leading digital transformation and complex technology initiatives.
 Demonstrated ability to build and scale enterprise\-grade data engineering organizations.
 Experience with P\&amp;L responsibility, budget management, and technology ROI optimization
 Strong understanding of enterprise data governance, regulatory compliance, and data privacy requirements
 Proven ability to communicate complex technical concepts to executive stakeholders and non\-technical audiences
 Specialized Knowledge/Skills
 Deep expertise in Microsoft Azure data services ecosystem (Azure Data Factory, Synapse Analytics, Data Lake Storage, Event Hubs, Cosmos DB)
 Advanced proficiency with Databricks platform and advanced analytics workflows
 Extensive experience with BI development, administration, and enterprise deployment
 Strong foundation in modern data architectures: data lakes, data warehouses, real\-time streaming, and event\-driven systems
 Proficiency in multiple programming languages (Python, Scala, SQL, .NET) and infrastructure\-as\-code practices
 Preferred Qualifications
 Azure certifications (Azure Data Engineer Associate, Azure Solutions Architect Expert)
 Databricks certifications (Professional Data Engineer, Professional ML Practitioner)
 Experience in regulated industries (healthcare, financial services, manufacturing)
 Familiarity with enterprise AI/ML platform development and deployment
 Previous experience at Fortune 100 companies with similar scale and complexity
 Experience with SAP functional data domains
 We are proud to offer a competitive compensation package at McKesson as part of our Total Rewards. This is determined by several factors, including performance, experience and skills, equity, regular job market evaluations, and geographical markets. The pay range shown below is aligned with McKesson's pay philosophy, and pay will always be compliant with any applicable regulations. In addition to base pay, other compensation, such as an annual bonus or long\-term incentive opportunities may be offered. For more information regarding benefits at McKesson, pleaseclick here.
 Our Base Pay Range for this position
 $185,700 \- $309,500
 McKesson has become aware of online recruiting\-related scams in which individuals who are not affiliated with or authorized by McKesson are using McKesson's (or affiliated entities, like CoverMyMeds or RxCrossroads) name in fraudulent emails, job postings or social media messages. In light of these scams, please bear the following in mind:
 McKesson Talent Advisors will never solicit money or credit card information in connection with a McKesson job application.
 McKesson Talent Advisors do not communicate with candidates via online chatrooms or using email accounts such as Gmail or Hotmail. Note that McKesson does rely on a virtual assistant (Gia) for certain recruiting\-related communications with candidates.
 McKesson job postings are posted on our career site: careers.mckesson.com.
 McKesson is an Equal Opportunity Employer
 McKesson provides equal employment opportunities to applicants and employees, without regard to race, color, religion, sex, sexual orientation, gender identity, national origin, protected veteran status, disability, age, genetic information, or any other legally protected category. For additional information on McKesson's full Equal Employment Opportunity policies, visit our Equal Employment Opportunity page.
 Join us at McKesson!
 PDN\-a0fb2e66\-cabc\-45a8\-8903\-3d54b95d5758</t>
        </is>
      </c>
    </row>
    <row r="77">
      <c r="A77" t="inlineStr">
        <is>
          <t>li-4368357680</t>
        </is>
      </c>
      <c r="B77" t="inlineStr">
        <is>
          <t>Data Engineer</t>
        </is>
      </c>
      <c r="C77" t="inlineStr">
        <is>
          <t>Infinitive</t>
        </is>
      </c>
      <c r="D77" t="inlineStr">
        <is>
          <t>linkedin</t>
        </is>
      </c>
      <c r="E77" t="inlineStr"/>
      <c r="F77" t="inlineStr"/>
      <c r="G77" t="inlineStr">
        <is>
          <t>McLean, VA</t>
        </is>
      </c>
      <c r="H77" t="inlineStr"/>
      <c r="I77" t="inlineStr">
        <is>
          <t>**About Infinitive:**
 Infinitive is a data and AI consultancy that helps clients modernize, monetize, and operationalize their data to generate lasting value. They pride themselves on their deep industry and technology expertise, ensuring that they drive and sustain the adoption of new capabilities. Infinitive is committed to aligning their team with their clients' culture, ensuring a successful partnership by bringing the right mix of talent and skills for high return on investment.
 Infinitive has earned recognition as one of the "Best Small Firms to Work For" by Consulting Magazine, receiving this accolade 8 times, most recently in 2025\. They have also been honored as a “Top Workplace” by the Washington Post, “Best Places to Work” by the Washington Business Journal, and “Best Places to Work” by Virginia Business.
**Job Summary:**
 We are seeking a skilled Data Engineer to join our team and play a key role in designing, building, and maintaining robust data pipelines and platforms. The ideal candidate will have strong experience with Python, AWS (Glue, S3, Lambda, CloudWatch), Databricks, Apache Spark, SQL, Snowflake, and DynamoDB. This role involves working with large\-scale data processing systems, optimizing ETL/ELT workflows, and ensuring the reliability, scalability, and security of data solutions.
**Key Responsibilities:**
* Design, develop, and maintain scalable ETL/ELT pipelines using AWS Glue, Databricks, and Apache Spark
* Work with structured and semi\-structured data in Snowflake, DynamoDB, and S3
* Optimize and troubleshoot Spark jobs for performance and cost efficiency
* Develop and maintain Lambda functions to support real\-time and batch data processing
* Implement data quality, validation, and monitoring using CloudWatch and other observability tools
* Design and optimize complex SQL queries for data transformation, aggregation, and reporting
* Collaborate with cross\-functional teams, including Data Scientists, Analysts, and DevOps teams, to support data\-driven decision\-making
* Implement best practices for data security, governance, and compliance in the cloud environment
* Automate data workflows and CI/CD pipelines using infrastructure\-as\-code and Git\-based version control
**Required Qualifications:**
* 3\+ years of experience in Data Engineering or a similar role
* Strong proficiency in Python for data processing and automation
* Hands\-on experience with AWS services including Glue, S3, Lambda, CloudWatch, DynamoDB
* Expertise in Databricks and Apache Spark for large\-scale data processing
* Proficient in SQL for querying and manipulating structured data
* Experience working with Snowflake, including schema design and performance tuning
* Knowledge of data lake and data warehouse architectures
* Familiarity with data security, IAM roles, and cloud\-based authentication mechanisms
* Strong problem\-solving and debugging skills in a cloud\-based data environment
**Preferred Qualifications:**
* Experience with streaming data architectures using Kafka, Kinesis, or Pub/Sub
* Knowledge of orchestration tools such as Airflow, Step Functions, or MWAA
* Experience with Terraform or CloudFormation for infrastructure automation
* Understanding of data governance frameworks (e.g., Dataplex, Alation, or Unity Catalog)
* Experience in CI/CD and DevOps practices for data engineering pipelines
* Hands\-on experience with monitoring and logging tools, including Splunk and NewRelic</t>
        </is>
      </c>
    </row>
    <row r="78">
      <c r="A78" t="inlineStr">
        <is>
          <t>li-4330776124</t>
        </is>
      </c>
      <c r="B78" t="inlineStr">
        <is>
          <t>Data Engineer</t>
        </is>
      </c>
      <c r="C78" t="inlineStr">
        <is>
          <t>Sogeti</t>
        </is>
      </c>
      <c r="D78" t="inlineStr">
        <is>
          <t>linkedin</t>
        </is>
      </c>
      <c r="E78" t="inlineStr"/>
      <c r="F78" t="inlineStr"/>
      <c r="G78" t="inlineStr">
        <is>
          <t>Bellevue, WA</t>
        </is>
      </c>
      <c r="H78" t="inlineStr"/>
      <c r="I78" t="inlineStr">
        <is>
          <t>**Role: Data Engineer (Synapse)** 
**Location: Bellevue, WA** 
 Development activities:
* Ability to gather and understand requirements by studying features/ user stories created for requirements and work on implementing them.
* Design and development for the change requests from client.
* Ability to analyze existing data flow and suggest for any enhancements/ improvements based on technical expertise.
* Preparing test scenarios/ test cases for the user stories and sharing the unit testing results as part of the development completion.
 Operations activities:
* Monitor data extract, transform, and load (ETL) jobs, pipelines and work to fix the job failures.
* Troubleshooting to identify data issues and solving any data discrepancies and providing business intelligence insights.
* Provide support to the users on any data related questions/issues reported during UAT and PROD cycles.
**Technical skills:**
 Expertise/ at least 7\+ years of experience in
* Microsoft SQL Server
* Database and ETL design concepts
* T SQL
* SQL server Analysis server
* Fluent in DAX queries (good to have)
* Azure Synapse – including creating scripts for ETL using Python(pyspark)
* Experience with excel – includes creating data pivots to different sources for analyzing
* Good to have prior experience with Microsoft projects, process, and tools (like VSTS, VSO)
**Education Requirements** 
* Bachelor’s Degree
**Life at Sogeti:** 
 Sogeti supports all aspects of your well\-being throughout the changing stages of your life and career. For eligible employees, we offer:
* Flexible work options
* 401(k) with 150% match up to 6%
* Employee Share Ownership Plan
* Medical, Prescription, Dental \&amp; Vision Insurance
* Life Insurance
* 100% Company\-Paid Mobile Phone Plan
* 3 Weeks PTO \+ 7 Paid Holidays
* Paid Parental Leave
* Adoption, Surrogacy \&amp; Cryopreservation Assistance
* Subsidized Back\-up Child/Elder Care \&amp; Tutoring
* Career Planning \&amp; Coaching
* $5,250 Tuition Reimbursement \&amp; 20,000\+ Online Courses
* Employee Resource Groups
* Counseling \&amp; Support for Physical, Financial, Emotional \&amp; Spiritual Well\-being
* Disaster Relief Programs
**About Sogeti** 
 Part of the Capgemini Group, Sogeti makes business value through technology for organizations that need to implement innovation at speed and want a local partner with global scale. With a hands\-on culture and close proximity to its clients, Sogeti implements solutions that will help organizations work faster, better, and smarter. By combining its agility and speed of implementation through a DevOps approach, Sogeti delivers innovative solutions in quality engineering, cloud and application development, all driven by AI, data and automation.
 Become Your Best \| www.sogeti.us
**Disclaimer** 
 Capgemini is an Equal Opportunity Employer encouraging diversity in the workplace. All qualified applicants will receive consideration for employment without regard to race, national origin, gender identity/expression, age, religion, disability, sexual orientation, genetics, veteran status, marital status or any other characteristic protected by law.
 This is a general description of the Duties, Responsibilities and Qualifications required for this position. Physical, mental, sensory or environmental demands may be referenced in an attempt to communicate the manner in which this position traditionally is performed. Whenever necessary to provide individuals with disabilities an equal employment opportunity, Capgemini will consider reasonable accommodations that might involve varying job requirements and/or changing the way this job is performed, provided that such accommodations do not pose an undue hardship.
 Capgemini is committed to providing reasonable accommodation during our recruitment process. If you need assistance or accommodation, please reach out to your recruiting contact.
 Please be aware that Capgemini may capture your image (video or screenshot) during the interview process and that image may be used for verification, including during the hiring and onboarding process.
 Click the following link for more information on your rights as an Applicant http://www.capgemini.com/resources/equal\-employment\-opportunity\-is\-the\-law
 Applicants for employment in the US must have valid work authorization that does not now and/or will not in the future require sponsorship of a visa for employment authorization in the US by Capgemini.
 Capgemini discloses salary range information in compliance with state and local pay transparency obligations. The disclosed range represents the lowest to highest salary we, in good faith, believe we would pay for this role at the time of this posting, although we may ultimately pay more or less than the disclosed range, and the range may be modified in the future. The disclosed range takes into account the wide range of factors that are considered in making compensation decisions including, but not limited to, geographic location, relevant education, qualifications, certifications, experience, skills, seniority, performance, sales or revenue\-based metrics, and business or organizational needs. At Capgemini, it is not typical for an individual to be hired at or near the top of the range for their role. The base salary range for the tagged location is 135K to 145K per annum.
 This role may be eligible for other compensation including variable compensation, bonus, or commission. Full time regular employees are eligible for paid time off, medical/dental/vision insurance, 401(k), and any other benefits to eligible employees.
 Note: No amount of pay is considered to be wages or compensation until such amount is earned, vested, and determinable. The amount and availability of any bonus, commission, or any other form of compensation that are allocable to a particular employee remains in the Company's sole discretion unless and until paid and may be modified at the Company’s sole discretion, consistent with the law.</t>
        </is>
      </c>
    </row>
    <row r="79">
      <c r="A79" t="inlineStr">
        <is>
          <t>li-4368328375</t>
        </is>
      </c>
      <c r="B79" t="inlineStr">
        <is>
          <t>Data Engineer</t>
        </is>
      </c>
      <c r="C79" t="inlineStr">
        <is>
          <t>TalentAlly</t>
        </is>
      </c>
      <c r="D79" t="inlineStr">
        <is>
          <t>linkedin</t>
        </is>
      </c>
      <c r="E79" t="inlineStr"/>
      <c r="F79" t="inlineStr"/>
      <c r="G79" t="inlineStr">
        <is>
          <t>Alpharetta, GA</t>
        </is>
      </c>
      <c r="H79" t="inlineStr"/>
      <c r="I79" t="inlineStr">
        <is>
          <t>McKesson is an impact\-driven, Fortune 10 company that touches virtually every aspect of healthcare. We are known for delivering insights, products, and services that make quality care more accessible and affordable. Here, we focus on the health, happiness, and well\-being of you and those we serve \- we care.
 What you do at McKesson matters. We foster a culture where you can grow, make an impact, and are empowered to bring new ideas. Together, we thrive as we shape the future of health for patients, our communities, and our people. If you want to be part of tomorrow's health today, we want to hear from you.
 Job title: Senior/Lead Data Engineer
 Current Need:
 The Senior / Lead Data Engineer will bepart of McKesson Decision Intelligence team, and responsibilities include managing data exploration and analysis, requirements assessment, data source identification, exploratory research, and defining as well asmaintainingdata definitions, business rules, and lineage.Additionalduties involve documentation, collaborating with Data Architects and Engineers on product design, data stewardship, metadata management, ensuring data quality, conductingdifferent typesof testing(functional, regression, exploratory), and preparing and executing test cases and plans.
 Key Responsibilities
 Support a cross\-functional team andprovidein\-depth data insights for complex business problems that can be approached with advanced analytics
 Work closely with the other Data Engineers and Scientists to deliver results
 Citizen of PSAS BU data engineering team and enable the BU Driven Data Insights
 Coordinate and collaborate with program managers and other internal stakeholders including gathering requirements and modeling criteria
 Leverage tools and resources to plan,evaluateand execute strategic initiatives
 Strong delegation and management skills to ensure work is conducted ina timely, quality fashion by internal and external partners and multi\-shore teams/resources.
 Continuously improve andoptimizebusiness processes and operations.Identifying, publicizing the tech debt across data landscape and championing addressal pursuits.
 Data Engineering and Analytics support
 Thinks in automation first, enterprise first and reusability mindset. Develops solution architectures and designs and helps build consensus among teams to champion the data solutions.
 Collaborates with and across Agile teams to design, develop, test, implement, and support technical solutions with full stack of Data technologies,toolsand processes.
 Implements data governance practices in partnership with business stakeholders and peers, data governance officeteamsand solution teams to advocate for data literacy and data democratization across enterprise.
 Builds scalable and reliable data engineering solutions for moving data efficiently across systems from various internal and external data sources in the batch and real\-time mode
 Analyzes, models structured data and implement/scale algorithms to support analysis using advanced statistical and mathematical methods from statistics, data mining, econometrics, and operations research, using distributed and parallel programming techniques.
 Must be well versed in general infrastructure technology and understand public and private cloud concepts such as Software as a Service (SaaS), Platform as a Service (PaaS), Desktop as a Service (DaaS), and Infrastructure as a Service (IaaS) Experience with automation to Infrastructure (IaC\- Infrastructure as Code)
 Troubleshooting, Monitoring and Performance Tuning of various software components of various data science analytical solutions, RESTful web services etc...
 Understanding oflarge database mining tools and statistical languagesutilizedto efficiently build approaches andexecute onanalytical use cases. Specific experience withSnowflake, Databricks, Azure data factory,PySpark,Analytical SQL,Splunk,Alation,R, Python.Experience with SAP and IBM DataStage is also extremely beneficial.
 Communicateresults and educate others through reports and presentations.
 Minimum Job Qualifications(Knowledge, Skills, \&amp; Abilities):
 Education/Training \-
 Bachelor's or master's degree in data science, Statistics, Computer Science, Economics, ora relatedfield.
 7\+ years of experience in data analytics, with at least 2 years in a leadership or mentorship role.
 Proficiencyin SQL, Python, R, or similar analytical tools.
 Experience with data visualization platforms such as Power BI, Tableau, or Looker.
 Strong understanding of statistical analysis, predictive modeling, and data mining techniques.
 Experience with analytical tools such as Databricks \&amp; Snowflake
 Excellent communication and stakeholder management skills.
 Ability to manage multiple projects and priorities in a fast\-paced environment.
 Specialized Knowledge/Skills \-
 Leadership Skills:Exceptional ability to lead, mentor, and inspire teams, fostering an environment of accountability and innovation. This positionoperatesunder consultative direction towards broad corporate goals, requiring a high degree of initiative and independence in achieving project outcomes.
 Strategic Thinking: Strong analytical skills and the ability to develop strategies that align with long\-termobjectives.
 Problem Solving: Innovative and creative problem\-solving skills capable of handling complex challenges.
 Working Conditions:Environment (Office, warehouse, etc.) \-
 Traditional officeenvironment.
 We are proud to offer a competitive compensation package at McKesson as part of our Total Rewards. This is determined by several factors, including performance, experience and skills, equity, regular job market evaluations, and geographical markets. In addition to base pay, other compensation, such as an annual bonus or long\-term incentive opportunities may be offered. For more information regarding benefits at McKesson, pleaseclick here.
 McKesson is an Equal Opportunity Employer
 McKesson provides equal employment opportunities to applicants and employees and is committed to a diverse and inclusive environment without regard to race, color, religion, sex, sexual orientation, gender identity, national origin, protected veteran status, disability, age or genetic information. For additional information on McKesson's full Equal Employment Opportunity policies, visit our Equal Employment Opportunity page.
 Join us at McKesson!
 PDN\-a0fb2e66\-4f3b\-4bf1\-b417\-79762dee632b</t>
        </is>
      </c>
    </row>
    <row r="80">
      <c r="A80" t="inlineStr">
        <is>
          <t>li-4357590707</t>
        </is>
      </c>
      <c r="B80" t="inlineStr">
        <is>
          <t>AWS Data Engineer</t>
        </is>
      </c>
      <c r="C80" t="inlineStr">
        <is>
          <t>Codebase Inc</t>
        </is>
      </c>
      <c r="D80" t="inlineStr">
        <is>
          <t>linkedin</t>
        </is>
      </c>
      <c r="E80" t="inlineStr"/>
      <c r="F80" t="inlineStr"/>
      <c r="G80" t="inlineStr"/>
      <c r="H80" t="inlineStr"/>
      <c r="I80" t="inlineStr">
        <is>
          <t>**Position :\- AWS Data Engineer** 
**Location: Remote Across USA** 
**Role Summary** 
**The Data Engineer will build and maintain secure, scalable, and automated data pipelines to support the ingestion, transformation, and curation of data products. This role will focus on implementing CI/CD pipelines, automated testing, and monitoring solutions.** 
**Key Responsibilities** 
* **Data Pipelines: Develop configuration\-driven ingestion and transformation pipelines using AWS Glue, Lambda, and Redshift.**
* **Automation: Implement CI/CD pipelines for automated build, test, and deployment of data products.**
* **Testing: Establish automated test frameworks for schema validation, data quality, and performance testing.**
* **Monitoring: Set up monitoring and observability dashboards for product\-level metrics (CloudWatch, custom metrics).**
* **Collaboration: Work with data modelers and architects to ensure alignment with business requirements.**
**Required Skills** 
* **Programming: Proficiency in Python, SQL, and shell scripting.**
* **AWS Expertise: Hands\-on experience with AWS services (Glue, Redshift, S3, Lambda, CloudWatch).**
* **Automation: Experience with CI/CD tools (Terraform, Jenkins, AWS CodePipeline).**
* **Data Integration: Strong knowledge of ETL/ELT processes and frameworks.**
* **Soft Skills: Strong problem\-solving, collaboration, and communication skills.**
**Qualifications** 
* **Bachelor’s degree in Computer Science, Data Engineering, or related field.**
* **5\+ years of experience in data engineering and pipeline development.**
* **AWS Certified Data Analytics or AWS Certified Developer is a plus.**</t>
        </is>
      </c>
    </row>
    <row r="81">
      <c r="A81" t="inlineStr">
        <is>
          <t>li-4368321107</t>
        </is>
      </c>
      <c r="B81" t="inlineStr">
        <is>
          <t>Senior Informatica Data Engineer – Pharmacy &amp; Healthcare Data</t>
        </is>
      </c>
      <c r="C81" t="inlineStr">
        <is>
          <t>Kroger Technology &amp; Digital</t>
        </is>
      </c>
      <c r="D81" t="inlineStr">
        <is>
          <t>linkedin</t>
        </is>
      </c>
      <c r="E81" t="inlineStr"/>
      <c r="F81" t="inlineStr"/>
      <c r="G81" t="inlineStr">
        <is>
          <t>Blue Ash, OH</t>
        </is>
      </c>
      <c r="H81" t="inlineStr"/>
      <c r="I81" t="inlineStr">
        <is>
          <t>**About the Team** 
 We are a highly collaborative data engineering team focused on pharmacy and healthcare data platforms across the organization. Our work underpins compliance\-critical data pipelines and integrations, requiring expertise in HIPAA regulations, secure data handling, and cross\-functional coordination.
**Role Overvie** 
 wWe are seeking a
 **Senior Informatica Data Enginee** 
 r with extensive experience in designing and supporting Informatica\-based ETL solutions within regulated healthcare environments. This role demands hands\-on technical proficiency, ownership of deliverables, and close collaboration with pharmacy operations, security, infrastructure, and analytics teams
 .The ideal candidate will have strong knowledge of batch scheduling, workflow orchestration, and healthcare data formats commonly used in pharmacy and payer systems
**.
 Key Responsibiliti** 
* esDesign, develop, and maintain complex ETL workflows usin
 **g Informatic**
* a.Implement and manage batch scheduling and workflow orchestration tools (e.g.
 **, Tivoli Workload Scheduler (TW** 
 S) or equivalent
* ).Oversee job dependencies, error handling, retries, and SLA\-driven processin
* g.Configure and maintain secure data access controls usin
 **g Security Plan Manager (SP** 
 M) or similar governance tool
* s.Process and integrate healthcare and pharmacy data formats, includin
* **g:834 Enrollment fil**
* **esHL7 messag**
* **esPharmacy rebate/government reporting files (e.g., FIR**
* E)Ensure all data pipelines comply wit
 **h HIP** 
 AA and internal security standard
* s.Collaborate with architecture, compliance, QA, analytics, and downstream consumer team
* s.Troubleshoot production issues and participate in on\-call rotations as neede
* d.Contribute to documentation, operational standards, and best practice
**s.
 Required Qualificati** 
* ons7\+ years of data engineering experience wi
 **th Informat** 
 i
* ca.Strong hands\-on expertise
* **in:Informat**
* icaScheduling/workflow tools such
 **as TWS, Control\-M, Auto** 
 Sys, or simi
* larSecurity/governance tools li
 **ke**
* SPMProven experience working wi
 **th HIPAA\-regulated healthcare or pharmacy d** 
 a
* ta.Practical knowledge of healthcare file forma
* **ts:**
* **834**
* **HL7FIRE or similar pharmacy/government reporting form**
* atsAdvanc
 **ed** 
 SQL skills and experience with large relational databas
* es.Ability to support production environments with high reliability requiremen
* ts.Strong collaboration skills in a matrixed environme
* nt.Experience leading or contributing to legacy\-to\-modernization migration projects, including re\-engineering ETL workflows, optimizing performance, and transitioning to cloud or hybrid platfor
**ms.
 Preferred Qualificat** 
* ionsDirect experience w
 **ith pharmacy benefit management (** 
 PBM) or payer syst
* ems.Familiarity w
 **ith data governance, data lineage, and audit requirem** 
 e
* nts.Experience modernizing legacy Informatica solutions or migrating to cloud platfo
* rms.Exposure to compliance frameworks beyond HIPAA (e.
 **g., SOC 2, HIT** 
 RU
* ST).Exposure to cloud based data platforms (e.g., Snowfla
 ke).</t>
        </is>
      </c>
    </row>
    <row r="82">
      <c r="A82" t="inlineStr">
        <is>
          <t>li-4368027365</t>
        </is>
      </c>
      <c r="B82" t="inlineStr">
        <is>
          <t>Data Engineer</t>
        </is>
      </c>
      <c r="C82" t="inlineStr">
        <is>
          <t>Haystack</t>
        </is>
      </c>
      <c r="D82" t="inlineStr">
        <is>
          <t>linkedin</t>
        </is>
      </c>
      <c r="E82" t="inlineStr"/>
      <c r="F82" t="inlineStr"/>
      <c r="G82" t="inlineStr">
        <is>
          <t>Reston, VA</t>
        </is>
      </c>
      <c r="H82" t="inlineStr"/>
      <c r="I82" t="inlineStr">
        <is>
          <t>Data Infrastructure Engineer \| Reston, Virginia, United States \| Remote \| $99,000 \- $165,000 USD yearly
 We're working with Vantor on this exciting opportunity. Vantor is at the forefront of spatial intelligence, helping decision\-makers navigate and shape the future. This role is for problem\-solvers and changemakers who want to be part of a mission\-driven team.
 The Role
 • Monitor, maintain, and troubleshoot production applications and databases, including ESRI GIS portals.
 • Support data integration and pipelines, ensuring accurate and consistent information flow.
 • Maintain data standards and schema consistency across applications and geospatial datasets.
 • Provide technical expertise in application and database sustainment, including performance tuning and backup/recovery.
 • Collaborate with development and operational teams to resolve technical issues.
 • Identify and mitigate potential security and operational risks in production applications.
 What You'll Need
 • Current/active TS/SCI security clearance and ability to obtain a CI polygraph.
 • 6\+ years of professional experience in database administration or related field.
 • Bachelor's degree in Database Administration, Computer Science, or a related field.
 • Strong knowledge of RDBMS internals (e.g., SQL Server, PostgreSQL, Oracle) and best practices.
 • Experience with data integration, ETL pipelines, or scripting (e.g., Python, Shell).
 • Familiarity with GIS data structures, ESRI ArcGIS portals, and geodatabases.
 What's On Offer
 • Competitive salary and comprehensive benefits package.
 • Opportunity to work on critical national security objectives.
 • Contribute to a mission\-driven company at the forefront of spatial intelligence.
 • Robust 401(k) with company match, mental health resources, and unique perks.
 Apply via Haystack today!</t>
        </is>
      </c>
    </row>
    <row r="83">
      <c r="A83" t="inlineStr">
        <is>
          <t>li-4368356872</t>
        </is>
      </c>
      <c r="B83" t="inlineStr">
        <is>
          <t>Senior Data Engineer (Python/PySpark/AWS)</t>
        </is>
      </c>
      <c r="C83" t="inlineStr">
        <is>
          <t>Infinitive</t>
        </is>
      </c>
      <c r="D83" t="inlineStr">
        <is>
          <t>linkedin</t>
        </is>
      </c>
      <c r="E83" t="inlineStr"/>
      <c r="F83" t="inlineStr"/>
      <c r="G83" t="inlineStr">
        <is>
          <t>Ashburn, VA</t>
        </is>
      </c>
      <c r="H83" t="inlineStr"/>
      <c r="I83" t="inlineStr">
        <is>
          <t>* Candidates must be local to the Washington D.C. metro area
 About Infinitive:
 Infinitive is a data and AI consultancy that enables its clients to modernize, monetize and operationalize their data to create lasting and substantial value. . We possess deep industry and technology expertise to drive and sustain adoption of new capabilities. We match our people and personalities to our clients' culture while bringing the right mix of talent and skills to enable high return on investment.
 Infinitive has been named “Best Small Firms to Work For” by Consulting Magazine 7 times most recently in 2024\. Infinitive has also been named a Washington Post “Top Workplace”, Washington Business Journal “Best Places to Work”, and Virginia Business “Best Places to Work.”
 We are seeking a highly skilled and motivated Data Engineer to join our dynamic team. As a Data Engineer, you will play a crucial role in designing, developing, and maintaining our clients data infrastructure. Your expertise in Python, PySpark, ETL processes, CI/CD (Jenkins or GitHub), and experience with both streaming and batch workflows will be essential in ensuring the efficient flow and processing of data to support our clients.
**Responsibilities:**
 Data Architecture and Design:
* Collaborate with cross\-functional teams to understand data requirements and design robust data architecture solutions
* Develop data models and schema designs to optimize data storage and retrieval
 ETL Development:
* Implement ETL processes to extract, transform, and load data from various sources
* Ensure data quality, integrity, and consistency throughout the ETL pipeline
 Python and PySpark Development:
* Utilize your expertise in Python and PySpark to develop efficient data processing and analysis scripts
* Optimize code for performance and scalability, keeping up\-to\-date with the latest industry best practices
 Data Integration:
* Integrate data from different systems and sources to provide a unified view for analytical purposes
* Collaborate with data scientists and analysts to implement solutions that meet their data integration needs
 Streaming and Batch Workflows:
* Design and implement streaming workflows using PySpark Streaming or other relevant technologies
* Develop batch processing workflows for large\-scale data processing and analysis
 CI/CD Implementation:
* Implement and maintain continuous integration and continuous deployment (CI/CD) pipelines using Jenkins or GitHub Actions
* Automate testing, code deployment, and monitoring processes to ensure the reliability of data pipelines
**Qualifications:**
* Bachelor's or Master's degree in Computer Science, Information Technology, or a related field
* 7\+ years of proven experience as a Data Engineer or similar role
* Strong programming skills in Python and expertise in PySpark for both batch and streaming data processing
* Hands\-on experience with ETL tools and processes
* Familiarity with CI/CD tools such as Jenkins or GitHub Actions
* Solid understanding of data modeling, database design, and data warehousing concepts
* Excellent problem\-solving and analytical skills
* Strong communication and collaboration skills
**Preferred Skills:**
* Knowledge of cloud platforms such as AWS, Azure, or Google Cloud
* Experience with version control systems (e.g., Git)
* Familiarity with containerization and orchestration tools (e.g., Docker, Kubernetes)
* Understanding of data security and privacy best practices
 Applicants for employment in the U.S. must possess work authorization which does not require sponsorship by the employer for a visa. Infinitive is an Equal Opportunity Employer.</t>
        </is>
      </c>
    </row>
    <row r="84">
      <c r="A84" t="inlineStr">
        <is>
          <t>li-4367890964</t>
        </is>
      </c>
      <c r="B84" t="inlineStr">
        <is>
          <t>Principal Data Engineer</t>
        </is>
      </c>
      <c r="C84" t="inlineStr">
        <is>
          <t>Harnham</t>
        </is>
      </c>
      <c r="D84" t="inlineStr">
        <is>
          <t>linkedin</t>
        </is>
      </c>
      <c r="E84" t="inlineStr"/>
      <c r="F84" t="inlineStr"/>
      <c r="G84" t="inlineStr">
        <is>
          <t>New York, NY</t>
        </is>
      </c>
      <c r="H84" t="inlineStr"/>
      <c r="I84" t="inlineStr">
        <is>
          <t>**Principal Data Engineer** 
**Location:** 
 New York City (Hybrid \- 3 days onsite)
**Salary:** 
 Up to $180,000 \+ bonus
**Sponsorship:** 
 Not available
 Harnham is partnering with a
 **globally recognised design and engineering organisation** 
 to hire a
 **Principal Data Engineer** 
 as part of a newly forming data and analytics function.
 This is a genuine
 **ground\-floor opportunity** 
 to help build the organisation's modern data platform from scratch. You'll have ownership, influence, and long\-term impact as the data foundation is established to support analytics, AI, and future decision\-making at global scale.
 The Role
 As the Principal Data Engineer, you'll take end\-to\-end ownership of building and scaling a
 **Databricks\-based data lakehouse** 
 . Working closely with analytics leadership and cross\-functional teams, you'll turn complex, messy enterprise data into a reliable, scalable platform that the business will build on for years to come.
 What You'll Be Doing
* Designing, building, and owning end\-to\-end data pipelines in
 **Databricks**
* Expanding a cloud data lakehouse on
 **AWS**
* Integrating data from enterprise systems (ERP, HR, CRM)
* Handling unstructured and inconsistent global data
* Establishing documentation, standards, and best practices
* Partnering with analytics, finance, and technology teams to enable future AI use cases
 What We're Looking For
* 7\+ years' experience in data engineering or cloud data roles
* Strong experience with
 **Databricks, AWS, Snowflake**
* Advanced
 **Python and SQL**
* Experience integrating enterprise systems (ERP, Salesforce, Workday, etc.)
* Proven ability to own data pipelines end to end
* Comfortable operating as an early hire in a lean environment
 Why Apply?
* True
 **Founding Data Engineer** 
 role with ownership and visibility
* Build a data platform from the ground up
* Work that directly enables analytics and AI initiatives
* Join a globally respected organisation at a pivotal growth stage
 📩 Apply via Harnham to learn more about this confidential opportunity.</t>
        </is>
      </c>
    </row>
    <row r="85">
      <c r="A85" t="inlineStr">
        <is>
          <t>li-4368353662</t>
        </is>
      </c>
      <c r="B85" t="inlineStr">
        <is>
          <t>Data Engineer - EpicCare Ambulatory</t>
        </is>
      </c>
      <c r="C85" t="inlineStr">
        <is>
          <t>Blue Bridge People</t>
        </is>
      </c>
      <c r="D85" t="inlineStr">
        <is>
          <t>linkedin</t>
        </is>
      </c>
      <c r="E85" t="inlineStr"/>
      <c r="F85" t="inlineStr"/>
      <c r="G85" t="inlineStr"/>
      <c r="H85" t="inlineStr"/>
      <c r="I85" t="inlineStr">
        <is>
          <t>The client is only accepting candidates who reside in OHIO, INDIANA and KENTUCKY. Travel to Cincinnati monthly will be required.
 Unfortunately, client can NOT sponsor or transfer visas (this also excludes Student and Dependent Visas)
 \*\*Please no C2C/3rd party candidates\*\*
**Senior Data Engineer** 
**(EpicCare Ambulatory – Healthy Planet / Population Health)** 
**Role Summary** 
 The Senior Data Engineer (EpicCare Ambulatory – Healthy Planet / Population Health) plays a critical role in designing, building, and optimizing enterprise\-scale data pipelines, datasets, and ETL/ELT processes across their full lifecycle. This role partners closely with a multidisciplinary Agile team to deliver well\-governed, high\-quality, and actionable data that supports population health, clinical analytics, and business intelligence initiatives.
 This position is responsible for assembling and integrating large, complex datasets—including
 **paired clinical and operational data from Epic Data repositories** 
 —and supporting
 **data migration initiatives to Epic Cloud** 
 to ensure seamless, secure, and performant access to analytics\-ready data across the enterprise.
**Job Overview** 
1. Design, build, and maintain scalable, reliable, and optimized data pipeline architectures with awareness of emerging technologies aligned to evolving business needs.
2. **Integrate paired data sets with Epic Data (including Healthy Planet / Population Health domains) and support data migration and synchronization to Epic Cloud environments** 
 , ensuring data accuracy, consistency, and governance.
3. Sync data across multiple internal and external systems to ensure data integrity and enable reliable insights across analytics and reporting platforms.
4. Partner closely with data science teams and business/data analysts to refine data requirements and ensure datasets are fit for advanced analytics, reporting, and consumption.
5. Provide technical leadership and mentorship to engineering team members by removing development roadblocks through collaboration, clear communication, and innovative solution design.
6. Identify, design, and implement process and infrastructure improvements, including scalability enhancements, data delivery optimization, and automation of manual workflows.
7. Collaborate with stakeholders across data, design, product, and executive teams to troubleshoot and resolve data\-related technical challenges.
8. Maintain required certifications and continuing education, including Epic and Python certifications, in alignment with organizational standards.
**Job Requirements** 
**Education \&amp; Certifications** 
* Bachelor’s degree in Information Systems, Computer Science, Statistics, Healthcare Information Management, Engineering, or a related field
* Equivalent relevant experience may be accepted in lieu of a degree
* **Epic Ambulatory Certification (expected within 1 year of hire)**
* **Epic Clinical Data Model Certification**
**Technical \&amp; Domain Experience** 
* Hands\-on experience with
 **Healthy Planet (Population Health)**
* Experience working with
 **Epic Data models and clinical datasets** 
 , including data integration and cloud migration initiatives
* Exposure to relational databases (e.g., SQL Server) and non\-relational databases
* Experience designing and supporting ETL/ELT pipelines, curated datasets, and BI/analytics solutions
* Proficiency in programming languages such as Python and/or C\#
* Exposure to Agile/Scrum development methodologies
**Experience Level** 
* 4–5 years of experience in technical roles within Information Systems, Computer Science, Healthcare IT, or related disciplines
* Up to 1 year of clinical healthcare experience preferred
**Job Responsibilities** 
* Actively participate in team meetings, design reviews, planning sessions, huddles, and operational roundings.
* Communicate professionally, respectfully, and inclusively with customers, clinicians, researchers, administrators, and cross\-functional team members.
* Facilitate business requirements discussions with a diverse user community to support population health, clinical, and operational analytics initiatives.
* *Measured by participation metrics and customer service feedback.*
* Adhere to departmental standard operating procedures (SOPs), coding standards, documentation requirements, and version control practices.
* *Measured by compliance with design, development, testing, and deployment standards.*
* Obtain and maintain required training and certifications as defined by the Analytics Center of Excellence (ACoE). Contribute to training plans and continuous improvement initiatives.
* *Measured by certification completion, ACoE contributions, and submitted improvement ideas.*
* Design, build, test, and deploy high\-quality queries, data pipelines, and curated datasets aligned to business requirements and emerging technology standards.
* **Integrate, synchronize, and migrate Epic\-related datasets (including paired data) across on\-prem and Epic Cloud platforms** 
 to support enterprise analytics needs.
* *Measured by the number of certified datasets delivered on time, adherence to data quality standards, and orchestration SLAs.*
* Performance measurements are reviewed regularly by management, incorporating peer input, analytics team feedback, and customer satisfaction metrics.</t>
        </is>
      </c>
    </row>
    <row r="86">
      <c r="A86" t="inlineStr">
        <is>
          <t>li-4368000393</t>
        </is>
      </c>
      <c r="B86" t="inlineStr">
        <is>
          <t>Senior Data Engineer (Dagster, DBT, AWS, Python)</t>
        </is>
      </c>
      <c r="C86" t="inlineStr">
        <is>
          <t>Med-Metrix</t>
        </is>
      </c>
      <c r="D86" t="inlineStr">
        <is>
          <t>linkedin</t>
        </is>
      </c>
      <c r="E86" t="inlineStr"/>
      <c r="F86" t="inlineStr"/>
      <c r="G86" t="inlineStr"/>
      <c r="H86" t="inlineStr"/>
      <c r="I86" t="inlineStr">
        <is>
          <t>**Job Purpose** 
 The Senior Data Engineer designs, builds, and maintains scalable data pipelines and architectures to support the Denials AI workflow under the guidance of the Team Lead, Data Management. This role ensures data is reliable, compliant with HIPAA, and optimized.
**Duties \&amp; Responsibilities** 
* Collaborate with the Team Lead and cross‑functional teams to gather and refine data requirements for Denials AI solutions
* Design, implement, and optimize ETL/ELT pipelines using Python, Dagster, DBT, and AWS data services (Athena, Glue, SQS)
* Develop and maintain data models in PostgreSQL; write efficient SQL for querying and performance tuning
* Monitor pipeline health and performance; troubleshoot data incidents and implement preventive measures
* Enforce data quality and governance standards, including HIPAA compliance for PHI handling
* Conduct code reviews, share best practices, and mentor junior data engineers
* Automate deployment and monitoring tasks using infrastructure\-as\-code and AWS CloudWatch metrics and alarms
* Document data workflows, schemas, and operational runbooks to support team knowledge transfer
* Other duties as assigned
* Use, protect and disclose patients’ protected health information (PHI) only in accordance with Health Insurance Portability and Accountability Act (HIPAA) standards
* Understand and comply with Information Security and HIPAA policies and procedures at all times
* Limit viewing of PHI to the absolute minimum as necessary to perform assigned duties
**Qualifications** 
* Bachelor’s or master’s degree in Computer Science, Data Engineering, or related field
* 5\+ years of hands‑on experience building and operating production‑grade data pipelines
* Solid experience with workflow orchestration tools (Dagster) and transformation frameworks (DBT) or other similar tools such (Microsoft SSIS, AWS Glue, Air Flow)
* Strong SQL skills on PostgreSQL for data modeling and query optimization or any other similar technologies (Microsoft SQL Server, Oracle, AWS RDS)
* Working knowledge with AWS data services: Athena, Glue, SQS, SNS, IAM, and CloudWatch
* Basic proficiency in Python and Python data frameworks (Pandas, PySpark)
* Experience with version control (GitHub) and CI/CD for data projects
* Familiarity with healthcare data standards and HIPAA compliance
* Experience mentoring or leading small technical efforts
* Proficiency in Microsoft Office Suite
* Strong interpersonal skills, ability to communicate well at all levels of the organization
* Strong problem solving and creative skills and the ability to exercise sound judgment and make decisions based on accurate and timely analyses
* High level of integrity and dependability with a strong sense of urgency and results oriented
* Excellent written and verbal communication skills required
**Working Conditions** 
* Regular working hours; on\-call for data pipeline incident response.
* Must possess a smart\-phone or electronic device capable of downloading applications, for multifactor authentication and security purposes.
* *Physical Demands:* 
 While performing the duties of this job, the employee is occasionally required to move around the work area; Sit; perform manual tasks; operate tools and other office equipment such as computer, computer peripherals and telephones; extend arms; kneel; talk and hear.
* *Mental Demands:* 
 The employee must be able to follow directions, collaborate with others, and handle stress.
* *Work Environment:* 
 The noise level in the work environment is usually minimal.
*Med\-Metrix will not discriminate against any employee or applicant for employment because of race, color, religion, sex (including pregnancy, gender identity, and sexual orientation), parental status, national origin, age, disability, genetic information (including family medical history), political affiliation, military service, veteran status, other non\-merit based factors, or any other characteristic protected by federal, state or local law.*</t>
        </is>
      </c>
    </row>
    <row r="87">
      <c r="A87" t="inlineStr">
        <is>
          <t>li-4368362682</t>
        </is>
      </c>
      <c r="B87" t="inlineStr">
        <is>
          <t>Data Engineer - EpicCare Ambulatory</t>
        </is>
      </c>
      <c r="C87" t="inlineStr">
        <is>
          <t>Blue Bridge People</t>
        </is>
      </c>
      <c r="D87" t="inlineStr">
        <is>
          <t>linkedin</t>
        </is>
      </c>
      <c r="E87" t="inlineStr"/>
      <c r="F87" t="inlineStr"/>
      <c r="G87" t="inlineStr">
        <is>
          <t>Indiana, United States</t>
        </is>
      </c>
      <c r="H87" t="inlineStr"/>
      <c r="I87" t="inlineStr">
        <is>
          <t>The client is only accepting candidates who reside in OHIO, INDIANA and KENTUCKY. Travel to Cincinnati monthly will be required.
 Unfortunately, client can NOT sponsor or transfer visas (this also excludes Student and Dependent Visas)
 \*\*Please no C2C/3rd party candidates\*\*
**Senior Data Engineer** 
**(EpicCare Ambulatory – Healthy Planet / Population Health)** 
**Role Summary** 
 The Senior Data Engineer (EpicCare Ambulatory – Healthy Planet / Population Health) plays a critical role in designing, building, and optimizing enterprise\-scale data pipelines, datasets, and ETL/ELT processes across their full lifecycle. This role partners closely with a multidisciplinary Agile team to deliver well\-governed, high\-quality, and actionable data that supports population health, clinical analytics, and business intelligence initiatives.
 This position is responsible for assembling and integrating large, complex datasets—including
 **paired clinical and operational data from Epic Data repositories** 
 —and supporting
 **data migration initiatives to Epic Cloud** 
 to ensure seamless, secure, and performant access to analytics\-ready data across the enterprise.
**Job Overview** 
1. Design, build, and maintain scalable, reliable, and optimized data pipeline architectures with awareness of emerging technologies aligned to evolving business needs.
2. **Integrate paired data sets with Epic Data (including Healthy Planet / Population Health domains) and support data migration and synchronization to Epic Cloud environments** 
 , ensuring data accuracy, consistency, and governance.
3. Sync data across multiple internal and external systems to ensure data integrity and enable reliable insights across analytics and reporting platforms.
4. Partner closely with data science teams and business/data analysts to refine data requirements and ensure datasets are fit for advanced analytics, reporting, and consumption.
5. Provide technical leadership and mentorship to engineering team members by removing development roadblocks through collaboration, clear communication, and innovative solution design.
6. Identify, design, and implement process and infrastructure improvements, including scalability enhancements, data delivery optimization, and automation of manual workflows.
7. Collaborate with stakeholders across data, design, product, and executive teams to troubleshoot and resolve data\-related technical challenges.
8. Maintain required certifications and continuing education, including Epic and Python certifications, in alignment with organizational standards.
**Job Requirements** 
**Education \&amp; Certifications** 
* Bachelor’s degree in Information Systems, Computer Science, Statistics, Healthcare Information Management, Engineering, or a related field
* Equivalent relevant experience may be accepted in lieu of a degree
* **Epic Ambulatory Certification (expected within 1 year of hire)**
* **Epic Clinical Data Model Certification**
**Technical \&amp; Domain Experience** 
* Hands\-on experience with
 **Healthy Planet (Population Health)**
* Experience working with
 **Epic Data models and clinical datasets** 
 , including data integration and cloud migration initiatives
* Exposure to relational databases (e.g., SQL Server) and non\-relational databases
* Experience designing and supporting ETL/ELT pipelines, curated datasets, and BI/analytics solutions
* Proficiency in programming languages such as Python and/or C\#
* Exposure to Agile/Scrum development methodologies
**Experience Level** 
* 4–5 years of experience in technical roles within Information Systems, Computer Science, Healthcare IT, or related disciplines
* Up to 1 year of clinical healthcare experience preferred
**Job Responsibilities** 
* Actively participate in team meetings, design reviews, planning sessions, huddles, and operational roundings.
* Communicate professionally, respectfully, and inclusively with customers, clinicians, researchers, administrators, and cross\-functional team members.
* Facilitate business requirements discussions with a diverse user community to support population health, clinical, and operational analytics initiatives.
* *Measured by participation metrics and customer service feedback.*
* Adhere to departmental standard operating procedures (SOPs), coding standards, documentation requirements, and version control practices.
* *Measured by compliance with design, development, testing, and deployment standards.*
* Obtain and maintain required training and certifications as defined by the Analytics Center of Excellence (ACoE). Contribute to training plans and continuous improvement initiatives.
* *Measured by certification completion, ACoE contributions, and submitted improvement ideas.*
* Design, build, test, and deploy high\-quality queries, data pipelines, and curated datasets aligned to business requirements and emerging technology standards.
* **Integrate, synchronize, and migrate Epic\-related datasets (including paired data) across on\-prem and Epic Cloud platforms** 
 to support enterprise analytics needs.
* *Measured by the number of certified datasets delivered on time, adherence to data quality standards, and orchestration SLAs.*
* Performance measurements are reviewed regularly by management, incorporating peer input, analytics team feedback, and customer satisfaction metrics.</t>
        </is>
      </c>
    </row>
    <row r="88">
      <c r="A88" t="inlineStr">
        <is>
          <t>li-4352740035</t>
        </is>
      </c>
      <c r="B88" t="inlineStr">
        <is>
          <t>Principal Data Engineer</t>
        </is>
      </c>
      <c r="C88" t="inlineStr">
        <is>
          <t>Prodege, LLC</t>
        </is>
      </c>
      <c r="D88" t="inlineStr">
        <is>
          <t>linkedin</t>
        </is>
      </c>
      <c r="E88" t="inlineStr"/>
      <c r="F88" t="inlineStr"/>
      <c r="G88" t="inlineStr"/>
      <c r="H88" t="inlineStr"/>
      <c r="I88" t="inlineStr">
        <is>
          <t>**Job Description**
****Strategic Imperative:****
 The
 **Principal Data Engineer** 
 role is integral to the success of Prodege’s core business by serving as a highly technical, hands\-on leader responsible for designing, building, and modernizing the next\-generation data platform. The engineer will be at the center of transforming our data architecture across Snowflake, dbt, Iceberg, and real\-time processing, ensuring the data foundation is scalable, reliable, and "AI\-ready" to power our flagship products (Swagbucks, MyPoints, Insights) and complex business domains (CX, Rewards, Performance Marketing).
**Prodege**
 A cutting\-edge marketing and consumer insights platform, Prodege has charted a course of innovation in the evolving technology landscape by helping leading brands, marketers, and agencies uncover the answers to their business questions, acquire new customers, increase revenue, and drive brand loyalty \&amp; product adoption. Bolstered by a major investment by Great Hill Partners in Q4 2021 and strategic acquisitions of Pollfish, BitBurst \&amp; AdGate Media in 2022, Prodege looks forward to more growth and innovation to empower our partners to gather meaningful, rich insights and better market to their target audiences.
 As an organization, we go the extra mile to “Create Rewarding Moments” every day for our partners, consumers, and team. Come join us today!
**Primary Objectives**
* Architecture \&amp; Modernization: Lead the design and implementation of the Lakehouse architecture (Iceberg/Trino) and refactor complex legacy data systems into modern patterns.
* High\-Performance Pipeline Delivery: Design, build, and optimize high\-scale, reliable ELT/ETL data pipelines using expert\-level SQL, Python, Snowflake, and dbt.
* Data Quality \&amp; Governance: Own the observability, lineage, quality, and governance frameworks for mission\-critical datasets across the multi\-product ecosystem.
* AI/ML Enablement: Directly support Data Science and ML Engineering teams by delivering production\-grade data sets and optimizing feature engineering pipelines.
* Engineering Excellence \&amp; Mentorship: Elevate the engineering bar across the team, championing best practices and utilizing AI\-assisted development tools to accelerate workflow.
****Qualifications** 
 \-** 
*To perform this job successfully, an individual must be able to perform each job duty satisfactorily. The requirements listed below are representative of the knowledge, skill, and/or ability required. Reasonable accommodations may be made to enable individuals with disabilities to perform the essential functions.*
****Detailed Job Duties:** 
 (
 *typical monthly, weekly, daily tasks which support the primary objectives* 
 )**
* Architecture \&amp; Modernization
+ Architect, design, and implement components of the next\-generation Lakehouse platform, leveraging Iceberg, Trino, and Snowflake.
+ Lead the simplification and refactoring efforts for complex, high\-volume legacy pipelines, migrating them to modern, declarative ELT patterns (primarily via dbt).
+ Define and implement best practices for data storage, partitioning, clustering, and schema evolution to optimize performance and reduce cloud compute costs.
* High\-Performance Pipeline Delivery
+ Design, build, and maintain scalable, reliable data pipelines (batch and near real\-time) using Python, expert\-level SQL, and orchestration tools (e.g., Airflow, etc.).
+ Develop and enhance Snowflake data models, dbt models, and high\-performance analytical data marts for consumption by BI, reporting, and product applications.
+ Own the entire pipeline lifecycle: requirements gathering $ o$ design $ o$ build $ o$ unit/integration testing $ o$ deployment $ o$ monitoring $ o$ iteration.
* Data Quality \&amp; Governance
+ Implement and enhance data lineage, quality checks (via dbt tests/Great Expectations), observability, and alerting across core data pipelines.
+ Collaborate with Data Governance and Security teams to enforce data access controls, PII handling, and retention policies.
+ Continuously monitor and tune pipeline performance to meet strict data SLAs (Service Level Agreements) and SLOs (Service Level Objectives).
* AI/ML Enablement
+ Work closely with Data Science and ML Engineering teams to understand and enable their training and serving data needs.
+ Design and optimize data feeds for high\-volume Machine Learning workloads, including the development of feature stores and model\-serving pipelines.
+ Ensure data consistency and integrity for critical AI\-driven applications across consumer and business products.
* Engineering Excellence \&amp; Mentorship
+ Actively use AI\-assisted development tools (like GitHub Copilot, Gemini, etc.) to accelerate coding, generate documentation, draft tests, and simplify complex spec generation.
+ Set high technical standards for code quality, testing, and documentation within the Data Engineering team.
+ Provide technical leadership and mentorship to junior and mid\-level engineers, running design reviews and driving consensus on architectural trade\-offs.
****What does SUCCESS look like?****
* Platform Stability: Core data pipelines are highly reliable, meet defined SLAs/SLOs, and data quality incidents are rare, quickly detected, and resolved.
* Modernization Achieved: Significant progress has been made in migrating key legacy pipelines to the modern Lakehouse architecture (Iceberg/Trino/Snowflake/dbt).
* AI Velocity: The team effectively leverages AI\-assisted development tools, resulting in a demonstrable increase in delivery velocity and code quality (e.g., faster time\-to\-production, reduced defect rate).
* Data Democratization: High\-quality, governed datasets are easily discoverable and accessible to Data Scientists, Analysts, and downstream product applications.
* Technical Influence: The engineer is recognized as a technical leader, driving architectural decisions and raising the collective skill level of the data organization.
****The MUST Haves:** 
 (
 *ex: job cannot be done without these skills/competencies, education, experience, certifications, licenses* 
 )**
* Bachelors’ degrees in Computer Science or equivalent are of study, or equivalent years of relevant experience.
* Six or more (6\+) years of hands\-on experience in data engineering, ideally in multi\-product, high\-volume, or consumer\-scale environments.
* Expert\-level proficiency in SQL, strong Python, and extensive experience building robust ETL/ELT workflows.
* Strong experience with Snowflake and dbt (Data Build Tool) for data transformation and analytics engineering.
* Proven experience with modern data modeling techniques (e.g., Kimball, Data Vault, semantic layers) and performance tuning of large queries.
* Experience with Iceberg, Trino, or similar open table format/query engine ecosystems in a Lakehouse architecture.
* Ability to navigate and refactor complex, interconnected data systems with an Ownership Mindset (you build it, you run it).
****The Nice to Haves:** 
 (
 *preferred additional skills/competencies, education, experience, certifications, licenses* 
 )**
* Experience with Kafka, Kinesis, or Apache Flink for streaming ingestion and event\-driven data architectures.
* Familiarity with feature stores, model\-serving pipelines, and MLOps practices.
* Professional experience using AI\-driven development tools (e.g., GitHub Copilot, etc.) for coding, testing, or documentation generation.
* Prior experience in a consumer rewards, survey, or performance marketing ecosystem.
**Pay Transparency**
 The anticipated base salary range for this position is $160,000 to $195,000\. The final salary offered to a successful candidate will be dependent on several factors that may include, but are not limited to; the type and length of experience within the job, type and length of experience within the industry, the type and length of knowledge and skills for the position, education, training, etc. Prodege is a multi\-state employer and final compensation within this range could be impacted by work location. Please note that the compensation details listed in US role postings reflect the base salary only, and do not include bonus, equity, or benefits.
**Prodege Benefits**
 Prodege offers a comprehensive benefits package to US Full\-time employees including medical, dental, vision, STD, LTD and basic life insurance. Employees receive flexible PTO, as well as paid sick leave prorated based on hire date. US Employees have eight paid holidays throughout the calendar year. Employees receive an option to purchase shares of Company stock commensurate with their position, which vests over four years.
**Equal Employment Opportunity Statement**
 At Prodege, we are committed to creating a diverse and inclusive environment. We are proud to be an
**Equal Opportunity Employer** 
 and do not discriminate on the basis of race, color, religion, sex, sexual orientation, gender identity or expression, national origin, age, disability, veteran status, or any other characteristic protected by law. We encourage individuals of all backgrounds to apply.
**FCIHO**
 Employers will consider for employment qualified applicants with criminal histories in a manner consistent with the requirements of
 **FCIHO.**</t>
        </is>
      </c>
    </row>
    <row r="89">
      <c r="A89" t="inlineStr">
        <is>
          <t>li-4365529574</t>
        </is>
      </c>
      <c r="B89" t="inlineStr">
        <is>
          <t>Lead Data Engineer</t>
        </is>
      </c>
      <c r="C89" t="inlineStr">
        <is>
          <t>Top Stack</t>
        </is>
      </c>
      <c r="D89" t="inlineStr">
        <is>
          <t>linkedin</t>
        </is>
      </c>
      <c r="E89" t="inlineStr"/>
      <c r="F89" t="inlineStr"/>
      <c r="G89" t="inlineStr">
        <is>
          <t>Malvern, PA</t>
        </is>
      </c>
      <c r="H89" t="inlineStr"/>
      <c r="I89" t="inlineStr">
        <is>
          <t>Looking for a Senior Data Engineer, with a strong focus on building data models and managing data dictionaries.
* Proven experience with Power BI, including building complex data models, optimizing performance, and creating dashboards with DAX/PowerQuery.
* Strong SQL skills for data querying and manipulation, with experience in database management and ETL processes.
* Strong Azure skills
* Designs data integrations, data quality framework and integrate it with monitoring services. Strong hands\-on capabilities across integration toolsets including but not limited to ADF, Replication, CDC etc.
* Integrate data from different SOR’s, combine raw information and create resulting models ready for consumption.
* Interpret trends and patterns.
* Performs data analysis required to troubleshoot data related issues and assist in the resolution of data issues.
* Identifying, designing, and implementing internal process improvements including re\-designing infrastructure for greater scalability, DB, SQL, and data pipelines performance tuning, optimizing data delivery, and automating manual processes
* Build solution prototypes as needed and write algorithms against data.
* Implements processes and systems to monitor data quality, ensuring production data is always accurate and available for key stakeholders and business processes that depend on it.</t>
        </is>
      </c>
    </row>
    <row r="90">
      <c r="A90" t="inlineStr">
        <is>
          <t>li-4357492872</t>
        </is>
      </c>
      <c r="B90" t="inlineStr">
        <is>
          <t>Data Engineer / Data Scientist / Data Architect - Full time</t>
        </is>
      </c>
      <c r="C90" t="inlineStr">
        <is>
          <t>Ztek Consulting</t>
        </is>
      </c>
      <c r="D90" t="inlineStr">
        <is>
          <t>linkedin</t>
        </is>
      </c>
      <c r="E90" t="inlineStr"/>
      <c r="F90" t="inlineStr"/>
      <c r="G90" t="inlineStr">
        <is>
          <t>Vienna, VA</t>
        </is>
      </c>
      <c r="H90" t="inlineStr"/>
      <c r="I90" t="inlineStr">
        <is>
          <t>Below are the 3 roles open:
 1\) Data Engineer
 2\) Data Scientist
 3\) Data Architect
**Job Descriptions:** 
**Data Engineer Job Description :** 
* Design, build, and optimize batch and real\-time data pipelines using Python, SQL, Airflow, Kafka, and AWS Glue
* Lead scalable ETL and data lake architectures across distributed cloud environments
* Ensure data quality, governance, security, and compliance while supporting analytics and data science needs
* Mentor junior engineers and collaborate with stakeholders to deliver reliable, well\-documented data solutions
**Data Scientist Job Description :** 
* 3\+ years of experience in statistical modeling and applied data analysis, including regression, classification, clustering, and time\-series analysis
* Proficient in Python or R, with hands\-on experience in data wrangling, visualization, and model development
* Strong experience with SQL/Spark SQL, basic data modeling, and cloud platforms (AWS, Azure, or GCP)
* Excellent ability to communicate complex insights and manage multiple priorities effectively
**Data Architect Job Description :** 
* Lead and mentor data engineering teams while architecting and building enterprise\-scale data platforms from design through production
* Develop and optimize production\-grade ETL/ELT pipelines, data models, and data warehouses using Python, SQL, PySpark, and cloud platforms (AWS/GCP)
* Implement CI/CD, data governance, quality frameworks, and secure, compliant data solutions aligned with federal/VA standards
* Collaborate with cross\-functional stakeholders to translate business requirements into scalable, high\-quality data solutions</t>
        </is>
      </c>
    </row>
    <row r="91">
      <c r="A91" t="inlineStr">
        <is>
          <t>li-4368379598</t>
        </is>
      </c>
      <c r="B91" t="inlineStr">
        <is>
          <t>Starburst Data Engineer</t>
        </is>
      </c>
      <c r="C91" t="inlineStr">
        <is>
          <t>NuStar Technologies</t>
        </is>
      </c>
      <c r="D91" t="inlineStr">
        <is>
          <t>linkedin</t>
        </is>
      </c>
      <c r="E91">
        <f>HYPERLINK("https://www.linkedin.com/jobs/view/4368379598", "https://www.linkedin.com/jobs/view/4368379598")</f>
        <v/>
      </c>
      <c r="F91" t="inlineStr"/>
      <c r="G91" t="inlineStr">
        <is>
          <t>Charlotte, NC</t>
        </is>
      </c>
      <c r="H91" t="inlineStr"/>
      <c r="I91" t="inlineStr">
        <is>
          <t>Location : Charlotte ,NC ;Plano ,TX;
 Must Have Technical/Functional Skills
 Primary Skill: Starburst
 Secondary: Data Virtualization Engineer, Dremio, Presto, SQL Performance Tuning, Shell Scripting, Autosys
 Experience: Minimum 10 years
 Roles \&amp; Responsibilities
**Key Responsibilities**
* Demonstrated expertise in Starburst Data Virtualization, including designing and implementing data virtualization solutions, optimizing query performance across distributed data sources, and integrating Starburst with enterprise data architectures.
* Analyze data mapping documents and business requirements to design comprehensive test plans and cases.
* Perform source\-to\-target data reconciliation, check data loading, and ensure transformation rules are applied correctly.
* Write complex SQL scripts for validation (count, data completeness, data consistency, data truncation).
* Identify, log, and track data defects using tools like JIRA or HP ALM or Octane.
* Automate test scripts and validate data volume, performance, and scalability.
* Expert\-level knowledge of SQL for data analysis.
* Experience with tools such as Informatica and IDMC.
* Understanding of data warehouse concepts and architectures (e.g., star/snowflake schema).
* Familiarity with Hadoop or Spark is often preferred.
* Validate HiveQL, HDFS file structures, and data processing within the Hadoop cluster.
* Strong analytical and troubleshooting skills.
* Excellent communication for collaborating with developers and stakeholders.
**Tools \&amp; Skills**
 Starburst, IDMC, Informatica Power center, Hive, Kafka Knowledge
 SQL, Oracle, PL/SQL
 Domain: Banking knowledge, Payments knowledge preferred.
 Concept: Data Virtualization, Data Warehousing, Data Transformation, ETL/ELT, Data Quality.
 Salary :120,000\-130,000/Per Annum</t>
        </is>
      </c>
    </row>
    <row r="92">
      <c r="A92" t="inlineStr">
        <is>
          <t>li-4368406549</t>
        </is>
      </c>
      <c r="B92" t="inlineStr">
        <is>
          <t>Data Engineer</t>
        </is>
      </c>
      <c r="C92" t="inlineStr">
        <is>
          <t>PETADATA</t>
        </is>
      </c>
      <c r="D92" t="inlineStr">
        <is>
          <t>linkedin</t>
        </is>
      </c>
      <c r="E92">
        <f>HYPERLINK("https://www.linkedin.com/jobs/view/4368406549", "https://www.linkedin.com/jobs/view/4368406549")</f>
        <v/>
      </c>
      <c r="F92" t="inlineStr"/>
      <c r="G92" t="inlineStr">
        <is>
          <t>Albany, NY</t>
        </is>
      </c>
      <c r="H92" t="inlineStr"/>
      <c r="I92" t="inlineStr">
        <is>
          <t>**Position: Data Engineer**
**Location: Albany, NY (Onsite/Remote)**
**Experience: 10\+ Years**
**Work type: C2C only**
**Visa Type: H1\-B, GC and US Citizen**
**PETADATA is currently hiring for a Data Engineer for one of their clients.**
**Roles \&amp; Responsibilities**
**Data Pipeline Development**
* Design, build, and maintain scalable data pipelines for ingesting, processing, and transforming data
* Develop batch and real\-time data processing workflows
* Ensure data pipelines are reliable, efficient, and fault\-tolerant
**Data Architecture \&amp; Modeling**
* Design and implement data architectures(data lakes, data warehouses, lakehouses)
* Create and maintain data models, schemas, and metadata
* Optimize data storage and retrieval strategies
**Data Integration**
* Integrate data from multiple sources (databases, APIs, streaming platforms, third\-party tools)
* Handle structured, semi\-structured, and unstructured data
* Implement data validation and quality checks
**Big Data \&amp; Processing Frameworks**
* Work with big data tools such as Apache Spark, Hadoop, Kafka, Flink
* Build streaming and real\-time data processing systems
* Optimize large\-scale data processing performance
**Cloud \&amp; Platform Services**
* Use cloud platforms such as AWS, Azure, or GCP
* Work with services like:
* AWS: S3, Glue, Redshift, EMR, Athena
* Azure: Data Factory, Synapse
* GCP: BigQuery, Dataflow
* Manage cloud\-based data infrastructure
**Database Management**
* Manage and optimize SQL and NoSQL databases
* Implement indexing, partitioning, and performance tuning
* Support data access for analytics, AI, and reporting teams
**Data Quality, Security \&amp; Governance**
* Implement data quality checks, monitoring, and alerts
* Enforce data governance, lineage, and metadata management
* Ensure data security, privacy, and compliance (GDPR, HIPAA, etc.)
**Automation \&amp; Orchestration**
* Automate data workflows using tools like Airflow, Luigi, Prefect
* Schedule, monitor, and troubleshoot data jobs
* Reduce manual processes through automation
**Collaboration \&amp; Support**
* Collaborate with data scientists, analysts, and AI engineers
* Support analytics, BI, and machine learning initiatives
* Translate business requirements into data solutions
**Monitoring \&amp; Optimization**
* Monitor pipeline performance and data freshness
* Identify and resolve data issues and bottlenecks
* Optimize costs and resource usage
**Optional / Senior\-Level Responsibilities**
* Define data engineering standards and best practices
* Lead data platform design and modernization efforts
* Mentor junior data engineers
* Drive data strategy and roadmap planning
**Required Qualifications**
* Bachelor’s or Master’s degree in Computer Science, Engineering, Data Science, or a related field
* Proven experience as a Data Engineer or similar role
* Strong programming skills in Python and SQL (Scala or Java preferred)
* Hands\-on experience with big data frameworks such as Spark, Kafka, Hadoop
* Experience designing and maintaining data pipelines and ETL/ELT processes
* Strong understanding of data modeling, data warehousing, and lakehouse architectures
* Experience with cloud platforms: AWS, Azure, or GCP
* Hands\-on experience with SQL and NoSQL databases
* Experience with workflow orchestration tools (Airflow, Prefect, Luigi)
* Knowledge of data quality, governance, and security best practices
* Strong analytical, troubleshooting, and problem\-solving skills
* Excellent communication and collaboration abilities
**Key Skills \&amp; Tools**
* Languages: Python, SQL, Scala, Java
* Big Data: Spark, Kafka, Hadoop
* Databases: PostgreSQL, MySQL, MongoDB, Cassandra
* Cloud: AWS, Azure, GCP
* Orchestration: Airflow, Prefect
* Data Warehouses: Redshift, Snowflake, BigQuery
**Educational Qualification**
**Bachelor’s or Master’s degree in Computer Science or related field**
**We offer a professional work environment and are given every opportunity to grow in the Information technology world.**
**Note**
**Candidates are required to attend Phone/Video Call / In\-person interviews and after Selection of candidate (He/She) should go through all background checks on Education and Experience.**
**Please email your resume to: keshini@petadata.co**
**After carefully reviewing your experience and skills one of our HR team members will contact you on the next steps.**</t>
        </is>
      </c>
    </row>
    <row r="93">
      <c r="A93" t="inlineStr">
        <is>
          <t>li-4368038819</t>
        </is>
      </c>
      <c r="B93" t="inlineStr">
        <is>
          <t>Senior Analytics Engineer</t>
        </is>
      </c>
      <c r="C93" t="inlineStr">
        <is>
          <t>BetterUp</t>
        </is>
      </c>
      <c r="D93" t="inlineStr">
        <is>
          <t>linkedin</t>
        </is>
      </c>
      <c r="E93">
        <f>HYPERLINK("https://www.linkedin.com/jobs/view/4368038819", "https://www.linkedin.com/jobs/view/4368038819")</f>
        <v/>
      </c>
      <c r="F93" t="inlineStr"/>
      <c r="G93" t="inlineStr">
        <is>
          <t>Arlington, VA</t>
        </is>
      </c>
      <c r="H93" t="inlineStr"/>
      <c r="I93" t="inlineStr">
        <is>
          <t>**Let’s face it, a company whose mission is human transformation better have some fresh thinking about the employer/employee relationship.**
 We do. We can’t cram it all in here, but you’ll start noticing it from the first interview.
 Even our candidate experience is different. And when you get an offer from us (and accept it), you get way more than a paycheck. You get a personal BetterUp Coach, a development plan, a trained and coached manager, the most amazing team you’ve ever met (yes, each with their own personal BetterUp Coach), and most importantly, work that matters.
 This makes for a remarkably focused and fulfilling work experience. Frankly, it’s not for everyone. But for people with fire in their belly, it’s a game\-changing, career\-defining, soul\-lifting move.
**Join us and we promise you the most intense and fulfilling years of your career, doing life\-changing work in a fun, inventive, soulful culture.**
 If that sounds exciting—and the job description below feels like a fit—we really should start talking.
 We are looking for a
 **Senior Analytics Engineer** 
 with experience building data modeling systems within a modern data stack, supported by intelligent data warehousing and adaptable business intelligence systems, to join our team. At BetterUp we believe data is critical to our success and this role on the Analytics Engineering team will be crucial to this strategy of delivering exceptional data products that will drive key business decisions. If you are passionate about helping people reach their potential, thrive in a fast\-paced startup environment where you get to build the future, and love data then this is the role for you.
**What You’ll Do**
* Architect, build and maintain efficient and reliable data products (dbt models, pipelines, Looker explores, visualizations, etc.) that enable data driven decision making.
* Build and maintain ELT pipelines from source systems to data warehouses.
* Influence strategy and drive execution of our analytical roadmap delivering self\-service business intelligence at scale.
* Provide leadership and mentorship to other engineers fostering collaboration, knowledge sharing and a high bar for quality.
* Improve end users trust and confidence by driving best practices with regards to data discoverability, observability, lineage and stewardship.
* Contribute towards a robust data security strategy protecting sensitive information and content.
* Solve critical business problems through the application of programming, optimization, automation, and analytical skills.
**If you have some or** 
**all of the following, please apply:**
* Minimum 5\+ years of relevant experience in data engineering and/or analytics engineering
* Advanced SQL skills with 5\+ years of deep experience with Snowflake or similar DB
* Expertise with data modeling and ETL/ELT (DBT preferred, pipeline development a plus)
* Seasoned developer (5\+ years) within a modern business intelligence tool (Looker preferred)
* Experience applying software engineering principles (testing, version control, code reviews, CI/CD, etc.) in your working process, to scale analytical development
* Proven track record of working with data teams in a fast\-paced, startup environment
* Proven track record of successfully working cross\-functionally with both technical and non\-technical stakeholders
* Solutions\-driven and thrives when given ambiguous, open\-ended problems
* Proven success driving projects through implementation to completion, including stakeholder education and onboarding
* Obsessed with data protections and privacy (i.e. PII, GDPR, FedRAMP, FIPS, etc.)
**AI at BetterUp**
 Our team thrives at the intersection of human expertise and AI capability. As an AI\-forward company, adaptation and continuous learning are part of our daily work. We're looking for teammates who are excited to evolve alongside technology – people who experiment boldly, share their discoveries openly, and help define best practices for AI\-augmented work. These professionals thoughtfully integrate AI into their work to deliver exceptional results while maintaining the human judgment and creativity that drives real innovation. During our interview process, you’ll have opportunities to showcase how you harness AI to learn, iterate, and amplify your impact.
**Benefits**
 At BetterUp, we are committed to living out our mission every day and that starts with providing benefits that allow our employees to care for themselves, support their families, and give back to their community.
* Access to BetterUp coaching; one for you and one for a friend or family member
* A competitive compensation plan with opportunity for advancement
* Medical, dental, and vision insurance
* Flexible paid time off
* Per year:
+ All federal/statutory holidays observed
+ 4 BetterUp Inner Workdays (https://www.betterup.co/inner\-work)
+ 5 Volunteer Days to give back
+ Learning and Development stipend
+ Company wide Summer \&amp; Winter breaks
* Year\-round charitable contribution of your choice on behalf of BetterUp
* 401(k) self contribution
 We are dedicated to building diverse teams that fuel an authentic workplace and sense of belonging for each and every employee. We know applying for a job can be intimidating, please don’t hesitate to reach out — we encourage everyone interested in joining us to apply.
 BetterUp Inc. provides equal employment opportunities (EEO) to all employees and applicants for employment without regard to race, color, religion, sex, national origin, disability, genetics, gender, sexual orientation, age, marital status, veteran status. In addition to federal law requirements, BetterUp Inc. complies with applicable state and local laws governing nondiscrimination in employment in every location in which the company has facilities. This policy applies to all terms and conditions of employment, including recruiting, hiring, placement, promotion, termination, layoff, recall, transfer, leaves of absence, compensation, and training.
 At BetterUp, we compensate our employees fairly for their work. Base salary is determined by job\-related experience, education/training, residence location, as well as market indicators. The range below is representative of base salary only and does not include equity, sales bonus plans (when applicable) and benefits. This range may be modified in the future.
 The base salary range for this role is as follows:
 New York City and San Francisco:
 **$176,000 \- $242,000**
 Austin and Arlington:
 **$158,000 \- 217,000**
*Protecting your privacy and treating your personal information with care is very important to us, and central to the entire BetterUp family. By submitting your application, you acknowledge that your personal information will be processed in accordance with our* 
*Applicant Privacy Notice* 
*. If you have any questions about the privacy of your personal information or your rights with regards to your personal information, please reach out to support@betterup.co*</t>
        </is>
      </c>
    </row>
    <row r="94">
      <c r="A94" t="inlineStr">
        <is>
          <t>li-4357575630</t>
        </is>
      </c>
      <c r="B94" t="inlineStr">
        <is>
          <t>Data Engineer II</t>
        </is>
      </c>
      <c r="C94" t="inlineStr">
        <is>
          <t>QuikTrip</t>
        </is>
      </c>
      <c r="D94" t="inlineStr">
        <is>
          <t>linkedin</t>
        </is>
      </c>
      <c r="E94">
        <f>HYPERLINK("https://www.linkedin.com/jobs/view/4357575630", "https://www.linkedin.com/jobs/view/4357575630")</f>
        <v/>
      </c>
      <c r="F94">
        <f>HYPERLINK("https://careers.quiktrip.com/QuikTrip/job/IRVING-Data-Engineer-II-TX-75063/1361349100/?src=LinkedIn&amp;urlHash=JcQc", "https://careers.quiktrip.com/QuikTrip/job/IRVING-Data-Engineer-II-TX-75063/1361349100/?src=LinkedIn&amp;urlHash=JcQc")</f>
        <v/>
      </c>
      <c r="G94" t="inlineStr">
        <is>
          <t>Irving, TX</t>
        </is>
      </c>
      <c r="H94" t="inlineStr"/>
      <c r="I94" t="inlineStr">
        <is>
          <t>**Job Title: Data Engineer II**
 Job Type: Corporate Office
 Date: Feb 2, 2026
 Location:
 IRVING, TX, US, 75063
****Primary Purpose Of Job:****
 This position is responsible for programming, testing, implementing, supporting, and maintaining data pipelines, data stores (e.g., Data Warehouse, Mart, Hub, etc.), and business intelligence models. This position relies on instructions and pre\-established guidelines to perform the functions of the job.
****Major Functions:****
 Development (50%)
* Write, modify, extend and debug data pipelines based on QuikTrip’s Software Development Lifecycle (SDLC) process. Specific duties will include:
+ Data Extraction and Analysis: Connect to diverse data sources and perform data analysis to determine if data is suitable for needs.
+ Development of automated data pipelines to extract, cleanse, and transform data for intended business use.
+ Development of automated processes to consolidate diverse sources of similar data in to a single source of truth for QuikTrip (e.g. store, product, employee, etc.).
+ Development of automated data quality monitoring and alert processes
+ Model and publish data sets for users to access through reporting and business intelligence technologies.
+ Possesses and apply working knowledge of multiple languages and tools utilized by QuikTrip during development process. Common tools and languages: ETL, T\-SQL, Data Profiling and MDM tools, BI Modeling Tools (e.g. SSAS, Power BI), and Programming Languages (e.g. C\#).
* Adhere to QuikTrip’s standards and best practices.
* Have extensive knowledge of development tools and environments utilized by QuikTrip.
* May act as a Product Technical Owner of a software product on occasion:
+ Accountable for the technological performance of the product:
+ Software
+ Hardware
+ Virtual Ware
+ Tech Teams – Development, Data, Infrastructure, Contractors, and Professional Services
+ Responsible for adherence to strategic plan while remaining focused on the teams handling the product.
+ Responsible for the technical requirements.
+ Responsible for Technical User Story acceptance.
+ Manages the technical debt of the product.
+ Manages conflicts of interest within the development team.
+ Coordinates coding efforts across one or more development teams.
+ Holds Development, Technical, Professional Services, Data, and other IT teams accountable within the framework of the product.
+ Accepts input and guidance from our Architecture, Infrastructure and Development teams and acts as the one voice back to Professional Services on technology related items when decisions need to be made.
+ Leads trouble\-shooting efforts by getting the right expertise involved and calling “war rooms” together when necessary.
+ Acts as Scrum Master when the development team and PTO agree this is appropriate
 Technical Support (35%)
+ Resolve technical issues utilizing excellent customer service skills, problem solving skills, and technical thinking/reasoning skills following established support process and metrics guidelines.
+ Measure and analyze incoming issues to determine root cause and develop technical and training solutions to minimize reoccurrences and severity; report results to management.
+ Accurately document all customer issues, resolution steps, and gather feedback in support tracking software to enhance identifying and reporting trends leading to recurring technical problems.
+ Develop and publish support documentation for internal users for troubleshooting, training and other areas as needed.
+ Gather and forward customer feedback and suggestions for product improvement.
+ Position requires 24x7 support.
 Training (10%)
+ Seek input from team members and supervisors on areas to improve skill set.
+ Actively applies feedback received into day\-to\-day work and strives to improve performance
+ Actively train with senior level developers to improve development skills and system knowledge.
+ Actively utilize training outlets as necessary to improve development skills. This could take the form of multiple items, including but not limited to self\-study, in\-house classes, seminars or online training.
+ Maintain professional and technical knowledge by attending ongoing training workshops, reviewing professional publications, reviewing industry best practices/procedures and reviewing new technologies to determine fit within the organization.
+ Assist in development of junior data engineers on skills or system knowledge through mentoring, knowledge transfer, code review, and shadowing.
 Administration and Communication (5%)
* Listen to others and accept input from team members.
* Clearly articulate ideas and thoughts both in verbal and written formats.
* Accurately prepares written business correspondence that is coherent, grammatically correct, effective and professional.
* Timely communicate status updates with the project manager or lead, the project team, and/or key customers and supervisor regarding specific assignments and overall scheduling/coordination needs.
* Accurately record project and trouble call work assignment updates within timeframes determined by departmental standards or individual supervisors.
+ Record time tracking.
+ Identify individual task progress.
+ Identify task completion.
****Position In Organization:****
 Reports to: Manager of Enterprise Data \&amp; Business Intelligence
****Relationships:****
 Inside the Company: Information Technology staff and primary users of systems from other departments.
 Outside the Company: N/A
****Position Specifications:****
 The required specifications (education, experience, and skills) are those that the employee must have to hold the position. Applicants applying for this position must possess the required specifications in order to be considered for the job. The desired specifications are those that are not required for the employee to hold the position, but the employee should try to obtain the desired education, experience, and/or skills to be effective and successful in the position.
 Required education : High school graduate or equivalent. College or technical school courses in one or more programming languages or data tools used at QuikTrip.
**Desired education** 
 : College degree in Computer Science, MIS, Mathematics, or related discipline.
**Required experience** 
**:** 
 3\-5 years’ experience in programming data solutions. Familiar
 with all aspects of systems analysis, design, and installation procedures in a business environment.
**Desired experience** 
 : 5\+ years professional experience including developing data solutions in a business environment, installing and troubleshooting hardware and software problems.
**Required skills** 
**:** 
 Proficient in one or more of QuikTrip’s data technologies or languages. Good problem\-solving skills. Familiar with a variety of IT concepts, practices and procedures. Good written and verbal communication skills and time management skills.
**Desired skills** 
 : Proficiency in all programming languages and data tools in use at QuikTrip.
**Additional criteria:** 
 This position requires good communications skills to assist customers with problems. Ability to work in a fast\-paced team environment. Works under direct supervision. Intermittent or extended travel may be required based on project or support requirements and may encompass Holidays and non\-standard working hours.
**Starting Salary: $106,500\-$133,100**
**Benefits: Employee Benefits – QuikTrip**
****Position Specifications:****
 The required specifications (education, experience, and skills) are those that the employee must have to hold the position. Applicants applying for this position must possess the required specifications in order to be considered for the job. The desired specifications are those that are not required for the employee to hold the position, but the employee should try to obtain the desired education, experience, and/or skills to be effective and successful in the position.
 Required education : High school graduate or equivalent. College or technical school courses in one or more programming languages or data tools used at QuikTrip.
**Desired education** 
 : College degree in Computer Science, MIS, Mathematics, or related discipline.
**Required experience** 
**:** 
 3\-5 years’ experience in programming data solutions. Familiar
 with all aspects of systems analysis, design, and installation procedures in a business environment.
**Desired experience** 
 : 5\+ years professional experience including developing data solutions in a business environment, installing and troubleshooting hardware and software problems.
**Required skills** 
**:** 
 Proficient in one or more of QuikTrip’s data technologies or languages. Good problem\-solving skills. Familiar with a variety of IT concepts, practices and procedures. Good written and verbal communication skills and time management skills.
**Desired skills** 
 : Proficiency in all programming languages and data tools in use at QuikTrip.
**Additional criteria:** 
 This position requires good communications skills to assist customers with problems. Ability to work in a fast\-paced team environment. Works under direct supervision. Intermittent or extended travel may be required based on project or support requirements and may encompass Holidays and non\-standard working hours.
**Starting Salary: $106,500\-$133,100**
**Benefits: Employee Benefits – QuikTrip**</t>
        </is>
      </c>
    </row>
    <row r="95">
      <c r="A95" t="inlineStr">
        <is>
          <t>li-4368394416</t>
        </is>
      </c>
      <c r="B95" t="inlineStr">
        <is>
          <t>BI Engineer</t>
        </is>
      </c>
      <c r="C95" t="inlineStr">
        <is>
          <t>Lightedge</t>
        </is>
      </c>
      <c r="D95" t="inlineStr">
        <is>
          <t>linkedin</t>
        </is>
      </c>
      <c r="E95">
        <f>HYPERLINK("https://www.linkedin.com/jobs/view/4368394416", "https://www.linkedin.com/jobs/view/4368394416")</f>
        <v/>
      </c>
      <c r="F95" t="inlineStr"/>
      <c r="G95" t="inlineStr">
        <is>
          <t>Des Moines, IA</t>
        </is>
      </c>
      <c r="H95" t="inlineStr"/>
      <c r="I95" t="inlineStr">
        <is>
          <t>LightEdge is seeking a skilled BI Engineer to support data \&amp; analytic functions enterprise\-wide. This individual will deliver end\-to\-end data solutions that includes: gathering business requirements for reporting dashboards, perform data analysis, write SQL queries, ensure data integrity and build dashboards. They will partner closely with stakeholders to build high quality solutions that unlock insights from the data and drives business efficiencies. They will be seen as a data subject matter expert, providing consultation to others on best practices.
**Responsibilities**
* Gather and document business requirements for reporting and analytics requests
* Write SQL queries applying complex joins and business logic to accurately pull data needed for reporting and analytics
* Administer Power BI cloud instance: provide appropriate access to users, train new users, publish and maintain certified data sources
* Build Power BI dashboards by connecting Snowflake data and creating actionable visuals
* Validate, analyze and document new datasources
* Help establish and follow proper data governance, compliance and security practices
* Partner with stakeholders to translate business needs into actionable data insights using Snowflake and Power BI
* Train and mentor less experienced team members
* Collaborate with data engineers to ensure data in Snowflake is correct and supports reporting needs
**Education And Experience**
* 5\+ years of experience in data/analytics roles including writing SQL and building dashboards
* Proficient with python or other coding software
* Experience with a cloud data warehouse (Snowflake, Redshift, Databricks, etc.)
* Proven ability to work with stakeholders to turn business needs into actionable data insights
* Intermediate skills in writing SQL
* Skilled in building dashboards (Tableau, Power BI, Domo, etc.)
* Strong business acumen and communication skills
* Experience with data quality and validation practices
* Basic understanding of Data Governance
* Desire and ability to leverage AI responsibly in order to unlock efficiencies
* Ability to work in a fast\-paced environment with an entrepreneurial mindset
 We may use artificial intelligence (AI) tools to support parts of the hiring process, such as reviewing applications, analyzing resumes, or assessing responses. These tools assist our recruitment team but do not replace human judgment. Final hiring decisions are ultimately made by humans. If you would like more information about how your data is processed, please contact us.</t>
        </is>
      </c>
    </row>
    <row r="96">
      <c r="A96" t="inlineStr">
        <is>
          <t>li-4357444646</t>
        </is>
      </c>
      <c r="B96" t="inlineStr">
        <is>
          <t>Sr. Data Engineer</t>
        </is>
      </c>
      <c r="C96" t="inlineStr">
        <is>
          <t>Richmond National</t>
        </is>
      </c>
      <c r="D96" t="inlineStr">
        <is>
          <t>linkedin</t>
        </is>
      </c>
      <c r="E96">
        <f>HYPERLINK("https://www.linkedin.com/jobs/view/4357444646", "https://www.linkedin.com/jobs/view/4357444646")</f>
        <v/>
      </c>
      <c r="F96" t="inlineStr"/>
      <c r="G96" t="inlineStr">
        <is>
          <t>Glen Allen, VA</t>
        </is>
      </c>
      <c r="H96" t="inlineStr"/>
      <c r="I96" t="inlineStr">
        <is>
          <t>**Title:** 
 Sr. Data Engineer
**Location:** 
 On\-site in Glen Allen, VA (no remote option)
**Senior Data Engineer**
 We are seeking a highly skilled and experienced Senior Data Engineer to join Richmond National Insurance Company. As a Senior Data Engineer, you will work closely with the Lead Data Engineer and Director of Data to design, develop, and maintain our cloud data infrastructure by ensuring the availability, reliability, and scalability of our data systems. You will collaborate with cross\-functional teams, including data engineers, business analysts, and software engineers, to develop innovative data solutions that enable data\-driven decision\-making across the organization.
**Responsibilities**
* Data Infrastructure Management: Design, build, and maintain a robust and scalable cloud data infrastructure, including data pipelines, databases, and data lakes, to support the organization's data needs.
* Team Leadership: Lead and mentor a team of data engineers and data analysts, providing technical guidance, support, and fostering a culture of collaboration and innovation.
* Data Architecture: Define and implement the data architecture strategy, ensuring data models, schemas, and integration patterns align with business requirements and industry best practices.
* ETL Development: Develop and optimize Extract, Transform, Load (ETL) processes to extract data from various sources, transform it into a consistent format, and load it into the data ecosystem.
* Data Quality and Governance: Establish data quality standards, implement data governance processes, and perform regular data quality checks to ensure the accuracy, consistency, and reliability of data.
* Performance Optimization: Identify and implement performance tuning strategies to enhance the efficiency and speed of data processing and analysis.
* Data Security: Collaborate with the data and IT leadership team to implement data privacy and security measures, ensuring compliance with regulations and standards.
* Collaboration and Communication: Collaborate with cross\-functional teams to understand the data needs and deliver data solutions that support their requirements.
* Continuous Improvement: Stay up to date with industry trends, emerging technologies, and best practices in data engineering, and proactively introduce new tools and techniques to improve data engineering processes and efficiency.
* Documentation and Documentation: Maintain comprehensive documentation of data pipelines, workflows, and data structures, ensuring clear documentation for both technical and non\-technical stakeholders.
**Qualifications**
* Proven experience (5\+ years) as a Data Engineer, preferably in the insurance or financial industry or a similar domain.
* Strong expertise in data modeling, ETL development, and data integration techniques.
* Proficiency in programming languages such as Python, Java, or Scala, and experience with SQL and database technologies.
* Solid understanding of distributed computing principles and big data technologies such as Hadoop, Spark, or Hive.
* Experience with cloud\-based data platforms and services, such as AWS, Azure, or Google Cloud Platform.
* Familiarity with data visualization tools and techniques.
* Excellent problem\-solving skills and a strong attention to detail.
* Effective communication and collaboration skills to work with cross\-functional teams and stakeholders.
 Join our team as the Senior Data Engineer and play a crucial role in shaping and optimizing our data infrastructure to support Richmond National's data\-driven initiatives. Apply your expertise to drive innovation and enable better decision\-making processes through advanced data engineering techniques.
**Benefits Overview**
* Medical, Dental, and Vision insurance plans. FSA/HSA plans available.
* Basic Life/AD\&amp;D/Short Term/Long Term Disability coverage.
* 401(k) \- Company match of up to 6%
* Flexible PTO plan, 11 paid company\-wide holidays, plus your birthday off.
* Recognized as a Top Workplace by Richmond Times\-Dispatch
**Equal Employment Opportunity (EEO)**
 Richmond National is an equal employment opportunity employer, the Company’s employment decisions and practices are not and will not be unlawfully influenced or affected by race, color, creed, age, religion, national origin, sex, disability, genetic information, veteran status, uniformed services, sexual orientation (including transgender status, gender identity or expression), gender, traits historically associated with race, such as hairstyle, pregnancy, childbirth, or related medical conditions or on any other characteristic protected by applicable federal, state, or local law. This policy of equal employment opportunity applies to all policies and procedures relating to recruitment and hiring, compensation, benefits, and all other terms and conditions of employment.</t>
        </is>
      </c>
    </row>
    <row r="97">
      <c r="A97" t="inlineStr">
        <is>
          <t>li-4368373706</t>
        </is>
      </c>
      <c r="B97" t="inlineStr">
        <is>
          <t>Machine Learning Data Engineer</t>
        </is>
      </c>
      <c r="C97" t="inlineStr">
        <is>
          <t>Oden Technologies</t>
        </is>
      </c>
      <c r="D97" t="inlineStr">
        <is>
          <t>linkedin</t>
        </is>
      </c>
      <c r="E97">
        <f>HYPERLINK("https://www.linkedin.com/jobs/view/4368373706", "https://www.linkedin.com/jobs/view/4368373706")</f>
        <v/>
      </c>
      <c r="F97" t="inlineStr"/>
      <c r="G97" t="inlineStr">
        <is>
          <t>New York, NY</t>
        </is>
      </c>
      <c r="H97" t="inlineStr"/>
      <c r="I97" t="inlineStr">
        <is>
          <t>**About Oden:**
 Manufacturing is undergoing its fourth industrial revolution, with factory operations increasingly driven by real\-time applications that combine process and context data with advanced ML and AI algorithms. This is unlocking a staggering opportunity to improve the efficiency and productivity of existing manufacturing processes.
 As a Manufacturing AI company, Oden is at the forefront of this revolution. We combine large\-scale data processing architectures and advanced AI and ML algorithms within the Oden platform so manufacturing operations teams can continuously monitor, analyze, and optimize their production, across a diverse set of processes and conditions. Our goal is to maximize efficiency, sustainability, and competitiveness in the manufacturing domain \- to help True Makers Make Things Better!
 Culture
* We obsess over customers. Everything we do is to create profound results and delight for our customers. Every Viking cares about the purpose of the product and company, and prioritizes work based on customer end results. When in doubt, we go to the Gemba – we’re happy to put on steel toe boots and hit the factory floor to work with the production manager.
* We move fast and follow through – we live by transparent and scientific thinking, act with urgency, and put in the work to find the best ideas with those around us.
* We elevate each other by giving and receiving direct, honest feedback and holding ourselves and others to a high standard to help the team rise, deliver, and win together.
* “Be True Makers to Serve True Makers.” We’re building a community that fuels innovation and accelerates our pace and impact. We always ask if there’s a better way to do something, even if it's unconventional – then we try it. We aim for bold yet simple solutions that cut through complexity and drive meaningful progress.
**The Role:**
 As an ML Data Engineer, you will be responsible for researching, developing and implementing data and machine learning pipelines and systems to support applications that enable operations teams to manage and optimize the manufacturing process as effectively as possible. Applications for these systems include continuous predictions of quality, cost and machine failure, delivering live recommendations for process optimization, and identifying anomalies for real\-time alerting etc.
 As part of developing these systems, you will work with manufacturing data, including real\-time sensor readings and measurements; context about this data collected from external systems; outcomes such as quality/cost/yield; and knowledge about the process from structured and unstructured sources. You will be expected to build systems and models that can learn from these high dimensional and heterogeneous timeseries datasets, and that can be adaptive to changing process conditions and explicit and implicit feedback. You will work with the latest techniques from deep learning, AI for timeseries, reinforcement learning, and recommendation systems to enable the applications.
 You will work closely with Oden’s Product team to build these systems as foundations for our product, and are expected to participate in the end\-to\-end engineering, carrying projects from conceptualization to development to deployment. You will also work closely with our customer success teams to develop an understanding of the process and deliver and validate results in production environments.
**Responsibilities:**
* Developing and maintaining systems that manage the full ML lifecycle \- from data preparation and model training to deployment and monitoring.
* Working with our data scientists to create and deploy ML/AI models, algorithms, representations and methods that capture properties of complex manufacturing processes
* Enable applications of these models to different problems for prediction, optimization, and monitoring and alerting.
* Working with the engineering, product and customer success teams to Implement and deploy solutions
* Validating results in real\-world deployments with our customers
* Generalizing solutions and innovating to create the next generation of product features
* Engaging with the technical community to present results externally, keep up to date on recent advances, and advance the state of the art
**Preferred Experience:**
* 1\-3 years professional experience as an ML Engineer/Data Engineer and advanced degrees (M.S. or PhD. in Machine Learning, Distributed Systems, Computer Science with ML/AI focus, or related fields)
* Proficient with distributed data processing systems e.g. Apache Beam/Dataflow, Apache Spark
* Proficient with ML workflows and tools \- including open source tools like MLFlow, cloud platforms like Vertex or Sagemaker
* Proficient with Python, including most common ML and Optimization libraries
* Experience with SQL and GCP is a plus.
* Experience with designing, building and deploying performant ML products
* Familiarity with unstructured data and Generative AI \- especially around enterprise applications is a plus.
* Enthusiasm to own projects end\-to\-end; from experimentation to customer delivery
* This person should be based in the New York metro\-area and willing to come to an office at least a several times a month
 We anticipate the base salary band for this role will be between $120,000 and $190,000, in addition to equity and benefits. This role may be hired at the L3 Engineer level ($120,000 to $170,000\) or the Senior ML Engineer level ($140,000 to $190,000\). The salary at offer will be determined by factors such as the candidate’s experience, knowledge, skills, and abilities, as well as internal equity among our team.
 At Oden, we are deeply committed to ensuring that every team member is engaged in work they are passionate about and find fulfilling. We prioritze your career development, offering personalized pathways for growth and advancement. Our approach is to align your strengths and interests with the company’s goals, ensuring that you not only contribute meaningfully but also progress steadily in your professional journey, reaching new heights in your career.
 We’re an equal opportunity employer (EOE).
 Diversity at Oden means building a team that is rich across all boundaries of race, ethnicity, gender identification, sexual orientation, disability, religion, age and thinking style. We welcome all backgrounds, life experiences, and worldviews as these are the catalyst for the rapid evolution of our product and our organization. Diversity allows us to tackle new challenges, embrace change, make well\-informed decisions, and ultimately Make Things Better. In alignment with our “People First” company value, Oden has a passionate internal team dedicated to the promotion of diversity and inclusion initiatives as a core component of our culture.
 Our diversity initiatives apply to our practices and policies on recruiting, compensation and benefits; professional development; promotions; social activities and the ongoing development of a psychologically safe work environment.</t>
        </is>
      </c>
    </row>
    <row r="98">
      <c r="A98" t="inlineStr">
        <is>
          <t>li-4368044327</t>
        </is>
      </c>
      <c r="B98" t="inlineStr">
        <is>
          <t>Senior Data Engineer</t>
        </is>
      </c>
      <c r="C98" t="inlineStr">
        <is>
          <t>Garner Health, LLC</t>
        </is>
      </c>
      <c r="D98" t="inlineStr">
        <is>
          <t>linkedin</t>
        </is>
      </c>
      <c r="E98">
        <f>HYPERLINK("https://www.linkedin.com/jobs/view/4368044327", "https://www.linkedin.com/jobs/view/4368044327")</f>
        <v/>
      </c>
      <c r="F98">
        <f>HYPERLINK("https://job-boards.greenhouse.io/garnerhealth/jobs/5532877004&amp;urlHash=xipy", "https://job-boards.greenhouse.io/garnerhealth/jobs/5532877004&amp;urlHash=xipy")</f>
        <v/>
      </c>
      <c r="G98" t="inlineStr">
        <is>
          <t>New York, NY</t>
        </is>
      </c>
      <c r="H98" t="inlineStr"/>
      <c r="I98" t="inlineStr">
        <is>
          <t>**Garner’s mission is to transform the healthcare economy, delivering high\-quality and affordable care for all.**
 We are fundamentally reimagining how healthcare works in the U.S. by partnering with employers to redesign healthcare benefits using clear incentives and powerful, data\-driven insights. Our approach guides employees to higher\-quality, lower\-cost care, creating a system that works better for everyone. Patients achieve better health outcomes, employers spend healthcare dollars more effectively, and physicians are rewarded for delivering exceptional care rather than performing more procedures.
 Garner is one of the fastest\-growing healthcare technology companies in the country. Our products are trusted by the most sophisticated employers and providers in the industry, and we are building a team of talented, mission\-driven individuals who are motivated to make a meaningful impact on healthcare at scale.
**About The Role**
 We are seeking an exceptional Senior Data Engineer with a high sense of ownership who is excited about our mission, eager to learn and teach others, and can deliver across the tech stack. This role will report to our VP, Engineering. The ideal candidate should have experience with a modern data stack and implementations of data pipelines using Python and SQL in AWS.
**Where You Will Work**
 This role will be based in our New York City office. You must be willing to work in the office 3 days per week on Tuesday, Wednesday and Thursday.
**What You Will Do**
* Build, optimize, and maintain data pipelines that power our business
* Define and build out abstracted reusable data sets to be used for Business Intelligence, Marketing, and Data Science Research
* Design, build, and evangelize a federated data validation frameworks to be used to monitor potential data inconsistencies
* Protect our users’ privacy and security through best practices
**The Ideal Candidate Has**
* 4\+ years of software/data engineering experience (distributed data processing, data warehousing, data governance, Big Data, data variance, data privacy, and data quality)
* Expertise in SQL, job experience, and demonstrated strength with Python
* Expertise in building scalable data pipelines, query optimization, data modeling, and defining reusable datasets
* Experience working with orchestration tools (especially Airflow), databases (especially PostgreSQL), datalakes (especially Iceberg), data warehouses (especially Snowflake)
* Expertise with SQL tuning, Spark development, medallion and event\-driven architectures.
* Familiarity with healthcare or insurance
* Familiarity with data security and HIPAA compliance
* A desire to be a part of a high\-performing, mission\-driven team that operates with intense urgency, a strong sense of individual accountability, and a commitment to authentic feedback
**Technologies We Use**
* Postgres/SQL, Snowflake, Python, AWS, Terraform, Argo, Airflow, Spark, DuckDB, Iceberg, Airbyte, DBT, ElasticSearch (aka OpenSearch), OpenTelemetry, Looker
 This is a unique opportunity to join a fast\-growing company in a transformative role, helping shape the future of healthcare.
**Compensation Transparency**
 The target salary range for this position is $180,000\.00 \- $220,000\.00\. Individual compensation for this role will depend on various factors, including qualifications, skills, and applicable laws. In addition to base compensation, this role is eligible to participate in our equity incentive and competitive benefits plans, including but not limited to: flexible PTO, Medical/Dental/Vision plan options, 401(k) with company match, flexible spending accounts, Teladoc Health and more.
**Fraud And Security Notice**
 Please be aware of recent job scam attempts. Our recruiters use getgarner.com and garnerhealth.com email domains exclusively. If you have been contacted by someone claiming to be a Garner recruiter or a hiring manager from a different domain about a potential job, please report it to law enforcement here and to candidateprotection@getgarner.com.
**Equal Employment Opportunity**
 Garner Health is proud to be an Equal Employment Opportunity employer and values diversity in the workplace. We do not discriminate based upon race, religion, color, national origin, sex (including pregnancy, childbirth, reproductive health decisions, or related medical conditions), sexual orientation, gender identity, gender expression, age, status as a protected veteran, status as an individual with a disability, genetic information, political views or activity, or other applicable legally protected characteristics.
 Garner Health is committed to providing accommodations for qualified individuals with disabilities in our recruiting process. If you need assistance or an accommodation due to a disability, you may contact us at talent@getgarner.com.</t>
        </is>
      </c>
    </row>
    <row r="99">
      <c r="A99" t="inlineStr">
        <is>
          <t>li-4368078024</t>
        </is>
      </c>
      <c r="B99" t="inlineStr">
        <is>
          <t>Senior Data Engineer</t>
        </is>
      </c>
      <c r="C99" t="inlineStr">
        <is>
          <t>Hologic, Inc.</t>
        </is>
      </c>
      <c r="D99" t="inlineStr">
        <is>
          <t>linkedin</t>
        </is>
      </c>
      <c r="E99">
        <f>HYPERLINK("https://www.linkedin.com/jobs/view/4368078024", "https://www.linkedin.com/jobs/view/4368078024")</f>
        <v/>
      </c>
      <c r="F99">
        <f>HYPERLINK("https://careers.hologic.com/search/300000411057502/senior-data-engineer?utm_source=linkedin&amp;utm_medium=campaign&amp;urlHash=unlI", "https://careers.hologic.com/search/300000411057502/senior-data-engineer?utm_source=linkedin&amp;utm_medium=campaign&amp;urlHash=unlI")</f>
        <v/>
      </c>
      <c r="G99" t="inlineStr">
        <is>
          <t>Marlborough, MA</t>
        </is>
      </c>
      <c r="H99" t="inlineStr"/>
      <c r="I99" t="inlineStr">
        <is>
          <t>As a Data Engineer at Hologic, you will design, develop, and optimize advanced data solutions that enable business intelligence and analytics across the organization. Leveraging modern cloud technologies, you will architect scalable data pipelines, ensure data quality, and deliver actionable insights that support strategic decision\-making. This role is critical in advancing Hologic’s data\-driven culture and supporting our mission to deliver innovative healthcare solutions.
**Key Responsibilities**
* Design and build data warehouse structures, including fact and dimension tables, to support scalable analytics and reporting solutions.
* Develop, optimize, and manage ETL/ELT processes across diverse data sources (ERP, CRM, IoT, streaming).
* Partner with business and technical teams to translate requirements into secure, high\-quality data solutions.
* Implement and uphold data governance, security, and compliance standards across environments.
* Contribute to DevOps practices, including CI/CD pipelines, version control, and automated testing.
* Create clear documentation of architectures, workflows, and technical processes.
* Collaborate within Agile teams to iteratively deliver data capabilities and continuous improvements.
**Qualifications:**
* Bachelor’s degree in Computer Science, Information Systems, Engineering, or a related technical field and 5–8 years of professional experience; or Master’s degree with 1–3 years of experience.
* Proven ability as a seasoned, experienced professional with a full understanding of data engineering and related specializations.
* Demonstrated expertise in Microsoft Azure data services (Data Factory, Data Lake, Synapse Analytics, Databricks, Power BI).
* Hands\-on experience with SQL, Python, and PySpark for data engineering and analytics.
* Strong knowledge of data warehousing concepts, relational and dimensional modeling, and modern data architectures.
* Experience integrating data from ERP/CRM systems (e.g., Oracle EBS, Salesforce) and streaming platforms.
* Skilled at working on problems of diverse scope, applying judgment to select appropriate methods, techniques, and solutions.
* Excellent communication and collaboration skills with the ability to work independently and in cross\-functional teams, typically receiving minimal instruction on day\-to\-day tasks.
**Preferred Qualifications:**
* Professional certifications in Microsoft Azure, Databricks, or related cloud/data technologies.
* Experience supporting large\-scale analytics in healthcare, life sciences, or regulated industries.
* Familiarity with IoT/event hub integrations and advanced analytics platforms.
* Experience with Agile methodologies, process improvement, and stakeholder engagement.
**Ready to make a difference in women’s health? Apply today and join our team of passionate innovators at Hologic!**
**Additional Info:**
 The annualized base salary range for this role is $93,000 to $145,500 and is bonus eligible. Final compensation packages will ultimately depend on factors including relevant experience, skillset, knowledge, geography, education, business needs and market demand.
***Agency and Third\-Party Recruiter Notice:***
*Agencies that submit a resume to Hologic must have a current executed Hologic Agency Agreement executed by a member of the Human Resource Department. In addition, Agencies may only submit candidates to positions for which they have been invited to do so by a Hologic Recruiter. All resumes must be sent to the Hologic Recruiter under these terms, or they will not be considered.*
*Hologic, Inc. is proud to be an Equal Opportunity Employer inclusive of disability and veterans.*</t>
        </is>
      </c>
    </row>
    <row r="100">
      <c r="A100" t="inlineStr">
        <is>
          <t>li-4368391752</t>
        </is>
      </c>
      <c r="B100" t="inlineStr">
        <is>
          <t>Data Engineer</t>
        </is>
      </c>
      <c r="C100" t="inlineStr">
        <is>
          <t>AI Cybersecurity Company</t>
        </is>
      </c>
      <c r="D100" t="inlineStr">
        <is>
          <t>linkedin</t>
        </is>
      </c>
      <c r="E100">
        <f>HYPERLINK("https://www.linkedin.com/jobs/view/4368391752", "https://www.linkedin.com/jobs/view/4368391752")</f>
        <v/>
      </c>
      <c r="F100" t="inlineStr"/>
      <c r="G100" t="inlineStr">
        <is>
          <t>San Jose, CA</t>
        </is>
      </c>
      <c r="H100" t="inlineStr"/>
      <c r="I100" t="inlineStr">
        <is>
          <t>Our
 **Cybersecurity Startup** 
 building the next generation of products using cutting\-edge technology and AI.
*(We are a 5\-days a week in\-office company located in N. San Jose, CA. Sorry, no remote hiring for this particular role)* 
 Join us at our cutting\-edge AI startup in the
 **San Francisco Bay Area** 
 , where we are assembling a world\-class team to tackle some of the most pressing challenges in cybersecurity.
 As a
 **Data Engineer** 
 , you will be working on components that are extremely mission\-critical and form the heart of the ecosystem being built.
 You Have Experience In...
* Data engineering and data modeling
* Building data lakes and extracting data from diverse sources in multiple formats
* Designing and executing ETL processes
* Data warehousing and analytics
 More about you...
* 10\+ years of software engineering experience, including
 **7\+ years as a Data Engineer**
* Proven experience building data lakes and extracting diverse data efficiently for downstream use
* Strong data engineering and data modeling skills
* Expertise in ETL, data warehousing, and data analytics
* Deep expertise in one or more data stores (SQL, NoSQL, with
 **production experience in large GraphDB deployments**
* Hands\-on experience with big data technologies such as
 **Spark** 
 and
 **DeltaLake**
* Cloud experience (AWS / Azure / GCP),
 **Azure preferred**
* Skilled in developing scalable APIs and
 **containerizing them using Docker and Kubernetes**
* Proficiency in
 **Python and SQL** 
 ; experience with
 **Go** 
 or a similar language (Java, C\+\+)
* Familiarity with Terraform and Infrastructure as Code (nice to have)
* General networking knowledge:
 **TCP/IP, HTTP, REST**
* Ability to work cross\-functionally, including collaboration with AI teams, in a
 **fast\-paced environment with evolving requirements**
* Bachelor’s or Master’s degree in Computer Science, Data Science, or a related field
**Why Join Us:** 
* **$25M Seed Funding:** 
 We are well\-funded, with $25 million raised in our seed round, giving us the resources to innovate and scale rapidly.
* **Proven Early Success:** 
 We’ve already partnered with
 **Fortune 500 companies** 
 , demonstrating market traction and trust in our AI\-driven cybersecurity solutions.
* **Experienced Leadership:** 
 Our founders are second\- and third\-time entrepreneurs with 25\+ years in cybersecurity — having led companies to valuations exceeding
 **$3B** 
 .
* **World\-Class Leadership Team:** 
 Heads of AI, Engineering, and Product come from top global tech companies, ensuring best\-in\-class mentorship and technical direction.
* **Cutting\-Edge AI Solutions:** 
 We leverage the most advanced AI technologies, including
 **Large Language Models (LLMs)** 
 ,
 **Generative AI** 
 , and
 **intelligent inference systems** 
 .
* **Competitive Compensation:** 
 Competitive salary, meaningful equity, and a high\-growth environment where your impact is recognized and rewarded.
* **Cybersecurity Knowledge Preferred but Not Required:** 
 We value strong AI/ML and infrastructure engineering talent above all — cybersecurity expertise can be learned on the job.</t>
        </is>
      </c>
    </row>
    <row r="101">
      <c r="A101" t="inlineStr">
        <is>
          <t>li-4368057944</t>
        </is>
      </c>
      <c r="B101" t="inlineStr">
        <is>
          <t>Data Engineer</t>
        </is>
      </c>
      <c r="C101" t="inlineStr">
        <is>
          <t>Civil &amp; Environmental Consultants, Inc.</t>
        </is>
      </c>
      <c r="D101" t="inlineStr">
        <is>
          <t>linkedin</t>
        </is>
      </c>
      <c r="E101">
        <f>HYPERLINK("https://www.linkedin.com/jobs/view/4368057944", "https://www.linkedin.com/jobs/view/4368057944")</f>
        <v/>
      </c>
      <c r="F101">
        <f>HYPERLINK("https://careers-cecinc.icims.com/jobs/6137/data-engineer/job?mode=job&amp;iis=Job+Posting&amp;iisn=LinkedIn&amp;urlHash=io6u", "https://careers-cecinc.icims.com/jobs/6137/data-engineer/job?mode=job&amp;iis=Job+Posting&amp;iisn=LinkedIn&amp;urlHash=io6u")</f>
        <v/>
      </c>
      <c r="G101" t="inlineStr">
        <is>
          <t>Coraopolis, PA</t>
        </is>
      </c>
      <c r="H101" t="inlineStr"/>
      <c r="I101" t="inlineStr">
        <is>
          <t>As a Data Engineer, you will design, build, and optimize data architectures and pipelines across Microsoft Fabric and Azure in our Pittsburgh, PA office. You will develop scalable data transformation processes using Data Factory, jupyter notebooks, and SQL, while enabling reliable, automated, and well‑governed data operations. This role plays a key part in advancing DataOps practices—including DevOps, CI/CD, and governance through Microsoft Purview—while supporting a modern analytics ecosystem. Experience with Power Automate and Copilot agents is a plus.
**Responsibilities**
* Architect and implement Lakehouse/Warehouse solutions in Fabric (medallion patterns, Delta tables, partitioning, CDC)
* Build and orchestrate pipelines (Fabric Data Factory/Pipelines, notebooks, event\-driven patterns) with robust observability and retry logic
* Develop data products and shared semantic layers for analytics and downstream apps
* Optimize performance and cost (storage formats, Z\-order, indexing, caching, workload management)
* Implement CI/CD (Azure DevOps/GitHub) for notebooks, pipelines, and BI artifacts
* Enforce security (RBAC/ABAC), data quality checks, and privacy/compliance
* Manage Purview collections, scans, lineage, classifications, and ownership workflows
* Collaborate with other analysts and engineers to automate operations and enable self\-service
* Provide architectural guidance and mentor junior engineers to build team capability
* Communicate technical decisions and trade\-offs clearly to stakeholders
* Lead development, configuration, and maintenance of solutions within the Microsoft Power Platform ecosystem, which may include Power Apps, Power Automate, and SharePoint. Use these tools to streamline workflows, enhance data accessibility, and improve collaboration
* Bachelor’s degree in Data Science, Computer Science, or a related field. Additional experience may be substituted for education
* 5\+ years of experience as a data engineer/architect on Microsoft Fabric and Azure. Hands\-on experience with Microsoft Purview (catalog, policies, lineage)
* Python, PySpark, Spark notebooks (structured/streaming), and SQL/SQL Server
* Strong experience with ETL/ELT design, performance tuning, and workload orchestration. DevOps/CI/CD practices (branching, environments, automated testing/deploy). Experience with GIT or other code repositories is required
* Production experience with data modeling and serving layers for BI/AI
* Experience with Kafka, Event Hubs, or other real\-time streaming platforms
* Strong interpersonal, written, and oral communication skills
* Self\-motivated and directed
 We have experts! CEC is consistently ranked as a
 **Top 500 Design Firm and Top 200 Environmental Firm by Engineering News\-Record** 
 . We are looking for people who enjoy using their education and experience to solve difficult technical problems and work on interesting projects. You can accomplish this while working with a team of professionals who are equally motivated to provide high levels of service to our clients and to teach you along the way.
 We have support! We have a variety of Employee Resource Groups, including CEC Community \- focused on giving back to the communities in which we work; CEC Ignite \- focused on helping professionals early in their careers to develop their pathway; CEC iDEA \- focused on inclusion, diversity, equality, and acceptance; and CEC Women \- focused on creating internal and external opportunities for women to network and leverage professional experience!
 We care about our people! People and Culture are two of the five elements of our strategic plan. When you care about your people, they will want to grow a career with you \- that is our goal. CEC offers you a small\-firm work environment with large\-firm opportunities. Not only will we help you develop professionally, but we will also provide an opportunity to become an owner of the firm and share in its success.
 CEC offers a matching 401(k); profit sharing; a performance bonus; company stock; medical, dental, and vision insurance; short and long\-term disability; tuition assistance; professional development; and work\-life balance.
 CEC is an equal opportunity employer. We do not discriminate in recruiting, hiring or promotion based on race, color, religion, sex, national origin, age, disability, protected veteran status or any other basis or characteristic prohibited by applicable federal, state, or local law.
**THIRD PARTY RECRUITERS**
 If CEC has not expressly requested recruiting services or contractually engaged with you for recruiting services on a specific position, any resumes or candidate profiles sent to CEC shall be considered unsolicited. Therefore, any such submissions will be considered property of CEC, with no associated fees due to your firm.</t>
        </is>
      </c>
    </row>
    <row r="102">
      <c r="A102" t="inlineStr">
        <is>
          <t>li-4360794181</t>
        </is>
      </c>
      <c r="B102" t="inlineStr">
        <is>
          <t>Sr. Data Engineer - Analytics</t>
        </is>
      </c>
      <c r="C102" t="inlineStr">
        <is>
          <t>Scoular</t>
        </is>
      </c>
      <c r="D102" t="inlineStr">
        <is>
          <t>linkedin</t>
        </is>
      </c>
      <c r="E102">
        <f>HYPERLINK("https://www.linkedin.com/jobs/view/4360794181", "https://www.linkedin.com/jobs/view/4360794181")</f>
        <v/>
      </c>
      <c r="F102" t="inlineStr"/>
      <c r="G102" t="inlineStr">
        <is>
          <t>Omaha, NE</t>
        </is>
      </c>
      <c r="H102" t="inlineStr"/>
      <c r="I102" t="inlineStr">
        <is>
          <t>**About The Role**
 The Senior Data Engineer will be a key contributor in designing, building, and optimizing data solutions that power our analytics ecosystem. This role focuses on hands\-on development, ensuring data integrity, performance, and scalability across our platforms. The Senior Data Engineer will collaborate closely with leads, analysts, and business stakeholders to deliver high\-quality data products and solutions.
* Design, develop, and maintain scalable data pipelines and integration solutions by analyzing business requirements and system dependencies to deliver efficient, reliable, and secure data solutions.
* Build and optimize ETL/ELT workflows using pipeline and PySpark frameworks, following medallion architecture principles.
* Implement best practices for data modeling, performance tuning, and scalability across data platforms.
* Work with modern file formats (e.g., Parquet, Delta) to ensure efficient storage and processing.
* Ensure data quality, security, and compliance across all solutions.
* Monitor and maintain data systems, proactively identifying and resolving performance issues.
* Collaborate with cross\-functional teams to deliver integrated solutions for complex business problems.
* Stay current with emerging technologies and recommend improvements to enhance the data ecosystem.
* Contribute to documentation and knowledge sharing within the team.
**About You**
* 5\+ years of experience in data engineering and analytics, with strong expertise in ETL/ELT processes including using medallion framework.
* Proficiency in PySpark and Azure Data Services (Azure Synapse Analytics, Azure Data Factory, Azure Data Lake Storage Gen2, Azure SQL Databases).
* Experience working with Parquet and Delta file formats.
* Familiarity with architecture involving Warehouse, Lakehouse, and operational data stores.
* Knowledge of CI/CD pipelines using Azure DevOps and Agile development methodologies.
* Bachelor’s Degree in Computer Science, MIS, or related field (or equivalent experience).
* Excellent problem\-solving skills and ability to work independently or in a team environment.
* Strong communication skills to collaborate effectively across technical and business teams.
**Preferred Experiences**
* Working knowledge of Microsoft Fabric and Power BI (development and optimization).
* Experience with API connectivity
* Exposure to Databricks, Snowflake, or similar platforms.
* Understanding of data governance, lineage, and audit logging.
**Our Company**
 Scoular has been leading the way in safe, reliable, and innovative supply chain solutions for over 130 years. Our business is feed and food, transportation and logistics, and our people are our passion. In everything we do, we put relationships first and always leave room for what's possible.We are a $7 billion company filled with problem solvers and compassionate leaders committed to revolutionizing the future of agriculture. With 1400 employees and over 100 offices and facilities across North America and Asia, you can count on Scoular people.
 We are committed to building a culture of real inclusion for all employees. We support customers and communities around the globe and believe our workforce should reflect that diversity. Scoular Employee Resource Groups (ERGs) connect, support, and empower our people. Learn more about diversity and inclusion commitments here.
**Our Benefits**
* We offer competitive health plans that begin on the employee's first day \-\- there's no waiting period so you can be your best from the very beginning
* On top of your competitive base pay, you'll have an incentive opportunity, 401k safe harbor and additional company match
* Your hard work and dedication deserve a break. In addition to our 12 paid holidays, you'll receive vacation, sick and wellbeing time off
* We give you the opportunity to revolutionize your community. With 8 hours of paid volunteer time every year. We encourage team members to give back and make a social impact
* This position is eligible for annual incentive opportunities based on business and individual performance.</t>
        </is>
      </c>
    </row>
    <row r="103">
      <c r="A103" t="inlineStr">
        <is>
          <t>li-4368052928</t>
        </is>
      </c>
      <c r="B103" t="inlineStr">
        <is>
          <t>Data Engineer</t>
        </is>
      </c>
      <c r="C103" t="inlineStr">
        <is>
          <t>Inceed</t>
        </is>
      </c>
      <c r="D103" t="inlineStr">
        <is>
          <t>linkedin</t>
        </is>
      </c>
      <c r="E103">
        <f>HYPERLINK("https://www.linkedin.com/jobs/view/4368052928", "https://www.linkedin.com/jobs/view/4368052928")</f>
        <v/>
      </c>
      <c r="F103" t="inlineStr"/>
      <c r="G103" t="inlineStr">
        <is>
          <t>Oklahoma City, OK</t>
        </is>
      </c>
      <c r="H103" t="inlineStr"/>
      <c r="I103" t="inlineStr">
        <is>
          <t>**Position:**
 Data Engineer
**Compensation:**
 $100,000 \- $120,000 annually, depending on experience
**Location:**
 Oklahoma City, Oklahoma
 Inceed has partnered with a great company to help find a skilled
 **Data Engineer** 
 to join their team!
 This is an exciting opportunity to be a key contributor in developing, optimizing, and maintaining the data infrastructure that supports analytics and business intelligence initiatives. You'll collaborate with various teams to design scalable data pipelines, integrate data sources, and ensure high\-quality data availability. This role is essential in driving operational efficiencies and business insights across the organization.
**Key Responsibilities \&amp; Duties:**
* Design and maintain ETL/ELT data pipelines using Snowflake and Matillion
* Optimize database performance and ensure efficient data storage
* Collaborate with business units to understand data requirements
* Ensure data integrity and security through best practices
* Support implementation of data models for business intelligence
* Develop and maintain documentation for data processes
* Monitor and troubleshoot data pipeline issues
* Stay updated on emerging data technologies
* Support integration efforts between structured and unstructured data sources
* Develop scripts and queries with Python, SQL, and PowerShell
**Required Qualifications \&amp; Experience:**
* 5\+ years of hands\-on data engineering experience (7\+ years preferred)
* **Extensive, hands\-on, production experience with Snowflake** 
 (required)
* **Extensive, hands\-on, production experience with Matillion** 
 (required)
* Strong
 **data warehousing expertise** 
 , including schema design, data modeling, and best practices
* Advanced SQL skills, including experience with Microsoft SQL Server
* Ability to understand and work within legacy SQL Server / SSIS\-based data warehouse environments
* Experience with business intelligence tools like Power BI or Tableau
**Nice to Have Skills \&amp; Experience:**
* Experience with Python or other scripting languages (PowerShell, JavaScript, etc.)
* Knowledge of Azure cloud architecture and data services
* Experience with
 **APIs, data integrations, or data streaming**
* Experience with Agile methodologies and DevOps practices
* Use of LLMs in Snowflake Cortex for AI\-powered insights
**Perks \&amp; Benefits:**
* Benefits start on Day 1
* 12 paid corporate holidays, in addition to PTO
* Additional variable bonus structure
* Employee referral program ($500 \- $2,000\)
* 401K matching (up to 3%)
* Educational assistance program after 12 months
 If you are interested in learning more about the
 **Data Engineer** 
 opportunity, please submit your resume for consideration. Our client is unable to provide sponsorship at this time.
*We are Inceed, a staffing direct placement firm who believes in the possibility of something better. Our mission is simple: We’re here to help every person, whether client, candidate, or employee, find and secure what’s better for them.* 
*Inceed is an equal opportunity employer. Inceed prohibits discrimination and harassment of any type and affords equal employment opportunities to employees and applicants without regard to race, color, religion, sex, sexual orientation, gender identity, or expression, pregnancy, age, national origin, disability status, genetic information, protected veteran status, or any other characteristic protected by law.*</t>
        </is>
      </c>
    </row>
    <row r="104">
      <c r="A104" t="inlineStr">
        <is>
          <t>li-4368400994</t>
        </is>
      </c>
      <c r="B104" t="inlineStr">
        <is>
          <t>Data Engineer</t>
        </is>
      </c>
      <c r="C104" t="inlineStr">
        <is>
          <t>Stellantis</t>
        </is>
      </c>
      <c r="D104" t="inlineStr">
        <is>
          <t>linkedin</t>
        </is>
      </c>
      <c r="E104">
        <f>HYPERLINK("https://www.linkedin.com/jobs/view/4368400994", "https://www.linkedin.com/jobs/view/4368400994")</f>
        <v/>
      </c>
      <c r="F104" t="inlineStr"/>
      <c r="G104" t="inlineStr">
        <is>
          <t>Auburn Hills, MI</t>
        </is>
      </c>
      <c r="H104" t="inlineStr"/>
      <c r="I104" t="inlineStr">
        <is>
          <t>The AI \&amp; Data Analytics Team is looking for a Senior Data Engineer to join our team. In this role, you will be responsible for designing, building, and optimizing robust data pipelines that process massive datasets in both batch and real\-time. You will work at the intersection of software engineering and data science, ensuring that our data architecture is scalable, reliable, and follows industry best practices.
**Responsibilities**
 Priorities can change in a fast\-paced environment like ours, so this role includes, but is not limited to, the following responsibilities:
* Pipeline Development: Design and implement complex data processing pipelines using Apache Spark.
* Architectural Leadership: Build scalable, distributed systems that handle high\-throughput data streams and large\-scale batch processing.
* Infrastructure as Code: Manage and provision cloud infrastructure using Terraform.
* CI/CD \&amp; Automation: Streamline development workflows by implementing and maintaining GitHub Actions for automated testing and deployment.
* Code Quality: Uphold rigorous software engineering standards, including comprehensive unit/integration testing, code reviews, and maintainable documentation.
* Collaboration: Work closely with stakeholders to translate business requirements into technical specifications.
**Skills**
* BA/BSc in Computer Science, Engineering, Mathematics, or a related technical discipline preferred
* 5\+ years of experience in the data engineering and software development life cycle.
* 4\+ years of hands\-on experience in building and maintaining production data applications, current experience in both relational and columnar data stores.
* 4\+ years of hands\-on experience working with AWS cloud services
* Comprehensive experience with one or more programming languages such as Python, Java, or Rust
* Comprehensive experience working with Big Data platforms (i.e., Spark, Google Big Query, Azure, AWS S3, etc.)
* Familiarity with time series database, data streaming applications, event driven architectures, Kafka, Flink, and more
* Experience with workflow management engines (i.e., Airflow, Luigi, Azure Data Factory, etc.)
* Experience with designing and implementing real\-time pipelines
* Experience with data quality and validation
* Experience with API design
**Required Qualifications**
* Distributed Computing: Deep expertise in Apache Spark (Core, SQL, and Structured Streaming).
* Programming Mastery: Strong proficiency in Scala or Java. You should be comfortable building production\-grade applications in a JVM\-based environment.
* SQL Proficiency: Advanced knowledge of SQL for data transformation, analysis, and performance tuning.
* DevOps \&amp; Tools: Hands\-on experience with Terraform for infrastructure management and GitHub Actions for CI/CD pipelines.
* Software Engineering Foundation: Solid understanding of data structures, algorithms, and design patterns. Experience applying "Clean Code" principles to data engineering.
* Stream Processing: Experience with Apache Flink for low\-latency stream processing.
* Scripting: Proficiency in Python for automation, data analysis, or scripting.
* Cloud Platforms: Experience with AWS, Azure, or GCP data services (e.g., EMR, Glue, Databricks).
* Data Modeling: Familiarity with dimensional modeling, Lakehouse architectures (Delta Lake, Iceberg), or NoSQL databases.
**Top Performers Will Be Able To Demonstrate**
* Comprehensive knowledge of relational database concepts, including; data architecture, operational data stores, Interface processes, multidimensional modeling, master data management, and data manipulation
* Expert knowledge and experience with custom ETL design, implementation and maintenance
* Comprehensive experience designing, implementing, and iterating data pipelines using Big Data technologies
* Experienced working on cross\-functional teams and leading efforts to build data services from the ground up
* Excellent communication skills with the ability to understand complex business problems and provide solutions.
 Extra points!
* Certification in AWS or other cloud providers
* Experience with Databricks notebook workflows
* Experience with Terraform
**Our Benefits — Designed With You In Mind**
**Comprehensive Health \&amp; Well\-being Coverage**
 From your very first day, you’ll have access to medical, dental, vision, and prescription drug coverage — ensuring you and your family stay healthy and protected. Also, our Employee Assistance Program (EAP) offers confidential support for personal and professional challenges, always ready when you need it.
**Family Building Benefit**
 We proudly support all paths to parenthood\- including fertility and infertility treatments, adoption services, and gestational surrogacy.
**Generous Paid Time Off**
 We believe in work\-life balance. That’s why we offer: 17\+ paid holidays, including shut\-down from December 24th through New Years Day every year. Vacation, float \&amp; wellbeing days, sick time and fully paid parental leave when your family needs you most.
**Competitive Retirement Savings Plans**
**We Help You Plan For The Future With**
* An employer match on contributions to your 401k, Roth, and Catch\-Up plans
* An employer contribution, even if you don’t contribute
**Income Protection \&amp; Insurance Options**
 Benefit from both employer\-provided and voluntary plan offerings, including life insurance, group accident, critical illness, etc. \- supporting the needs of you and your family and ensuring peace of mind.
**Company Vehicle Lease Program**
 Eligible employees and their immediate families can participate in the company vehicle lease program, providing access to Stellantis vehicles with insurance, maintenance, and unlimited miles included. Plus, take advantage of exclusive discounts on Stellantis products.
**Support for Your Growth and Giving Back**
 We believe in investing in your future and your passions:
* Tuition reimbursement
* Student loan refinancing programs
* 18 paid volunteer hours each year to make a difference in your community
**And so much more!**
 When you join us, you’re not just building a career — you’re joining a company that supports you, inside and outside of work.
 At Stellantis, we assess candidates based on qualifications, merit, and business needs. We welcome applications from all people without regard to sex, age, ethnicity, nationality, religion, sexual orientation, disability, or any characteristic protected by law. We believe that diverse teams reflect our identity as a global company, enabling us to better address the evolving needs of our customers and care for our future.
 EOE / Disability / Veteran</t>
        </is>
      </c>
    </row>
    <row r="105">
      <c r="A105" t="inlineStr">
        <is>
          <t>li-4357414888</t>
        </is>
      </c>
      <c r="B105" t="inlineStr">
        <is>
          <t>Senior Data Platform Engineer II</t>
        </is>
      </c>
      <c r="C105" t="inlineStr">
        <is>
          <t>BlinkRx</t>
        </is>
      </c>
      <c r="D105" t="inlineStr">
        <is>
          <t>linkedin</t>
        </is>
      </c>
      <c r="E105">
        <f>HYPERLINK("https://www.linkedin.com/jobs/view/4357414888", "https://www.linkedin.com/jobs/view/4357414888")</f>
        <v/>
      </c>
      <c r="F105" t="inlineStr"/>
      <c r="G105" t="inlineStr">
        <is>
          <t>New York, NY</t>
        </is>
      </c>
      <c r="H105" t="inlineStr"/>
      <c r="I105" t="inlineStr">
        <is>
          <t>**Company Overview:** 
 Blink Health is the fastest growing healthcare technology company that builds products to make prescriptions accessible and affordable to everybody.  Our two primary products – BlinkRx and Quick Save – remove traditional roadblocks within the current prescription supply chain, resulting in better access to critical medications and improved health outcomes for patients. 
 BlinkRx is the world’s first pharma\-to\-patient cloud that offers a digital concierge service for patients who are prescribed branded medications. Patients benefit from transparent low prices, free home delivery, and world\-class support on this first\-of\-its\-kind centralized platform. With BlinkRx, never again will a patient show up at the pharmacy only to discover that they can’t afford their medication, their doctor needs to fill out a form for them, or the pharmacy doesn’t have the medication in stock. 
 We are a highly collaborative team of builders and operators who invent new ways of working in an industry that historically has resisted innovation. Join us!
 About the Role
 We are seeking a
 **Senior Data Platform Engineer** 
**II** 
 (Staff\-level equivalent) to define and evolve our real\-time and batch data platform built on
 **AWS and Databricks** 
 . This role owns the technical vision for how data is ingested, processed, stored, and served as
 **trusted datasets, metrics, and APIs** 
 that power products, decisioning systems, and operational workflows.
 As a Senior Engineer, you are a 
 **technical authority and force multiplier** 
 —deeply hands\-on while setting architectural direction across streaming systems, lakehouse design, and data\-serving layers. You will partner closely with engineering, analytics, and product teams to simplify the platform, eliminate legacy patterns, and establish scalable, reliable foundations for real\-time analytics.
 What You Will Do
 * Own the
 **end\-to\-end data platform architecture** 
 , spanning streaming ingestion, lakehouse storage, and data/insight serving layers
* Architect
 **real\-time streaming systems** 
 using AWS Kinesis and Spark Structured Streaming to support low\-latency use cases
* Design
 **stream\-to\-lakehouse convergence patterns** 
 that unify real\-time and historical data with strong correctness guarantees
* Build and evolve
 **data, metrics, and feature APIs** 
 that expose curated datasets for downstream applications and analytics
* Establish
 **canonical event schemas and data contracts** 
 to support event\-driven and API\-based consumption
* Make deep technical decisions across
 **AWS infrastructure** 
 (Kinesis, S3, IAM, networking) and
 **Databricks internals** 
 (clusters, jobs, Delta Lake, performance tuning)
* Drive
 **platform modernization** 
 , retiring legacy tools and patterns in favor of simpler, lakehouse\-first designs
* Set standards for
 **high\-performance SQL and Spark workloads** 
 , optimizing for cost, latency, and scale
* Lead complex platform initiatives from architecture through production delivery and ongoing reliability
* Provide technical leadership and mentorship, shaping best practices for
 **platform design, data quality, and operability**
 Technical Skills
 * Deep expertise in
 **real\-time and distributed data systems** 
 , including AWS Kinesis and Spark Structured Streaming
* Strong command of
 **Databricks on AWS** 
 (Delta Lake, clusters, jobs) and core AWS services (S3, IAM, networking)
* Proven experience designing
 **data\-serving architectures and APIs** 
 for analytics, metrics, and feature consumption
* Advanced
 **Python and SQL** 
 skills for building scalable, high\-performance data pipelines
* Demonstrated ability to design
 **idempotent, replayable, and observable** 
 data platforms at scale
**Why Join Us:** 
 It is rare to have a company that both deeply impacts its customers and is able to provide its services across a massive population.  At Blink, we have a huge impact on people when they are most vulnerable: at the intersection of their healthcare and finances. We are also the fastest growing healthcare company in the country and are driving that impact across millions of new patients every year.  Our business model not only helps people, but drives economics that allow us to build a generational company. We are a relentlessly learning, constantly curious, and aggressively collaborative cross\-functional team dedicated to inventing new ways to improve the lives of our customers.
 We are an equal opportunity employer and value diversity of all kinds. We do not discriminate on the basis of race, religion, color, national origin, gender, sexual orientation, age, marital status, veteran status, or disability status.</t>
        </is>
      </c>
    </row>
    <row r="106">
      <c r="A106" t="inlineStr">
        <is>
          <t>li-4368061316</t>
        </is>
      </c>
      <c r="B106" t="inlineStr">
        <is>
          <t>Sr. Data Engineer</t>
        </is>
      </c>
      <c r="C106" t="inlineStr">
        <is>
          <t>Storable</t>
        </is>
      </c>
      <c r="D106" t="inlineStr">
        <is>
          <t>linkedin</t>
        </is>
      </c>
      <c r="E106">
        <f>HYPERLINK("https://www.linkedin.com/jobs/view/4368061316", "https://www.linkedin.com/jobs/view/4368061316")</f>
        <v/>
      </c>
      <c r="F106" t="inlineStr"/>
      <c r="G106" t="inlineStr"/>
      <c r="H106" t="inlineStr"/>
      <c r="I106" t="inlineStr">
        <is>
          <t>**Sr. Data Engineer** 
 At Storable, we're on a mission to power the future of storage. Our innovative platform helps businesses manage, track, and grow their self\-storage operations, and we’re looking for a Data Engineer to join our data\-driven team. Storable is committed to leveraging cutting\-edge technologies to improve the efficiency, accessibility, and insights derived from data, empowering our team to make smarter decisions and foster impactful growth.
 As a Data Engineer, you will play a pivotal role in shaping our data operations, ensuring that our data is organized, accessible, and effectively managed across the organization. You will work closely with cross\-functional teams and drive the development of strategies to enhance data quality, availability, and security.
**Key Responsibilities:** 
* Oversee Data Pipelines: Design, implement, and maintain scalable data pipelines using industry\-standard tools to efficiently process and manage large\-scale datasets.
* Ensure Data Quality \&amp; Governance: Implement data governance policies and frameworks to ensure data accuracy, consistency, and compliance across the organization.
* ETL Development: Build, optimize, and maintain ETL pipelines for ingesting, transforming, and delivering large datasets from multiple sources.
* Workflow Orchestration: Manage and schedule complex workflows using Apache Airflow.
* Query Engines \&amp; Processing Frameworks: Leverage Trino (Presto), Apache Spark, and other
* Manage Cross\-Functional Collaboration: Partner with engineering, product, and business teams to make data accessible and actionable, and ensure it drives informed decision\-making.
* Optimize Data Infrastructure: Leverage modern data tools and platforms (e.g., AWS, Apache Airflow, Apache Iceberg) to create an efficient, reliable, and scalable data infrastructure.
* Monitor \&amp; Improve Performance: Proactively monitor data processes and workflows, troubleshoot issues, and optimize performance to ensure high reliability and data integrity.
**Qualifications:** 
* Proven Expertise in Data Management: 6\+ years of significant experience in managing data infrastructure, data governance, and optimizing data pipelines at scale.
* Technical Proficiency: 5\+ years of strong hands\-on experience with data tools and platforms such as Apache Airflow, Apache Iceberg, and AWS services (S3, Lambda, Redshift, Glue, Athena).
* Data Pipeline Mastery: Familiarity with designing, implementing, and optimizing data pipelines and workflows in Python or other languages for data processing.
* 5\+ years of hands\-on experience with Trino/Presto and Apache Spark for distributed data processing.
* Solid understanding of data modeling, warehousing concepts, and schema design.
* Experience with Data Governance: Solid understanding of data privacy, quality control, and governance best practices.
* Leadership Skills: Ability to lead and mentor teams, influence stakeholders, and drive data initiatives across the organization.
* Analytical Mindset: Strong problem\-solving abilities and a data\-driven approach to improve business operations.
* Excellent Communication: Ability to communicate complex data concepts to both technical and non\-technical stakeholders effectively.
* Bonus Points: Experience with visualization tools (e.g., Looker, Tableau) and reporting frameworks to provide actionable insights.
 All applicants must be currently authorized to work in the United States on a full\-time basis.
*Storable is a fully distributed company, but is currently only registered for employment in certain states.* 
 To be eligible for employment, you must reside in the following states:  AL, AZ, CA, CO, CT, FL, GA, ID, IL, IN, IA, KS, LA, MD, MA, MI, MN, MO, MS, NC, NE, NJ, NV, NY, OH, OK, OR, PA, SC, TN, TX, UT, VA, WA, WI, WY. 
 About Us:
 At Storable, we’re redefining property management for specialty real estate. Tailored for the self\-storage, marine, and RV \&amp; camping industries, we seamlessly integrate management software with marketplace listings, websites, CRM, insurance, payments and more. Dedicated to empowering owners and operators, Storable helps you win more every day. Explore our platform solutions at www.storable.com. 
 At the heart of Storable is our “Win More” culture, which reflects our commitment to delivering exceptional value to our customers and fostering the personal and professional growth of our employees. We strive to empower our team and our customers to achieve and win more than ever before.
 Benefits and Perks: 
* Generous health coverage for you and your family, including fully paid short\- and long\-term disability coverage and two\-times base salary life insurance.
* 401(k) match after 60 days, 100% vested after 1 year.
* Employer contribution to your HSA, plus an HRA to help offset your deductible.
* Instant access to flexible vacation. We trust you, so we have a ‘take what you need’ vacation policy.
* Be More – company rewards and recognition that add up and can be redeemed for personalized gifts and experiences! Storriors have been able to enroll in SCUBA certification classes, travel overseas, and redo their back patio, among many other things.
* 8 hours of Volunteer Time Off each year and the opportunity to get active in the community by joining one of our offsite volunteer and community service events.
* 8 hours of Rest, Relax, Recharge time to care for your mental health.
* Access a range of mental well\-being resources for yourself and your dependents, including counseling services, stress management programs, and mindfulness workshops
* Fully paid parental leave: 12 and 6 weeks for primary and secondary caregivers, respectively.
* ’Paw’ternity Leave and Pet Bereavement \- we understand that pets are a part of the family and have generous time\-off policies, which honor that commitment.
* Caregiver Leave: four weeks of fully paid time away from work to care for aging dependents or family members, if needed.
* $50 monthly home data stipend, plus a home office sign\-on bonus of $250\.
* Fertility care support options to help in your journey towards parenthood.
* Access to financial experts to help you make informed decisions and achieve your financial goals.
* Direct Student Loan Payment Program, some qualifications and eligibility rules apply.
 Storable is committed to providing equal employment opportunity (EEO) to all persons regardless of age, color, national origin, citizenship status, physical or mental disability, race, religion, creed, gender, sex, sexual orientation, gender identity and/or expression, genetic information, marital status, status with regard to public assistance, veteran status, or any other characteristic protected by federal, state or local law. In addition, Storable will provide reasonable accommodations for qualified individuals with disabilities.
 Important Notice: To protect yourself from fraudulent activities, please consider the following: 
 \- Official Communication: All genuine communication from Storable will come from official email addresses, ending in “@storable.com.” Be cautious of any communication that doesn’t match this criteria.
 \- No Unsolicited Offers: We do not extend job offers without a formal interview process. If you receive an unsolicited job offer claiming to be from Storable or any of its representatives, it’s a red flag.
 \- Verification: If you’re uncertain about the legitimacy of any job offer or communication claiming to be from Storable, please contact our HR department directly at POps@storable.com for verification.
 Your security and trust are paramount to us. If you suspect you’ve been contacted by someone falsely claiming to be from Storable or using our company's name for any dubious purpose, please immediately report the incident to POps@storable.com
 Pay Transparency at StorableAt Storable, we believe in the power of transparency to help our employees Do More and Win More. We value our employees and want to ensure equity and fairness in compensation, which is why we make sure to include the salary range or hourly rate in each job posting.The range listed below is reflective of the base salary market potential for the role over time. The compensation we will offer for this role is within this range and is based on our internal budget along with your skills and experience level. Please talk to your recruiter about the variable pay plan and earning potential for this role.
 Potential Pay Range: $145,000 USD \- $180,000 USD</t>
        </is>
      </c>
    </row>
    <row r="107">
      <c r="A107" t="inlineStr">
        <is>
          <t>li-4368384219</t>
        </is>
      </c>
      <c r="B107" t="inlineStr">
        <is>
          <t>Analytics Engineer</t>
        </is>
      </c>
      <c r="C107" t="inlineStr">
        <is>
          <t>Esperta Health</t>
        </is>
      </c>
      <c r="D107" t="inlineStr">
        <is>
          <t>linkedin</t>
        </is>
      </c>
      <c r="E107">
        <f>HYPERLINK("https://www.linkedin.com/jobs/view/4368384219", "https://www.linkedin.com/jobs/view/4368384219")</f>
        <v/>
      </c>
      <c r="F107">
        <f>HYPERLINK("https://www.adzuna.com/details/5585426564?v=DD0AB6DA38A129AFEFE5B6ABFED7FBD43CE70FFC&amp;frd=00219416e1561d74d3a4c59684bf1b33&amp;r=21187160&amp;ccd=d7f246bf8e243d8bb14307a9c0161740&amp;utm_source=linkedin7&amp;utm_medium=organic&amp;chnlid=1931&amp;title=Analytics%20Engineer&amp;a=e&amp;urlHash=ZOUy", "https://www.adzuna.com/details/5585426564?v=DD0AB6DA38A129AFEFE5B6ABFED7FBD43CE70FFC&amp;frd=00219416e1561d74d3a4c59684bf1b33&amp;r=21187160&amp;ccd=d7f246bf8e243d8bb14307a9c0161740&amp;utm_source=linkedin7&amp;utm_medium=organic&amp;chnlid=1931&amp;title=Analytics%20Engineer&amp;a=e&amp;urlHash=ZOUy")</f>
        <v/>
      </c>
      <c r="G107" t="inlineStr">
        <is>
          <t>Nashville, TN</t>
        </is>
      </c>
      <c r="H107" t="inlineStr"/>
      <c r="I107" t="inlineStr">
        <is>
          <t>**Role Overview**
 We are hiring a United States based Analytics Engineer to support reporting, ad\-hoc analysis, and analytics development across the organization while helping evolve our data platform over time.
 This role sits between data engineering and the business. You’ll own day\-to\-day analytics needs—Power BI dashboards, ad\-hoc reporting, SQL development—while growing into more advanced responsibilities such as gold\-layer data modeling and, eventually, advanced analytics and machine learning use cases. Ad\-hoc analysis and reporting will remain a core responsibility of this role as the analytics function matures.
 You’ll work closely with a Senior Solutions Engineer who focuses on data ingestion and integrations, allowing you to focus on transforming data into insight and impact.
**Why This Role Matters**
 This role is central to how data is used across the company. You’ll enable faster decision\-making today while helping build a more scalable analytics foundation for the future. You’ll have visibility, ownership, and a clear growth path as our data capabilities mature.
 What You’ll Do
**Reporting \&amp; Ad\-Hoc Analytics**
* Own ad\-hoc reporting and analysis for operations, finance, and leadership
* Build and maintain Power BI dashboards and reports
* Translate ambiguous business questions into clear analytical outputs
* Partner with stakeholders to define and refine KPIs and metrics
* Ensure reporting is accurate, performant, and trusted
**SQL \&amp; Data Modeling**
* Write high\-quality SQL to support reporting and analytics
* Build and improve analytics\-ready (gold\-layer) datasets
* Contribute to dimensional and fact\-based data models
* Help improve consistency, usability, and documentation of core datasets
**Growth \&amp; Technical Evolution**
* Gradually take on more responsibility in data modeling and analytics engineering
* Collaborate on improving analytics architecture and best practices
* Explore advanced analytics or ML use cases over time (as interest and readiness allow)
**Requirements**
 What We’re Looking For
**Required**
* Strong expertise in SQL development with a knack for modular design
* Proven ability working with large and complex datasets
* Hands on experience building reports or dashboards (Power BI preferred)
* Experience handling ad\-hoc analysis and evolving business questions
* Experience and understanding of dimensional modeling
* Ability to communicate clearly with non\-technical stakeholders
* Curiosity and motivation to grow technically
**Nice to Have**
* 2\+ years of SQL development experience
* Experience with Databricks, Snowflake, or other cloud\-based data platforms
* Familiarity with analytics engineering concepts
* Familiarity with version control \&amp; CI/CD tools (GitHub, Gitlab, etc.)
* Exposure to healthcare, EMR, or regulated data environments
* Interest in machine learning or advanced analytics (not required)
**Benefits**
* Bonus Eligible
* Health Care Plan (Medical, Dental \&amp; Vision)
* Retirement Plan (401k)
* Life Insurance
* Paid Time Off
* Short Term \&amp; Long Term Disability
* Training \&amp; Development</t>
        </is>
      </c>
    </row>
    <row r="108">
      <c r="A108" t="inlineStr">
        <is>
          <t>li-4368048352</t>
        </is>
      </c>
      <c r="B108" t="inlineStr">
        <is>
          <t>Data Engineer</t>
        </is>
      </c>
      <c r="C108" t="inlineStr">
        <is>
          <t>Globant</t>
        </is>
      </c>
      <c r="D108" t="inlineStr">
        <is>
          <t>linkedin</t>
        </is>
      </c>
      <c r="E108">
        <f>HYPERLINK("https://www.linkedin.com/jobs/view/4368048352", "https://www.linkedin.com/jobs/view/4368048352")</f>
        <v/>
      </c>
      <c r="F108">
        <f>HYPERLINK("https://career.globant.com/job/data-engineer/78139&amp;urlHash=aBrT", "https://career.globant.com/job/data-engineer/78139&amp;urlHash=aBrT")</f>
        <v/>
      </c>
      <c r="G108" t="inlineStr">
        <is>
          <t>Minnesota, United States</t>
        </is>
      </c>
      <c r="H108" t="inlineStr"/>
      <c r="I108" t="inlineStr">
        <is>
          <t>**Position Overview:** 
 As a BI Developer with a focus on Artificial Intelligence (AI), you will be responsible for designing and developing interactive dashboards and reports using Microsoft Power BI and/or Tableau. You will collaborate closely with cross\-functional teams to transform complex data into meaningful visualizations and insights that drive decision\-making and enhance customer service technology initiatives. Your expertise in data analysis, visualization, and AI integration will be essential in providing stakeholders with actionable insights into customer interactions and operational performance.
**Key Responsibilities:**
* Dashboard Development:
+ Design, develop, and maintain interactive Power BI dashboards and reports that visualize key metrics and performance indicators related to customer service technologies, incorporating AI\-driven insights where applicable.
* AI Integration:
+ Collaborate with data scientists and AI specialists to integrate machine learning models and AI algorithms into BI solutions, enhancing the predictive capabilities of dashboards and reports.
* Data Integration:
+ Work with data engineers and analysts to gather and integrate data from various sources, including agent desktop systems, chat logs, IVR data, and self\-service interactions, ensuring that AI\-enhanced data sources are utilized effectively.
* User Requirements Gathering:
+ Engage with stakeholders to understand their reporting needs and translate business requirements into effective Power BI solutions, including the identification of opportunities for AI applications in reporting.
* Data Modeling:
+ Create and optimize data models in Power BI to ensure efficient data retrieval and processing, enhancing the performance of reports and dashboards, while considering the integration of AI\-generated data.
* Performance Monitoring:
+ Monitor and troubleshoot Power BI reports and dashboards, ensuring data accuracy and reliability while providing timely updates to stakeholders, including insights derived from AI analytics.
* Training and Support:
+ Provide training and support to end\-users, helping them navigate Power BI dashboards and utilize AI\-driven insights for informed decision\-making.
* Documentation:
+ Create and maintain documentation for Power BI reports, data sources, and processes, ensuring transparency and facilitating knowledge sharing within the team, particularly regarding AI methodologies used.
* Continuous Improvement:
+ Stay current with the latest Power BI features, AI advancements, and best practices, applying insights to improve existing dashboards and reporting solutions.
**Qualifications:**
* Education: Bachelor’s degree in Computer Science, Data Science, Information Technology, Business Analytics, or a related field.
* Experience: 3\+ years of experience in developing reports and dashboards using Microsoft Power BI, preferably within the healthcare insurance or technology sectors, with a focus on AI applications.
* Data Skills: Strong knowledge of data visualization best practices and experience with data transformation and modeling using Power Query and DAX, along with familiarity with AI and machine learning concepts.
* BI Tools: Proficiency in Power BI, Tableau, or Salesforce Data Cloud; experience with Snowflake Database Management is a plus.
* Database Management: Proficiency in SQL and experience with databases (e.g., SQL Server, Oracle, MySQL) for data retrieval and integration.
* Analytical Skills: Excellent analytical and problem\-solving abilities, with a keen attention to detail and a commitment to delivering high\-quality results.
* Communication Skills: Strong verbal and written communication skills, with the ability to effectively present complex information to diverse audiences.
* Team Collaboration: Proven ability to work collaboratively in cross\-functional teams, fostering a culture of data\-driven decision\-making and innovation.</t>
        </is>
      </c>
    </row>
    <row r="109">
      <c r="A109" t="inlineStr">
        <is>
          <t>li-4357565140</t>
        </is>
      </c>
      <c r="B109" t="inlineStr">
        <is>
          <t>Data Engineer</t>
        </is>
      </c>
      <c r="C109" t="inlineStr">
        <is>
          <t>Anagh Technologies Inc</t>
        </is>
      </c>
      <c r="D109" t="inlineStr">
        <is>
          <t>linkedin</t>
        </is>
      </c>
      <c r="E109">
        <f>HYPERLINK("https://www.linkedin.com/jobs/view/4357565140", "https://www.linkedin.com/jobs/view/4357565140")</f>
        <v/>
      </c>
      <c r="F109" t="inlineStr"/>
      <c r="G109" t="inlineStr">
        <is>
          <t>New Jersey, United States</t>
        </is>
      </c>
      <c r="H109" t="inlineStr"/>
      <c r="I109" t="inlineStr">
        <is>
          <t>Hello,
 We have multiple urgent openings for "
 **Sr Data Engineer** 
 ". These are remote roles.
**Title:** 
 Sr Data Engineer
**Location:** 
 Jersey City, NJ Onsite 3 days/week
**Position:** 
 Long Term Contract
**Job Description** 
 We are seeking a highly skilled Senior Data Engineer with 8\+ years of hands\-on experience in enterprise data engineering, including deep expertise in Apache Airflow DAG development, dbt Core modeling and implementation, and cloud\-native container platforms (Kubernetes / OpenShift).
 This role is critical to building, operating, and optimizing scalable data pipelines that support financial and accounting platforms, including enterprise system migrations and high\-volume data processing workloads.
 The ideal candidate will have extensive hands\-on experience in workflow orchestration, data modeling, performance tuning, and distributed workload management in containerized environments.
 Required Skills \&amp; Qualifications
 :
* 8\+ years of professional experience in data engineering, analytics engineering, or platform engineering roles
* Proven experience designing and supporting enterprise\-scale data platforms in production environments
**Must\-Have Technical Skills** 
* Expert\-level Apache Airflow (DAG design, scheduling, performance tuning)
* Expert\-level DBT Core (data modeling, testing, macros, implementation)
* Strong proficiency in Python for data engineering and automation
* Deep understanding of Kubernetes and/or OpenShift in production environments
* Extensive experience with distributed workload management and performance optimization
* Strong SQL skills for complex transformations and analytics
**Cloud \&amp; Platform Experience** 
* Experience running data platforms on cloud environments
* Familiarity with containerized deployments, CI/CD pipelines, and Git\-based workflows
**Preferred Qualifications** 
* Experience supporting financial services or accounting platforms
* Exposure to enterprise system migrations (e.g., legacy platform to modern data stack)
* Experience with data warehouses (Oracle)
**ABOUT US:** 
 Anagh Technologies is a technical consulting firm specializing in UI, Front\-End, and Full\-Stack web technologies. We currently have 30\+ positions in Angular, React, Node, and Java.
 If technically strong, we can 100% get you an offer within 2 weeks MAX, as we will consider you for multiple roles at once. If you are interested and are available, please email me your resume and contact information to bhushan AT anaghtech.com. Thank you for your time.</t>
        </is>
      </c>
    </row>
    <row r="110">
      <c r="A110" t="inlineStr">
        <is>
          <t>li-4357485080</t>
        </is>
      </c>
      <c r="B110" t="inlineStr">
        <is>
          <t>Data Engineer</t>
        </is>
      </c>
      <c r="C110" t="inlineStr">
        <is>
          <t>thyssenkrupp</t>
        </is>
      </c>
      <c r="D110" t="inlineStr">
        <is>
          <t>linkedin</t>
        </is>
      </c>
      <c r="E110">
        <f>HYPERLINK("https://www.linkedin.com/jobs/view/4357485080", "https://www.linkedin.com/jobs/view/4357485080")</f>
        <v/>
      </c>
      <c r="F110">
        <f>HYPERLINK("https://www.aplitrak.com/?adid=Q2FyZWVzZUd1bGxleS44MDUwNi4xNTUwQHRoeXNzZW5rcnVwcHVzLmFwbGl0cmFrLmNvbQ&amp;urlHash=NovW", "https://www.aplitrak.com/?adid=Q2FyZWVzZUd1bGxleS44MDUwNi4xNTUwQHRoeXNzZW5rcnVwcHVzLmFwbGl0cmFrLmNvbQ&amp;urlHash=NovW")</f>
        <v/>
      </c>
      <c r="G110" t="inlineStr"/>
      <c r="H110" t="inlineStr"/>
      <c r="I110" t="inlineStr">
        <is>
          <t>**Key Accountabilities:** 
* Develop, maintain, and monitor data ingestion and enrich ETL/ELT pipelines within the platform that load and convert raw data into data products.
* Partner with regional and/or global IT infrastructure teams to support and configure data platform storage and compute layers.
* Maintain and build CI/CD pipeline code and automated test plans to ensure automated deployment between development and production environments.
* Manage data platforms related to ITSM ticketing processes (incident \&amp; change requests).
* Collaborate with data team members, architects, data stewards, data owners, and business SMEs to develop data product business requirements for data cleansing and enrichment.
* Implement data security and data governance policies within the data platform to protect sensitive information and maintain data quality.
* Partner with cybersecurity and compliance teams to rigorously ensure compliance with applicable data security, data protection, and regulation requirements.
* Partner with global data teams to ensure that the local data platform \&amp; products maintain interoperability.
* Continuously identify and drive opportunities to improve platform performance, reduce complexity and technical debt and reduce cloud computing and storage costs.
* Maintain support documentation within the team repository.
* Escalate data platform issues to the attention of management / appropriate partners.
* Leverage agile frameworks and Azure DevOps to execute the team backlog.
* Implement data platform metadata management standards and policies.
**Qualifications:** 
* Bachelor's degree, or equivalent work experience.
* Minimum 1\+ years of experience in IT Industry and 1 year of experience as a Data Engineer or equivalent work experience.
* At least 1 year of prior data engineering experience of building ETL/ELT data pipelines using Airflow, Fivetran, Qlik, DBT, ADF, Snowpipe, Matillion and/or similar tools to load and transform structure and semi\-structured data.
* At least 1 year of experience building and supporting cloud native databases, warehouses data lakes, lake houses, and/or data repositories.
* At least 1 year of experience writing python and/or SQL to manipulate, transform, and load large disparate data sets.
* Advanced working SQL knowledge and prior experience loading data into relational databases, data warehouses, and/or data lakes on Microsoft Azure Cloud or other cloud platform.
* Ability to concisely and completely document business requirements into user stories within Azure DevOps and create related technical documentation.
* Basic working knowledge of implementing identity and access management (IAM) and data object, column, and row level access controls to protect sensitive information.
* Fundamental understanding of implementing DevOPs, code management, versioning/branching, and automated testing concepts.
* Experience with leveraging IDEs (e.g., Visual Studio Code and/or Snowflake Notebooks).
* Have a fundamental understanding of how to effectively leverage elastic compute and interoperable storage to scale data pipelines/processing up and out.
* Strong project management and organizational skills.
* Experience with performing root cause analysis to answer specific business questions, resolve issues, \&amp; identify improvement opportunities.
* Experience designing and implementing relational, star schema, and snowflake data models.
* Excellent verbal and written communication skills; ability to provide meaningful, regular status communications to various levels of leadership.
* Proven track record of driving continuous personal improvement by learning and adapting quickly to the latest technologies and trends.
* Familiarity with SAP supply chain data and/or within aerospace is preferred but not required.
 Professional Skills Required:
* Proven ability to work independently and as a team member
* Excellent organizational, multi\-tasking, and time\-management skills
* Excellent evaluation skills and troubleshooting abilities
* Ability to work on multiple projects concurrently
* Ability to travel 10%</t>
        </is>
      </c>
    </row>
    <row r="111">
      <c r="A111" t="inlineStr">
        <is>
          <t>li-4368040362</t>
        </is>
      </c>
      <c r="B111" t="inlineStr">
        <is>
          <t>Senior Analytics Engineer</t>
        </is>
      </c>
      <c r="C111" t="inlineStr">
        <is>
          <t>Kikoff</t>
        </is>
      </c>
      <c r="D111" t="inlineStr">
        <is>
          <t>linkedin</t>
        </is>
      </c>
      <c r="E111">
        <f>HYPERLINK("https://www.linkedin.com/jobs/view/4368040362", "https://www.linkedin.com/jobs/view/4368040362")</f>
        <v/>
      </c>
      <c r="F111" t="inlineStr"/>
      <c r="G111" t="inlineStr">
        <is>
          <t>San Francisco, CA</t>
        </is>
      </c>
      <c r="H111" t="inlineStr"/>
      <c r="I111" t="inlineStr">
        <is>
          <t>**Senior Analytics Engineer, Finance**
 Kikoff is a high\-growth fintech startup building products to create fair, effective, and simple financial pathways to help 100M Americans reach their financial goals. Investors include Lightspeed, Coatue and GGV. Our founders are serial entrepreneurs who co\-founded and served as C\-suite executives.
 Skip the bureaucracy of a big company and work with a seasoned team. We balance best practices from our experience in post\-IPO companies with the familiar intuition that comes from pre\-IPO zero\-to\-one work.
**You Will**
* Build and maintain data pipelines and models that power finance reporting, transforming raw data into reliable, well\-documented datasets using tools like dbt and Dagster.
* Design and automate financial reporting workflows, replacing manual processes with scalable, self\-service solutions for accounting, FP\&amp;A, and capital markets teams.
* Collaborate across finance and engineering to translate business requirements into technical specifications and maintain data accuracy across systems.
* Drive data reconciliation efforts between internal systems, external vendors, and the general ledger—identifying discrepancies and implementing automated validation checks.
* Develop and maintain key financial metrics and dashboards that provide ongoing visibility into product and business performance.
* Support capital markets efforts by building reliable, repeatable processes for loan tape generation and lender reporting requirements.
* Partner cross\-functionally with product, marketing, and operations to deliver data\-driven insights that optimize financial projections and inform decision\-making
* Champion data quality and documentation, ensuring reporting solutions are accurate, reliable, and performant.
**We’re Looking For Someone Who Has**
* Strong SQL skills; experience with data transformation tools like dbt is a plus.
* Proficiency in Python for data manipulation and automation.
* Experience with modern data stack tools such as Snowflake, Dagster \| Airflow, Metabase, and Amplitude, with a demonstrated ability to create actionable insights from data.
* A track record of building automated reporting solutions that reduce manual work and improve data accessibility
* Attention to detail and the ability to work with large datasets to uncover meaningful patterns and trends.
* Intellectually curious and self\-driven to learn more in an unstructured environment.
* Prior experience working with finance teams is a plus but not required.
* Project management and organizational skills, with the ability to manage multiple priorities and meet deadlines.
**Analytics Engineer, Finance**
**Responsibilities**
 As an Analytics Engineer at Kikoff, you work closely with cross\-functional teams including Finance, Data Engineering, Product, and Operations. By applying your technical skills in data modeling and automation, you will help build the data infrastructure that powers financial decision\-making. You will design scalable solutions that transform manual processes into reliable, self\-service workflows. Your responsibilities include:
* Data Infrastructure: Build and maintain data pipelines and models that power finance reporting, transforming raw data into reliable, well\-documented datasets using tools like dbt and Dagster.
* Automation: Design and automate financial reporting workflows, replacing manual processes with scalable, self\-service solutions for accounting, FP\&amp;A, and capital markets teams.
* Data Quality: Collaborate across finance and engineering—driving reconciliation efforts, identifying discrepancies, and implementing automated validation checks across internal systems, external vendors, and the general ledger.
* Communication and Partnership: Partner cross\-functionally to deliver data\-driven insights, develop key financial metrics and dashboards, and support capital markets efforts with reliable loan tape generation and lender reporting.
**Qualifications**
* Bachelor's or above in a quantitative discipline: Computer Science, Engineering, Statistics, Economics, or related field
* A minimum of 2 years of work experience in analytics engineering, data engineering, or a related role. 4 years of experience preferred.
* Strong SQL skills; experience with data transformation tools like dbt is a plus
* Proficiency in Python for data manipulation and automation
* Experience with modern data stack tools such as Snowflake, Metabase, Amplitude…
* Attention to detail and the ability to work with large datasets to ensure accuracy and uncover meaningful patterns
* Strong verbal and written communication skills
* A humble, collaborative can\-do attitude and natural curiosity
* Prior experience working with finance teams is a plus but not required
**Kikoff: A FinTech Unicorn Powering Financial Progress with AI**
 At Kikoff, our mission is to provide radically affordable financial tools to help consumers achieve financial security. We're a profitable, high growth FinTech unicorn serving millions of people, many of whom are building credit or navigating life paycheck to paycheck. With innovative technology and AI, we simplify credit building, reduce debt, and expand access to financial opportunities to those who need them the most. Founded in 2019, Kikoff is headquartered in San Francisco and backed by top\-tier VC investors and NBA star Stephen Curry.
**Why Kikoff**
 This is a consumer fintech startup, and you will be working with serial entrepreneurs who have built strong consumer brands and innovative products. We value extreme ownership, clear communication, a strong sense of craftsmanship, and the desire to create lasting work and work relationships. Yes, you can build an exciting business AND have real\-life real\-customer impact.
**Competitive Pay Based On Experience**
 🏥 Medical, dental, and vision coverage \- Kikoff covers the full cost of health insurance for the employee!
 📈 Meaningful equity in the form of RSU's
 🏝️ 20 days of paid time off per year — we encourage taking real time away to recharge and do your best work
 💰 US salary range for this full\-time position consists of base \+ equity \+ benefits
 Location: Hybrid San Francisco, CA
**Visa sponsorship available: Kikoff is willing to provide sponsorship for H1\-B visas and U.S. green cards for exceptional talent.**
 Equal Employment Opportunity Statement
 Kikoff Inc. is an equal opportunity employer. We are committed to complying with all federal, state, and local laws providing equal employment opportunities and considers qualified applicants without regard to race, color, religion, creed, gender, national origin, age, disability, veteran status, marital status, pregnancy, sex, gender expression or identity, sexual orientation, citizenship, or any other legally protected class.
**Please Reference The Following Information For More Information**
 https://www.eeoc.gov/sites/default/files/migrated\_files/employers/poster\_screen\_reader\_optimized.pdfhttps://www.dol.gov/ofccp/regs/compliance/posters/pdf/OFCCP\_EEO\_Supplement\_Final\_JRF\_QA\_508c.pdf</t>
        </is>
      </c>
    </row>
    <row r="112">
      <c r="A112" t="inlineStr">
        <is>
          <t>li-4368369791</t>
        </is>
      </c>
      <c r="B112" t="inlineStr">
        <is>
          <t>Data Engineer</t>
        </is>
      </c>
      <c r="C112" t="inlineStr">
        <is>
          <t>FAC Services, LLC</t>
        </is>
      </c>
      <c r="D112" t="inlineStr">
        <is>
          <t>linkedin</t>
        </is>
      </c>
      <c r="E112">
        <f>HYPERLINK("https://www.linkedin.com/jobs/view/4368369791", "https://www.linkedin.com/jobs/view/4368369791")</f>
        <v/>
      </c>
      <c r="F112" t="inlineStr"/>
      <c r="G112" t="inlineStr">
        <is>
          <t>Madison, WI</t>
        </is>
      </c>
      <c r="H112" t="inlineStr"/>
      <c r="I112" t="inlineStr">
        <is>
          <t>**About FAC Services** 
 Want to build your career helping those who build the world?
 At FAC Services, we handle the business side so architecture, engineering, and construction firms can focus on shaping the future. Our trusted, high\-quality solutions empower our partners, and our people, to achieve excellence with integrity, precision, and a personal touch.
**Job Purpose** 
 FAC Services is investing in a modern data platform to enable trustworthy, timely, and scalable data for analytics, operations, and product experiences. The Data Engineer will design, build, and maintain core data pipelines and models for Power BI reporting, application programming interfaces (APIs), and downstream integrations. This role partners closely with Infrastructure, Quality Assurance (QA), the Database Administrator, and application teams to deliver production grade, automated data workflows with strong reliability, governance, observability, and Infrastructure as Code (IaC) for resource orchestration.
**Primary Responsibilities:**
**Data Architecture \&amp; Modeling** 
* Design and evolve canonical data models, marts, and lake/warehouse structures to support analytics, APIs, and applications.
* Establish standards for naming, partitioning, schema evolution, and Change Data Capture (CDC).
**Pipeline Development (ETL/ELT)** 
* Build resilient, testable pipelines across Microsoft Fabric Data Factory, notebooks (Apache Spark), and Lakehouse tables for batch and streaming workloads.
* Design Lakehouse tables (Delta/Parquet) in OneLake. Optimize Direct Lake models for Power BI.
* Implement reusable ingestion and transformation frameworks emphasizing modularity, idempotency, and performance.
**Integration \&amp; APIs** 
* Engineer reliable data services and APIs to feed web applications, Power BI, and partner integrations.
* Publish consumer\-facing data contracts (Swagger) and implement change\-notification (webhooks/eventing).
* Use semantic versioning for breaking changes and maintain a deprecation policy for endpoints and table schemas.
* Ensure secure connectivity and least\-privilege access in coordination with the DBA.
**Infrastructure as Code (IaC) — Resource Orchestration** 
* Resource Orchestration \&amp; Security: Author and maintain IaC modules to deploy and configure core resources.
* Use Bicep/ARM (and, where appropriate, Terraform/Ansible) with CI/CD to promote changes across environments.
**DevOps, CI/CD \&amp; Testing** 
* Own CI/CD pipelines (Gitbased promotion) for data code, configurations, and infrastructure. Practice test\-driven development with QA (unit, integration, regression) and embed data validations throughout pipelines; collaborate with the Data Quality Engineer to maximize coverage.
**Observability \&amp; Reliability** 
* Instrument pipelines and datasets for lineage, logging, metrics, and alerts; define Service Level Agreements (SLAs) for data freshness and quality.
* Perform performance tuning (e.g., Spark optimization, partition strategies) and cost management across cloud services.
**Data Quality \&amp; Governance** 
* Implement rules for deduplication, reconciliation, and anomaly detection across environments (Microsoft Fabric Lakehouse and Power BI).
* Contribute to standards for sensitivity labels, RoleBased Access Control (RBAC), auditability, and secure data movement aligned with Infrastructure and Security.
**Collaboration \&amp; Leadership** 
* Work cross functionally with Infrastructure, QA, and application teams; mentor peers in modern data engineering practices; contribute to documentation and knowledge sharing. Handoff to the Data Quality Engineer for release gating; coordinate with the Database Administrator on backups/restore posture, access roles, High Availability / Disaster Recovery (HA/DR), and source CDC readiness.
**Qualifications**
 To perform this job successfully, an individual must be able to perform each primary duty satisfactorily. The requirements listed below are representative of the knowledge, skill, and/or ability required.
**Experience (Required)** 
* 3\+ years designing and operating production ETL/ELT pipelines and data models.
* Apache Spark (Fabric notebooks, Synapse Spark pools, or Databricks).
* Advanced T\-SQL and Python; experience with orchestration, scheduling, and dependency management.
* Azure Event Hubs (or Kafka) for streaming; Change Data Capture (CDC)
* Infrastructure as Code (Bicep/ARM/Terraform); CI/CD (Azure DevOps)
* API design for data services (REST/OpenAPI), including versioning, pagination, error handling, authentication, and authorization.
**Experience (Preferred)** 
* Lakehouse design patterns on Microsoft Fabric; optimization of Power BI with Direct Lake models.
* Kusto Query Language (KQL), Eventstream and Eventhouse familiarity.
* Experience with lineage/metadata platforms and cost governance.</t>
        </is>
      </c>
    </row>
    <row r="113">
      <c r="A113" t="inlineStr">
        <is>
          <t>li-4357495583</t>
        </is>
      </c>
      <c r="B113" t="inlineStr">
        <is>
          <t>Senior Data Engineer, Data Platform</t>
        </is>
      </c>
      <c r="C113" t="inlineStr">
        <is>
          <t>Rocket Money</t>
        </is>
      </c>
      <c r="D113" t="inlineStr">
        <is>
          <t>linkedin</t>
        </is>
      </c>
      <c r="E113">
        <f>HYPERLINK("https://www.linkedin.com/jobs/view/4357495583", "https://www.linkedin.com/jobs/view/4357495583")</f>
        <v/>
      </c>
      <c r="F113" t="inlineStr"/>
      <c r="G113" t="inlineStr"/>
      <c r="H113" t="inlineStr"/>
      <c r="I113" t="inlineStr">
        <is>
          <t>**ABOUT ROCKET MONEY 🔮** 
 Rocket Money’s mission is to meaningfully improve the financial prosperity of millions of people. Rocket Money offers members a unique understanding of their finances and a suite of valuable services that save them time and money – ultimately giving them a leg up on their financial journey.
**ABOUT THE TEAM 🤝** 
 Data Platform Engineers at Rocket Money further our mission by building and maintaining the infrastructure that enables our company to understand our users and products through reliable, scalable data systems. We build the foundational platform that ingests, processes, and serves data—enabling our Data Analytics, Machine Learning, and Software Engineering teams to build data products efficiently. We work closely with engineering teams to ensure data is captured correctly at the source, design resilient pipelines, and create self\-service capabilities that empower stakeholders.
 The Data Platform team is in an exciting phase of growth and formalization
 **.** 
 While we have established tools and processes in place (dbt, BigQuery, Terraform), we're actively building the comprehensive standards, practices, and systems that will scale with Rocket Money as it grows.
 We're looking for engineers who can take ownership and evolve workflows into reliable, well\-documented, production\-grade systems. This is an opportunity to shape architectural decisions, establish team practices, and define how Rocket Money works with data for years to come.
 We have a strong preference for process\-oriented systems thinkers who excel in balancing stakeholder requirements, technical debt, and organizational complexity—and who
 thrive in environments where they need to create structure from ambiguity. You'll need to be comfortable making principled decisions, taking ownership not just of code but of outcomes, and operating with significant autonomy as we build the platform together.
**ABOUT THE ROLE 🤹** 
 In this role, you will:
* Be an end\-to\-end owner of our data platform infrastructure, ensuring its security, usability, and performance. Work closely with analytics engineers, machine learning engineers, and software engineers to ensure the platform meets their needs.
* Make collaborative decisions about data tooling, pipeline design, and governance, and implement opinionated interfaces that facilitate easy and best\-practice\-aligned development for other teammates.
* Continuously improve failure rates for data sources by moving alerting “to the left”; i.e. catching and quarantining bugs/failures as close to the source as possible.
* Analyze patterns in how source data is generated, modeled, and consumed. Work with stakeholders to implement the best solution when new data sources are added.
* Take ownership of existing tools and workflows that may be functional but lack formal structure, documentation, or reliability measures. You'll assess what's working, identify gaps, and systematically improve systems to production\-grade quality.
* Document everything you build knowing that you're creating the foundation others will build upon. Your runbooks, architecture decision records, and system documentation will become the institutional knowledge of our data platform.
* Proactively communicate with multiple stakeholders on platform capabilities, technical constraints, architectural decisions, project priorities, and platform support.
* Confidently juggle multiple projects and priorities in our fast\-paced environment and work with stakeholders and platform teammates to ensure infrastructure changes, migrations, and improvements are delivered on schedule.
* Automate aggressively and deliberately; anything from GitHub Actions to Slack Workflows to minimize repetitive tasks. Effectively judge when the level of effort is appropriate and avoid over\-engineering.
**ABOUT YOU 🦄** 
* You have 6\+ years of experience working with data infrastructure, data engineering, or platform engineering within a fast\-paced environment. You are highly proficient with SQL, Python, and cloud\-based Infrastructure\-as\-Code (e.g. Terraform), and comfortable working with bash/shell scripting.
* You have 4\+ years of production experience with modern data stacks including data warehouses (BigQuery, Snowflake, or Redshift), orchestration tools, managed ingestion services, and infrastructure as code (Terraform, Pulumi, or CloudFormation).
* You have 2\+ years of experience building and maintaining production data pipelines, whether through ELT tools, custom applications, streaming systems, or event\-driven architectures.
* You've successfully "professionalized" data infrastructure before—taking scrappy, working systems and evolving them into reliable, well\-documented, production\-grade platforms. You can articulate what "production\-ready" means in a data context.
* You have a bias toward action and aren't paralyzed by imperfect solutions. You understand when "good enough for now with a plan to improve" beats "perfect but six months late." You ship incrementally and iterate based on feedback.
* You're comfortable being the first person to tackle a problem. You don't need extensive mentorship or detailed tickets—you can take a high\-level business need and figure out the technical approach. That said, you know when to ask for help and can articulate what you need.
* You take ownership seriously—not just of writing code, but of outcomes. When you build something, you implement monitoring, write runbooks, create alerts, and ensure it can be maintained by others. You think about the full lifecycle of systems, not just initial delivery.
* You have strong opinions, weakly held. You can make and defend architectural decisions, but you're open to feedback and willing to change course when presented with better information. You can disagree and commit.
* You understand that "building from scratch" doesn't mean rejecting existing tools—it means thoughtfully selecting, configuring, and integrating managed services and open\-source solutions to create a cohesive platform. You know when to build and when to buy.
* You have experience making big changes to critical data infrastructure. You’ve successfully re\-architected, migrated, or upgraded data tooling that has strict SLA’s, without significantly affecting downstream stakeholders.
**Bonus points if:** 
* You have led a data infrastructure migration or modernization project where you defined the vision, approach, and implementation.
* You have created internal tools, frameworks, or CLIs that improved how teams work with data (not just one\-off scripts).
* You have established data platform best practices like CI/CD workflows, testing frameworks, or observability standards where none existed.
* Expertise in cloud platforms and technologies analogous to our stack:
* Our stack: GCP (BigQuery, Datastream, Cloud Functions, Vertex AI, GCS), dbt, Fivetran, Postgres, Python, Terraform, Looker, Retool
* Analogous experience: AWS (Redshift, DMS, Lambda, SageMaker, S3\) or Azure (Synapse, Data Factory, Functions), Snowflake, Airbyte/Stitch, infrastructure as code tools, BI platforms
**WE OFFER** 
 💫
* Health, Dental \&amp; Vision Plans
* Life Insurance
* Long/Short Term Disability
* Competitive Pay
* 401k Matching
* Team Member Stock Purchasing Program (TMSPP)
* Learning \&amp; Development Opportunities
* Tuition Reimbursement
* Unlimited PTO
* Daily Lunch, Snacks \&amp; Coffee
 *(in\-office only)*
* Commuter benefits
 *(in\-office only)*
 Additional information: Salary range of $160,000 \- $200,000 \+ bonus \+ benefits. Base pay offered may vary depending on job\-related knowledge, skills, and experience.
 Rocket Money, Inc. is an Affirmative Action and Equal Opportunity Employer. All qualified applicants will receive consideration for employment without regard to race, color, religion, sex, sexual orientation, gender identity, national origin, or protected veteran status and will not be discriminated against on the basis of disability.
 Pursuant to the San Francisco Fair Chance Ordinance, we will consider for employment qualified applicants with arrest and conviction records.</t>
        </is>
      </c>
    </row>
    <row r="114">
      <c r="A114" t="inlineStr">
        <is>
          <t>li-4357444864</t>
        </is>
      </c>
      <c r="B114" t="inlineStr">
        <is>
          <t>Senior Data Engineer</t>
        </is>
      </c>
      <c r="C114" t="inlineStr">
        <is>
          <t>Garner Health</t>
        </is>
      </c>
      <c r="D114" t="inlineStr">
        <is>
          <t>linkedin</t>
        </is>
      </c>
      <c r="E114">
        <f>HYPERLINK("https://www.linkedin.com/jobs/view/4357444864", "https://www.linkedin.com/jobs/view/4357444864")</f>
        <v/>
      </c>
      <c r="F114" t="inlineStr"/>
      <c r="G114" t="inlineStr">
        <is>
          <t>New York, NY</t>
        </is>
      </c>
      <c r="H114" t="inlineStr"/>
      <c r="I114" t="inlineStr">
        <is>
          <t>**Garner's mission is to transform the healthcare economy, delivering high\-quality and affordable care for all.**
 We are fundamentally reimagining how healthcare works in the U.S. by partnering with employers to redesign healthcare benefits using clear incentives and powerful, data\-driven insights. Our approach guides employees to higher\-quality, lower\-cost care, creating a system that works better for everyone. Patients achieve better health outcomes, employers spend healthcare dollars more effectively, and physicians are rewarded for delivering exceptional care rather than performing more procedures.
 Garner is one of the fastest\-growing healthcare technology companies in the country. Our products are trusted by the most sophisticated employers and providers in the industry, and we are building a team of talented, mission\-driven individuals who are motivated to make a meaningful impact on healthcare at scale.
**About the role:**
 We are seeking an exceptional Senior Data Engineer with a high sense of ownership who is excited about our mission, eager to learn and teach others, and can deliver across the tech stack. This role will report to our VP, Engineering. The ideal candidate should have experience with a modern data stack and implementations of data pipelines using Python and SQL in AWS.
**Where you will work:**
 This role will be based in our New York City office. You must be willing to work in the office 3 days per week on Tuesday, Wednesday and Thursday.
**What you will do:**
* Build, optimize, and maintain data pipelines that power our business
* Define and build out abstracted reusable data sets to be used for Business Intelligence, Marketing, and Data Science Research
* Design, build, and evangelize a federated data validation frameworks to be used to monitor potential data inconsistencies
* Protect our users' privacy and security through best practices
**The ideal candidate has:**
* 4\+ years of software/data engineering experience (distributed data processing, data warehousing, data governance, Big Data, data variance, data privacy, and data quality)
* Expertise in SQL, job experience, and demonstrated strength with Python
* Expertise in building scalable data pipelines, query optimization, data modeling, and defining reusable datasets
* Experience working with orchestration tools (especially Airflow), databases (especially PostgreSQL), datalakes (especially Iceberg), data warehouses (especially Snowflake)
* Expertise with SQL tuning, Spark development, medallion and event\-driven architectures.
* Familiarity with healthcare or insurance
* Familiarity with data security and HIPAA compliance
* A desire to be a part of a high\-performing, mission\-driven team that operates with intense urgency, a strong sense of individual accountability, and a commitment to authentic feedback
**Technologies we use:**
* Postgres/SQL, Snowflake, Python, AWS, Terraform, Argo, Airflow, Spark, DuckDB, Iceberg, Airbyte, DBT, ElasticSearch (aka OpenSearch), OpenTelemetry, Looker
 This is a unique opportunity to join a fast\-growing company in a transformative role, helping shape the future of healthcare.
**Compensation Transparency:**
 The target salary range for this position is $180,000\.00 \- $220,000\.00\. Individual compensation for this role will depend on various factors, including qualifications, skills, and applicable laws. In addition to base compensation, this role is eligible to participate in our equity incentive and competitive benefits plans, including but not limited to: flexible PTO, Medical/Dental/Vision plan options, 401(k) with company match, flexible spending accounts, Teladoc Health and more.
**Fraud and Security Notice:**
 Please be aware of recent job scam attempts. Our recruiters use getgarner.com and garnerhealth.com email domains exclusively. If you have been contacted by someone claiming to be a Garner recruiter or a hiring manager from a different domain about a potential job, please report it to law enforcement here and to candidateprotection@getgarner.com.
**Equal Employment Opportunity:**
 Garner Health is proud to be an Equal Employment Opportunity employer and values diversity in the workplace. We do not discriminate based upon race, religion, color, national origin, sex (including pregnancy, childbirth, reproductive health decisions, or related medical conditions), sexual orientation, gender identity, gender expression, age, status as a protected veteran, status as an individual with a disability, genetic information, political views or activity, or other applicable legally protected characteristics.
 Garner Health is committed to providing accommodations for qualified individuals with disabilities in our recruiting process. If you need assistance or an accommodation due to a disability, you may contact us at talent@getgarner.com.</t>
        </is>
      </c>
    </row>
    <row r="115">
      <c r="A115" t="inlineStr">
        <is>
          <t>li-4368409803</t>
        </is>
      </c>
      <c r="B115" t="inlineStr">
        <is>
          <t>Data Engineer</t>
        </is>
      </c>
      <c r="C115" t="inlineStr">
        <is>
          <t>GDH</t>
        </is>
      </c>
      <c r="D115" t="inlineStr">
        <is>
          <t>linkedin</t>
        </is>
      </c>
      <c r="E115">
        <f>HYPERLINK("https://www.linkedin.com/jobs/view/4368409803", "https://www.linkedin.com/jobs/view/4368409803")</f>
        <v/>
      </c>
      <c r="F115" t="inlineStr"/>
      <c r="G115" t="inlineStr">
        <is>
          <t>Montgomery, AL</t>
        </is>
      </c>
      <c r="H115" t="inlineStr"/>
      <c r="I115" t="inlineStr">
        <is>
          <t>**Overview**
 We are seeking a highly skilled and motivated Data Engineer to join our team. The ideal candidate will be instrumental in designing, developing, and maintaining scalable data pipelines and architectures that support our organization’s data\-driven initiatives. This role offers an exciting opportunity to work with cutting\-edge cloud technologies, streaming platforms, and automation tools, enabling you to play a key part in our digital transformation journey.
**Key Responsibilities**
* Design, develop, and optimize robust ETL/ELT pipelines using SQL Server, ensuring efficient data ingestion, transformation, and loading processes.
* Integrate data pipelines seamlessly with cloud services such as AWS Glue, Azure Data Factory, and GCP Dataflow to enable scalable and flexible data operations.
* Implement real\-time streaming solutions leveraging Kafka, Kinesis, and similar technologies to support live data processing.
* Develop and enhance data models and architectures to facilitate high\-performance analytics and reporting.
* Collaborate with governance and SQL engineering teams to establish standards, optimize workflows, and ensure data quality and security.
* Utilize programming languages such as Python, Scala, and Java for pipeline development, automation, and integration tasks.
* Automate deployment, infrastructure provisioning, and monitoring through DevOps practices using Terraform, Ansible, Docker, and Kubernetes.
* Create technical documentation, including pipeline diagrams, data flow diagrams, and compliance reports, to ensure transparency and maintainability.
**Qualifications \&amp; Skills**
* 5–7 years of professional experience in data engineering, database development, or related fields.
* Proven expertise with SQL Server, including building and optimizing stored procedures and pipelines.
* Hands\-on experience with cloud integration and data orchestration tools like Airflow and DBT.
* Strong programming skills in Python, Scala, or Java, with applicable certifications (e.g., Python Institute PCPP, Scala Professional Certification preferred).
* Familiarity with DevOps automation tools (Terraform, Ansible) and containerization platforms (Docker, Kubernetes).
* Background in data modeling and architecture, ideally with vendor\-specific training (e.g., Snowflake, AWS Big Data Specialty).
* Excellent problem\-solving skills with a focus on performance optimization and troubleshooting.
* Strong documentation skills and the ability to communicate complex technical details.
**Preferred Certifications**
* AWS Certified Data Engineer
* Azure Data Engineer Associate
* Google Professional Data Engineer
 Publishing Pay Rate: $45\.00 – $50\.00 Hourly</t>
        </is>
      </c>
    </row>
    <row r="116">
      <c r="A116" t="inlineStr">
        <is>
          <t>li-4368411356</t>
        </is>
      </c>
      <c r="B116" t="inlineStr">
        <is>
          <t>Senior Data Engineer</t>
        </is>
      </c>
      <c r="C116" t="inlineStr">
        <is>
          <t>Navasal Inc.</t>
        </is>
      </c>
      <c r="D116" t="inlineStr">
        <is>
          <t>linkedin</t>
        </is>
      </c>
      <c r="E116">
        <f>HYPERLINK("https://www.linkedin.com/jobs/view/4368411356", "https://www.linkedin.com/jobs/view/4368411356")</f>
        <v/>
      </c>
      <c r="F116" t="inlineStr"/>
      <c r="G116" t="inlineStr">
        <is>
          <t>Jersey City, NJ</t>
        </is>
      </c>
      <c r="H116" t="inlineStr"/>
      <c r="I116" t="inlineStr">
        <is>
          <t>**About the job** 
**Job Title: Senior Data Engineer** 
**Experience Required: 10\+ Years** 
**Work Mode: Onsite 3 Days/Week , NJ (185 Hudson St \#1150, Jersey City , NJ 07311\)** 
**Location : New Jersey city , NJ** 
**Visa \- Except opt and cpt (any visa is fine)** 
**Interview Process : 2 rounds, 1 round virtual and 1 in person** 
**Job Summary** 
 We are seeking a highly skilled Senior Data Engineer with 8\+ years of hands\-on experience in enterprise data engineering, including deep expertise in Apache Airflow DAG development, dbt Core modeling and implementation, and cloud\-native container platforms (Kubernetes / OpenShift).This role is critical to building, operating, and optimizing scalable data pipelines that support financial and accounting platforms, including enterprise system migrations and high\-volume data processing workloads.The ideal candidate will have extensive hands\-on experience in workflow orchestration, data modeling, performance tuning, and distributed workload management in containerized environments.
**Must have:** 
 \-Python
 \-Apache Airflow/DBT
 \-Communication, both written \&amp; verbal
 \-Kubernetes
 \-OpenShift
 \-8\+ years of experience
**Key Responsibilities:** 
* Data Pipeline \&amp; Orchestration
* Design, develop, and maintain complex Airflow DAGs for batch and event\-driven data pipelines
* Implement best practices for DAG performance, dependency management, retries, SLA monitoring, and alerting
* Optimize Airflow scheduler, executor, and worker configurations for high\-concurrency workloads
* dbt Core \&amp; Data Modeling
* Lead dbt Core implementation, including project structure, environments, and CI/CD integration
* Design and maintain robust dbt models (staging, intermediate, marts) following analytics engineering best practices
* Implement dbt tests, documentation, macros, and incremental models to ensure data quality and performance
* Optimize dbt query performance for large\-scale datasets and downstream reporting needs
* Cloud, Kubernetes \&amp; OpenShift
* Deploy and manage data workloads on Kubernetes / OpenShift platforms
* Design strategies for workload distribution, horizontal scaling, and resource optimization
* Configure CPU/memory requests and limits, autoscaling, and pod scheduling for data workloads
* Troubleshoot container\-level performance issues and resource contention
* Performance \&amp; Reliability
* Monitor and tune end\-to\-end pipeline performance across Airflow, dbt, and data platforms
* Identify bottlenecks in query execution, orchestration, and infrastructure
* Implement observability solutions (logs, metrics, alerts) for proactive issue detection
* Ensure high availability, fault tolerance, and resiliency of data pipelines
* Collaboration \&amp; Governance
* Work closely with data architects, platform engineers, and business stakeholders
* Support financial reporting, accounting, and regulatory data use cases
* Enforce data engineering standards, security best practices, and governance policies
**Required Skills \&amp; Qualifications:** 
* Expert\-level Apache Airflow (DAG design, scheduling, performance tuning)
* Expert\-level DBT Core (data modeling, testing, macros, implementation)
* Strong proficiency in Python for data engineering and automation
* Deep understanding of Kubernetes and/or OpenShift in production environments
* Extensive experience with distributed workload management and performance optimization
* Strong SQL skills for complex transformations and analytics
* Cloud \&amp; Platform Experience
**\# Send your Responses to** 
**\#Kelly \# Parasuram** 
**E\-mail: kelly@navasal.com** 
**Contact Info : 972\-220\-8982**</t>
        </is>
      </c>
    </row>
    <row r="117">
      <c r="A117" t="inlineStr">
        <is>
          <t>li-4368433245</t>
        </is>
      </c>
      <c r="B117" t="inlineStr">
        <is>
          <t>Data Engineer</t>
        </is>
      </c>
      <c r="C117" t="inlineStr">
        <is>
          <t>Expedite Talent Solutions</t>
        </is>
      </c>
      <c r="D117" t="inlineStr">
        <is>
          <t>linkedin</t>
        </is>
      </c>
      <c r="E117">
        <f>HYPERLINK("https://www.linkedin.com/jobs/view/4368433245", "https://www.linkedin.com/jobs/view/4368433245")</f>
        <v/>
      </c>
      <c r="F117" t="inlineStr"/>
      <c r="G117" t="inlineStr">
        <is>
          <t>Atlanta, GA</t>
        </is>
      </c>
      <c r="H117" t="inlineStr"/>
      <c r="I117" t="inlineStr">
        <is>
          <t>**Job Description**
 Data Engineer is responsible for designing, developing, and maintaining the infrastructure and systems required for data storage, processing, and analysis. They play a crucial role in building and managing the data pipelines that enable efficient and reliable data integration, transformation, and delivery for all data users across the enterprise. The data engineer also is responsible for the creation of BI solutions designed to gain insights, monitor key organizational and operational measures, and provide visibility throughout the organization and to our customers of system performance.
* Designs and develops data pipelines that extract data from various sources, transform it into the desired format, and load it into the appropriate data storage systems.
* Integrates data from different sources, including databases, data warehouses, APIs, and external systems.
* Analyze, design, develop, and document BI solutions based on Information Services standards and best practices.
* Coordinate with the team to build and share knowledge, ensuring consistent delivery of information.
* Analyze, diagnose, and resolve reporting, ETL, and data issues.
* Ensures data consistency and integrity during the integration process, performing data validation and cleaning as needed.
* Transforms raw data into a usable format by applying data cleansing, aggregation, filtering, and enrichment techniques.
* Works to optimizes data pipelines and data processing workflows for performance, scalability, and efficiency.
* Monitors and tunes data systems, identifies and resolves performance bottlenecks, and implements caching and indexing strategies to enhance query performance.
* Implements data quality checks and validations within data pipelines to ensure the accuracy, consistency, and completeness of data.
**Required**
**Required:**
 Bachelor's degree in Computer Science, Information Systems, Mathematics or similar field or equivalent experience.
 At least six years of work experience in data management disciplines, including data integration, modeling, optimization and data quality, or other areas directly relevant to data engineering responsibilities and tasks.
 Proven project experience developing and maintaining data warehouses in big data solutions (e.g. Snowflake)
* Ability to design, build, and deploy data solutions that capture, explore, transform, and utilize data to support AI, ML, and BI
* Experience in data science languages/tools such as SQL, Python, R, SAS, or Excel
* Proficiency in the design and implementation of modern data architectures and concepts such as cloud services (AWS, Azure, GCP) and modern data warehouse tools (Snowflake, Databricks)
* Experience with database technologies such as SQL, NoSQL, Oracle, Hadoop, or Teradata
* Ability to collaborate within and across teams of different technical knowledge to support delivery and educate end users on data products.
* Expert problem\-solving skills, including debugging skills, allowing the determination of sources of issues in unfamiliar code or systems, and the ability to recognize and solve repetitive problems.
* Excellent business acumen and interpersonal skills; able to work across business lines at a senior level to influence and effect change to achieve common goals.
* Ability to describe business use cases/outcomes, data sources and management concepts, and analytical approaches/options.
* Ability to translate among the languages used by executive, business, IT, and quant stakeholders.
**Preferred**
**Preferred:**
* Knowledge of Apache technologies such as Kafka, Airflow, and Spark to build scalable and efficient data pipelines.
* Experience in programming languages such as Java, Python, and C/C\+\+
* Epic Caboodle Developer Certification</t>
        </is>
      </c>
    </row>
    <row r="118">
      <c r="A118" t="inlineStr">
        <is>
          <t>li-4368351929</t>
        </is>
      </c>
      <c r="B118" t="inlineStr">
        <is>
          <t>Data Engineer</t>
        </is>
      </c>
      <c r="C118" t="inlineStr">
        <is>
          <t>CGS Federal (Contact Government Services)</t>
        </is>
      </c>
      <c r="D118" t="inlineStr">
        <is>
          <t>linkedin</t>
        </is>
      </c>
      <c r="E118">
        <f>HYPERLINK("https://www.linkedin.com/jobs/view/4368351929", "https://www.linkedin.com/jobs/view/4368351929")</f>
        <v/>
      </c>
      <c r="F118" t="inlineStr"/>
      <c r="G118" t="inlineStr">
        <is>
          <t>Arlington, WA</t>
        </is>
      </c>
      <c r="H118" t="inlineStr"/>
      <c r="I118" t="inlineStr">
        <is>
          <t>Data Engineer Employment Type: Full\-Time, Mid\-levelDepartment: Business Intelligence CGS is seeking a passionate and driven Data Engineer to support a rapidly growing Data Analytics and Business Intelligence platform focused on providing solutions that empower our federal customers with the tools and capabilities needed to turn data into actionable insights. The ideal candidate is a critical thinker and perpetual learner; excited to gain exposure and build skillsets across a range of technologies while solving some of our clients’ toughest challenges.
 CGS brings motivated, highly skilled, and creative people together to solve the government’s most dynamic problems with cutting\-edge technology. To carry out our mission, we are seeking candidates who are excited to contribute to government innovation, appreciate collaboration, and can anticipate the needs of others. Here at CGS, we offer an environment in which our employees feel supported, and we encourage professional growth through various learning opportunities. Skills and attributes for success:\-Complete development efforts across data pipeline to store, manage, store, and provision to data consumers.\-Being an active and collaborating member of an Agile/Scrum team and following all Agile/Scrum best practices.\-Write code to ensure the performance and reliability of data extraction and processing.\-Support continuous process automation for data ingest.\-Achieve technical excellence by advocating for and adhering to lean\-agile engineering principles and practices such as API\-first design, simple design, continuous integration, version control, and automated testing.\-Work with program management and engineers to implement and document complex and evolving requirements.\-Help cultivate an environment that promotes customer service excellence, innovation, collaboration, and teamwork.\-Collaborate with others as part of a cross\-functional team that includes user experience researchers and designers, product managers, engineers, and other functional specialists.
 Qualifications:\-Must be a US Citizen.\-Must be able to obtain a Public Trust Clearance.\-7\+ years of IT experience including experience in design, management, and solutioning of large, complex data sets and models.\-Experience with developing data pipelines from many sources from structured and unstructured data sets in a variety of formats.\-Proficiency in developing ETL processes, and performing test and validation steps.\-Proficiency to manipulate data (Python, R, SQL, SAS).\-Strong knowledge of big data analysis and storage tools and technologies.\-Strong understanding of the agile principles and ability to apply them.\-Strong understanding of the CI/CD pipelines and ability to apply them.\-Experience with relational database, such as, PostgreSQL.\-Work comfortably in version control systems, such as, Git Repositories.
 Ideally, you will also have:\-Experience creating and consuming APIs.\-Experience with DHS and knowledge of DHS standards a plus.\-Candidates will be given special consideration for extensive experience with Python.\-Ability to develop visualizations utilizing Tableau or PowerBI.\-Experience in developing Shell scripts on Linux.\-Demonstrated experience translating business and technical requirements into comprehensive data strategies and analytic solutions.\-Demonstrated ability to communicate across all levels of the organization and communicate technical terms to non\-technical audiences. Our Commitment:Contact Government Services (CGS) strives to simplify and enhance government bureaucracy through the optimization of human, technical, and financial resources. We combine cutting\-edge technology with world\-class personnel to deliver customized solutions that fit our client’s specific needs. We are committed to solving the most challenging and dynamic problems.
 For the past seven years, we’ve been growing our government\-contracting portfolio, and along the way, we’ve created valuable partnerships by demonstrating a commitment to honesty, professionalism, and quality work.
 Here at CGS we value honesty through hard work and self\-awareness, professionalism in all we do, and to deliver the best quality to our consumers mending those relations for years to come.
 We care about our employees. Therefore, we offer a comprehensive benefits package:\-Health, Dental, and Vision\-Life Insurance\-401k\-Flexible Spending Account (Health, Dependent Care, and Commuter)\-Paid Time Off and Observance of State/Federal Holidays
 Contact Government Services, LLC is an Equal Opportunity Employer. Applicants will be considered without regard to their race, color, religion, sex, sexual orientation, gender identity, national origin, disability, or status as a protected veteran.
 Join our team and become part of government innovation!
 Explore additional job opportunities with CGS on our Job Board:https://cgsfederal.com/join\-our\-team/
 For more information about CGS please visit: https://www.cgsfederal.com or contact:Email: \[email protected]
 \#CJ$112,597\.33 \- $152,810\.66 a yearWe may use artificial intelligence (AI) tools to support parts of the hiring process, such as reviewing applications, analyzing resumes, or assessing responses. These tools assist our recruitment team but do not replace human judgment. Final hiring decisions are ultimately made by humans. If you would like more information about how your data is processed, please contact us.</t>
        </is>
      </c>
    </row>
    <row r="119">
      <c r="A119" t="inlineStr">
        <is>
          <t>li-4368408519</t>
        </is>
      </c>
      <c r="B119" t="inlineStr">
        <is>
          <t>Senior Data Engineer</t>
        </is>
      </c>
      <c r="C119" t="inlineStr">
        <is>
          <t>Ranger Technical Resources</t>
        </is>
      </c>
      <c r="D119" t="inlineStr">
        <is>
          <t>linkedin</t>
        </is>
      </c>
      <c r="E119">
        <f>HYPERLINK("https://www.linkedin.com/jobs/view/4368408519", "https://www.linkedin.com/jobs/view/4368408519")</f>
        <v/>
      </c>
      <c r="F119" t="inlineStr"/>
      <c r="G119" t="inlineStr">
        <is>
          <t>Indiana, United States</t>
        </is>
      </c>
      <c r="H119" t="inlineStr"/>
      <c r="I119" t="inlineStr">
        <is>
          <t>**Senior Data Engineer \#2595** 
**Position Summary:** 
 Our partner is a global manufacturer modernizing its ERP\-driven data environment into a cloud\-native platform for trusted analytics and forecasting. They are growing their team to support the build\-out and ownership of the data foundation that enterprise analytics and forecasting depend on. The environment is Databricks and
 *Azure* 
 , with ERP data at the core, and the challenge is turning complex, scattered
 *systems* 
 into trusted, high\-performance data models the business can rely on. The focus is on data modeling, pipeline reliability, performance tuning, and governance, not dashboards or surface\-level reporting. Data accuracy, performance, and reliability matter because leaders depend on these
 *systems* 
 to make operational and financial decisions.
**Experience and Education:** 
* BS in Computer Science, Information
 *Systems* 
 , Software Engineer or equivalent technical field
* Experience building enterprise data platforms using Databricks and
 *Azure*
* Background in designing and owning data models sourced from ERP
 *systems*
* Experience working with SAP or other large\-scale ERP environments
* History of owning data pipelines end\-to\-end in production environments
* Exposure to forecasting, analytics, or ML\-enabled data use cases
* Experience working with globally distributed or offshore teams
**Skills and Strengths:** 
* Databricks
* *Azure*
* Data engineering
* Data modeling
* ERP data environments
* SAP
* *SQL*
* *Python*
* Lakehouse architecture
* *ETL* 
 design
* Data orchestration
* Data quality frameworks
* Performance optimization
* Enterprise data governance
* Analytics enablement
* Forecasting data pipelines
* Machine learning support
* *Systems* 
 tradeoff analysis
* Cross\-team collaboration
* Technical
 *documentation*
**Primary Job Responsibilities:** 
* Own the Databricks\-based data engineering layer used across the enterprise
* Design and maintain high\-quality data models sourced from ERP
 *systems*
* Ensure data pipelines are reliable, scalable, and performant
* Standardize
 *ETL* 
 patterns, orchestration, and data quality checks
* Improve lakehouse performance and long\-term maintainability
* Partner closely with BI leadership to enable trusted analytics and forecasting
* Support ML and advanced analytics use cases through strong data foundations
* Establish and reinforce enterprise data governance practices
* Collaborate with offshore and onshore teams to ensure consistency
* Decide when work requires immediate fixes versus backlog prioritization
* Clearly explain engineering tradeoffs across cost, performance, and maintainability
* Reduce operational firefighting by improving platform stability
* Document data models, pipelines, and standards for reuse
* Act as a senior technical voice without direct people management
* Continuously improve the platform based on business and technical needs</t>
        </is>
      </c>
    </row>
    <row r="120">
      <c r="A120" t="inlineStr">
        <is>
          <t>li-4357455596</t>
        </is>
      </c>
      <c r="B120" t="inlineStr">
        <is>
          <t>Senior Data Engineer, Data Platform</t>
        </is>
      </c>
      <c r="C120" t="inlineStr">
        <is>
          <t>Rocket Money</t>
        </is>
      </c>
      <c r="D120" t="inlineStr">
        <is>
          <t>linkedin</t>
        </is>
      </c>
      <c r="E120">
        <f>HYPERLINK("https://www.linkedin.com/jobs/view/4357455596", "https://www.linkedin.com/jobs/view/4357455596")</f>
        <v/>
      </c>
      <c r="F120" t="inlineStr"/>
      <c r="G120" t="inlineStr"/>
      <c r="H120" t="inlineStr"/>
      <c r="I120" t="inlineStr">
        <is>
          <t>**ABOUT ROCKET MONEY 🔮** 
 Rocket Money’s mission is to meaningfully improve the financial prosperity of millions of people. Rocket Money offers members a unique understanding of their finances and a suite of valuable services that save them time and money – ultimately giving them a leg up on their financial journey.
**ABOUT THE TEAM 🤝** 
 Data Platform Engineers at Rocket Money further our mission by building and maintaining the infrastructure that enables our company to understand our users and products through reliable, scalable data systems. We build the foundational platform that ingests, processes, and serves data—enabling our Data Analytics, Machine Learning, and Software Engineering teams to build data products efficiently. We work closely with engineering teams to ensure data is captured correctly at the source, design resilient pipelines, and create self\-service capabilities that empower stakeholders.
 The Data Platform team is in an exciting phase of growth and formalization
 **.** 
 While we have established tools and processes in place (dbt, BigQuery, Terraform), we're actively building the comprehensive standards, practices, and systems that will scale with Rocket Money as it grows.
 We're looking for engineers who can take ownership and evolve workflows into reliable, well\-documented, production\-grade systems. This is an opportunity to shape architectural decisions, establish team practices, and define how Rocket Money works with data for years to come.
 We have a strong preference for process\-oriented systems thinkers who excel in balancing stakeholder requirements, technical debt, and organizational complexity—and who
 thrive in environments where they need to create structure from ambiguity. You'll need to be comfortable making principled decisions, taking ownership not just of code but of outcomes, and operating with significant autonomy as we build the platform together.
**ABOUT THE ROLE 🤹** 
 In this role, you will:
* Be an end\-to\-end owner of our data platform infrastructure, ensuring its security, usability, and performance. Work closely with analytics engineers, machine learning engineers, and software engineers to ensure the platform meets their needs.
* Make collaborative decisions about data tooling, pipeline design, and governance, and implement opinionated interfaces that facilitate easy and best\-practice\-aligned development for other teammates.
* Continuously improve failure rates for data sources by moving alerting “to the left”; i.e. catching and quarantining bugs/failures as close to the source as possible.
* Analyze patterns in how source data is generated, modeled, and consumed. Work with stakeholders to implement the best solution when new data sources are added.
* Take ownership of existing tools and workflows that may be functional but lack formal structure, documentation, or reliability measures. You'll assess what's working, identify gaps, and systematically improve systems to production\-grade quality.
* Document everything you build knowing that you're creating the foundation others will build upon. Your runbooks, architecture decision records, and system documentation will become the institutional knowledge of our data platform.
* Proactively communicate with multiple stakeholders on platform capabilities, technical constraints, architectural decisions, project priorities, and platform support.
* Confidently juggle multiple projects and priorities in our fast\-paced environment and work with stakeholders and platform teammates to ensure infrastructure changes, migrations, and improvements are delivered on schedule.
* Automate aggressively and deliberately; anything from GitHub Actions to Slack Workflows to minimize repetitive tasks. Effectively judge when the level of effort is appropriate and avoid over\-engineering.
**ABOUT YOU 🦄** 
* You have 6\+ years of experience working with data infrastructure, data engineering, or platform engineering within a fast\-paced environment. You are highly proficient with SQL, Python, and cloud\-based Infrastructure\-as\-Code (e.g. Terraform), and comfortable working with bash/shell scripting.
* You have 4\+ years of production experience with modern data stacks including data warehouses (BigQuery, Snowflake, or Redshift), orchestration tools, managed ingestion services, and infrastructure as code (Terraform, Pulumi, or CloudFormation).
* You have 2\+ years of experience building and maintaining production data pipelines, whether through ELT tools, custom applications, streaming systems, or event\-driven architectures.
* You've successfully "professionalized" data infrastructure before—taking scrappy, working systems and evolving them into reliable, well\-documented, production\-grade platforms. You can articulate what "production\-ready" means in a data context.
* You have a bias toward action and aren't paralyzed by imperfect solutions. You understand when "good enough for now with a plan to improve" beats "perfect but six months late." You ship incrementally and iterate based on feedback.
* You're comfortable being the first person to tackle a problem. You don't need extensive mentorship or detailed tickets—you can take a high\-level business need and figure out the technical approach. That said, you know when to ask for help and can articulate what you need.
* You take ownership seriously—not just of writing code, but of outcomes. When you build something, you implement monitoring, write runbooks, create alerts, and ensure it can be maintained by others. You think about the full lifecycle of systems, not just initial delivery.
* You have strong opinions, weakly held. You can make and defend architectural decisions, but you're open to feedback and willing to change course when presented with better information. You can disagree and commit.
* You understand that "building from scratch" doesn't mean rejecting existing tools—it means thoughtfully selecting, configuring, and integrating managed services and open\-source solutions to create a cohesive platform. You know when to build and when to buy.
* You have experience making big changes to critical data infrastructure. You’ve successfully re\-architected, migrated, or upgraded data tooling that has strict SLA’s, without significantly affecting downstream stakeholders.
**Bonus points if:** 
* You have led a data infrastructure migration or modernization project where you defined the vision, approach, and implementation.
* You have created internal tools, frameworks, or CLIs that improved how teams work with data (not just one\-off scripts).
* You have established data platform best practices like CI/CD workflows, testing frameworks, or observability standards where none existed.
* Expertise in cloud platforms and technologies analogous to our stack:
* Our stack: GCP (BigQuery, Datastream, Cloud Functions, Vertex AI, GCS), dbt, Fivetran, Postgres, Python, Terraform, Looker, Retool
* Analogous experience: AWS (Redshift, DMS, Lambda, SageMaker, S3\) or Azure (Synapse, Data Factory, Functions), Snowflake, Airbyte/Stitch, infrastructure as code tools, BI platforms
**WE OFFER** 
 💫
* Health, Dental \&amp; Vision Plans
* Life Insurance
* Long/Short Term Disability
* Competitive Pay
* 401k Matching
* Team Member Stock Purchasing Program (TMSPP)
* Learning \&amp; Development Opportunities
* Tuition Reimbursement
* Unlimited PTO
* Daily Lunch, Snacks \&amp; Coffee
 *(in\-office only)*
* Commuter benefits
 *(in\-office only)*
 Additional information: Salary range of $160,000 \- $200,000 \+ bonus \+ benefits. Base pay offered may vary depending on job\-related knowledge, skills, and experience.
 Rocket Money, Inc. is an Affirmative Action and Equal Opportunity Employer. All qualified applicants will receive consideration for employment without regard to race, color, religion, sex, sexual orientation, gender identity, national origin, or protected veteran status and will not be discriminated against on the basis of disability.
 Pursuant to the San Francisco Fair Chance Ordinance, we will consider for employment qualified applicants with arrest and conviction records.</t>
        </is>
      </c>
    </row>
    <row r="121">
      <c r="A121" t="inlineStr">
        <is>
          <t>li-4353450477</t>
        </is>
      </c>
      <c r="B121" t="inlineStr">
        <is>
          <t>Data Engineer</t>
        </is>
      </c>
      <c r="C121" t="inlineStr">
        <is>
          <t>Alliance Consumer Group</t>
        </is>
      </c>
      <c r="D121" t="inlineStr">
        <is>
          <t>linkedin</t>
        </is>
      </c>
      <c r="E121">
        <f>HYPERLINK("https://www.linkedin.com/jobs/view/4353450477", "https://www.linkedin.com/jobs/view/4353450477")</f>
        <v/>
      </c>
      <c r="F121">
        <f>HYPERLINK("https://alliancesports.rec.pro.ukg.net/ALL1502ASPG/JobBoard/112f7971-9d20-46c8-917c-423fe044b3f4/Opportunity/OpportunityDetail?opportunityId=38f63665-d858-4615-b691-b399beef9aae&amp;urlHash=fens", "https://alliancesports.rec.pro.ukg.net/ALL1502ASPG/JobBoard/112f7971-9d20-46c8-917c-423fe044b3f4/Opportunity/OpportunityDetail?opportunityId=38f63665-d858-4615-b691-b399beef9aae&amp;urlHash=fens")</f>
        <v/>
      </c>
      <c r="G121" t="inlineStr">
        <is>
          <t>Roanoke, TX</t>
        </is>
      </c>
      <c r="H121" t="inlineStr"/>
      <c r="I121" t="inlineStr">
        <is>
          <t>**Summary / Position Purpose:** 
 The Data Engineer is responsible for designing, developing, and maintaining the company’s data infrastructure and analytics environment. This role plays a key part in enabling data\-driven decisions by ensuring data accuracy, consistency, and accessibility across all systems. The ideal candidate has hands\-on experience with data integration, transformation, and visualization tools, and enjoys solving complex data challenges in a collaborative environment.
**Duties, Functions and/or Responsibilities:** 
**Primary Responsibilities** 
* Design and develop the company’s data infrastructure, including pipelines, data flows, database objects, and system integrations within the application landscape.
* Maintain and enhance the company’s data repository to combine and normalize data from multiple sources with accuracy and consistency.
* Design, develop, and maintain reports and dashboards across various business systems using enterprise reporting tools and the centralized data repository.
* Implement and manage master data management (MDM) processes to ensure data integrity and synchronization across all systems.
* Write and optimize advanced SQL queries to support ad hoc data analysis, business inquiries, and reporting needs.
**Secondary Responsibilities** 
* Develop and maintain ancillary applications and integrations within the Salesforce environment.
* Support data governance and data quality initiatives across the organization.
* Collaborate with business stakeholders and IT partners to identify data requirements and design effective data solutions.
**Education and/or Work Experience Requirements:** 
**Skills \&amp; System Knowledge** 
* Power BI and Tableau \- report and dashboard development
* Microsoft Fabric and Microsoft Dataverse
* Boomi \- integration platform experience
* SQL Server and Oracle \- database management and optimization
* API integrations \- design and implementation experience
* Jet Analytics or similar business intelligence tools
**Qualifications** 
* Bachelor’s degree in computer science, Information Systems, Data Engineering, or related field.
* 2\-5 years of experience in data engineering, ETL development, or data integration.
* Strong understanding of relational databases, data modeling, and query optimization.
* Experience working in enterprise environments with multiple interconnected systems.
* Excellent problem\-solving and analytical skills with attention to detail.
* Effective communication skills and ability to collaborate across technical and business teams.
**Note:** 
 We do
 **not** 
 provide sponsorship or assistance for U.S. work authorization. Candidates must have valid work authorization at the time of application.
 Equal Opportunity Employer
 This employer is required to notify all applicants of their rights pursuant to federal employment laws.
 For further information, please review the Know Your Rights notice from the Department of Labor.</t>
        </is>
      </c>
    </row>
    <row r="122">
      <c r="A122" t="inlineStr">
        <is>
          <t>li-4368403485</t>
        </is>
      </c>
      <c r="B122" t="inlineStr">
        <is>
          <t>Snowflake Data Engineer @ Boston, MA (3 days/week onsite)- locals only // W2</t>
        </is>
      </c>
      <c r="C122" t="inlineStr">
        <is>
          <t>Adroit Innovative Solutions Inc</t>
        </is>
      </c>
      <c r="D122" t="inlineStr">
        <is>
          <t>linkedin</t>
        </is>
      </c>
      <c r="E122">
        <f>HYPERLINK("https://www.linkedin.com/jobs/view/4368403485", "https://www.linkedin.com/jobs/view/4368403485")</f>
        <v/>
      </c>
      <c r="F122" t="inlineStr"/>
      <c r="G122" t="inlineStr">
        <is>
          <t>Boston, MA</t>
        </is>
      </c>
      <c r="H122" t="inlineStr"/>
      <c r="I122" t="inlineStr">
        <is>
          <t>**Job Summary (Snowflake Data Engineer – Banking Domain)**
* Design and Develop Data Solutions:
 Lead the design, development, and maintenance of scalable data pipelines and data warehouse solutions using Snowflake and AWS technologies.
* Snowflake Platform Administration:
 Administer and manage the Snowflake environment, including performance tuning, cost optimization, user access control, user onboarding/offboarding, and workload management.
* AI/ML Solution Development:
 Design, build, and implement modern AI/ML solutions, leveraging Snowflake Cortex, Amazon Bedrock, and other AI/ML models as applicable.
* Reporting Tools Management:
 Manage and support reporting and business intelligence (BI) tools and platforms, including configuration of custom reports.
* User Support and Training:
 Provide expert support and training to end\-users on data accessibility, reporting tools, and best practices to facilitate data\-driven decision making.
* Data Governance \&amp; Compliance:
 Implement robust data governance, security protocols, encryption, and access control policies in compliance with banking industry regulations.
* Cross\-functional Collaboration:
 Work closely with security, IT, and business stakeholders to gather requirements, troubleshoot issues, and ensure efficient data operations.
* Continuous Process Improvement:
 Drive continuous improvement in data management processes, documentation, and data quality metrics for high data integrity and reliability.
* Industry and Technical Expertise:
 Apply deep expertise in data engineering, cloud platforms (Snowflake, AWS), banking/financial services, and modern reporting/AI tools.
* Independent Leadership:
 Operate independently with minimal oversight, lead complex data projects, and actively contribute to a lean, high\-impact engineering team.
**Note**
 Must have 14\+ years of experience, strong background in banking/financial services, and advanced expertise in Snowflake and AWS. Onsite (Boston, MA) presence required (3 days/week); F2F interview for final round. US Citizen/Green Card only.</t>
        </is>
      </c>
    </row>
    <row r="123">
      <c r="A123" t="inlineStr">
        <is>
          <t>li-4325339514</t>
        </is>
      </c>
      <c r="B123" t="inlineStr">
        <is>
          <t>Senior Data Engineer</t>
        </is>
      </c>
      <c r="C123" t="inlineStr">
        <is>
          <t>QGenda</t>
        </is>
      </c>
      <c r="D123" t="inlineStr">
        <is>
          <t>linkedin</t>
        </is>
      </c>
      <c r="E123">
        <f>HYPERLINK("https://www.linkedin.com/jobs/view/4325339514", "https://www.linkedin.com/jobs/view/4325339514")</f>
        <v/>
      </c>
      <c r="F123" t="inlineStr"/>
      <c r="G123" t="inlineStr">
        <is>
          <t>Atlanta, GA</t>
        </is>
      </c>
      <c r="H123" t="inlineStr"/>
      <c r="I123" t="inlineStr">
        <is>
          <t>**Who We Are**
 QGenda is redefining healthcare workforce management everywhere care is delivered. We're on a mission to empower the healthcare industry to better onboarding, deploy, and manage their workforce. Over 4,500 healthcare organizations have trusted us to help them make strategic workforce decisions through our unified software platform. With more than 700 employees across the US, we are united in our vision and culture to make a difference for our customers, while enjoying the day\-to\-day.
 At QGenda, we value our employees and their contributions toward the success of the business. We strive to create a dynamic work environment that fosters growth, innovation, and collaboration, where employees can be proud of the work they do and the impact it has on the healthcare industry.
 QGenda is headquartered in Atlanta.
 To learn more about QGenda, visit us at qgenda.com or follow us on Instagram or LinkedIn.
**About Your Role**
 As a Senior Data Engineer, you will design, build, and optimize the data platform, including pipelines, models, and infrastructure that power analytics, reporting, and data\-driven decision making across the QGenda product lines. You will serve as a technical leader with the team, contributing to architectural direction, driving best practices, and supporting complex data initiatives. This role requires deep technical expertise, strong cross\-functional collaboration, and the ability to deliver scalable, high\-performing data systems that meet evolving business needs.
**How You’ll Make An Impact**
* Deliver High\-Quality, Scalable Data Engineering Solutions
+ Architect, develop, test, and maintain ELT/ETL pipelines and data workflows supporting high\-volume analytics
+ Implement advanced data processing solutions and observability techniques to ensure data is accurate, fresh, and reliable
+ Design and refine data models and semantic layers that support analytical self\-service and advanced reporting.
* Strengthen Data Engineering Practices and Technical Standards
+ Translate complex business and analytics requirements into efficient, scalable data solutions
+ Apply best practices for version control, documentation, CI/CD, Infrastructure as Code, and data governance
+ Participate in code reviews, identify opportunities for architectural improvement,, and contribute to continuous improvement efforts
* Collaborate Across Teams
+ Partner with data engineers, DBAs, managers, and business stakeholders to deliver high\-impact data products
+ Provide technical guidance, informal mentorship, and support to other engineers in order to elevate team capabilities
+ Communicate technical decisions, risks, and recommendations to both technical and non\-technical audiences
* Drive Technical Excellence
+ Optimize data pipelines and warehouse performance for speed, cost, and scalability
+ Evaluate, prototype, and influence adoption of new tools, frameworks, and architectural patterns that enhance the data platform
+ Contribute to data observability, incident response, and root\-cause analysis for complex data issues
+ Design and deliver AI\-ready data products, ensuring data structures, metadata, and pipelines are suitable for natural language processing, predictive analytics, and other AI\-driven capabilities
**Who You Are**
* Exceptional analytical, problem solving, and debugging skills
* Strong communication with the ability to simplify and articulate technical concepts
* Ability to work collaboratively, influence architecture, and take ownership of deliverables
* Commitment to quality, reliability, and continuous improvement
**Experience You Bring**
* 5\-7\+ years in data engineering/analytics engineering, or related field
* Bachelor’s degree specializing in computing, data engineering, or related discipline
* Expertise in distributed data processing, data modeling, and performance tuning
* Experience with modern data stack components, such as:
+ Cloud: AWS/GCP/Azure
+ Warehouses: Snowflake, Redshift, BigQuery, etc.
+ Orchestration \&amp; Transformation: Matillion, dbt, etc.
+ Observability: data lineage/monitoring tools
+ BI: Looker, Tableau, Power BI, etc.
+ DevOps: Git, CI/CD, Terraform/CloudFormation
**Not Required, But Nice To Have**
* Experience preparing datasets and data structures for AI/ML use cases, including NLP\-driven analytics
*Applicants for this position must be authorized to work for any employer in the United States(U.S.), including being located in the US. We are unable to sponsor, take over sponsorship of, or hire candidates with an employment visa at this time.*
**What’s In It For You**
 We offer a comprehensive total rewards package to support our full\-time employees and their family’s day\-to\-day needs, well\-being and major life events, which includes:
* Fully company\-paid options for medical (both in\-person and virtual), dental and vision insurance
* Generous paid time off (PTO) policy to enjoy periods of uninterrupted rest and relaxation for a healthy work/life balance
* Paid parental leave for birth, adoption or permanent placement
* 401(k) with company match
* Options to work in a hybrid\-working model or remotely from home, depending on the position
* Annual Costco membership, cell phone stipend, commuter benefits, in\-office perks and more
 QGenda delivers technology solutions to improve how healthcare is delivered and increase access \- for everyone. We can only succeed by bringing together diverse minds, thoughts, ideas and team members to create better solutions for our customers and make us a better company as a whole. We are committed to creating a culture of embracing diversity, inclusion and equity for all.
 QGenda is an Equal Employment Opportunity employer and makes all employment decisions without regard to race, color, religion, creed, gender, sex (including pregnancy), sexual orientation, gender identity or expression, natural origin, ancestry, age, marital status, disability or genetic information, military status, status as a disabled or protected veteran or any other protected status under applicable law.
 If you require accommodations or assistance to complete the online application process, please contact recruiting@qgenda.com and identify the type of accommodation or assistance you are requesting. Do not include any medical or health information in this email. We will respond to your email promptly.</t>
        </is>
      </c>
    </row>
    <row r="124">
      <c r="A124" t="inlineStr">
        <is>
          <t>li-4368056415</t>
        </is>
      </c>
      <c r="B124" t="inlineStr">
        <is>
          <t>Data Engineer</t>
        </is>
      </c>
      <c r="C124" t="inlineStr">
        <is>
          <t>TradeStation</t>
        </is>
      </c>
      <c r="D124" t="inlineStr">
        <is>
          <t>linkedin</t>
        </is>
      </c>
      <c r="E124">
        <f>HYPERLINK("https://www.linkedin.com/jobs/view/4368056415", "https://www.linkedin.com/jobs/view/4368056415")</f>
        <v/>
      </c>
      <c r="F124">
        <f>HYPERLINK("https://recruitingbypaycor.com/career/JobIntroduction.action?id=8a7883ac9be7cb38019c011301b104e2&amp;source=LinkedIn&amp;urlHash=9ds7", "https://recruitingbypaycor.com/career/JobIntroduction.action?id=8a7883ac9be7cb38019c011301b104e2&amp;source=LinkedIn&amp;urlHash=9ds7")</f>
        <v/>
      </c>
      <c r="G124" t="inlineStr"/>
      <c r="H124" t="inlineStr"/>
      <c r="I124" t="inlineStr">
        <is>
          <t>**\#WeAreTradeStation**
**Who We Are** 
 :
 TradeStation is the home of those born to trade. As an online brokerage firm and trading ecosystem, we are focused on delivering the ultimate trading experience for active traders and institutions. We continuously push the boundaries of what's possible, encourage out\-of\-the\-box thinking, and relentlessly search for like\-minded innovators.
 At TradeStation, we are building an AI\-First culture. We expect team members to embrace AI as a core part of their daily workflow, whether that’s using AI to accelerate development, enhance decision\-making, improve client outcomes, or streamline internal processes. We hire, grow, and promote people who can harness AI responsibly and creatively. We treat AI as a partner in problem\-solving, not just a tool; following our governance standards to ensure AI is used ethically, securely, and transparently. If you join us, you’re joining a culture where
 *AI is how we work* 
 .
 Are you ready to make yourself at home?
**What We Are Looking For** 
 :
 We are seeking a Data Engineer to join the Enterprise Analytics team. The team helps TradeStation extract valuable business insights from raw data scattered across dozens of silos and teams. Our Data Engineers ensure that our data is fresh, accurate, and meaningful to our business stakeholders.
 The ideal candidate is a lifelong learner and self\-starter who is constantly looking for new ways to solve old problems. Working with big data, this role will seek to find creative solutions to improve our efficiency, speed, and cost and help us develop them one Agile sprint at a time. This position will be instrumental in migrating from legacy data pipelines to our new lake\-house architecture.
**What You’ll Be Doing** 
 :
* Assist in building a modern lake data warehouse
* Leverage AI‑assisted tools to automate routine pipeline maintenance, detect data quality issues, and resolve structural changes with minimal manual intervention
* Create data pipelines using DevOps practices to ensure code is constantly tested, performant, and delivered
* Assist in building and optimizing event‑driven, real‑time data pipelines, incorporating AI models for anomaly detection, fraud detection, or predictive routing
* Integrate and support agentic AI systems that autonomously monitor, optimize, and trigger data workflows
* Write Python and SQL solutions for data transformation, applying test\-driven development principles and automated data quality controls
* Implement AI governance and observability practices, ensuring transparent data lineage, quality checks, auditability, and compliance for machine‑learning‑driven workloads
* Utilize generative AI tools to accelerate documentation, code generation, data analysis, and automated reporting workflows
* Process unstructured data from SQL DBs or JSON, Parquet, CSV files, or Rest APIs
* Assist building data pipelines while considering scalability and efficiency
**The Skills You Bring** 
 :
* Experience integrating AI agents into data workflows
* Ability to leverage generative AI tools (e.g., Copilot, ChatGPT) for coding, documentation, and analytics automation
* Experience with Python, Pandas, Py\-Spark, ML Flow, Delta Lake
* Experience with Amazon Web Services and/or Azure clouds.
* Experience with SSIS, SSRS, Data\-Factory
* Experience Databricks and Synapse
* Experience with Git, Azure DevOps/Jenkins/Gitlab, Kubernetes
* Experience data processing systems and pipelines on Databricks, APIs, and AWS Services
* Ability to build the infrastructure required for optimal extraction, transformation, and data loading from various sources
* Knowledge of data storage and data processing preferred
**Minimum Qualifications** 
 :
* Bachelor’s or master’s degree in computer science, Engineering, or a related field
* 2\+ years of experience in data engineering, big data, and data warehousing
**What We Offer** 
 :
* Collaborative work environment
* Competitive Salaries
* Yearly bonus
* Comprehensive benefits for you and your family starting Day 1
* Unlimited Paid Time Off
* Flexible working environment
* TradeStation Account employee benefits, as well as full access to trading education materials
* Pay Range (US) $88\-100K (Countries outside of the US have differing ranges in accordance with local labor markets)
*TradeStation provides equal employment opportunities to current and prospective employees, without regard to race, color, religion, sex, national origin, ancestry, sexual orientation, age, pregnancy, disability, handicap, citizenship, veteran or marital status, or any other legally recognized status entitled to protection under federal, state, or local anti\-discrimination laws.*</t>
        </is>
      </c>
    </row>
    <row r="125">
      <c r="A125" t="inlineStr">
        <is>
          <t>li-4368387266</t>
        </is>
      </c>
      <c r="B125" t="inlineStr">
        <is>
          <t>Data Scientist 1- Data Engineer</t>
        </is>
      </c>
      <c r="C125" t="inlineStr">
        <is>
          <t>Truist</t>
        </is>
      </c>
      <c r="D125" t="inlineStr">
        <is>
          <t>linkedin</t>
        </is>
      </c>
      <c r="E125">
        <f>HYPERLINK("https://www.linkedin.com/jobs/view/4368387266", "https://www.linkedin.com/jobs/view/4368387266")</f>
        <v/>
      </c>
      <c r="F125">
        <f>HYPERLINK("https://careers.truist.com/us/en/job/TBJTBFUSR0110887EXTERNALENUS/Data-Scientist-1-Data-Engineer?utm_source=linkedin&amp;utm_medium=phenom-feeds&amp;source=LinkedIn&amp;urlHash=BerW", "https://careers.truist.com/us/en/job/TBJTBFUSR0110887EXTERNALENUS/Data-Scientist-1-Data-Engineer?utm_source=linkedin&amp;utm_medium=phenom-feeds&amp;source=LinkedIn&amp;urlHash=BerW")</f>
        <v/>
      </c>
      <c r="G125" t="inlineStr">
        <is>
          <t>Atlanta, GA</t>
        </is>
      </c>
      <c r="H125" t="inlineStr"/>
      <c r="I125" t="inlineStr">
        <is>
          <t>**The position is described below. If you want to apply, click the Apply Now button at the top or bottom of this page. After you click Apply Now and complete your application, you'll be invited to create a profile, which will let you see your application status and any communications. If you already have a profile with us, you can log in to check status.**
 Need Help?
*If you have a disability and need assistance with the application, you can request a reasonable accommodation. Send an email to* 
*Accessibility* 
*(accommodation requests only; other inquiries won't receive a response).*
**Regular or Temporary:**
 Regular
**Language Fluency:** 
 English (Required)
**Work Shift:**
 1st shift (United States of America)
**Please review the following job description:**
 Apply advanced analytical and statistical methods to convert complex data into clear, actionable insights that enhance business performance and reduce enterprise risk. This role requires strong data manipulation skills and hands\-on experience working with large datasets across multiple platforms. Candidates should have 2\+ years of experience using SAS, SQL, Python, and Excel, along with a solid understanding of database structures and data warehousing concepts. The individual will collaborate with cross\-functional teams to identify trends, optimize processes, and support data driven decision\-making across the organization.
 LOCATION:
 Please note that candidate must be located in \*or\* willing to self\-relocate to one of the following locations:
 Charlotte, NC
 Atlanta, GA
 Truist 'in office' requirement is 5 days per week. No full remote or relocation assistance available at this time.
**Essential Duties And Responsibilities**
 Following is a summary of the essential functions for this job. Other duties may be performed, both major and minor, which are not mentioned below. Specific activities may change from time to time.
* Independently perform sophisticated data analytics (ranging from classical econometrics to machine learning, neural networks, and natural language processing) in a variety of environments using structured and unstructured data.
* Produce compelling data visualizations to communicate insights and influence outcomes among a wide array of stakeholders.
* Take accountability and ownership of end\-to\-end data science solution design, technical delivery, and measurable business outcome.
* Engage in stakeholder meetings to identify business objectives and scope solution requirements.
* With minimal guidance, write, document, and deploy custom code in a variety of environments (Python, SAS, R, etc.) to create predictive analytics applications.
* Use, maintain, share and collaborate through Truist internal code repositories to foster continual learning and cross\-pollination of skillsets.
* Actively research and advocate adoption of emerging methods and technologies in the data science field, with the eye of continually advancing Truist’s capabilities.
* Exercise sound judgment and fosters risk management culture throughout design, development, and deployment practices; partner with cross\-functional teams to coordinate rules on data usage, data governance and analytics capabilities.
**Qualifications**
**Required Qualifications:**
 The requirements listed below are representative of the knowledge, skill and/or ability required. Reasonable accommodations may be made to enable individuals with disabilities to perform the essential functions.
* Bachelor’s degree and zero to four or more years of experience in a quantitative field such as Finance, Mathematics, Analytics, Data Science, Computer Science, or Engineering, or equivalent education and related training
* Exhibit understanding of statistical methods, including a broad understanding of classical statistics, probability theory, econometrics, time\-series, and primary statistical tests
* Familiarity with linear algebra concepts for optimization, complex matrix operations, eigenvalue decompositions, and principal components; working knowledge of calculus/differential equations, with understanding of stochastic processes
* Demonstrate understanding of data cleansing and preparation methodologies, including regex, filtering, indexing, interpolation, and outlier treatment
* Strong familiarity with data extraction in a variety of environments (SQL, JQuery, etc.)
* Working knowledge of Hadoop, Pig, Hive, and/or NoSQL, Spark
* Experience in managing multiple projects with tight deadlines in a collaborative environment
****Preferred Qualifications:****
* Master’s degree or MBA and 3 years of related experience.
* Strong understanding of database languages (SQL), spreadsheet, and data analysis tools (Excel, SAS, and or Python).
* Previous experience in the banking industry.
**Other Job Requirements / Working Conditions**
**Sitting**
 Constantly (More than 50% of the time)
**Visual / Audio / Speaking**
 Able to access and interpret client information received from the computer and able to hear and speak with individuals in person and on the phone.
**Manual Dexterity / Keyboarding**
 Able to work standard office equipment, including PC keyboard and mouse, copy/fax machines, and printers.
**Availability**
 Able to work all hours scheduled, including overtime as directed by manager/supervisor and required by business need.
**Travel**
 Minimal and up to 10%
**General Description of Available Benefits for Eligible Employees of Truist Financial Corporation:** 
 All regular teammates (not temporary or contingent workers) working 20 hours or more per week are eligible for benefits, though eligibility for specific benefits may be determined by the division of Truist offering the position. Truist offers medical, dental, vision, life insurance, disability, accidental death and dismemberment, tax\-preferred savings accounts, and a 401k plan to teammates. Teammates also receive no less than 10 days of vacation (prorated based on date of hire and by full\-time or part\-time status) during their first year of employment, along with 10 sick days (also prorated), and paid holidays. For more details on Truist’s generous benefit plans, please visit our Benefits site. Depending on the position and division, this job may also be eligible for Truist’s defined benefit pension plan, restricted stock units, and/or a deferred compensation plan. As you advance through the hiring process, you will also learn more about the specific benefits available for any non\-temporary position for which you apply, based on full\-time or part\-time status, position, and division of work.
***Truist is an Equal Opportunity Employer that does not discriminate on the basis of race, gender, color, religion, citizenship or national origin, age, sexual orientation, gender identity, disability, veteran status, or other classification protected by law. Truist is a Drug Free Workplace.***
 EEO is the Law E\-Verify IER Right to Work</t>
        </is>
      </c>
    </row>
    <row r="126">
      <c r="A126" t="inlineStr">
        <is>
          <t>li-4368411090</t>
        </is>
      </c>
      <c r="B126" t="inlineStr">
        <is>
          <t>Data Engineer - Databricks</t>
        </is>
      </c>
      <c r="C126" t="inlineStr">
        <is>
          <t>Huxley</t>
        </is>
      </c>
      <c r="D126" t="inlineStr">
        <is>
          <t>linkedin</t>
        </is>
      </c>
      <c r="E126">
        <f>HYPERLINK("https://www.linkedin.com/jobs/view/4368411090", "https://www.linkedin.com/jobs/view/4368411090")</f>
        <v/>
      </c>
      <c r="F126" t="inlineStr"/>
      <c r="G126" t="inlineStr">
        <is>
          <t>Charlotte, NC</t>
        </is>
      </c>
      <c r="H126" t="inlineStr"/>
      <c r="I126" t="inlineStr">
        <is>
          <t>Data Engineer \- Databricks Opportunity
 Join Our Client's Team as a Data Engineer
 Are you ready to be part of a dynamic team driving cutting\-edge compliance solutions? Our client is seeking a motivated and skilled Data Engineer specializing in Azure and Databricks to become an integral member of their Compliance Technology team in Charlotte, United States. In this role, you will design and implement top\-tier data pipelines and cloud\-native platforms powering real\-time compliance analytics and regulatory reporting across global markets. This is an exciting opportunity to make a significant impact while collaborating on mission\-critical initiatives involving complex financial datasets.
 Key Skills and Responsibilities
* **ETL Workflows:** 
 Design and implement secure and scalable ETL workflows using Azure Data Factory and Databricks.
* **Data Integration:** 
 Integrate and normalize data from various structured and unstructured sources, maintaining strict data quality governance.
* **Automation Development:** 
 Automate data ingestion and transformation processes for real\-time analytics and reporting.
* **Azure Proficiency:** 
 Hands\-on experience with Azure Data Factory, Databricks notebooks, and ADLS.
* **Data Storage Optimization:** 
 Utilize Databricks and Delta Lake for efficient storage formats and fast data retrieval.
* **Data Governance:** 
 Enforce comprehensive data governance standards, metadata management, and audit processes.
* **Collaboration:** 
 Work with governance and compliance analysts to define requirements and manage access controls.
* **Agile Participation:** 
 Contribute to Agile workflows, sprint planning, and production deployments.
 Preferred Experience
* 3\+ years in data engineering within financial services, ideally in compliance or regulatory frameworks.
* Advanced proficiency in SQL, Python, and familiarity with Git/GitLab and CI/CD tools like Azure DevOps.
* Preferred qualifications include certifications in Azure Data Engineering, Databricks, or Financial Compliance Technology.
 If you're passionate about driving innovation in compliance technology, we'd love to hear from you. Apply now to join our client's forward\-thinking team!
**EOE Statement:**
 Specialist Staffing Group is an equal opportunity employer. All qualified applicants will receive consideration for employment without regard to race, color, religion, sex, sexual orientation, gender identity, national origin, disability, or veteran status.
 In addition to base pay, direct\-hire employees may be eligible for client offered benefits such as medical, dental, and vision coverage, and paid leave where required by applicable law. Eligibility may vary based on factors such as location and hire date and is subject to change.
***To find out more about Huxley, please visit
 www.huxley.com***</t>
        </is>
      </c>
    </row>
    <row r="127">
      <c r="A127" t="inlineStr">
        <is>
          <t>li-4357434247</t>
        </is>
      </c>
      <c r="B127" t="inlineStr">
        <is>
          <t>Senior Data Engineer</t>
        </is>
      </c>
      <c r="C127" t="inlineStr">
        <is>
          <t>Sollis Health</t>
        </is>
      </c>
      <c r="D127" t="inlineStr">
        <is>
          <t>linkedin</t>
        </is>
      </c>
      <c r="E127">
        <f>HYPERLINK("https://www.linkedin.com/jobs/view/4357434247", "https://www.linkedin.com/jobs/view/4357434247")</f>
        <v/>
      </c>
      <c r="F127" t="inlineStr"/>
      <c r="G127" t="inlineStr"/>
      <c r="H127" t="inlineStr"/>
      <c r="I127" t="inlineStr">
        <is>
          <t>The Senior Data Engineer reports to the Sr Director of Engineering and is responsible for defining and implementing a unified data architecture to streamline and enhance data access, storage, and reporting across the company. You will define standards and best practices for data governance, meet with and understand the data and reporting needs of various teams, and create robust reporting mechanisms. Additionally, you will lead efforts to integrate AI technologies into our data workflows to unlock predictive insights and advanced analytics capabilities.
**The role is open to remote work in the following states only California, Colorado, Connecticut, Florida, Illinois, Louisiana, Maryland, Nevada, New Jersey, New York, Pennsylvania, Texas, Virginia, Washington and Wisconsin.** 
**Responsibilities** 
* Design and implement a scalable, robust, and consistent data architecture, aligned with business objectives, that supports both operational and analytical needs.
* Own and support data pipelines integrating data sourced across multiple systems. Deliver a highly available data platform leveraged by business users across the enterprise.
* Partner with engineering teams to integrate AI and machine learning models into the data architecture, enabling predictive analytics, automation, and improved decision\-making capabilities.
* Work closely with business and project stakeholders to deliver data solutions for a diverse set of problems.
* Help ensure security, privacy, and compliance for all data assets and workflows.
* Create comprehensive documentation for data processes, structures, and pipelines.
* Provide training and support to ensure best practices are followed throughout the organization.
* Design and develop data pipelines for data collection, analysis, and related functions.
* Establish and enforce data governance standards, ensuring data consistency, accuracy, and integrity across all systems and departments.
* Provide thought leadership for technical architecture design, development, and deployment to support enterprise\-wide data needs.
* Performs related duties as requested
**Experience** 
* Bachelor's Degree in Computer Science, Data Science, Mathematics, Statistics, Econometrics, Economics, or related field
* 7\+ years of experience in data architecture, data engineering, or related roles.
* Strong proficiency in database management systems (SQL, NoSQL), data warehousing, and data modeling techniques including Azure data technologies such as Azure Fabric, Azure One Lake, Azure SQL, Azure Data Factory, Azure Data Lake, Azure Cosmos DB
* Solid understanding of data governance, security practices, and privacy laws (HIPAA, CCPA).
* Excellent problem\-solving skills and a strategic mindset with the ability to influence key stakeholders.
* Prior Experience working in healthcare, clinical experience preferred
**Comp \&amp; Benefits:** 
 Range: $130,000\-$155,000 \+ Bonus \+ Equity
 This is the range of pay for candidates nationally. Sollis is a multi\-state employer and this rate/range may not reflect the pay for positions that are performed solely in localities outside of this location. Furthermore, actual pay is dependent on several factors that may include but are not limited to years of experience within the job, years of experience within the required industry, location, education, etc.
 Our people are our greatest asset, so we designed a comprehensive compensation and benefit package that matches. Some of our offerings include:
* Excellent benefits, including healthcare, dental, vision
* 401K with 3% match
* Unlimited PTO and Generous Sick Time
* 12 Observed holidays
* Free Sollis Health membership for you and your eligible family members
* Employee stock options offering
* Annual professional development allocations
* Modern, elegant, and high\-end work environment</t>
        </is>
      </c>
    </row>
    <row r="128">
      <c r="A128" t="inlineStr">
        <is>
          <t>li-4368421107</t>
        </is>
      </c>
      <c r="B128" t="inlineStr">
        <is>
          <t>Data Engineer II</t>
        </is>
      </c>
      <c r="C128" t="inlineStr">
        <is>
          <t>Children's Wisconsin</t>
        </is>
      </c>
      <c r="D128" t="inlineStr">
        <is>
          <t>linkedin</t>
        </is>
      </c>
      <c r="E128">
        <f>HYPERLINK("https://www.linkedin.com/jobs/view/4368421107", "https://www.linkedin.com/jobs/view/4368421107")</f>
        <v/>
      </c>
      <c r="F128">
        <f>HYPERLINK("https://cwi.wd1.myworkdayjobs.com/CW_Careers/job/Milwaukee-WI/Data-Engineer-II_R13568-1?source=LinkedIn&amp;urlHash=X86g", "https://cwi.wd1.myworkdayjobs.com/CW_Careers/job/Milwaukee-WI/Data-Engineer-II_R13568-1?source=LinkedIn&amp;urlHash=X86g")</f>
        <v/>
      </c>
      <c r="G128" t="inlineStr">
        <is>
          <t>Milwaukee, WI</t>
        </is>
      </c>
      <c r="H128" t="inlineStr"/>
      <c r="I128" t="inlineStr">
        <is>
          <t>*At Children’s Wisconsin, we believe kids deserve the best.*
*Children’s Wisconsin is a nationally recognized health system dedicated solely to the health and well\-being of children. We provide primary care, specialty care, urgent care, emergency care, community health services, foster and adoption services, child and family counseling, child advocacy services and family resource centers. Our reputation draws patients and families from around the country.*
*We offer a wide variety of rewarding career opportunities and are seeking individuals dedicated to helping us achieve our vision of the healthiest kids in the country. If you want to work for an organization that makes a difference for children and families, and encourages you to be at your best every day, please apply today.*
***Please follow this link for a closer look at what it’s like to work at Children’s Wisconsin:***
 https://www.instagram.com/lifeatcw/
 Children’s Wisconsin is seeking a Data Engineer II to support our Data Warehousing and Business Intelligence initiatives. In this role, you’ll design, develop, and maintain enterprise ETL solutions that power insights across the organization. This is an opportunity to work with modern data tools, collaborate across teams, and apply your expertise in a mission\-driven healthcare environment where data truly matters.
 Location: Remote but within commuting distance of Milwaukee preferred.
 What you will do:
 The Data Engineer II designs, develops and maintains key components of Children's Extract, Transformation and Load routines using Microsoft SQL Server, SSIS, Microsoft Fabric, stored procedures and other available tools. Identified as an application expert and primary contact in SSIS or similar ETL tool. Performs work that is complex and cross functional in nature. This role is a key contributor to the organization's Data Warehousing and Business Intelligence programs. Performs development, testing, changes to code and/or routines utilizing defined frameworks and development standards.
 What you will need:
* Bachelor's degree in or equivalent experience in IT or healthcare related field of study required.
* Certifications related to work area of focus, or Apprenticeship diploma preferred. 3 years of experience preferred. Master's degree in related field preferred.
* Knowledge of healthcare delivery systems preferred.
* Demonstrated strong analytical skills. Exhibits the aptitude in the following Competencies: Action Oriented, Manages Complexity, Collaborates and Optimizes Work Processes.
* Demonstrated experience designing and developing data quality, master data management or similar solutions. Strong critical thinking, problem solving and attentiveness to detail.
 Children's Wisconsin is an equal opportunity / affirmative action employer. We are committed to creating a diverse and inclusive environment for all employees. We treat everyone with dignity, respect, and fairness. We do not discriminate against any person on the basis of race, color, religion, sex, gender, gender identity and/or expression, sexual orientation, national origin, age, disability, veteran status, or any other status or condition protected by the law.
**Certifications/Licenses:**</t>
        </is>
      </c>
    </row>
    <row r="129">
      <c r="A129" t="inlineStr">
        <is>
          <t>li-4368044675</t>
        </is>
      </c>
      <c r="B129" t="inlineStr">
        <is>
          <t>Data Engineer (Healthcare/Claims, Snowflake, SQL, ETL, ADF, Data Modelling)</t>
        </is>
      </c>
      <c r="C129" t="inlineStr">
        <is>
          <t>Randstad Digital Americas</t>
        </is>
      </c>
      <c r="D129" t="inlineStr">
        <is>
          <t>linkedin</t>
        </is>
      </c>
      <c r="E129">
        <f>HYPERLINK("https://www.linkedin.com/jobs/view/4368044675", "https://www.linkedin.com/jobs/view/4368044675")</f>
        <v/>
      </c>
      <c r="F129">
        <f>HYPERLINK("https://www.randstadusa.com/jobs/4/1322750/data-engineer-healthcare-claims-snowflake-sql-etl-adf-data-modelling_hopkins/&amp;urlHash=qQq1", "https://www.randstadusa.com/jobs/4/1322750/data-engineer-healthcare-claims-snowflake-sql-etl-adf-data-modelling_hopkins/&amp;urlHash=qQq1")</f>
        <v/>
      </c>
      <c r="G129" t="inlineStr">
        <is>
          <t>Hopkins, MN</t>
        </is>
      </c>
      <c r="H129" t="inlineStr"/>
      <c r="I129" t="inlineStr">
        <is>
          <t>**Job Summary**
 Enterprise Healthcare client has an immediate opening for a highly motivated Data Engineer to join their dynamic and growing team. All qualified candidates are encouraged to apply!
 location: Telecommute
 job type: Contract
 salary: $46\.25 \- 56\.25 per hour
 work hours: 8am to 5pm
 education: Bachelors
**Responsibilities**
* Support the full software development and implementation lifecycle.
* Lead the development and management of ETL processes for Program Integrity data marts in Snowflake and SQL Server.
* Design, build, and maintain data pipelines using Azure Data Factory (ADF) to support ETL operations and Peer Group Profiling procedures and outputs.
* Implement and manage DevOps practices to ensure efficient data loading and workload balancing within the Program Integrity data mart.
* Collaborate with cross\-functional teams to ensure seamless data integration and consistent data flow across platforms.
* Monitor, optimize, and troubleshoot data pipelines and workflows to maintain performance and reliability.
* Independently identify and resolve complex technical issues to maintain operational efficiency.
* Communicate effectively and foster collaboration across teams to support project execution and alignment.
* Apply advanced analytical skills and attention to detail to uphold data accuracy and quality in all deliverables.
* Lead cloud\-based project delivery, ensuring adherence to timelines, scope, and performance benchmarks.
* Ensure data security and compliance with relevant industry standards and regulatory requirements.
* Share knowledge (train) other team members and business users on any of the skills listed above.
**Qualifications**
 5\+ years of hands\-on expertise in cloud\-based data engineering and data warehousing, with a strong emphasis on building scalable and efficient data solutions.
 5\+ years of focused experience in Snowflake, including the design, development, and maintenance of automated data ingestion workflows using Snowflake SQL procedures and Python scripting.
 5\+ years of hands\-on experience with Azure data tools such as Azure Data Factory (ADF), SQL Server, and Blob Storage, alongside Snowflake.
 2\+ years of experience with Python and other scripting languages for data manipulation and automation.
**Preferred Qualifications**
 Certification in Azure or Snowflake
 Experience with data modeling and database design
 Knowledge of data governance and data quality best practices
 Familiarity with other cloud platforms (e.g., AWS, Google Cloud)
 Recent experience with medical claims processing systems, including familiarity with core functionalities, workflows, and data structures used in healthcare claims management.
 Data science and analytics experience.
 Equal Opportunity Employer: Race, Color, Religion, Sex, Sexual Orientation, Gender Identity, National Origin, Age, Genetic Information, Disability, Protected Veteran Status, or any other legally protected group status.
 At Randstad Digital, we welcome people of all abilities and want to ensure that our hiring and interview process meets the needs of all applicants. If you require a reasonable accommodation to make your application or interview experience a great one, please contact HRsupport@randstadusa.com.
 Pay offered to a successful candidate will be based on several factors including the candidate's education, work experience, work location, specific job duties, certifications, etc. In addition, Randstad Digital offers a comprehensive benefits package, including: medical, prescription, dental, vision, AD\&amp;D, and life insurance offerings, short\-term disability, and a 401K plan (all benefits are based on eligibility).
 This posting is open for thirty (30\) days.
 It is unlawful in Massachusetts to require or administer a lie detector test as a condition of employment or continued employment. An employer who violates this law shall be subject to criminal penalties and civil liability.</t>
        </is>
      </c>
    </row>
    <row r="130">
      <c r="A130" t="inlineStr">
        <is>
          <t>li-4368050644</t>
        </is>
      </c>
      <c r="B130" t="inlineStr">
        <is>
          <t>Data Engineer III</t>
        </is>
      </c>
      <c r="C130" t="inlineStr">
        <is>
          <t>Crunchyroll</t>
        </is>
      </c>
      <c r="D130" t="inlineStr">
        <is>
          <t>linkedin</t>
        </is>
      </c>
      <c r="E130">
        <f>HYPERLINK("https://www.linkedin.com/jobs/view/4368050644", "https://www.linkedin.com/jobs/view/4368050644")</f>
        <v/>
      </c>
      <c r="F130">
        <f>HYPERLINK("https://boards.greenhouse.io/crunchyroll/jobs/7568347?gh_jid=7568347&amp;gh_src=16d404cd1us&amp;urlHash=hVcq", "https://boards.greenhouse.io/crunchyroll/jobs/7568347?gh_jid=7568347&amp;gh_src=16d404cd1us&amp;urlHash=hVcq")</f>
        <v/>
      </c>
      <c r="G130" t="inlineStr">
        <is>
          <t>San Francisco, CA</t>
        </is>
      </c>
      <c r="H130" t="inlineStr"/>
      <c r="I130" t="inlineStr">
        <is>
          <t>**About Crunchyroll**
 Founded by fans, Crunchyroll delivers the art and culture of anime to a passionate community. We super\-serve over 100 million anime and manga fans across 200\+ countries and territories, and help them connect with the stories and characters they crave. Whether that experience is online or in\-person, streaming video, theatrical, games, merchandise, events and more, it’s powered by the anime content we all love.
 Join our team, and help us shape the future of anime!
**About The Team**
 The Data Services team is focused on building robust, scalable, and efficient data services, pipelines, lakes, tools, libraries, and software components that drive best practices and empower service teams to succeed. We design and implement data services, pipelines and data lakes for operational analysis, ensuring they are production\-ready with automation and standardized access controls.
 We lead and evangelize the principle of 100% automation. Additionally, we establish best practices, provide training, and document data architectures to ensure our systems are reliable, future\-ready, and capable of continuous evolution and process improvement across the organization.
**About The Role**
 Crunchyroll is growing and changing, presenting unique challenges and opportunities to support millions of anime fans around the world. The Data Engineering team provides seamless help to our internal stakeholders, ensuring an exceptional experience for all Crunchyroll fans.
 As a Software Engineer, you will play a pivotal role in designing, implementing, and optimizing data services, ensuring that our data services support the needs of the business. You will also collaborate with cross\-functional teams to enhance eventing systems, and develop tools that empower our data and services teams. Your expertise will also be critical in driving 100% automation, best practices, creating scalable services, and optimizing our data environments.
**Key Areas of Responsibility**
* Write clean, maintainable, and well\-documented API and code while adhering to industry best practices, including code reviews and design patterns.
* Identify and resolve performance bottlenecks, ensuring that both frontend and backend components are optimized for speed and reliability.
* Contribute to the automation and optimization of build, deployment, and monitoring processes to support a smooth development lifecycle.
* Develop and maintain comprehensive test suites (unit and integration) to ensure system reliability and robustness.
* Implement and maintain security best practices, safeguarding sensitive data and ensuring compliance with relevant standards and regulations.
* Must be proficient in both TypeScript and Python
* Design, build, and maintain scalable applications/services using TypeScript and Python and modern backend frameworks (Node.js preferred).
* Build event\-driven architectures and event interfaces using AWS services such as SNS/SQS, EventBridge, Kinesis, or Kafka.
* Deep understanding of AWS Processing Framework like Step Functions
* Architect and optimize database schemas and queries for relational (RDS PostgreSQL, MySQL), NoSQL (DynamoDB) and Graph Database (Neo4j).
* Collaborate with service engineers, data engineers, and product teams to deliver high\-quality software solutions.
* Apply best practices for code quality, security, testing, and performance optimization.
**About You**
 We get excited about candidates, like you, because...
* Bachelor’s degree in Computer Science, Information Technology, or a related field.
* 5\+ years of experience in backend engineering, specializing in microservices, APIs, and event\-driven systems.
* Strong expertise in TypeScript (Node.js) and Python.
* Experience in building applications/services using TypeScript and Python and modern backend frameworks (Node.js preferred).
* Deep understanding of cloud\-based architectures (AWS preferred), including serverless frameworks, containerization (Docker, Kubernetes), and CI/CD pipelines.
* Hands\-on experience with event\-driven architectures and event interfaces (Kafka, SNS/SQS, EventBridge, Kinesis).
* Strong database design skills across relational (RDS PostgreSQL, MySQL), NoSQL (DynamoDB) and Graph Database (Neo4j).
* Excellent problem\-solving skills, ownership mentality, and ability to work in a collaborative, fast\-paced environment.
**NIce to Have:**
* Experience with retrieval\-augmented generation (RAG) or Graph RAG architectures.
* Knowledge of fine\-tuning and optimizing LLMs for performance and cost efficiency.
 Why you will love working at Crunchyroll
 In addition to getting to work with fun, passionate and inspired colleagues, you will also enjoy the following benefits and perks:
* Receive a great compensation package including salary plus performance bonus earning potential, paid annually.
* Flexible time off policies allowing you to take the time you need to be your whole self.
* Generous medical, dental, vision, STD, LTD, and life insurance
* Health Saving Account HSA program
* Health care and dependent care FSA
* 401(k) plan, with employer match
* Employer paid commuter benefit
* Support program for new parents
* Pet insurance and some of our offices are pet friendly!
 The Pay Range for this position is listed. Actual pay will vary based on factors including, but not limited to location, experience, and performance. The range listed is just one component of Crunchyroll’s Total Rewards offerings for employees. Other rewards may include performance bonuses, employer matched retirement savings, time\-off programs, and progressive health benefits and perks.
 Pay Transparency \- Los Angeles, CA
 $148,000—$185,000 USD
 The Pay Range for this position is listed. Actual pay will vary based on factors including, but not limited to location, experience, and performance. The range listed is just one component of Crunchyroll’s Total Rewards offerings for employees. Other rewards may include performance bonuses, employer matched retirement savings, time\-off programs, and progressive health benefits and perks.
 Pay Transparency \- San Francisco, CA
 $164,100—$205,100 USD
**About Our Values**
 We want to be everything for someone rather than something for everyone and we do this by living and modeling our values in all that we do. We value
* Courage. We believe that when we overcome fear, we enable our best selves.
* Curiosity. We are curious, which is the gateway to empathy, inclusion, and understanding.
* Kaizen. We have a growth mindset committed to constant forward progress.
* Service. We serve our community with humility, enabling joy and belonging for others.
 Our commitment to diversity and inclusion
 Our mission of helping people belong reflects our commitment to diversity \&amp; inclusion. It's just the way we do business.
 We are an equal opportunity employer and value diversity at Crunchyroll. Pursuant to applicable law, we do not discriminate on the basis of race, religion, color, national origin, gender, sexual orientation, age, marital status, veteran status, or disability status.
 Crunchyroll, LLC is an independently operated joint venture between US\-based Sony Pictures Entertainment, and Japan's Aniplex, a subsidiary of Sony Music Entertainment (Japan) Inc., both subsidiaries of Tokyo\-based Sony Group Corporation.
*Questions about Crunchyroll’s hiring process? Please check out our Hiring FAQs:* 
*https://help.crunchyroll.com/hc/en\-us/articles/360040471712\-Crunchyroll\-Hiring\-FAQs*
*Please refer to our Candidate Privacy Policy for more information about how we process your personal information, and your data protection rights: https://tbcdn.talentbrew.com/company/22978/v1\_0/docs/spe\-jobs\-privacy\-policy\-update\-for\-crpa\-dec\-21\-22\.pdf*
 Please beware of recent scams to online job seekers. Those applying to our job openings will only be contacted directly from @crunchyroll.com email account.</t>
        </is>
      </c>
    </row>
    <row r="131">
      <c r="A131" t="inlineStr">
        <is>
          <t>li-4368387799</t>
        </is>
      </c>
      <c r="B131" t="inlineStr">
        <is>
          <t>Data Engineer (Warehousing) - Full Time</t>
        </is>
      </c>
      <c r="C131" t="inlineStr">
        <is>
          <t>KPG99 INC</t>
        </is>
      </c>
      <c r="D131" t="inlineStr">
        <is>
          <t>linkedin</t>
        </is>
      </c>
      <c r="E131">
        <f>HYPERLINK("https://www.linkedin.com/jobs/view/4368387799", "https://www.linkedin.com/jobs/view/4368387799")</f>
        <v/>
      </c>
      <c r="F131" t="inlineStr"/>
      <c r="G131" t="inlineStr">
        <is>
          <t>Indianapolis, IN</t>
        </is>
      </c>
      <c r="H131" t="inlineStr"/>
      <c r="I131" t="inlineStr">
        <is>
          <t>**Title:** 
**Data Engineer (Warehousing)** 
**Location:** 
**Indianapolis, Indiana –** 
 (Onsite 1 day per week)
**Duration: Full Time.** 
**Interview Mode : Phone \+ Video** 
**Job Description :** 
 ·
 Technologies
 : SQL Server
 ·
 Requirements
 :
 o Must be seasoned (7\+ years’ experience) and be able to work with very little training.
 o Individual must be able to review business requirements and quickly execute with minimal leadership oversite
 o No Interaction with Senior Leadership (i.e. C\-Level)
 ·
 Day to Day
 :
 o Extracting Data
 o Data Integration
 o Engineering Solutions \- Looking for Data Solutions based off requirements
 o Reporting Back\-End (NO Front End as solutions are cloud based)</t>
        </is>
      </c>
    </row>
    <row r="132">
      <c r="A132" t="inlineStr">
        <is>
          <t>li-4368033956</t>
        </is>
      </c>
      <c r="B132" t="inlineStr">
        <is>
          <t>Data Engineer</t>
        </is>
      </c>
      <c r="C132" t="inlineStr">
        <is>
          <t>Jobs via Dice</t>
        </is>
      </c>
      <c r="D132" t="inlineStr">
        <is>
          <t>linkedin</t>
        </is>
      </c>
      <c r="E132">
        <f>HYPERLINK("https://www.linkedin.com/jobs/view/4368033956", "https://www.linkedin.com/jobs/view/4368033956")</f>
        <v/>
      </c>
      <c r="F132" t="inlineStr"/>
      <c r="G132" t="inlineStr">
        <is>
          <t>Jackson, MS</t>
        </is>
      </c>
      <c r="H132" t="inlineStr"/>
      <c r="I132" t="inlineStr">
        <is>
          <t>Dice is the leading career destination for tech experts at every stage of their careers. Our client, INNOVIT USA INC, is seeking the following. Apply via Dice today!
**Hiring:** 
 W2 Candidates Only
**Visa:** 
 Open to any visa type with valid work authorization in the USA
**Key Responsibilities**
* Design, develop, and maintain data pipelines and workflows
* Build and manage ETL / ELT processes for structured and unstructured data
* Develop and optimize data warehouses and data lakes
* Ensure data quality, reliability, and governance
* Work closely with data analysts, data scientists, and business teams
* Optimize data processing performance and cost
* Implement monitoring, logging, and data validation checks
* Support real\-time and batch data processing systems
**Required Skills**
* Strong programming skills in Python / SQL
* Experience with ETL tools (Airflow, DBT, Informatica, Talend, etc.)
* Strong knowledge of relational and NoSQL databases
* Experience with data warehousing (Snowflake, Redshift, BigQuery)
* Hands\-on experience with cloud platforms (AWS / Azure / Google Cloud Platform)
* Understanding of data modeling, partitioning, and indexing
* Familiarity with Linux, Git, and CI/CD pipelines
**Preferred Skills**
* Experience with big data technologies (Spark, Hadoop, Kafka)
* Knowledge of streaming platforms (Kafka, Kinesis, Pub/Sub)
* Experience with containerization (Docker, Kubernetes)
* Familiarity with BI tools (Power BI, Tableau, Looker)
* Understanding of data security and compliance</t>
        </is>
      </c>
    </row>
    <row r="133">
      <c r="A133" t="inlineStr">
        <is>
          <t>li-4303073610</t>
        </is>
      </c>
      <c r="B133" t="inlineStr">
        <is>
          <t>Atlas Data Engineer</t>
        </is>
      </c>
      <c r="C133" t="inlineStr">
        <is>
          <t>ECS</t>
        </is>
      </c>
      <c r="D133" t="inlineStr">
        <is>
          <t>linkedin</t>
        </is>
      </c>
      <c r="E133">
        <f>HYPERLINK("https://www.linkedin.com/jobs/view/4303073610", "https://www.linkedin.com/jobs/view/4303073610")</f>
        <v/>
      </c>
      <c r="F133" t="inlineStr"/>
      <c r="G133" t="inlineStr">
        <is>
          <t>Fairfax, VA</t>
        </is>
      </c>
      <c r="H133" t="inlineStr"/>
      <c r="I133" t="inlineStr">
        <is>
          <t>**Job Description**
 ECS is seeking an
 ***Atlas Data Engineer***
 to work in our
 ***Fairfax, VA***
 office.
 We are seeking a highly motivated and experienced Data Engineer to join our team at ECS. The ideal candidate will have a passion for designing and implementing innovative data solutions and visualizations, as well as a strong background in graph databases and Natural Language Processing (NLP). In addition, the candidate should be able to support pre\-sales engineering activities with key customers. The Data Engineer will collaborate with our inter\-departmental agile team to reengineer the Atlas tool, utilizing Python, Neo4J, and NLP tools to provide users the ability to leverage a knowledge graph in a user friendly custom application.
 In this role, you will work closely with other data architects and full\-stack developers to design, build, and maintain data models, engineer data architectures, and develop data integrations. You will also be responsible for developing data ingestion to a graph database from various structured and unstructured sources, architecting schema updates to support features and leveraging AI solutions. Your expertise in NLP will enable you to add features to the Atlas tool, including generating, validating, and querying the knowledge graph for novel solutions to complex problems. As needed, you will interface with customers and sales teams to develop prototypes and proofs of concept to help ECS win new work.
**Required Skills**
* BS degree in Computer Science or related field/equivalent experience
* 11\+ years of IT experience, including experience in development of large\-scale, complex data architectures
* Experience interacting closely with key project stakeholders to design, plan, and implement sustainable solutions
* Knowledge of data management and data architecture concepts
* Knowledge of data warehousing and data analytics
* Knowledge of data integration, data governance, and data quality
* Experience in one or more of the following: MySQL, Linux, Git, Postgres, Vector Databases, Neo4J, Azure, and JavaScript
* Experience developing Python applications and familiarity with Python AI and ML modules and methods
* US Citizenship
* 7\+ years experience using Python in a production environment
* Experience with Python NLP tools like genism, NLTK, spacy
* Experience working with graph database(s)
* Experience working with customers directly, understanding their needs, and rapidly developing solutions to meet them
 Desired Skills
* Experience working with Neo4j graph database (and Cypher Query Language)
* Experience with a vector database (esp. ChromaDB)
* Experience working with semantic term sets
* Understanding of the role of Ontology or taxonomies in data normalization
* Experience with JavaScript applications
* Familiarity with Python AI and ML modules and methods
* Familiarity with LLMs, such as Ollama and supporting libraries, i.e. ollama\-python
* Experience with data integration, data governance, and data quality
* Experience with cloud\-based data platforms and technologies
* \#ECS1
*ECS is an equal opportunity employer and does not discriminate or allow discrimination on the basis any characteristic protected by law. All qualified applicants will receive consideration for employment without regard to disability, status as a protected veteran or any other status protected by applicable federal, state, or local jurisdiction law.*
 ECS is a leading mid\-sized provider of technology services to the United States Federal Government. We are focused on people, values and purpose. Every day, our 3800\+ employees focus on providing their technical talent to support the Federal Agencies and Departments of the US Government to serve, protect and defend the American People.</t>
        </is>
      </c>
    </row>
    <row r="134">
      <c r="A134" t="inlineStr">
        <is>
          <t>li-4368037592</t>
        </is>
      </c>
      <c r="B134" t="inlineStr">
        <is>
          <t>Sr. BI Analytics Engineer</t>
        </is>
      </c>
      <c r="C134" t="inlineStr">
        <is>
          <t>Jobs via Dice</t>
        </is>
      </c>
      <c r="D134" t="inlineStr">
        <is>
          <t>linkedin</t>
        </is>
      </c>
      <c r="E134">
        <f>HYPERLINK("https://www.linkedin.com/jobs/view/4368037592", "https://www.linkedin.com/jobs/view/4368037592")</f>
        <v/>
      </c>
      <c r="F134">
        <f>HYPERLINK("https://click.appcast.io/t/5iTJPSh60C07X7k0917KnImT7IBz3jqPf2y3ywbWWX0=&amp;urlHash=7Wmd", "https://click.appcast.io/t/5iTJPSh60C07X7k0917KnImT7IBz3jqPf2y3ywbWWX0=&amp;urlHash=7Wmd")</f>
        <v/>
      </c>
      <c r="G134" t="inlineStr"/>
      <c r="H134" t="inlineStr"/>
      <c r="I134" t="inlineStr">
        <is>
          <t>Dice is the leading career destination for tech experts at every stage of their careers. Our client, AIT Global, Inc., is seeking the following. Apply via Dice today!
**Job Title: Sr. BI Analytics Engineer
 Location: Remote**
**Experience:**
* 7\+ years of experience in BI, analytics engineering, or data analytics roles.
* Strong expertise in Power BI: DAX, Power Query (M), Data modeling and performance optimization
* Extensive experience with Snowflake: Analytics data modeling, Query optimization and cost management, Secure data sharing
* Advanced SQL skills.
* Proficiency in Python or R for analytics and ML development.
* Hands\-on experience with machine learning frameworks (scikit\-learn, TensorFlow, PyTorch, or similar).
* Strong understanding of statistical analysis and predictive modeling techniques.
* Experience with ETL/ELT concepts and analytics engineering workflows.
* Familiarity with Git and CI/CD for analytics and ML solutions.
* Excellent communication and stakeholder management skills.</t>
        </is>
      </c>
    </row>
    <row r="135">
      <c r="A135" t="inlineStr">
        <is>
          <t>li-4368379314</t>
        </is>
      </c>
      <c r="B135" t="inlineStr">
        <is>
          <t>Data Architect - Data Engineer III - AI/ML Engineer</t>
        </is>
      </c>
      <c r="C135" t="inlineStr">
        <is>
          <t>Truist</t>
        </is>
      </c>
      <c r="D135" t="inlineStr">
        <is>
          <t>linkedin</t>
        </is>
      </c>
      <c r="E135">
        <f>HYPERLINK("https://www.linkedin.com/jobs/view/4368379314", "https://www.linkedin.com/jobs/view/4368379314")</f>
        <v/>
      </c>
      <c r="F135" t="inlineStr"/>
      <c r="G135" t="inlineStr">
        <is>
          <t>Raleigh, NC</t>
        </is>
      </c>
      <c r="H135" t="inlineStr"/>
      <c r="I135" t="inlineStr">
        <is>
          <t>**The position is described below. If you want to apply, click the Apply Now button at the top or bottom of this page. After you click Apply Now and complete your application, you'll be invited to create a profile, which will let you see your application status and any communications. If you already have a profile with us, you can log in to check status.**
 Need Help?
*If you have a disability and need assistance with the application, you can request a reasonable accommodation. Send an email to* 
*Accessibility* 
*(accommodation requests only; other inquiries won't receive a response).*
**Regular or Temporary:**
 Regular
**Language Fluency:** 
 English (Required)
**Work Shift:**
 1st shift (United States of America)
**Please review the following job description:**
 The Data Engineer 3 is responsible for sourcing, analyzing, documenting and maintaining data assets related to Corporate and Institutional Group portfolio and operational processes. Ensure processes deliver data that are accurate, complete, current, understandable and accessible. This role will leverage extensive knowledge across multiple lines of business and data expertise. Responsible for leading projects end to end independently. As an entry‑level AI/ML Engineer, you will help design, build, and support AI‑driven applications across AWS and Azure cloud environments. Working alongside senior engineers and architects, you’ll contribute to machine learning pipelines, LLM\-based agent workflows, and distributed application components using AWS AgentCore and Azure Service Fabric. This role is ideal for early‑career engineers who are eager to learn modern AI engineering practices and grow into more advanced responsibilities.
**Essential Duties And Responsibilities**
 Following is a summary of the essential functions for this job. Other duties may be performed, both major and minor, which are not mentioned below. Specific activities may change from time to time.
* Lead research, analyze, design, develop and/or maintain data assets in support of projects, information needs and business requirements. Perform analysis, validation and interpretation of outputs.
* Take ownership of issues through resolution, including close coordination with line of business (LOB) partners, Enterprise Data Office and Enterprise Information Services.
* Have a deep understanding of critical application systems and ability to transform data assets to aid in consumption by BI developers, decision \&amp; data scientists across the bank.
* Utilize the full array of data tools including static, SQL, R, Python, SAS to organize and format data assets by defining requirements and implementing automated repeatable solutions.
* Conduct business analysis, respond to change; solve highly complex business and data problems
* Manage appropriate security, compliance, privacy considerations and follow data management guidance. Train junior team members in coding efficiently and accurately.
* Prioritize and manage ad hoc data pulls, in depth analysis and reporting efforts to LOB partners and management.
* Develop solutions and recommendations for improving data integrity issues. Analyze data issues and work with development teams for problem resolutions. Identify problematic areas and conduct research to determine the best course of action to correct the data, identify, analyze and interpret trends and patterns in complex datasets.
* Foster communication and partnership across multiple levels of the organization including engagement with mid\-level managers.
* Work closely with senior AI/ML engineers, cloud engineers, and data scientists to learn architecture patterns, coding standards, and best practices.
* Participate in team standups, design discussions, and code reviews to build strong engineering fundamentals.
* Collaborate with product managers and cross‑functional teams to understand requirements and support feature development.
* Ask questions proactively and contribute to a supportive, curiosity‑driven team culture focused on growth and innovation.
* Partner with more experienced team members to break down tasks, estimate work, and deliver high‑quality code on schedule.
* Share learnings, create documentation, and help strengthen team knowledge through demos or internal presentations.
**Qualifications**
**Required Qualifications:**
 The incumbent must demonstrate a combination of academic aptitude, quantitative skills, business acumen, working knowledge of key application systems, strategic and creative thinking and excellent written and oral communications skills. Specific requirements are listed below. Reasonable accommodations may be made to enable individuals with disabilities to perform the essential functions.
* Bachelor's degree and 8\+ years of experience in a quantitative field such as Finance, Mathematics, Analytics, Data Science, Computer Science, or Engineering.
* Demonstrated knowledge and skill in strategic data assets warehousing and transactional application data concepts and technology.
* Proven experience with data engineering and ability to manage large data volumes.
* Demonstrate understanding of data analytics life cycle methodologies including data cleansing and preparation methodologies
* Strong familiarity with data extraction in a variety of environments (e.g., SQL, SAS, etc.).
* Experience in managing multiple projects with tight deadlines in a collaborative environment.
* Maintain a high level of competency in analytical principles, tools, and techniques.
**Preferred Qualifications:**
* Master's degree in field such as Finance, Mathematics, Analytics, Data Science, Computer Science, or Engineering.
* 10\+ years of experience in a quantitative field such as Finance, Mathematics, Analytics, Data Science, Computer Science or Engineering
* Strong foundation in Python and basic experience with ML libraries such as Scikit‑learn, TensorFlow, PyTorch, or HuggingFace.
* Understanding of machine learning concepts: dataset preparation, training/validation, evaluation, and inference.
* Familiarity with cloud fundamentals (AWS or Azure), containers (Docker), Git, and command‑line workflows.
* Eagerness to learn AWS AgentCore, Azure Service Fabric, and enterprise‑scale AI application development.
* Ability to write clean, maintainable code and follow software engineering best practices.
* Strong analytical thinking, curiosity, and willingness to explore new AI and cloud technologies.
**General Description of Available Benefits for Eligible Employees of Truist Financial Corporation:** 
 All regular teammates (not temporary or contingent workers) working 20 hours or more per week are eligible for benefits, though eligibility for specific benefits may be determined by the division of Truist offering the position. Truist offers medical, dental, vision, life insurance, disability, accidental death and dismemberment, tax\-preferred savings accounts, and a 401k plan to teammates. Teammates also receive no less than 10 days of vacation (prorated based on date of hire and by full\-time or part\-time status) during their first year of employment, along with 10 sick days (also prorated), and paid holidays. For more details on Truist’s generous benefit plans, please visit our Benefits site. Depending on the position and division, this job may also be eligible for Truist’s defined benefit pension plan, restricted stock units, and/or a deferred compensation plan. As you advance through the hiring process, you will also learn more about the specific benefits available for any non\-temporary position for which you apply, based on full\-time or part\-time status, position, and division of work.
***Truist is an Equal Opportunity Employer that does not discriminate on the basis of race, gender, color, religion, citizenship or national origin, age, sexual orientation, gender identity, disability, veteran status, or other classification protected by law. Truist is a Drug Free Workplace.***
 EEO is the Law E\-Verify IER Right to Work</t>
        </is>
      </c>
    </row>
    <row r="136">
      <c r="A136" t="inlineStr">
        <is>
          <t>li-4368387260</t>
        </is>
      </c>
      <c r="B136" t="inlineStr">
        <is>
          <t>Data Architect - Data Engineer III - AI/ML Engineer</t>
        </is>
      </c>
      <c r="C136" t="inlineStr">
        <is>
          <t>Truist</t>
        </is>
      </c>
      <c r="D136" t="inlineStr">
        <is>
          <t>linkedin</t>
        </is>
      </c>
      <c r="E136">
        <f>HYPERLINK("https://www.linkedin.com/jobs/view/4368387260", "https://www.linkedin.com/jobs/view/4368387260")</f>
        <v/>
      </c>
      <c r="F136" t="inlineStr"/>
      <c r="G136" t="inlineStr">
        <is>
          <t>Richmond, VA</t>
        </is>
      </c>
      <c r="H136" t="inlineStr"/>
      <c r="I136" t="inlineStr">
        <is>
          <t>**The position is described below. If you want to apply, click the Apply Now button at the top or bottom of this page. After you click Apply Now and complete your application, you'll be invited to create a profile, which will let you see your application status and any communications. If you already have a profile with us, you can log in to check status.**
 Need Help?
*If you have a disability and need assistance with the application, you can request a reasonable accommodation. Send an email to* 
*Accessibility* 
*(accommodation requests only; other inquiries won't receive a response).*
**Regular or Temporary:**
 Regular
**Language Fluency:** 
 English (Required)
**Work Shift:**
 1st shift (United States of America)
**Please review the following job description:**
 The Data Engineer 3 is responsible for sourcing, analyzing, documenting and maintaining data assets related to Corporate and Institutional Group portfolio and operational processes. Ensure processes deliver data that are accurate, complete, current, understandable and accessible. This role will leverage extensive knowledge across multiple lines of business and data expertise. Responsible for leading projects end to end independently. As an entry‑level AI/ML Engineer, you will help design, build, and support AI‑driven applications across AWS and Azure cloud environments. Working alongside senior engineers and architects, you’ll contribute to machine learning pipelines, LLM\-based agent workflows, and distributed application components using AWS AgentCore and Azure Service Fabric. This role is ideal for early‑career engineers who are eager to learn modern AI engineering practices and grow into more advanced responsibilities.
**Essential Duties And Responsibilities**
 Following is a summary of the essential functions for this job. Other duties may be performed, both major and minor, which are not mentioned below. Specific activities may change from time to time.
* Lead research, analyze, design, develop and/or maintain data assets in support of projects, information needs and business requirements. Perform analysis, validation and interpretation of outputs.
* Take ownership of issues through resolution, including close coordination with line of business (LOB) partners, Enterprise Data Office and Enterprise Information Services.
* Have a deep understanding of critical application systems and ability to transform data assets to aid in consumption by BI developers, decision \&amp; data scientists across the bank.
* Utilize the full array of data tools including static, SQL, R, Python, SAS to organize and format data assets by defining requirements and implementing automated repeatable solutions.
* Conduct business analysis, respond to change; solve highly complex business and data problems
* Manage appropriate security, compliance, privacy considerations and follow data management guidance. Train junior team members in coding efficiently and accurately.
* Prioritize and manage ad hoc data pulls, in depth analysis and reporting efforts to LOB partners and management.
* Develop solutions and recommendations for improving data integrity issues. Analyze data issues and work with development teams for problem resolutions. Identify problematic areas and conduct research to determine the best course of action to correct the data, identify, analyze and interpret trends and patterns in complex datasets.
* Foster communication and partnership across multiple levels of the organization including engagement with mid\-level managers.
* Work closely with senior AI/ML engineers, cloud engineers, and data scientists to learn architecture patterns, coding standards, and best practices.
* Participate in team standups, design discussions, and code reviews to build strong engineering fundamentals.
* Collaborate with product managers and cross‑functional teams to understand requirements and support feature development.
* Ask questions proactively and contribute to a supportive, curiosity‑driven team culture focused on growth and innovation.
* Partner with more experienced team members to break down tasks, estimate work, and deliver high‑quality code on schedule.
* Share learnings, create documentation, and help strengthen team knowledge through demos or internal presentations.
**Qualifications**
**Required Qualifications:**
 The incumbent must demonstrate a combination of academic aptitude, quantitative skills, business acumen, working knowledge of key application systems, strategic and creative thinking and excellent written and oral communications skills. Specific requirements are listed below. Reasonable accommodations may be made to enable individuals with disabilities to perform the essential functions.
* Bachelor's degree and 8\+ years of experience in a quantitative field such as Finance, Mathematics, Analytics, Data Science, Computer Science, or Engineering.
* Demonstrated knowledge and skill in strategic data assets warehousing and transactional application data concepts and technology.
* Proven experience with data engineering and ability to manage large data volumes.
* Demonstrate understanding of data analytics life cycle methodologies including data cleansing and preparation methodologies
* Strong familiarity with data extraction in a variety of environments (e.g., SQL, SAS, etc.).
* Experience in managing multiple projects with tight deadlines in a collaborative environment.
* Maintain a high level of competency in analytical principles, tools, and techniques.
**Preferred Qualifications:**
* Master's degree in field such as Finance, Mathematics, Analytics, Data Science, Computer Science, or Engineering.
* 10\+ years of experience in a quantitative field such as Finance, Mathematics, Analytics, Data Science, Computer Science or Engineering
* Strong foundation in Python and basic experience with ML libraries such as Scikit‑learn, TensorFlow, PyTorch, or HuggingFace.
* Understanding of machine learning concepts: dataset preparation, training/validation, evaluation, and inference.
* Familiarity with cloud fundamentals (AWS or Azure), containers (Docker), Git, and command‑line workflows.
* Eagerness to learn AWS AgentCore, Azure Service Fabric, and enterprise‑scale AI application development.
* Ability to write clean, maintainable code and follow software engineering best practices.
* Strong analytical thinking, curiosity, and willingness to explore new AI and cloud technologies.
**General Description of Available Benefits for Eligible Employees of Truist Financial Corporation:** 
 All regular teammates (not temporary or contingent workers) working 20 hours or more per week are eligible for benefits, though eligibility for specific benefits may be determined by the division of Truist offering the position. Truist offers medical, dental, vision, life insurance, disability, accidental death and dismemberment, tax\-preferred savings accounts, and a 401k plan to teammates. Teammates also receive no less than 10 days of vacation (prorated based on date of hire and by full\-time or part\-time status) during their first year of employment, along with 10 sick days (also prorated), and paid holidays. For more details on Truist’s generous benefit plans, please visit our Benefits site. Depending on the position and division, this job may also be eligible for Truist’s defined benefit pension plan, restricted stock units, and/or a deferred compensation plan. As you advance through the hiring process, you will also learn more about the specific benefits available for any non\-temporary position for which you apply, based on full\-time or part\-time status, position, and division of work.
***Truist is an Equal Opportunity Employer that does not discriminate on the basis of race, gender, color, religion, citizenship or national origin, age, sexual orientation, gender identity, disability, veteran status, or other classification protected by law. Truist is a Drug Free Workplace.***
 EEO is the Law E\-Verify IER Right to Work</t>
        </is>
      </c>
    </row>
    <row r="137">
      <c r="A137" t="inlineStr">
        <is>
          <t>li-4357425212</t>
        </is>
      </c>
      <c r="B137" t="inlineStr">
        <is>
          <t>Senior Data Engineer – Dedicated / Embedded Product Steward</t>
        </is>
      </c>
      <c r="C137" t="inlineStr">
        <is>
          <t>BIP</t>
        </is>
      </c>
      <c r="D137" t="inlineStr">
        <is>
          <t>linkedin</t>
        </is>
      </c>
      <c r="E137">
        <f>HYPERLINK("https://www.linkedin.com/jobs/view/4357425212", "https://www.linkedin.com/jobs/view/4357425212")</f>
        <v/>
      </c>
      <c r="F137" t="inlineStr"/>
      <c r="G137" t="inlineStr"/>
      <c r="H137" t="inlineStr"/>
      <c r="I137" t="inlineStr">
        <is>
          <t>**Company Overview:** 
 Business Integration Partners (BIP) is Europe’s fastest growing digital consulting company and are on track to reach the Top 20 by 2030, with an expanding global footprint in the US (New York, Charlotte, Chicago, and Houston). Operating at the intersection of business and technology we design, develop, and deliver sustainable solutions at pace and scale creating greater value for our customers, employees, shareholders, and society.
 BIP specializes in high\-impact consulting services across multiple industries with 6,000 employees worldwide. Our domains include Financial Services business serves Capital Markets, Insurance and Payments verticals, supplemented with Data \&amp; AI, Cybersecurity, Risk \&amp; Compliance, Change Management and Digital Transformation practices. We integrate deep industry expertise with business, technology, and quantitative disciplines to deliver high\-impact results for our clients.
 BIP is currently expanding its footprint in the United States, focusing on growing its Capital Markets and Financial Services lines. Our teams operate at the intersection of business strategy, technology, and data to help our clients in driving smarter decisions, reducing risks, and staying ahead in a fast\-evolving market environment.
**About the Role:** 
 The dedicated Data Engineer plays a uniquely high\-touch, high\-trust role at the center of a strategically critical enterprise data product with deep integration into Front Office, Portfolio Management, Trading, and Risk workflows.
 This role sits alongside the core Data Engineering organization but is differentiated by its embedded ownership model. You will serve as the primary technical steward and face of engineering for a highly visible data product, engaging directly and frequently with senior business stakeholders. Success in this role requires exceptional engineering judgment, strong business fluency, and the ability to translate complex technical constraints into clear, actionable decisions.
 While the underlying technology stack mirrors the broader data platform (Python/Java, Azure, Snowflake, APIs, curated semantic layers), the emphasis here is on precision, speed, reliability, and high\-touch service delivery.
**What You’ll Do:** 
**Embedded Product Ownership** 
* Act as the primary technical owner for a mission\-critical enterprise data product supporting front office and investment decision\-making.
* Build deep trust with senior stakeholders through consistent delivery, transparency, and responsiveness.
* Translate evolving business workflows and expectations into well\-scoped, executable engineering plans.
**Hands\-On Engineering \&amp; Delivery** 
* Design, build, and enhance scalable data ingestion and transformation pipelines, including support for near real\-time data where required.
* Develop and optimize multi\-layered data models (raw, refined, curated) and semantic datasets that power analytics, reporting, and applications.
* Deliver data to downstream consumers via APIs and services, ensuring accuracy, performance, and reliability.
* Rapidly diagnose production issues, resolve data quality problems, and implement iterative improvements.
**Technical Leadership \&amp; Communication** 
* Lead detailed technical discussions with senior business partners, clearly articulating tradeoffs, constraints, and delivery timelines.
* Partner with platform and data engineering teams to align embedded product needs with broader architectural standards.
* Apply strong software engineering practices including testing, code review, documentation, and operational ownership.
**Required Skills \&amp; Experience:** 
* 10\+ years of professional software or data engineering experience, ideally within financial services or capital markets.
* Senior\-level experience owning production\-grade data products end to end.
* Strong programming skills in Python and/or Java.
* Deep understanding of modern data architecture patterns across ingestion, transformation, storage, semantic layers, and consumption.
* Hands\-on experience with cloud\-based data platforms (Azure) and Snowflake.
* Proven ability to design performant data models and optimize pipelines at scale.
* Exceptional communication skills, with experience engaging directly with senior business stakeholders.
* Comfort operating in high\-expectation, fast\-moving environments with strong ownership and accountability.
**Preferred Qualifications :** 
* Experience supporting Front Office, Portfolio Management, Trading, or Risk use cases.
* Exposure to containerization and orchestration (Docker, Kubernetes).
* Experience with event\-driven or streaming data architectures.
* Familiarity with asset management, private markets, or investment data domains.
* Experience supporting analytics engineering or curated semantic layers for BI tools.
**\*\*The base salary range for this role is $140,000 \- $200,000\*\*** 
**Benefits:**
* Choice of medical, dental, vision insurance.
* Voluntary benefits.
* Short\- and long\-term disability.
* HSA and FSAs.
* Matching 401k.
* Discretionary performance bonus.
* Employee referral bonus.
* Employee assistance program.
* 11 public holidays.
* 20 days PTO.
* 7 Sick Days.
* PTO buy and sell program.
* Volunteer days.
* Paid parental leave.
* Remote/hybrid work environment support.
 For more information about BIP US, visit https://www.bip\-group.com/en\-us/.
**Equal Employment Opportunity:** 
 It is BIP US Consulting policy to provide equal employment opportunities to all individuals based on job\-related qualifications and ability to perform a job, without regard to age, gender, gender identity, sexual orientation, race, color, religion, creed, national origin, disability, genetic information, veteran status, citizenship, or marital status, and to maintain a non\-discriminatory environment free from intimidation, harassment or bias based upon these grounds.
 BIP US provides a reasonable range of compensation for our roles. Actual compensation is influenced by a wide array of factors including but not limited to skill set, education, level of experience, and knowledge.</t>
        </is>
      </c>
    </row>
    <row r="138">
      <c r="A138" t="inlineStr">
        <is>
          <t>li-4368052053</t>
        </is>
      </c>
      <c r="B138" t="inlineStr">
        <is>
          <t>Data Engineer</t>
        </is>
      </c>
      <c r="C138" t="inlineStr">
        <is>
          <t>Jobs via Dice</t>
        </is>
      </c>
      <c r="D138" t="inlineStr">
        <is>
          <t>linkedin</t>
        </is>
      </c>
      <c r="E138">
        <f>HYPERLINK("https://www.linkedin.com/jobs/view/4368052053", "https://www.linkedin.com/jobs/view/4368052053")</f>
        <v/>
      </c>
      <c r="F138">
        <f>HYPERLINK("https://click.appcast.io/t/jrjLrnyGD4LY_ZlnseW2vUPAvFko41Un9engavCijxc=&amp;urlHash=fnww", "https://click.appcast.io/t/jrjLrnyGD4LY_ZlnseW2vUPAvFko41Un9engavCijxc=&amp;urlHash=fnww")</f>
        <v/>
      </c>
      <c r="G138" t="inlineStr">
        <is>
          <t>Glendale, AZ</t>
        </is>
      </c>
      <c r="H138" t="inlineStr"/>
      <c r="I138" t="inlineStr">
        <is>
          <t>Dice is the leading career destination for tech experts at every stage of their careers. Our client, Enterprise Logic Inc., is seeking the following. Apply via Dice today!
**Job Title:** 
 Senior Software Engineer (Data Engineering)
**Client:** 
 Bechtel Corporation
**Location:** 
 Glendale, AZ
**Duration:** 
 6 Months Contract (W2 Only)
**Pay Rate:** 
 $65/hr on W2
**Job Description**
 Seeking a
 **Senior Software Engineer (Data Engineering)** 
 with strong experience in
 **Azure\-based data platforms** 
 to design, build, and optimize scalable data pipelines and analytics solutions.
**Key Requirements**
* 10\+ years of data engineering experience
* Strong expertise in Azure Data Lake, Azure Data Factory, Databricks
* Experience with SAP Business Objects and Power BI
* Advanced SQL and ETL development skills
* Experience with Azure Synapse, Azure SQL, Azure Blob Storage
* Knowledge of Azure Security \&amp; Governance
* Excellent communication and problem\-solving skills
**Preferred**
* Master s degree
* Exposure to DevOps / CI\-CD for data platforms</t>
        </is>
      </c>
    </row>
    <row r="139">
      <c r="A139" t="inlineStr">
        <is>
          <t>li-4368393220</t>
        </is>
      </c>
      <c r="B139" t="inlineStr">
        <is>
          <t>Data Architect - Data Engineer III - AI/ML Engineer</t>
        </is>
      </c>
      <c r="C139" t="inlineStr">
        <is>
          <t>Truist</t>
        </is>
      </c>
      <c r="D139" t="inlineStr">
        <is>
          <t>linkedin</t>
        </is>
      </c>
      <c r="E139">
        <f>HYPERLINK("https://www.linkedin.com/jobs/view/4368393220", "https://www.linkedin.com/jobs/view/4368393220")</f>
        <v/>
      </c>
      <c r="F139" t="inlineStr"/>
      <c r="G139" t="inlineStr">
        <is>
          <t>Atlanta, GA</t>
        </is>
      </c>
      <c r="H139" t="inlineStr"/>
      <c r="I139" t="inlineStr">
        <is>
          <t>**The position is described below. If you want to apply, click the Apply Now button at the top or bottom of this page. After you click Apply Now and complete your application, you'll be invited to create a profile, which will let you see your application status and any communications. If you already have a profile with us, you can log in to check status.**
 Need Help?
*If you have a disability and need assistance with the application, you can request a reasonable accommodation. Send an email to* 
*Accessibility* 
*(accommodation requests only; other inquiries won't receive a response).*
**Regular or Temporary:**
 Regular
**Language Fluency:** 
 English (Required)
**Work Shift:**
 1st shift (United States of America)
**Please review the following job description:**
 The Data Engineer 3 is responsible for sourcing, analyzing, documenting and maintaining data assets related to Corporate and Institutional Group portfolio and operational processes. Ensure processes deliver data that are accurate, complete, current, understandable and accessible. This role will leverage extensive knowledge across multiple lines of business and data expertise. Responsible for leading projects end to end independently. As an entry‑level AI/ML Engineer, you will help design, build, and support AI‑driven applications across AWS and Azure cloud environments. Working alongside senior engineers and architects, you’ll contribute to machine learning pipelines, LLM\-based agent workflows, and distributed application components using AWS AgentCore and Azure Service Fabric. This role is ideal for early‑career engineers who are eager to learn modern AI engineering practices and grow into more advanced responsibilities.
**Essential Duties And Responsibilities**
 Following is a summary of the essential functions for this job. Other duties may be performed, both major and minor, which are not mentioned below. Specific activities may change from time to time.
* Lead research, analyze, design, develop and/or maintain data assets in support of projects, information needs and business requirements. Perform analysis, validation and interpretation of outputs.
* Take ownership of issues through resolution, including close coordination with line of business (LOB) partners, Enterprise Data Office and Enterprise Information Services.
* Have a deep understanding of critical application systems and ability to transform data assets to aid in consumption by BI developers, decision \&amp; data scientists across the bank.
* Utilize the full array of data tools including static, SQL, R, Python, SAS to organize and format data assets by defining requirements and implementing automated repeatable solutions.
* Conduct business analysis, respond to change; solve highly complex business and data problems
* Manage appropriate security, compliance, privacy considerations and follow data management guidance. Train junior team members in coding efficiently and accurately.
* Prioritize and manage ad hoc data pulls, in depth analysis and reporting efforts to LOB partners and management.
* Develop solutions and recommendations for improving data integrity issues. Analyze data issues and work with development teams for problem resolutions. Identify problematic areas and conduct research to determine the best course of action to correct the data, identify, analyze and interpret trends and patterns in complex datasets.
* Foster communication and partnership across multiple levels of the organization including engagement with mid\-level managers.
* Work closely with senior AI/ML engineers, cloud engineers, and data scientists to learn architecture patterns, coding standards, and best practices.
* Participate in team standups, design discussions, and code reviews to build strong engineering fundamentals.
* Collaborate with product managers and cross‑functional teams to understand requirements and support feature development.
* Ask questions proactively and contribute to a supportive, curiosity‑driven team culture focused on growth and innovation.
* Partner with more experienced team members to break down tasks, estimate work, and deliver high‑quality code on schedule.
* Share learnings, create documentation, and help strengthen team knowledge through demos or internal presentations.
**Qualifications**
**Required Qualifications:**
 The incumbent must demonstrate a combination of academic aptitude, quantitative skills, business acumen, working knowledge of key application systems, strategic and creative thinking and excellent written and oral communications skills. Specific requirements are listed below. Reasonable accommodations may be made to enable individuals with disabilities to perform the essential functions.
* Bachelor's degree and 8\+ years of experience in a quantitative field such as Finance, Mathematics, Analytics, Data Science, Computer Science, or Engineering.
* Demonstrated knowledge and skill in strategic data assets warehousing and transactional application data concepts and technology.
* Proven experience with data engineering and ability to manage large data volumes.
* Demonstrate understanding of data analytics life cycle methodologies including data cleansing and preparation methodologies
* Strong familiarity with data extraction in a variety of environments (e.g., SQL, SAS, etc.).
* Experience in managing multiple projects with tight deadlines in a collaborative environment.
* Maintain a high level of competency in analytical principles, tools, and techniques.
**Preferred Qualifications:**
* Master's degree in field such as Finance, Mathematics, Analytics, Data Science, Computer Science, or Engineering.
* 10\+ years of experience in a quantitative field such as Finance, Mathematics, Analytics, Data Science, Computer Science or Engineering
* Strong foundation in Python and basic experience with ML libraries such as Scikit‑learn, TensorFlow, PyTorch, or HuggingFace.
* Understanding of machine learning concepts: dataset preparation, training/validation, evaluation, and inference.
* Familiarity with cloud fundamentals (AWS or Azure), containers (Docker), Git, and command‑line workflows.
* Eagerness to learn AWS AgentCore, Azure Service Fabric, and enterprise‑scale AI application development.
* Ability to write clean, maintainable code and follow software engineering best practices.
* Strong analytical thinking, curiosity, and willingness to explore new AI and cloud technologies.
**General Description of Available Benefits for Eligible Employees of Truist Financial Corporation:** 
 All regular teammates (not temporary or contingent workers) working 20 hours or more per week are eligible for benefits, though eligibility for specific benefits may be determined by the division of Truist offering the position. Truist offers medical, dental, vision, life insurance, disability, accidental death and dismemberment, tax\-preferred savings accounts, and a 401k plan to teammates. Teammates also receive no less than 10 days of vacation (prorated based on date of hire and by full\-time or part\-time status) during their first year of employment, along with 10 sick days (also prorated), and paid holidays. For more details on Truist’s generous benefit plans, please visit our Benefits site. Depending on the position and division, this job may also be eligible for Truist’s defined benefit pension plan, restricted stock units, and/or a deferred compensation plan. As you advance through the hiring process, you will also learn more about the specific benefits available for any non\-temporary position for which you apply, based on full\-time or part\-time status, position, and division of work.
***Truist is an Equal Opportunity Employer that does not discriminate on the basis of race, gender, color, religion, citizenship or national origin, age, sexual orientation, gender identity, disability, veteran status, or other classification protected by law. Truist is a Drug Free Workplace.***
 EEO is the Law E\-Verify IER Right to Work</t>
        </is>
      </c>
    </row>
    <row r="140">
      <c r="A140" t="inlineStr">
        <is>
          <t>li-4361271044</t>
        </is>
      </c>
      <c r="B140" t="inlineStr">
        <is>
          <t>Lead Data Engineer (Enterprise Platform Technology)</t>
        </is>
      </c>
      <c r="C140" t="inlineStr">
        <is>
          <t>Capital One</t>
        </is>
      </c>
      <c r="D140" t="inlineStr">
        <is>
          <t>linkedin</t>
        </is>
      </c>
      <c r="E140">
        <f>HYPERLINK("https://www.linkedin.com/jobs/view/4361271044", "https://www.linkedin.com/jobs/view/4361271044")</f>
        <v/>
      </c>
      <c r="F140">
        <f>HYPERLINK("https://dsp.prng.co/ykjD_nb&amp;urlHash=1NW8", "https://dsp.prng.co/ykjD_nb&amp;urlHash=1NW8")</f>
        <v/>
      </c>
      <c r="G140" t="inlineStr">
        <is>
          <t>McLean, VA</t>
        </is>
      </c>
      <c r="H140" t="inlineStr"/>
      <c r="I140" t="inlineStr">
        <is>
          <t>Do you love building and pioneering in the technology space? Do you enjoy solving complex business problems in a fast\-paced, collaborative, inclusive, and iterative delivery environment? At Capital One, you'll be part of a big group of makers, breakers, doers and disruptors, who solve real problems and meet real customer needs. We are seeking Data Engineers who are passionate about marrying data with emerging technologies. As a Capital One Lead Data Engineer, you’ll have the opportunity to be on the forefront of driving a major transformation within Capital One.
 Enterprise Platforms Technology (EPTech) comprises many of Capital One’s most important enterprise platforms. We play an essential role in establishing practices for building technology solutions across the company, while also delivering capabilities that exemplify those practices.
**What You’ll Do:**
* Collaborate with and across Agile teams to design, develop, test, implement, and support technical solutions in full\-stack development tools and technologies
* Work with a team of developers with deep experience in machine learning, distributed microservices, and full stack systems
* Utilize programming languages like Java, Scala, Python and Open Source RDBMS and NoSQL databases and Cloud based data warehousing services such as Redshift and Snowflake
* Share your passion for staying on top of tech trends, experimenting with and learning new technologies, participating in internal \&amp; external technology communities, and mentoring other members of the engineering community
* Collaborate with digital product managers, and deliver robust cloud\-based solutions that drive powerful experiences to help millions of Americans achieve financial empowerment
* Perform unit tests and conduct reviews with other team members to make sure your code is rigorously designed, elegantly coded, and effectively tuned for performance
**Basic Qualifications:**
* Bachelor’s Degree
* At least 4 years of experience in application development (Internship experience does not apply)
* At least 2 years of experience in big data technologies
* At least 1 year experience with cloud computing (AWS, Microsoft Azure, Google Cloud)
**Preferred Qualifications:**
* 7\+ years of experience in application development including Python, SQL, Scala, or Java
* 4\+ years of experience with a public cloud (AWS, Microsoft Azure, Google Cloud)
* 4\+ years experience with Distributed data/computing tools (MapReduce, Hadoop, Hive, EMR, Kafka, Spark, Gurobi, or MySQL)
* 4\+ year experience working on real\-time data and streaming applications
* 4\+ years of experience with NoSQL implementation (Mongo, Cassandra)
* 4\+ years of data warehousing experience (Redshift or Snowflake)
* 4\+ years of experience with UNIX/Linux including basic commands and shell scripting
* 2\+ years of experience with Agile engineering practices
***At this time, Capital One will not sponsor a new applicant for employment authorization, or offer any immigration related support for this position (i.e. H1B, F\-1 OPT, F\-1 STEM OPT, F\-1 CPT, J\-1, TN, E\-2, E\-3, L\-1 and O\-1, or any EADs or other forms of work authorization that require immigration support from an employer).***
 The minimum and maximum full\-time annual salaries for this role are listed below, by location. Please note that this salary information is solely for candidates hired to perform work within one of these locations, and refers to the amount Capital One is willing to pay at the time of this posting. Salaries for part\-time roles will be prorated based upon the agreed upon number of hours to be regularly worked.
 McLean, VA: $193,400 \- $220,700 for Lead Data Engineer
 Richmond, VA: $175,800 \- $200,700 for Lead Data Engineer
 Candidates hired to work in other locations will be subject to the pay range associated with that location, and the actual annualized salary amount offered to any candidate at the time of hire will be reflected solely in the candidate’s offer letter.
 This role is also eligible to earn performance based incentive compensation, which may include cash bonus(es) and/or long term incentives (LTI). Incentives could be discretionary or non discretionary depending on the plan.
 Capital One offers a comprehensive, competitive, and inclusive set of health, financial and other benefits that support your total well\-being. Learn more at the Capital One Careers website. Eligibility varies based on full or part\-time status, exempt or non\-exempt status, and management level.
 This role is expected to accept applications for a minimum of 5 business days.
 No agencies please. Capital One is an equal opportunity employer (EOE, including disability/vet) committed to non\-discrimination in compliance with applicable federal, state, and local laws. Capital One promotes a drug\-free workplace. Capital One will consider for employment qualified applicants with a criminal history in a manner consistent with the requirements of applicable laws regarding criminal background inquiries, including, to the extent applicable, Article 23\-A of the New York Correction Law; San Francisco, California Police Code Article 49, Sections 4901\-4920; New York City’s Fair Chance Act; Philadelphia’s Fair Criminal Records Screening Act; and other applicable federal, state, and local laws and regulations regarding criminal background inquiries.
 If you have visited our website in search of information on employment opportunities or to apply for a position, and you require an accommodation, please contact Capital One Recruiting at 1\-800\-304\-9102 or via email at RecruitingAccommodation@capitalone.com. All information you provide will be kept confidential and will be used only to the extent required to provide needed reasonable accommodations.
 For technical support or questions about Capital One's recruiting process, please send an email to Careers@capitalone.com
 Capital One does not provide, endorse nor guarantee and is not liable for third\-party products, services, educational tools or other information available through this site.
 Capital One Financial is made up of several different entities. Please note that any position posted in Canada is for Capital One Canada, any position posted in the United Kingdom is for Capital One Europe and any position posted in the Philippines is for Capital One Philippines Service Corp. (COPSSC).</t>
        </is>
      </c>
    </row>
    <row r="141">
      <c r="A141" t="inlineStr">
        <is>
          <t>li-4361254521</t>
        </is>
      </c>
      <c r="B141" t="inlineStr">
        <is>
          <t>Lead Data Engineer (Intelligent Foundations and Experiences)</t>
        </is>
      </c>
      <c r="C141" t="inlineStr">
        <is>
          <t>Capital One</t>
        </is>
      </c>
      <c r="D141" t="inlineStr">
        <is>
          <t>linkedin</t>
        </is>
      </c>
      <c r="E141">
        <f>HYPERLINK("https://www.linkedin.com/jobs/view/4361254521", "https://www.linkedin.com/jobs/view/4361254521")</f>
        <v/>
      </c>
      <c r="F141">
        <f>HYPERLINK("https://dsp.prng.co/ZNme2ib&amp;urlHash=X7wF", "https://dsp.prng.co/ZNme2ib&amp;urlHash=X7wF")</f>
        <v/>
      </c>
      <c r="G141" t="inlineStr">
        <is>
          <t>Richmond, VA</t>
        </is>
      </c>
      <c r="H141" t="inlineStr"/>
      <c r="I141" t="inlineStr">
        <is>
          <t>**Do you love building and pioneering in the technology space? Do you enjoy solving complex business problems in a fast\-paced, collaborative, inclusive, and iterative delivery environment? At Capital One, you'll be part of a big group of makers, breakers, doers and disruptors, who solve real problems and meet real customer needs. We are seeking
 **Data Engineers** 
 who are passionate about marrying data with emerging technologies. As a Capital One Lead Data Engineer, you’ll have the opportunity to be on the forefront of driving a major transformation within Capital One.**
****Intelligent Foundations \&amp; Experiences (IFX)** 
 is a powerful collective of horizontal technology organizations that are driving Capital One’s real\-time intelligent future. Together with our partners in the Enterprise and across lines of business, we deliver broad\-reaching technical solutions and advance state\-of\-the\-art science to help every Capital One associate and our 100\+M customers succeed.**
****What You’ll Do:****
* Collaborate with and across Agile teams to design, develop, test, implement, and support technical solutions in full\-stack development tools and technologies
* Work with a team of developers with deep experience in machine learning, distributed microservices, and full stack systems
* Utilize programming languages like Java, Scala, Python and Open Source RDBMS and NoSQL databases and Cloud based data warehousing services such as Redshift and Snowflake
* Share your passion for staying on top of tech trends, experimenting with and learning new technologies, participating in internal \&amp; external technology communities, and mentoring other members of the engineering community
* Collaborate with digital product managers, and deliver robust cloud\-based solutions that drive powerful experiences to help millions of Americans achieve financial empowerment
* Perform unit tests and conduct reviews with other team members to make sure your code is rigorously designed, elegantly coded, and effectively tuned for performance
****Basic Qualifications:****
* Bachelor’s Degree
* At least 4 years of experience in application development (Internship experience does not apply)
* At least 2 years of experience in big data technologies
* At least 1 year experience with cloud computing (AWS, Microsoft Azure, Google Cloud)
****Preferred Qualifications:****
* 7\+ years of experience in application development including Python, SQL, Scala, or Java
* 4\+ years of experience with a public cloud (AWS, Microsoft Azure, Google Cloud)
* 4\+ years experience with Distributed data/computing tools (MapReduce, Hadoop, Hive, EMR, Kafka, Spark, Gurobi, or MySQL)
* 4\+ year experience working on real\-time data and streaming applications
* 4\+ years of experience with NoSQL implementation (Mongo, Cassandra)
* 4\+ years of data warehousing experience (Redshift or Snowflake)
* 4\+ years of experience with UNIX/Linux including basic commands and shell scripting
* 2\+ years of experience with Agile engineering practices
***At this time, Capital One will not sponsor a new applicant for employment authorization, or offer any immigration related support for this position (i.e. H1B, F\-1 OPT, F\-1 STEM OPT, F\-1 CPT, J\-1, TN, E\-2, E\-3, L\-1 and O\-1, or any EADs or other forms of work authorization that require immigration support from an employer).***
 The minimum and maximum full\-time annual salaries for this role are listed below, by location. Please note that this salary information is solely for candidates hired to perform work within one of these locations, and refers to the amount Capital One is willing to pay at the time of this posting. Salaries for part\-time roles will be prorated based upon the agreed upon number of hours to be regularly worked.
 McLean, VA: $193,400 \- $220,700 for Lead Data Engineer
 Plano, TX: $175,800 \- $200,700 for Lead Data Engineer
 Richmond, VA: $175,800 \- $200,700 for Lead Data Engineer
 Candidates hired to work in other locations will be subject to the pay range associated with that location, and the actual annualized salary amount offered to any candidate at the time of hire will be reflected solely in the candidate’s offer letter.
 This role is also eligible to earn performance based incentive compensation, which may include cash bonus(es) and/or long term incentives (LTI). Incentives could be discretionary or non discretionary depending on the plan.
 Capital One offers a comprehensive, competitive, and inclusive set of health, financial and other benefits that support your total well\-being. Learn more at the Capital One Careers website. Eligibility varies based on full or part\-time status, exempt or non\-exempt status, and management level.
 This role is expected to accept applications for a minimum of 5 business days.
 No agencies please. Capital One is an equal opportunity employer (EOE, including disability/vet) committed to non\-discrimination in compliance with applicable federal, state, and local laws. Capital One promotes a drug\-free workplace. Capital One will consider for employment qualified applicants with a criminal history in a manner consistent with the requirements of applicable laws regarding criminal background inquiries, including, to the extent applicable, Article 23\-A of the New York Correction Law; San Francisco, California Police Code Article 49, Sections 4901\-4920; New York City’s Fair Chance Act; Philadelphia’s Fair Criminal Records Screening Act; and other applicable federal, state, and local laws and regulations regarding criminal background inquiries.
 If you have visited our website in search of information on employment opportunities or to apply for a position, and you require an accommodation, please contact Capital One Recruiting at 1\-800\-304\-9102 or via email at RecruitingAccommodation@capitalone.com. All information you provide will be kept confidential and will be used only to the extent required to provide needed reasonable accommodations.
 For technical support or questions about Capital One's recruiting process, please send an email to Careers@capitalone.com
 Capital One does not provide, endorse nor guarantee and is not liable for third\-party products, services, educational tools or other information available through this site.
 Capital One Financial is made up of several different entities. Please note that any position posted in Canada is for Capital One Canada, any position posted in the United Kingdom is for Capital One Europe and any position posted in the Philippines is for Capital One Philippines Service Corp. (COPSSC).</t>
        </is>
      </c>
    </row>
    <row r="142">
      <c r="A142" t="inlineStr">
        <is>
          <t>li-4360755771</t>
        </is>
      </c>
      <c r="B142" t="inlineStr">
        <is>
          <t>Lead Data Engineer (Cloud Operations Resilience Engineering)</t>
        </is>
      </c>
      <c r="C142" t="inlineStr">
        <is>
          <t>Capital One</t>
        </is>
      </c>
      <c r="D142" t="inlineStr">
        <is>
          <t>linkedin</t>
        </is>
      </c>
      <c r="E142">
        <f>HYPERLINK("https://www.linkedin.com/jobs/view/4360755771", "https://www.linkedin.com/jobs/view/4360755771")</f>
        <v/>
      </c>
      <c r="F142">
        <f>HYPERLINK("https://dsp.prng.co/ZFpzZ0b&amp;urlHash=nwEf", "https://dsp.prng.co/ZFpzZ0b&amp;urlHash=nwEf")</f>
        <v/>
      </c>
      <c r="G142" t="inlineStr">
        <is>
          <t>Richmond, VA</t>
        </is>
      </c>
      <c r="H142" t="inlineStr"/>
      <c r="I142" t="inlineStr">
        <is>
          <t>Do you love building and pioneering in the technology space? Do you enjoy solving complex business problems in a fast\-paced, collaborative, inclusive, and iterative delivery environment? At Capital One, you'll be part of a big group of makers, breakers, doers and disruptors, who solve real problems and meet real customer needs. We are seeking Data Engineers who are passionate about marrying data with emerging technologies. As a Capital One Lead Data Engineer, you’ll have the opportunity to be on the forefront of driving a major transformation within Capital One.
 The Cloud Operations Resilience Engineering (CORE) Technology division is responsible for enabling and evolving Capital One’s foundational cloud infrastructure layer, including observability, connectivity, resilience and availability.
 What You’ll Do:
* Collaborate with and across Agile teams to design, develop, test, implement, and support technical solutions in full\-stack development tools and technologies
* Work with a team of developers with deep experience in machine learning, distributed microservices, and full stack systems
* Utilize programming languages like Java, Scala, Python and Open Source RDBMS and NoSQL databases and Cloud based data warehousing services such as Redshift and Snowflake
* Share your passion for staying on top of tech trends, experimenting with and learning new technologies, participating in internal \&amp; external technology communities, and mentoring other members of the engineering community
* Collaborate with digital product managers, and deliver robust cloud\-based solutions that drive powerful experiences to help millions of Americans achieve financial empowerment
* Perform unit tests and conduct reviews with other team members to make sure your code is rigorously designed, elegantly coded, and effectively tuned for performance
 Basic Qualifications:
* Bachelor’s Degree
* At least 4 years of experience in application development (Internship experience does not apply)
* At least 2 years of experience in big data technologies
* At least 1 year experience with cloud computing (AWS, Microsoft Azure, Google Cloud)
 Preferred Qualifications:
* 7\+ years of experience in application development including Python, SQL, Scala, or Java
* 4\+ years of experience with a public cloud (AWS, Microsoft Azure, Google Cloud)
* 4\+ years experience with Distributed data/computing tools (MapReduce, Hadoop, Hive, EMR, Kafka, Spark, Gurobi, or MySQL)
* 4\+ year experience working on real\-time data and streaming applications
* 4\+ years of experience with NoSQL implementation (Mongo, Cassandra)
* 4\+ years of data warehousing experience (Redshift or Snowflake)
* 4\+ years of experience with UNIX/Linux including basic commands and shell scripting
* 2\+ years of experience with Agile engineering practices
*At this time, Capital One will not sponsor a new applicant for employment authorization, or offer any immigration related support for this position (i.e. H1B, F\-1 OPT, F\-1 STEM OPT, F\-1 CPT, J\-1, TN, E\-2, E\-3, L\-1 and O\-1, or any EADs or other forms of work authorization that require immigration support from an employer).*
 The minimum and maximum full\-time annual salaries for this role are listed below, by location. Please note that this salary information is solely for candidates hired to perform work within one of these locations, and refers to the amount Capital One is willing to pay at the time of this posting. Salaries for part\-time roles will be prorated based upon the agreed upon number of hours to be regularly worked.
 McLean, VA: $197,300 \- $225,100 for Lead Data Engineer
 Richmond, VA: $179,400 \- $204,700 for Lead Data Engineer
 Candidates hired to work in other locations will be subject to the pay range associated with that location, and the actual annualized salary amount offered to any candidate at the time of hire will be reflected solely in the candidate’s offer letter.
 This role is also eligible to earn performance based incentive compensation, which may include cash bonus(es) and/or long term incentives (LTI). Incentives could be discretionary or non discretionary depending on the plan.
 Capital One offers a comprehensive, competitive, and inclusive set of health, financial and other benefits that support your total well\-being. Learn more at the Capital One Careers website. Eligibility varies based on full or part\-time status, exempt or non\-exempt status, and management level.
 This role is expected to accept applications for a minimum of 5 business days.
 No agencies please. Capital One is an equal opportunity employer (EOE, including disability/vet) committed to non\-discrimination in compliance with applicable federal, state, and local laws. Capital One promotes a drug\-free workplace. Capital One will consider for employment qualified applicants with a criminal history in a manner consistent with the requirements of applicable laws regarding criminal background inquiries, including, to the extent applicable, Article 23\-A of the New York Correction Law; San Francisco, California Police Code Article 49, Sections 4901\-4920; New York City’s Fair Chance Act; Philadelphia’s Fair Criminal Records Screening Act; and other applicable federal, state, and local laws and regulations regarding criminal background inquiries.
 If you have visited our website in search of information on employment opportunities or to apply for a position, and you require an accommodation, please contact Capital One Recruiting at 1\-800\-304\-9102 or via email at RecruitingAccommodation@capitalone.com. All information you provide will be kept confidential and will be used only to the extent required to provide needed reasonable accommodations.
 For technical support or questions about Capital One's recruiting process, please send an email to Careers@capitalone.com
 Capital One does not provide, endorse nor guarantee and is not liable for third\-party products, services, educational tools or other information available through this site.
 Capital One Financial is made up of several different entities. Please note that any position posted in Canada is for Capital One Canada, any position posted in the United Kingdom is for Capital One Europe and any position posted in the Philippines is for Capital One Philippines Service Corp. (COPSSC).</t>
        </is>
      </c>
    </row>
    <row r="143">
      <c r="A143" t="inlineStr">
        <is>
          <t>li-4361195630</t>
        </is>
      </c>
      <c r="B143" t="inlineStr">
        <is>
          <t>Lead Data Engineer (Intelligent Foundations and Experiences)</t>
        </is>
      </c>
      <c r="C143" t="inlineStr">
        <is>
          <t>Capital One</t>
        </is>
      </c>
      <c r="D143" t="inlineStr">
        <is>
          <t>linkedin</t>
        </is>
      </c>
      <c r="E143">
        <f>HYPERLINK("https://www.linkedin.com/jobs/view/4361195630", "https://www.linkedin.com/jobs/view/4361195630")</f>
        <v/>
      </c>
      <c r="F143" t="inlineStr"/>
      <c r="G143" t="inlineStr">
        <is>
          <t>McLean, VA</t>
        </is>
      </c>
      <c r="H143" t="inlineStr"/>
      <c r="I143" t="inlineStr">
        <is>
          <t>**Do you love building and pioneering in the technology space? Do you enjoy solving complex business problems in a fast\-paced, collaborative, inclusive, and iterative delivery environment? At Capital One, you'll be part of a big group of makers, breakers, doers and disruptors, who solve real problems and meet real customer needs. We are seeking
 **Data Engineers** 
 who are passionate about marrying data with emerging technologies. As a Capital One Lead Data Engineer, you’ll have the opportunity to be on the forefront of driving a major transformation within Capital One.**
****Intelligent Foundations \&amp; Experiences (IFX)** 
 is a powerful collective of horizontal technology organizations that are driving Capital One’s real\-time intelligent future. Together with our partners in the Enterprise and across lines of business, we deliver broad\-reaching technical solutions and advance state\-of\-the\-art science to help every Capital One associate and our 100\+M customers succeed.**
****What You’ll Do:****
* Collaborate with and across Agile teams to design, develop, test, implement, and support technical solutions in full\-stack development tools and technologies
* Work with a team of developers with deep experience in machine learning, distributed microservices, and full stack systems
* Utilize programming languages like Java, Scala, Python and Open Source RDBMS and NoSQL databases and Cloud based data warehousing services such as Redshift and Snowflake
* Share your passion for staying on top of tech trends, experimenting with and learning new technologies, participating in internal \&amp; external technology communities, and mentoring other members of the engineering community
* Collaborate with digital product managers, and deliver robust cloud\-based solutions that drive powerful experiences to help millions of Americans achieve financial empowerment
* Perform unit tests and conduct reviews with other team members to make sure your code is rigorously designed, elegantly coded, and effectively tuned for performance
****Basic Qualifications:****
* Bachelor’s Degree
* At least 4 years of experience in application development (Internship experience does not apply)
* At least 2 years of experience in big data technologies
* At least 1 year experience with cloud computing (AWS, Microsoft Azure, Google Cloud)
****Preferred Qualifications:****
* 7\+ years of experience in application development including Python, SQL, Scala, or Java
* 4\+ years of experience with a public cloud (AWS, Microsoft Azure, Google Cloud)
* 4\+ years experience with Distributed data/computing tools (MapReduce, Hadoop, Hive, EMR, Kafka, Spark, Gurobi, or MySQL)
* 4\+ year experience working on real\-time data and streaming applications
* 4\+ years of experience with NoSQL implementation (Mongo, Cassandra)
* 4\+ years of data warehousing experience (Redshift or Snowflake)
* 4\+ years of experience with UNIX/Linux including basic commands and shell scripting
* 2\+ years of experience with Agile engineering practices
***At this time, Capital One will not sponsor a new applicant for employment authorization, or offer any immigration related support for this position (i.e. H1B, F\-1 OPT, F\-1 STEM OPT, F\-1 CPT, J\-1, TN, E\-2, E\-3, L\-1 and O\-1, or any EADs or other forms of work authorization that require immigration support from an employer).***
 The minimum and maximum full\-time annual salaries for this role are listed below, by location. Please note that this salary information is solely for candidates hired to perform work within one of these locations, and refers to the amount Capital One is willing to pay at the time of this posting. Salaries for part\-time roles will be prorated based upon the agreed upon number of hours to be regularly worked.
 McLean, VA: $193,400 \- $220,700 for Lead Data Engineer
 Plano, TX: $175,800 \- $200,700 for Lead Data Engineer
 Richmond, VA: $175,800 \- $200,700 for Lead Data Engineer
 Candidates hired to work in other locations will be subject to the pay range associated with that location, and the actual annualized salary amount offered to any candidate at the time of hire will be reflected solely in the candidate’s offer letter.
 This role is also eligible to earn performance based incentive compensation, which may include cash bonus(es) and/or long term incentives (LTI). Incentives could be discretionary or non discretionary depending on the plan.
 Capital One offers a comprehensive, competitive, and inclusive set of health, financial and other benefits that support your total well\-being. Learn more at the Capital One Careers website. Eligibility varies based on full or part\-time status, exempt or non\-exempt status, and management level.
 This role is expected to accept applications for a minimum of 5 business days.
 No agencies please. Capital One is an equal opportunity employer (EOE, including disability/vet) committed to non\-discrimination in compliance with applicable federal, state, and local laws. Capital One promotes a drug\-free workplace. Capital One will consider for employment qualified applicants with a criminal history in a manner consistent with the requirements of applicable laws regarding criminal background inquiries, including, to the extent applicable, Article 23\-A of the New York Correction Law; San Francisco, California Police Code Article 49, Sections 4901\-4920; New York City’s Fair Chance Act; Philadelphia’s Fair Criminal Records Screening Act; and other applicable federal, state, and local laws and regulations regarding criminal background inquiries.
 If you have visited our website in search of information on employment opportunities or to apply for a position, and you require an accommodation, please contact Capital One Recruiting at 1\-800\-304\-9102 or via email at RecruitingAccommodation@capitalone.com. All information you provide will be kept confidential and will be used only to the extent required to provide needed reasonable accommodations.
 For technical support or questions about Capital One's recruiting process, please send an email to Careers@capitalone.com
 Capital One does not provide, endorse nor guarantee and is not liable for third\-party products, services, educational tools or other information available through this site.
 Capital One Financial is made up of several different entities. Please note that any position posted in Canada is for Capital One Canada, any position posted in the United Kingdom is for Capital One Europe and any position posted in the Philippines is for Capital One Philippines Service Corp. (COPSSC).</t>
        </is>
      </c>
    </row>
    <row r="144">
      <c r="A144" t="inlineStr">
        <is>
          <t>li-4361563944</t>
        </is>
      </c>
      <c r="B144" t="inlineStr">
        <is>
          <t>Data Engineer- AI/ML</t>
        </is>
      </c>
      <c r="C144" t="inlineStr">
        <is>
          <t>Diligente Technologies</t>
        </is>
      </c>
      <c r="D144" t="inlineStr">
        <is>
          <t>linkedin</t>
        </is>
      </c>
      <c r="E144">
        <f>HYPERLINK("https://www.linkedin.com/jobs/view/4361563944", "https://www.linkedin.com/jobs/view/4361563944")</f>
        <v/>
      </c>
      <c r="F144" t="inlineStr"/>
      <c r="G144" t="inlineStr">
        <is>
          <t>Palo Alto, CA</t>
        </is>
      </c>
      <c r="H144" t="inlineStr"/>
      <c r="I144" t="inlineStr">
        <is>
          <t>**Role: Data Engineer and Lead Engineer** 
**Employment Type: Full time** 
**City: Palo Alto** 
**State: California** 
**Also open to contract to hire** 
**Hybrid role** 
**Description:** 
**A Brief Overview** 
 The Data Engineer will be part of a team building solutions incorporating Artificial Intelligence including providing health care solutions in the areas of patient care, medical research and administrative services. This group is designed to bring Artificial Intelligence (AI), predictive algorithms and other emerging machine learning (ML) based innovations in data science into healthcare and will partner closely with individuals across clinical specialties and operations areas to deploy algorithms that can lead to better patient outcomes. Reporting to the Data Science Director and working closely with Chief Data Scientist, this role will be responsible for maintaining compute frameworks, analysis tooling, and/or model implementations used or created by the team. The individual will design, implement, and support data processing software and infrastructure.
**What you will do** 
* Build end\-to\-end data pipelines and infrastructure for ML models used by the Data Science team and others at SHC.
* Understand the requirements of data processing and analysis pipelines and make appropriate technical design and interface decisions. Elucidating these requirements will require training, developing, and validating researcher\-built or vendor provided machine learning algorithms on hospital data as well as working with other members of the data science team.
* Understand data flows among the SHC applications and use this knowledge to make recommendations and design decisions for languages, tools, and platforms used in software and data projects.
* Troubleshoot and debug environment and infrastructure problems found in production and non\-production environments for projects by the Data Science Team.
* Work with other groups at SHC and the Technology and Digital Solutions (TDS) group to ensure servers and system maintenance based on updates, system requirements, data usage, and security requirements
**Education Qualifications** 
* Bachelor’s or Master’s degree in Computer Science, Engineering, or related, or equivalent working experience
* Bachelor’s or Master’s degree in Computer Science, Engineering, or related, or equivalent working experience
**Experience Qualifications** 
* 2\+ years’ experience in building data infrastructure for analytics teams, including ability to write code in SQL, R, or Python for processing large datasets in distributed cloud environments
* Experience with cloud deployment strategies and CI/CD
* Experience building and working with data infrastructure in a SaaS environment
**Preferred Knowledge, Skills and Abilities** 
* Knowledge of multiple programming languages, commitment to choosing languages based on project\-specific requirements, and willingness to learn new programming languages as necessary.
* Knowledge of resource management and automation approaches such as workflow runners.
* Collaborative mentality and excitement for iterative design working closely with the Data Science team.</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2026-02-03T01:11:06Z</dcterms:created>
  <dcterms:modified xsi:type="dcterms:W3CDTF">2026-02-03T01:11:06Z</dcterms:modified>
</cp:coreProperties>
</file>