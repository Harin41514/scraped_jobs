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in-7b6cb33a87deb9d1</t>
        </is>
      </c>
      <c r="B2" t="inlineStr">
        <is>
          <t>Pharma/Healthcare Growth Account Executive/Program Manager</t>
        </is>
      </c>
      <c r="C2" t="inlineStr">
        <is>
          <t>CapTech Consulting</t>
        </is>
      </c>
      <c r="D2" t="inlineStr">
        <is>
          <t>indeed</t>
        </is>
      </c>
      <c r="E2" t="inlineStr"/>
      <c r="F2" t="inlineStr"/>
      <c r="G2" t="inlineStr">
        <is>
          <t>Philadelphia, PA, US</t>
        </is>
      </c>
      <c r="H2" s="2" t="n">
        <v>46055</v>
      </c>
      <c r="I2" t="inlineStr">
        <is>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Learn more at captechconsulting.com.
 **Job Description**  
We are seeking an exceptionally motivated Pharma/Healthcare Growth Account Executive who thrives on uncovering opportunities, seeking out and solving client challenges creatively, and building lasting relationships that fuel account expansion. In this role, you will position CapTech for continued growth by combining delivery excellence with proactive business development.
You will balance strategic account leadership with hands\-on execution, serving as both a trusted advisor to the client and a growth catalyst for CapTech. Success requires operating with a sense of urgency, the flexibility to adapt to client needs and market realities, the curiosity of a problem\-seeker, and the confidence to lead dynamically while delivering measurable value.
Responsibilities
* Drive Account Growth: Develop and execute account growth strategies, including playbook creation, pipeline development, and targeted relationship plans.
* Activate your Network: Leverage an established network to accelerate revenue growth from day one. Maintain and expand personal and professional relationships, bringing in warm leads and active opportunities.
* Upsell \&amp; Cross\-Sell: Expand CapTech’s footprint by introducing new services, ensuring we are seen as a critical extension of the client’s business.
* Expand Opportunities: Identify, pursue, and secure new business opportunities within existing accounts, delivering consistent year\-over\-year revenue growth.
* Balance Growth \&amp; Delivery: Split time and focus between business development and delivery oversight across consulting solutions.
* Stay current: Rapidly build expertise in CapTech’s solutions and maintain deep awareness of emerging industry trends, technologies, and market dynamics.
* Deliver Value: Translate client needs into innovative solutions that create measurable business impact.
* Ensure Account Health: Oversee financial and operational management of the account, including margin, forecasting, and resource alignment, ensuring long\-term sustainability alongside growth.
* Engage Clients Deeply: Prioritize building relationships, in\-person whenever possible. Immerse yourself in client culture, community, and leadership forums to strengthen trust and establish CapTech as a strategic partner.
* Lead with Agility: Adapt quickly to evolving client priorities and market shifts, ensuring CapTech remains a relevant and trusted partner.
* Ensure Delivery Excellence: Lead cross\-functional teams, manage stakeholder expectations, and resolve issues quickly to protect client satisfaction and trust.
* Coach \&amp; Develop Talent: Mentor account managers and consultants on relationship building, opportunity identification, and growth best practices.
* Execute with Impact: Lead proposals, SOWs, and growth initiatives while proactively introducing CapTech’s broader service offerings.
* Collaborate with Candor: Communicate thoughts and perspective with internal team and external client and challenge appropriately, pressure test assumptions and develop trust and credibility.
* Demonstrate Commercial Mindset: Lead client negotiations to secure multi\-year deals, renewals or expansions and act as a financial steward of CapTech and clients.
* Think Beyond the Sale: Understand how problems/solutions extend beyond the immediate buyer and the upstream and downstream impacts to stakeholders across the value chain and alignment to enterprise strategy.
 **Qualifications**  
Qualifications
* Bachelor’s degree in Business Administration, IT, or equivalent experience
* 8\+ years of consulting or industry experience with proven account management responsibilities
* 8\+ years of program/project management experience leading technology initiatives
* Demonstrated success driving account growth and managing large, complex engagements
* Proven ability to build and execute sales pipelines, expand client revenue, and consistently meet/exceed growth targets
* Experience managing accounts up to and greater than $5M in revenue with demonstrated experience growing accounts by 15\-20% annually
* Ability to be on\-site up to 5 days a week with some travel to be customized by account requirement
* Experience with Pharmaceutical Distribution and Logistics, Specialty Manufacturing
* Experience with Patient Support Programs – Modernizations, Integrations etc.
* Experience with Supply Chain, Healthcare, Life Sciences
* Experience shaping and selling digital transformation initiatives with emphasis on data \&amp; interoperability modernization, AI\-enabled operations, patient/member digital experience, and fraud/waste/abuse reduction
* Skilled in developing joint account plans with consulting, delivery, and alliance/partner teams to accelerate growth.
* Demonstrated ability to navigate complex procurement cycles and influence buying decisions in highly regulated payer environments.
* Strong experience engaging and influencing C\-suite executives and senior client stakeholders
* Flexibility to adapt strategies to shifting client needs and market dynamics
* Problem\-seeker mindset: anticipates challenges and frames them into tailored, outcome\-driven solutions
* Dynamic leadership presence and the ability to guide clients and teams with confidence and influence
* Value creator with a passion for delivering measurable business outcomes that advance client success
* Entrepreneurial drive to identify opportunities early and act decisively and with urgency to capture them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At this time, CapTech cannot transfer nor sponsor a work visa for this position. Applicants must be authorized to work directly for any employer in the United States without visa sponsorship.
\#LI\-JB1
\#LI\-hybrid</t>
        </is>
      </c>
    </row>
    <row r="3">
      <c r="A3" t="inlineStr">
        <is>
          <t>in-ca343ae320a0c230</t>
        </is>
      </c>
      <c r="B3" t="inlineStr">
        <is>
          <t>Public Education Program Manager</t>
        </is>
      </c>
      <c r="C3" t="inlineStr">
        <is>
          <t>OneOhio Recovery Foundation</t>
        </is>
      </c>
      <c r="D3" t="inlineStr">
        <is>
          <t>indeed</t>
        </is>
      </c>
      <c r="E3" t="inlineStr"/>
      <c r="F3" t="inlineStr"/>
      <c r="G3" t="inlineStr">
        <is>
          <t>Westerville, OH, US</t>
        </is>
      </c>
      <c r="H3" s="2" t="n">
        <v>46055</v>
      </c>
      <c r="I3" t="inlineStr">
        <is>
          <t>*Please include a cover letter describing your relevant experience and interest in this role. Applications missing a cover letter may not be reviewed.*
**Job Summary**  
The Public Education Program Manager is responsible for executing key project deliverables for OneOhio Recovery Foundation’s public education initiatives related to cannabis prevention. This role leads day\-to\-day implementation of multiple contract deliverables, ensuring activities are completed on time, within scope, and in full compliance with contract requirements.
Working under the direction of the Director of Impact \&amp; Communications, the Program Manager coordinates across internal teams, subcontractors, and vendors to implement evidence\-based public education strategies. The position also supports stakeholder engagement and public\-facing events in collaboration with the OneOhio Partnership \&amp; Outreach Manager.
**Duties**
The essential functions include, but are not limited to the following:
**Contract Deliverable Execution \&amp; Compliance**
* Lead execution of assigned deliverables of the public education program.
* Ensure all program activities comply with contract requirements, approved scopes of work, and timelines.
* Track progress on deliverables and provide regular updates to the Director of Impact \&amp; Communications.
* Support preparation of documentation, reports, and materials required for contract monitoring and review.
**Program Implementation \&amp; Coordination**
* Manage day\-to\-day implementation of public education activities, including content development, campaign rollouts, and educational initiatives.
* Coordinate with internal teams and external vendors to ensure deliverables are aligned with project goals and prevention best practices.
* Identify implementation risks and proactively propose solutions to maintain contract compliance and performance.
**Creative, Media \&amp; Vendor Oversight**
* Provide guidance to the Project Manager for Creative Development and Media Buy.
* Coordinate creative and media workflows to ensure products meet contract specifications, messaging guidelines, and timelines.
* Support oversight of vendors and subcontractors in collaboration with the Director of Impact \&amp; Communications.
**Stakeholder Engagement \&amp; Events**
* Support community and stakeholder engagement activities related to the cannabis prevention initiative.
* Coordinate with the OneOhio Partnership \&amp; Outreach Manager on planning and execution of events, briefings, and outreach activities.
* Assist in preparing materials and logistics for public meetings, presentations, and stakeholder convenings.
**Quality Assurance \&amp; Continuous Improvement**
* Review program materials and deliverables to ensure accuracy, consistency, and alignment with prevention science and state guidance.
* Incorporate feedback from stakeholders, partners, and evaluation activities into program implementation.
* Support continuous improvement efforts by identifying opportunities to enhance reach, effectiveness, and engagement.
**Qualifications**
* Bachelor’s degree required; degree in public health, communications, education, public policy, or a related field preferred.
* 5–7\+ years of experience in program management, public education, prevention, or communications.
* Experience implementing government\-funded or contract\-based projects.
* Demonstrated ability to manage multiple deliverables and deadlines simultaneously.
* Experience supervising staff or coordinating cross\-functional teams.
* Strong organizational, communication, and collaboration skills.
**Preferred Experience**
* Experience supporting statewide public education or prevention campaigns.
* Familiarity with cannabis prevention, substance use prevention, or public health education.
* Experience coordinating creative, media, or communications projects.
* Experience working with community partners and diverse stakeholder groups.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low to moderate.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Benefits:
* 401(k)
* Dental insurance
* Health insurance
* Health savings account
* Life insurance
* Parental leave
* Vision insurance
People with a criminal record are encouraged to apply.
Work Location: Hybrid remote in Westerville, OH 43082
Pay: $90,000\.00 \- $120,000\.00 per year
Benefits:
* 401(k)
* Dental insurance
* Health insurance
* Health savings account
* Life insurance
* Parental leave
* Vision insurance
People with a criminal record are encouraged to apply
Application Question(s):
* Please share your expected annual salary range for this position.
Education:
* Bachelor's (Preferred)
Willingness to travel:
* 25% (Preferred)
Work Location: Hybrid remote in Westerville, OH 43082</t>
        </is>
      </c>
    </row>
    <row r="4">
      <c r="A4" t="inlineStr">
        <is>
          <t>in-c430396eab13fa77</t>
        </is>
      </c>
      <c r="B4" t="inlineStr">
        <is>
          <t>Canine Foster Program Manager</t>
        </is>
      </c>
      <c r="C4" t="inlineStr">
        <is>
          <t>Pawmetto Lifeline</t>
        </is>
      </c>
      <c r="D4" t="inlineStr">
        <is>
          <t>indeed</t>
        </is>
      </c>
      <c r="E4" t="inlineStr"/>
      <c r="F4" t="inlineStr"/>
      <c r="G4" t="inlineStr">
        <is>
          <t>Columbia, SC, US</t>
        </is>
      </c>
      <c r="H4" s="2" t="n">
        <v>46055</v>
      </c>
      <c r="I4" t="inlineStr">
        <is>
          <t>Pawmetto Lifeline is a private not for profit organization. We are an animal advocacy organization offering educational and medical programs for pets with a focus on pet retention. Our goal is to ensure pets are never homeless by supporting pet owners in need of our services with the hopes that their pet never enters a shelter. Rescue work is 24/7\. There are no 9\-5 jobs. The work environment is very stressful as we are dealing with people and animals in crisis.
These are the perfect qualifications for any position at Pawmetto Lifeline: strong work ethic, belief in our mission, animal rescue work and improving community outcomes are your passion and that you thrive in a stressful, unpredictable environment. If you meet these qualifications, please review the following openings at Pawmetto Lifeline.
Pawmetto Lifeline is a non\-profit rescue organization that strives towards the goal of a no\-kill community and state through adoption, pet retention, rescue partnerships and medical services. The employees are the passionate and work tirelessly to help every animal in the community and believe that no pet should die simply because they are homeless.
We seek team members that have a passion for animals and want to continue to help every animal reach tomorrow. Excellent employment opportunities are available for individuals who are hardworking, energetic, customer\- focused and enjoy a fast\-paced rewarding work environment.
Pawmetto Lifeline offers a benefits package to full time employees:
* Medical (Health \&amp; Dental)
* Paid Leave \&amp; Sick Time
* Discounted rates for their pet vaccines, veterinarian care and medications
Schedule: Tuesday – Saturday from 9:00am – 6:00pm
**The work schedule includes Saturdays.**
**Foster Program Coordinator \- $13\.00 \- $16\.00/hour based on**
Duties/Responsibilities:
· Print foster applications daily
· Assist in coordinating and completing foster animal pick\-ups and drop offs
· Provide excellent customer service to pet parents and potential fosters.
· Match foster families with appropriate foster animals based on their skills and living environment.
· Assure that all foster volunteers receive the necessary training and support to perform their foster care responsibilities.
· Provide ongoing assistance, coaching, and moral support to foster families.
· Respond to emails and phone calls from pet and foster parents within a timely manner on workdays.
· Approve or deny foster applications.
· Actively recruit new foster families.
· Maintain an organized, accessible list of foster families, availability, and contact information for all foster families.
· Must be comfortable with working with animals in your office space.
· Maintain foster files and documentation of foster applications.
· Work directly with the Operations Manager to evaluate and identify animals that are candidates for the foster program.
· Work directly with the Shelter Medicine Director to determine appropriate medical treatment needed for foster animals.
· Report any foster family concerns to the appropriate medical treatment needed for foster animals.
· Report any foster family concerns to the appropriate staff member.
· Schedule vaccines and medication pickup as needed with foster families.
· Maintain and track supplies for foster program.
Required Skills/Abilities:
· Excellent verbal and written communication skills.
· Excellent interpersonal and customer service skills.
· Must be comfortable with cats and dogs
· **Proficient in Microsoft Office Suite and related software.**
· Excellent organizational skills and attention to detail.
· Ability to work independently.
Education and Experience:
· High school diploma or equivalent.
· This position prefers the applicant to have at least one year of experience working or volunteering for animal welfare organization.
· Ability to communicate with the public and co\-workers in a professional, pleasant, courteous, tactful, and effective manner always.
· Ability to learn various breed identifications of dogs and cats.
· **Computer skills in Windows including Word, Excel, Power Point, Pet Point.**
* Social media skills and graphic design are **highly desirable**.
Physical Requirements:
· Must be able to lift up to 50 lbs
Job Type: Full\-time
Pay: $38,000\.00 \- $42,000\.00 per year
Benefits:
* Dental insurance
* Employee assistance program
* Employee discount
* Health insurance
* Life insurance
* Paid time off
* Vision insurance
Experience:
* Animal handling: 1 year (Preferred)
* Supervising: 2 years (Required)
* Management: 2 years (Required)
Ability to Relocate:
* Columbia, SC 29212: Relocate before starting work (Required)
Work Location: In person</t>
        </is>
      </c>
    </row>
    <row r="5">
      <c r="A5" t="inlineStr">
        <is>
          <t>in-36cd0ee4defaac8d</t>
        </is>
      </c>
      <c r="B5" t="inlineStr">
        <is>
          <t>IT Program Manager</t>
        </is>
      </c>
      <c r="C5" t="inlineStr">
        <is>
          <t>SOSi</t>
        </is>
      </c>
      <c r="D5" t="inlineStr">
        <is>
          <t>indeed</t>
        </is>
      </c>
      <c r="E5" t="inlineStr"/>
      <c r="F5" t="inlineStr"/>
      <c r="G5" t="inlineStr">
        <is>
          <t>Ashburn, VA, US</t>
        </is>
      </c>
      <c r="H5" s="2" t="n">
        <v>46055</v>
      </c>
      <c r="I5"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***\*\*This position is contingent upon contract award\*\****
SOSi is seeking a Program Manager to lead delivery of a DHS enterprise cybersecurity program providing 24/7 Security Operations Center (SOC) services. This role owns program governance, cost/schedule/performance, stakeholder engagement, and transition/continuous improvement across cyber defense, IR, CTI, engineering, and modernization functions.
**Responsibilities**
* Direct overall program execution, staffing, performance management, and risk/issue escalation.
* Serve as the primary interface with CBP/DHS stakeholders, lead governance reviews and briefings.
* Ensure SLA compliance, reporting accuracy, and on\-time, high\-quality deliverables.
* Oversee transition\-in/out, continuity of operations, and change management.
* Maintain compliance with DHS/CBP security, privacy, and policy requirements, coordinate audits and corrective actions.
* Drive modernization initiatives (automation, Zero Trust visibility, cloud integrations) in partnership with engineering leads.
**Qualifications**  
* **Experience**: 10\+ years managing enterprise IT/cyber programs, including SOC operations; DHS or law\-enforcement experience preferred.
* **Education**: Bachelor’s degree (Master’s preferred).
* **Certifications** (Required): PMP and CISSP.
* **Clearance/Suitability**: Must be able to obtain/maintain a Tier 5 (T5\) investigation; CBP CSD may require TS or TS/SCI on a case\-by\-case basis.
**Additional Information** **Work Environment**
* Work hybrid/on\-site as required.
* Normal office conditions with potential to perform duties in CONUS locations.
* Core hours of operation are Monday through Friday, 0600 – 1700\.
* May be requested to work evenings and weekends to meet program and contract needs.
**Working at SOSi**
All interested individuals will receive consideration and will not be discriminated against for any reason.</t>
        </is>
      </c>
    </row>
    <row r="6">
      <c r="A6" t="inlineStr">
        <is>
          <t>in-418bdb18a41e0346</t>
        </is>
      </c>
      <c r="B6" t="inlineStr">
        <is>
          <t>Deputy Program Manager</t>
        </is>
      </c>
      <c r="C6" t="inlineStr">
        <is>
          <t>SOSi</t>
        </is>
      </c>
      <c r="D6" t="inlineStr">
        <is>
          <t>indeed</t>
        </is>
      </c>
      <c r="E6" t="inlineStr"/>
      <c r="F6" t="inlineStr"/>
      <c r="G6" t="inlineStr">
        <is>
          <t>Ashburn, VA, US</t>
        </is>
      </c>
      <c r="H6" s="2" t="n">
        <v>46055</v>
      </c>
      <c r="I6"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***\*\*This position is contingent upon contract award\*\****
SOSi is seeking highly qualified senior professionals to support a DHS enterprise cybersecurity program providing 24/7 Security Operations Center (SOC) services. These roles deliver leadership, operational oversight, and technical expertise across cyber defense, incident response, intelligence, engineering, and modernization activities.
**Job Description**
The Deputy Program Manager supports the PM in day\-to\-day program governance, surge and transition management, and cross\-team coordination for a DHS enterprise SOC, ensuring mission continuity across IR, CTI, engineering, and vulnerability management.
**Responsibilities**
* Coordinate staffing plans, onboarding, and surge management for 24/7 operations.
* Support transition activities, COOP planning, and quality/risk management.
* Align delivery teams to program objectives, SLAs, and reporting cadence.
* Prepare executive dashboards, performance metrics, and contractual deliverables.
**Qualifications**  
* **Experience**: 5\+ years managing IT or network support/cyber programs (7–8\+ preferred for large\-scale SOC environments).
* **Education**: Bachelor’s degree in Computer Science, Engineering, IT, or Cybersecurity (or equivalent experience).
* **Certifications** (Required – one of): CISSP, ISSMP, CISM, or PMP.
* **Clearance/Suitability**: Must be able to obtain/maintain a Tier 5 (T5\) investigation; CBP CSD may require TS or TS/SCI.
**Additional Information** **Work Environment**
* Normal office conditions with potential to perform duties in various CONUS locations.
* Core hours of operation are Monday through Friday, 0600 – 1700\.
* May be requested to work evenings and weekends to meet program and contract needs.
**Working at SOSi**
All interested individuals will receive consideration and will not be discriminated against for any reason.</t>
        </is>
      </c>
    </row>
    <row r="7">
      <c r="A7" t="inlineStr">
        <is>
          <t>in-d121f7e9bffd98f0</t>
        </is>
      </c>
      <c r="B7" t="inlineStr">
        <is>
          <t>Senior Program Manager (Secret) {D}</t>
        </is>
      </c>
      <c r="C7" t="inlineStr">
        <is>
          <t>ARKA Group</t>
        </is>
      </c>
      <c r="D7" t="inlineStr">
        <is>
          <t>indeed</t>
        </is>
      </c>
      <c r="E7" t="inlineStr"/>
      <c r="F7" t="inlineStr"/>
      <c r="G7" t="inlineStr">
        <is>
          <t>Danbury, CT, US</t>
        </is>
      </c>
      <c r="H7" s="2" t="n">
        <v>46055</v>
      </c>
      <c r="I7" t="inlineStr">
        <is>
          <t>ARKA Group L.P. is an advanced technologies company serving the U.S. military, intelligence community, and commercial space industry delivering next\-generation solutions to support the national security space domain. ARKA has a 60\-year legacy reaching back to the very beginning of our country’s space endeavors. We’re a legacy of mission excellence built on ground\-breaking technologies.
Join the ARKA mission and discover your next career opportunity now!
**Position Overview:**
Our space portfolio develops and provides high reliability electronics, sensors and data processing products that protect the warfighter, provide the nation’s decision and policy maker’s essential information for strategic and tactical planning and policy operations.
At ARKA Group's Danbury Mission Technologies, the Program Manager is responsible for management of sophisticated Space programs to include successful delivery in accordance with cost, schedule, quality and technical performance requirements as governed by internal requirements and contractual flow\-downs. The program manager leads the integrated product team to deliver a product of the highest quality and reliability. The program manager is the primary interface with the customer ensuring mission success.
**Responsibilities:**
* Planning, direction, and control to meet cost, schedule, and performance goals throughout the program life cycle
* Effective management of a large size Integrated Product Team, resource planning, and financial execution
* Able to recognize and act on new business development opportunities
* Management, oversight and coaching to all direct program Cost Account Managers (CAMs)
* Working with other functional department leaders, defining, prioritizing, and developing program requirements and execution plans
* Managing and directing root cause and corrective efforts and failure review boards
* Responsible for all activities associated with large proposal preparation, proposal team performance, execution and OTD
* Lead monthly program reviews that identify EAC (estimate at completion) sustainment, financial and schedule performance, risk management burn down, root\-cause and corrective action as well and continuous improvement
* Enforcing all processes for identifying, assessing, monitoring and mitigating risk throughout the program life cycle
* Understanding and implementing lean process improvement principles
* Interfacing with the Senior Leadership Team, General Management and external customers
* Supporting business development and portfolio managers to enhance sales and provide future opportunities for existing customers and solutions for new customers
**Basic Qualifications:**
* Bachelor's of science degree in engineering, finance or business management
* 10\+ years of experience in the department of defense (DoD) and space industry
* 5 \- 7 years direct Program Manager experience in managing NRE program development, hardware assembly, integration, and testing related to defense and space projects
* Significant experience throughout the program lifecycle from development through sustainment to include proposal development, requirements decomposition, generation of system and subsystem statements of work (SOW) and subcontracts, risk management, and continuous improvement efforts including implementation for cost reduction and performance improvement efforts
* Experience with Earned Value Management (EVM), cost accounting and reporting; experience with metrics for assessing and reporting program progress, productivity and variance analysis
* Knowledge of finance, contracts, Bill of Materials (BoM)/pricing, export regulations, engineering, logistics, manufacturing and supply chain management
* High level of interpersonal skills and the ability to communicate with senior management
* Excellent program and time management skills are essential
* Solid understanding of Space Program Management logistics, technical data, and associated deliverables
* Active U.S. Government Security Clearance (we will consider candidates who have been debriefed within the past 24 months and who are able to be crossed over within 3 months).
**Preferred Qualifications:**
* Advanced degree
**Location: Danbury, CT**
The position is located onsite at our facility in **Danbury, CT**. Located in beautiful Fairfield County, Danbury offers a diverse economy, wonderful parks, cultural attractions, an impressive mix of private and public educational institutions and a vibrant arts scene. Our facility is nestled among a remarkable selection of communities to call home all with varying price points to fit many different budgets. We’re close to New York City, Boston, and other major cities – great for day trips and weekend getaways. Our lovely seasons along with award\-winning institutions, colleges, cultural events, and a genuine sense of community brings a diverse population to the beautiful state of Connecticut!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Continuing education benefit for approved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Secret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8">
      <c r="A8" t="inlineStr">
        <is>
          <t>in-9a7f851dcf5f2101</t>
        </is>
      </c>
      <c r="B8" t="inlineStr">
        <is>
          <t>Program Manager II, Hardware Development, Pixel</t>
        </is>
      </c>
      <c r="C8" t="inlineStr">
        <is>
          <t>Google</t>
        </is>
      </c>
      <c r="D8" t="inlineStr">
        <is>
          <t>indeed</t>
        </is>
      </c>
      <c r="E8" t="inlineStr"/>
      <c r="F8" t="inlineStr"/>
      <c r="G8" t="inlineStr">
        <is>
          <t>Chicago, IL, US</t>
        </is>
      </c>
      <c r="H8" s="2" t="n">
        <v>46054</v>
      </c>
      <c r="I8" t="inlineStr">
        <is>
          <t>Note: By applying to this position you will have an opportunity to share your preferred working location from the following: **Mountain View, CA, USA; Chicago, IL, USA**.### **Minimum qualifications:**
* Bachelor's degree or equivalent practical experience.
* 2 years of experience in program or project management.
* Experience in device manufacturing, process engineering or product design.
* Experience working with original equipment manufacturer (OEM) partners in a manufacturing environment.
### **Preferred qualifications:**
* 2 years of experience managing cross\-functional or cross\-team projects.
* Experience with manufacturing process development and transitioning new products through full product lifecycle.
* Experience with mechanical design tools such as Solidworks or NX.
* Experience assessing manufacturing processes through the use of process failure mode and effects analysis (PFMEA), process monitors, capability analysis, root cause analysis and design of experiments.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Program Manager, you will help develop the next\-generation of Pixel and wearable technologies that will change how users connect, explore, and interact with information. You will work closely with our engineering teams to manage new problems as we continue to push technology forward. You will be joining a results\-driven team taking creative approaches to manufacture exceptional new hardware products. You will execute efficiently within a collaborative environment that provides every tool and resource you need to get things done at a large scale.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in-24d66b81fd597cb5</t>
        </is>
      </c>
      <c r="B9" t="inlineStr">
        <is>
          <t>Technical Program Manager III, Data Center Infrastructure Cybersecurity</t>
        </is>
      </c>
      <c r="C9" t="inlineStr">
        <is>
          <t>Google</t>
        </is>
      </c>
      <c r="D9" t="inlineStr">
        <is>
          <t>indeed</t>
        </is>
      </c>
      <c r="E9" t="inlineStr"/>
      <c r="F9" t="inlineStr"/>
      <c r="G9" t="inlineStr">
        <is>
          <t>Sunnyvale, CA, US</t>
        </is>
      </c>
      <c r="H9" s="2" t="n">
        <v>46054</v>
      </c>
      <c r="I9" t="inlineStr">
        <is>
          <t>### **Minimum qualifications:**
* Bachelor's degree in Engineering, Science or related field, or equivalent practical experience.
* 5 years of experience in program management.
* 5 years of experience in technical and product program management related to system integration in managing projects.
* 5 years of experience with controls and security systems or a related field.
* Experience with emerging physical security system technologies and trends.
* Experience with data center operational and lifecycle management.
### **Preferred qualifications:**
* 5 years of experience managing cross\-functional or cross\-team projects.
* Knowledge of BMS, PMS, data center operations and cyber security basics to lead an effective program quantifying and reducing cyber risks to the data center systems.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Technical Program Manager, you will lead exploration, development, pilot, validation, deployment, and growth of new products supporting sustainable projects that enable global data centers security, controls and service deployments.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team members and stakeholders to understand or identify defined work problems and program goals, obtain prioritized deliverables, and discuss program impact.
* Identify, communicate, and collaborate with relevant stakeholders within one or more teams to drive impact and work toward mutual goals. Build, maintain and enhance business, operational, and management dashboards.
* Advocate the project team across the upstream and downstream partner teams across the technical infrastructure, to manage data center security and services.
* Be responsible for security operations, vulnerability management and incident response aspects of the cyber security of DC operational technology (OT).
* Run multiple projects from inception through completion using the product life cycle (PLC) process. Understand the dependency of work streams with other partner teams and review teams priority to align with the project.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in-74485006c245d08e</t>
        </is>
      </c>
      <c r="B10" t="inlineStr">
        <is>
          <t>Environmental Health and Safety Program Manager</t>
        </is>
      </c>
      <c r="C10" t="inlineStr">
        <is>
          <t>Google</t>
        </is>
      </c>
      <c r="D10" t="inlineStr">
        <is>
          <t>indeed</t>
        </is>
      </c>
      <c r="E10" t="inlineStr"/>
      <c r="F10" t="inlineStr"/>
      <c r="G10" t="inlineStr">
        <is>
          <t>Atlanta, GA, US</t>
        </is>
      </c>
      <c r="H10" s="2" t="n">
        <v>46054</v>
      </c>
      <c r="I10" t="inlineStr">
        <is>
          <t>### **Minimum qualifications:**
* Bachelor's degree or equivalent practical experience.
* 1 year of experience in program management.
* Experience in EHS program or project management.
* Experience in EHS management systems or managing EHS compliance with environmental programs (e.g., emissions, wastewater, etc.).
### **Preferred qualifications:**
* Master's degree or equivalent practical experience.
* Certifications from Board of Certified Safety Professionals, NEBOSH or equivalent agency.
* Experience communicating with AHJ’s (Federal, State, and Local Authorities) for notifications and permit conformance.
* Experience in data Centers or electrical safety.
* Ability to advise, coach, influence, and collaborate with employees to achieve positive EHS outcomes.
* Excellent collaboration, project management, and communication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an EHS Program Manager, you will be a key contributor to continuous improvement across Google's EHS operations. You will collaborate closely with cross\-functional teams within Google data center departments and contractors to identify and address EHS concerns, risk identification and mitigation. You will ensure the safety of the operations workforce, protection of the environment, and Google’s business. Furthermore, you will provide support with the implementation of new and critical EHS initiatives. This role will require the individual to be onsite 5 days per week.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in partnership on EHS programs and projects to improve business operations and technical aspects while acting as a subject matter expert (SME).
* Ensure compliance with Authority Having Jurisdiction (AHJ) regulations, maintain permits, and monitor program key performance indicators (KPI) performance.
* Execute and manage the site's EHS compliance task/requirements.
* Conduct EHS incident investigation, evaluate incident data and track corrective/preventive actions to closure.
* Organize and execute meetings, reports, and site plans (identify and assess operational EHS risks).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in-7bff4291a5d972f9</t>
        </is>
      </c>
      <c r="B11" t="inlineStr">
        <is>
          <t>Technical Program Manager, Public Sector</t>
        </is>
      </c>
      <c r="C11" t="inlineStr">
        <is>
          <t>Google</t>
        </is>
      </c>
      <c r="D11" t="inlineStr">
        <is>
          <t>indeed</t>
        </is>
      </c>
      <c r="E11" t="inlineStr"/>
      <c r="F11" t="inlineStr"/>
      <c r="G11" t="inlineStr">
        <is>
          <t>Reston, VA, US</t>
        </is>
      </c>
      <c r="H11" s="2" t="n">
        <v>46054</v>
      </c>
      <c r="I11" t="inlineStr">
        <is>
          <t>### **Minimum qualifications:**
* Bachelor's degree in a technical field, or equivalent practical experience.
* 5 years of experience in technology consulting, or similar in the federal government space.
* Experience supporting or driving pre\-business through federal acquisition processes such as capture, solicitation response (RFx writing), or statement of work (SOW) development.
### **Preferred qualifications:**
* Certification in Google Cloud Platform (GCP) and Project Management Professional (PMP).
* Experience collaborating with channel partners, systems integrators, and third\-party developers to deliver high\-impact solutions.
* Experience working with new and emerging technologies, methodologies, and solutions in the cloud and enterprise technology transformation space.
* Experience collaborating with and building technical solutions in partnership with US federal civilian customers.
* Ability to collaborate effectively across organizational boundaries, build relationships, and leverage a cross\-functional team and their ideas to achieve a broader organizational goal.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apply customer\-facing skills and technical acumen to operate as both the go\-to\-market (GTM) lead as well as the program\-level delivery expert. In this role, you will collaborate with our customers and go\-to\-market teams in order to craft and deliver a services strategy that aligns Google technology with customer missions. You will partner closely with account teams and other cross\-functional teams to support pre\-business efforts and pitch to key customer stakeholders resulting in the timely development and presentation of a viable services strategy.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with the GTM and extended Google teams, the full end\-to\-end business\-cycle for professional services engagements and value based initiatives (including business development, Google differentiators, and presenting to C\-level executives).
* Advocate who supports and enables multiple customer stakeholders and leaders through changing needs and identifying critical outcomes in both pre\-business as well as post\-business activities.
* Make recommendations on integration strategies, enterprise architectures, platforms, and application infrastructure required to implement a complete solution.
* Define the scope of projects and develop, execute, or manage project plans for supported programs.
* Collaborate with team members and stakeholders to understand or identify defined work problems and program goals, obtain prioritized deliverables, and discuss program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in-6cfda4a349e607ba</t>
        </is>
      </c>
      <c r="B12" t="inlineStr">
        <is>
          <t>Senior Outbound Product Manager, Generative AI</t>
        </is>
      </c>
      <c r="C12" t="inlineStr">
        <is>
          <t>Google</t>
        </is>
      </c>
      <c r="D12" t="inlineStr">
        <is>
          <t>indeed</t>
        </is>
      </c>
      <c r="E12" t="inlineStr"/>
      <c r="F12" t="inlineStr"/>
      <c r="G12" t="inlineStr">
        <is>
          <t>San Francisco, CA, US</t>
        </is>
      </c>
      <c r="H12" s="2" t="n">
        <v>46054</v>
      </c>
      <c r="I1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**Minimum qualifications:**
* Bachelor's degree or equivalent practical experience.
* 8 years of experience in product management or related technical role.
* 3 years of experience taking technical products from conception to launch (e.g., ideation to execution, 0 to 1, etc.).
* Experience with the domain area of Generative AI or Large Language Models.
###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5 years of experience building Cloud products, with 3 years of experience working with AI.
* Excellent cross\-functional or cross\-organizational relationship\-building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Cloud AI Outbound Product Management (OPM) organization's mission is to scale business growth and adoption of the Cloud AI portfolio by designing and executing with cross\-functional go\-to\-market teams.  
The portfolio includes the Vertex AI platform for AI developers and data scientists, as well as the Gemini Enterprise and Google Search for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Shape the direction of the Cloud AI product roadmap and go\-to\-market strategy.
* Partner with Product Management, Engineering, Product Marketing, AI Sales Specialists, and key GTM cross\-functional teams. Provide user and market insights to help product teams make more informed roadmap decisions.
* Develop differentiated product positioning and messaging, and define and drive go\-to\-market activities that accelerate business performance and customer satisfaction.
* Engage with customers and partners, gathering feedback and infusing insights back into the organization, influencing product strategy, advocating differentiated features, and ensuring effective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in-e72f6ad80ca1c706</t>
        </is>
      </c>
      <c r="B13" t="inlineStr">
        <is>
          <t>Product Manager, Core Store and Ads, Google Play</t>
        </is>
      </c>
      <c r="C13" t="inlineStr">
        <is>
          <t>Google</t>
        </is>
      </c>
      <c r="D13" t="inlineStr">
        <is>
          <t>indeed</t>
        </is>
      </c>
      <c r="E13" t="inlineStr"/>
      <c r="F13" t="inlineStr"/>
      <c r="G13" t="inlineStr">
        <is>
          <t>Mountain View, CA, US</t>
        </is>
      </c>
      <c r="H13" s="2" t="n">
        <v>46054</v>
      </c>
      <c r="I13" t="inlineStr">
        <is>
          <t>### **Minimum qualifications:**
* Bachelor's degree or equivalent practical experience.
* 3 years of experience in product management or a related technical role.
* 1 year of experience taking technical products from conception to launch (e.g., ideation to execution, end\-to\-end, 0 to 1, etc).
* 1 year of experience working cross\-functionally with Engineering, UX/UI, sales, finance, and other stakeholders.
### **Preferred qualifications:**
* Master's degree in a technology or business related field.
* 2 years of experience in a role preparing and delivering technical presentations to the leadership.
* Experience with mobile platforms and app development.
* Experience in data analysis and experiment design.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Articulate and define a product outlook that captures attention and engages action.
* Identify and validate opportunities in the market.
* Define product road maps by operationalizing defined strategy.
* Drive requirements and prioritization by collaborating with partner teams (e.g., engineers, program managers, UX) during design and development.
* Facilitate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in-d7b6d81df59a69c6</t>
        </is>
      </c>
      <c r="B14" t="inlineStr">
        <is>
          <t>Technical Program Manager II, Electronics, Quantum AI</t>
        </is>
      </c>
      <c r="C14" t="inlineStr">
        <is>
          <t>Google</t>
        </is>
      </c>
      <c r="D14" t="inlineStr">
        <is>
          <t>indeed</t>
        </is>
      </c>
      <c r="E14" t="inlineStr"/>
      <c r="F14" t="inlineStr"/>
      <c r="G14" t="inlineStr">
        <is>
          <t>Goleta, CA, US</t>
        </is>
      </c>
      <c r="H14" s="2" t="n">
        <v>46054</v>
      </c>
      <c r="I14" t="inlineStr">
        <is>
          <t>### **Minimum qualifications:**
* Bachelor’s degree in Physics, Applied Physics, Electrical Engineering, a related technical field, or equivalent practical experience.
* 4 years of experience in project/program management.
* 4 years of experience working in systems engineering, hardware development, semiconductor device design and fabrication, or quantum computing.
* Experience in vendor/agreement manufacturing management.
### **Preferred qualifications:**
* Advanced degree in Applied Physics, Electrical Engineering, or related engineering field.
* 2 years of experience managing cross\-functional or cross\-team projects.
* Experience working with emerging technology.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the Quantum AI team, you will usher multi\-disciplinary quantum computing projects through the entire project life\-cycle from initial concept to data collection and analysis, including design, fabrication, test and deployment of control electronics. You will leverage a technical background to define project requirements, assess technical feasibility, plan project schedules and anticipate engineering issues. You will serve as the orchestrator of the execution process, driving timelines and managing dependencies across multiple technical teams. You will be proactive in communicating with stakeholders and tracking progress.The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Support Quantum AI research teams by planning project requirements, managing schedules, leading life\-cycle reviews (e.g., concept and design reviews), and serving as a collaboration interface between technical teams and external partners.
* Anticipate issues and propose solutions, manage dependencies and cross\-functional interfaces, and identify the need to develop or improve tools or processes.
* Document and communicate work plans, timelines, and results to the broader team.
* Build trusted relationships with program stakeholders, managing expectations and ensuring they have the insights needed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in-e4c3f9a60f1daa2d</t>
        </is>
      </c>
      <c r="B15" t="inlineStr">
        <is>
          <t>Automation System Technical Program Manager</t>
        </is>
      </c>
      <c r="C15" t="inlineStr">
        <is>
          <t>Google</t>
        </is>
      </c>
      <c r="D15" t="inlineStr">
        <is>
          <t>indeed</t>
        </is>
      </c>
      <c r="E15" t="inlineStr"/>
      <c r="F15" t="inlineStr"/>
      <c r="G15" t="inlineStr">
        <is>
          <t>Mountain View, CA, US</t>
        </is>
      </c>
      <c r="H15" s="2" t="n">
        <v>46054</v>
      </c>
      <c r="I15" t="inlineStr">
        <is>
          <t>### **Minimum qualifications:**
* Bachelor's degree in a technical field, or equivalent practical experience.
* 8 years of technical program management or equivalent experience in hardware manufacturing or operations.
* Experience in factory processes, specifically SMT, FATP (Final Assembly, Test, and Packout), and quality inspection systems.
### **Preferred qualifications:**
* Experience in ROI methodology, statistical analysis, and managing headcount/capital expenditure rollups.
* Ability to assess the technical complexity of automation Network Threat Intelligence (NTI) and align technology development with product roadmaps.
* Ability to influence cross\-functional leads and drive consensus across different business units and regions.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engineers are developing the next\-generation of Automation for our Pixel manufacturing. As a member of a creative and talented team, you will work with cross\-functional partners and vendors to deliver next\-generation automation solutions to our lines. We need our engineers to be versatile and passionate about addressing difficult problems and questioning the status quo as we continue to push technology forward.
In this role, you will be driving the transition from manual\-centric assembly to a highly automated, data\-driven manufacturing environment. You will be responsible for orchestrating automation strategies across all major factory functions.  
As an Automation System Technical Program Manager, you will bridge the gap between cross\-functional engineering teams and factory operations to deliver products at the lowest cost and highest quality. You will lead the development of a scalable automation roadmap that aligns with leadership goals of reducing headcount (HC) and improving manufacturing value\-add (MVA).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automation roadmap across functions.
* Establish "pure manual" headcount baselines to accurately assess and justify return on investment (ROI) for future automation investments and Process Documentation. Oversee the documentation of automated processes.
* Coordinate with the Systems team to standardize factory data collection and develop real\-time monitoring dashboards for Capability Process Index (CPK) information and line status.
* Identify and evaluate strategic automation partners and vendors to scale technology deployment.
* Executive Communication: Represent the Technical Operations team in Steering Committees, providing updates on automation ROI, headcount savings, and technical readiness.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in-ed649f8530abe3c8</t>
        </is>
      </c>
      <c r="B16" t="inlineStr">
        <is>
          <t>Technical Program Manager III, Software Engineering, Search</t>
        </is>
      </c>
      <c r="C16" t="inlineStr">
        <is>
          <t>Google</t>
        </is>
      </c>
      <c r="D16" t="inlineStr">
        <is>
          <t>indeed</t>
        </is>
      </c>
      <c r="E16" t="inlineStr"/>
      <c r="F16" t="inlineStr"/>
      <c r="G16" t="inlineStr">
        <is>
          <t>Mountain View, CA, US</t>
        </is>
      </c>
      <c r="H16" s="2" t="n">
        <v>46054</v>
      </c>
      <c r="I1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Washington D.C., DC, USA; Mountain View, CA, USA**.### **Minimum qualifications:**
* Bachelor's degree in a technical field, or equivalent practical experience.
* 5 years of experience in program management.
* Experience with software development and execution of engineering programs.
* Experience working with consumer facing technology platforms.
### **Preferred qualifications:**
* 5 years of experience managing cross\-functional or cross\-team projects.
* Experience with search engines or search technologies.
* Experience with data analytics.
* Experience with release management lifecycles and project milestones.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in-833d279bc44a0838</t>
        </is>
      </c>
      <c r="B17" t="inlineStr">
        <is>
          <t>Product Manager II, Google Cloud</t>
        </is>
      </c>
      <c r="C17" t="inlineStr">
        <is>
          <t>Google</t>
        </is>
      </c>
      <c r="D17" t="inlineStr">
        <is>
          <t>indeed</t>
        </is>
      </c>
      <c r="E17" t="inlineStr"/>
      <c r="F17" t="inlineStr"/>
      <c r="G17" t="inlineStr">
        <is>
          <t>Kirkland, WA, US</t>
        </is>
      </c>
      <c r="H17" s="2" t="n">
        <v>46054</v>
      </c>
      <c r="I1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in-1775f725b42f36fd</t>
        </is>
      </c>
      <c r="B18" t="inlineStr">
        <is>
          <t>Program Manager, Payroll and Human Resources</t>
        </is>
      </c>
      <c r="C18" t="inlineStr">
        <is>
          <t>University of Maryland University College</t>
        </is>
      </c>
      <c r="D18" t="inlineStr">
        <is>
          <t>indeed</t>
        </is>
      </c>
      <c r="E18" t="inlineStr"/>
      <c r="F18" t="inlineStr"/>
      <c r="G18" t="inlineStr">
        <is>
          <t>College Park, MD, US</t>
        </is>
      </c>
      <c r="H18" s="2" t="n">
        <v>46054</v>
      </c>
      <c r="I18" t="inlineStr">
        <is>
          <t>**Job Description Summary**
===========================
Organization's Summary Statement:
The Department of Computer Science is top ranked for research and teaching, with its undergraduate computer science program ranked 9th among public universities by U.S. News \&amp; World Report. The undergraduate program currently educates almost 4,000 students from around the world. The graduate program ranks 10th on CS Rankings and 16th in the nation by US News, with over 400 graduate students enrolled. The Department has 67 tenure\-track faculty members, many of whom have been recognized with memberships in the National Academy of Engineering, fellowships in professional scientific organizations including ACM and IEEE, NSF Faculty Early Career Development awards and Sloan Fellowships. In conjunction with UMIACS, the Department receives over $30 million annually in external research funding. It is located in the state\-of\-the\-art Brendan Iribe Center for Computer Science and Engineering (https://iribe.umd.edu/). Additional information about the Department is available at https://www.cs.umd.edu.
Position Summary:
The Program Manager, Payroll and Human Resources is the department’s sole practitioner and has primary responsibility of all day‑to‑day payroll and HR programs, serving as the department’s authoritative subject‑matter expert for faculty, staff, and students. This role exercises independent judgment and decision‑making authority in managing a bi‑weekly payroll for over 500 employees, ensuring compliance with UMD policies and procedures and various federal and state laws, resolving issues, improving operational efficiency, and maintaining data integrity. While the position reports to a Director, the Program Manager independently manages and administers the department’s payroll and HR programs, escalating only exceptional, precedent setting, or complex employee‑relations matters as appropriate.
The Program Manager is responsible for the end‑to‑end administration and continuous improvement of payroll, appointment, onboarding, and offboarding processes for faculty, staff, and graduate assistants. The role analyzes payroll and HR data, interprets and applies University policy, develops departmental procedures and resources, and serves as the primary liaison and departmental representative to central HR, Payroll, Benefits, the Graduate School, and partner units.
Physical Demands: Work is performed primarily in an office setting with prolonged periods of sitting at a desk and working on a computer. Substantial movements (motions) of the wrists, hands, and/or fingers for typing, data entry, and operating equipment. Exerting up to 10 pounds of force. Occasionally required to lift, carry, or move items weighing up to 15 pounds. The worker is required to have close visual acuity to perform an activity such as preparing and analyzing data and figures; viewing a computer terminal; extensive reading. Ability to traverse short/long distances on and off campus to attend meetings and events.
Licenses/ Certifications: N/A
**Minimum Qualifications**
==========================
Education: Bachelor’s degree from an accredited college or university.
Experience: Three (3\) years of professional human resources or payroll experience.
Other: Additional work experience as defined above may be substituted on a year for year basis for up to four (4\) years of the required education.
Knowledge, Skills, Abilities:
Knowledge of payroll policies and procedures, and federal, state, and other applicable payroll related laws, rules, regulations, and ordinances.
Knowledge of human resources policies and procedures, and federal, state, and other applicable human resources related laws, rules, regulations, and ordinances.
Skill in the use of Microsoft Office and Google Suite products.
Skill in oral and written communication.
Ability to multitask and prioritize assignments.
Ability to analyze situations and determine the best recourse for response.
Ability to interpret and apply policies, procedures, regulations, and laws.
**Additional Job Details**
==========================
**Preferences:**
5 years of payroll/HR experience in higher education.
Workday experience. UMD experience.
Knowledge of UMD human resources policies and procedures
**Required Application Materials:** Cover letter, resume, and list of three references  
**Best Consideration Date:** February 13, 2026  
**Posting Close Date:** N/A  
**Open Until Filled:** Yes
**Job Risks**
=============
Not Applicable to This Position
**Financial Disclosure Required**
=================================
No
For more information on Financial Disclosure, please visit Maryland's State Ethics Commission website .
**Department**
==============
CMNS\-Computer Science
**Worker Sub\-Type**
====================
Staff Regular
**Salary Range**
================
$85,000\-$89,760
**Benefits Summary**
====================
 .
**Background Checks**
=====================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
The University of Maryland, College Park is an Equal Opportunity Employer. All qualified applicants will receive equal consideration for employment. Please read the University’s Equal Employment Opportunity Statement of Policy.
**Title IX Non\-Discrimination Notice**
=======================================
**Resources**
=============
* Learn how military skills translate to civilian opportunities with O\*Net Online
**Search Firm Managed Recruitment**
===================================
There are some positions that are not advertised on this career site as the search is being managed by a Search Firm.</t>
        </is>
      </c>
    </row>
    <row r="19">
      <c r="A19" t="inlineStr">
        <is>
          <t>in-7411841a1237aef9</t>
        </is>
      </c>
      <c r="B19" t="inlineStr">
        <is>
          <t>Epic Program Manager-Inpatient Clinical Systems</t>
        </is>
      </c>
      <c r="C19" t="inlineStr">
        <is>
          <t>Westchester Medical Center Health Network</t>
        </is>
      </c>
      <c r="D19" t="inlineStr">
        <is>
          <t>indeed</t>
        </is>
      </c>
      <c r="E19" t="inlineStr"/>
      <c r="F19" t="inlineStr"/>
      <c r="G19" t="inlineStr">
        <is>
          <t>Valhalla, NY, US</t>
        </is>
      </c>
      <c r="H19" s="2" t="n">
        <v>46054</v>
      </c>
      <c r="I19" t="inlineStr">
        <is>
          <t>**Job Title:** Epic Program Manager\-Inpatient Clinical Systems
**Company:** NorthEast Provider Solutions Inc.
**City/State:** Valhalla, NY
**Category:** Executive/Management
**Department:** Info Technology\-WMC Health
**Union:** No
**Position:** Full Time
**Hours:** days
**Shift:** Day
**Req \#:** 46347
**Posted Date:** Feb 02, 2026
**Hiring Range:** $120,220\-$152,172
### **Job Details:**
**Job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 and operational leaders from affiliated institutions.
**Responsibilities:**
* Maintains the organization's effectiveness and efficiency by defining, delivering, and supporting strategic plans for implementing new and innovative information technologies.
* Provides technical leadership to ensure the best development practices, user experience standards and security implementation strategies are followed.
* Advises and recommends state\-of\-the\-art enterprise architecture strategies, processes and methodologies.
* Apply strategic thinking to IT service management. The ultimate goal is to design, develop, and implement service management as both an organizational capability and a strategic asset.
* Provides overall direction and guidance, coordinates schedules and related project activities to ensure the work and documentation meet appropriate department/service line standards.
* Collaborates with users and other IT departments to develop strategy and goals for the team and department.
*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 Defines and implements programming goals such as reuse and adaptability.
* Leads the team to gather and analyze business requirements, manage design, implementation and testing of applications.
* Presents product specifications and delivery schedule clearly and concisely to individuals at all levels of an organization, including to executive management.
* Strategically collaborates with cross\-functional teams, including development and vendor resources, to solve problems effectively and quickly to deliver product.
* Manages competing priorities to keep the team on track to deliver high quality solutions.
* Performs all duties inherent to a managerial role.
* Participates in hiring, training, evaluation and termination of assigned staff according to hospital policies and procedures.
* Evaluates employee performance.
* Responsible for timekeeping of direct reports.
* Train and/or supervise training of users and other staff in current and new aspects of system functionality. Participate in go\-lives and support.
* Participate in On\-Call support. Accountable and responsible for supporting business critical applications and systems that operate 24/7/365\.
* Performs other special projects and duties as assigned.
Qualifications/Requirements:
**Experience:**
* 5–7 years of experience as a Technical Manager or Technical Project Management, required
**Education:**
* Bachelor’s degree in Computer Science or related field required.
* Master’s degree, preferred
**Licenses / Certifications:**
* EPIC Module Certification in job\-related module(s) is required to be obtained within 6 months and renewed quadrennial
* PMP certification, preferred
* ITIL certirfication, preferred
* Microsoft or other technology industry certifications, preferred
**Other:**
* Ability to work in surroundings with a degree of dust, noise, odors, etc. without undue discomfort.
* Ability to hear, talk, walk, stand, bend and stretch.
* Ability to read, write and interpret documents.
* Ability to sit for long periods of time at a desk to perform job functions.
* Ability to communicate effectively with clients and co\-workers.
* May be exposed to mechanical/electrical/radiant/explosive/burn and chemical hazards.
* May be required to handle, dispose of and/or identify hazardous waste and hazardous materials.
* May be required to operate and clean equipment.
* May be required to work both indoors and outdoors under extreme temperatures.
* May be required to handle reasonably heavy weights across distances.
* May be required to operate heavy vehicles.
* Must be trained in and knowledgeable of all hospital policies and procedures pertaining to hazardous waste and hazardous materials and maintain qualifications applicable to assigned work.
Special Requirements:
* Compliant with Change Control policies, familiar with ticketing systems, ability to manage communications associated with project roll\-outs.
* Excellent written and verbal communications skills. Excellent Organizational and Analytical Skills
* Compliant with Change Control policies, familiar with ticketing systems, ability to manage communications associated with project roll\-outs.
* Experience with IT architecture planning, software development methodologies and large\-scale integrated web systems implementations and upgrades in an enterprise environment.
* Deep and broad understanding of web and mobile technologies, such as Reporting/BI tools, Microsoft.NET, SharePoint 2013\.
* Knowledge of Service\-Oriented Architecture (SOA), Web services, principles, and patterns at an enterprise\-level as it relates to complex web and mobile applications.
* Comfortable leading a team using Agile SCRUM software development methodology.
* Ability to conceptualize, plan, and implement projects as well as interact effectively with applications in complex problem situations.
* Experience with selecting and managing external software vendors.
* Applications: Tableau; Statistical Application Fluency (SAS, SPSS, Python ML, Scala, Spark ML, etc.)
**About Us:**
**NorthEast Provider Solutions Inc.**
**Benefits:**
We offer a comprehensive compensation and benefits package that includes:
* Health Insurance
* Dental
* Vision
* Retirement Savings Plan
* Flexible Savings Account
* Paid Time Off
* Holidays
* Tuition Reimbursement</t>
        </is>
      </c>
    </row>
    <row r="20">
      <c r="A20" t="inlineStr">
        <is>
          <t>in-44c1023596651064</t>
        </is>
      </c>
      <c r="B20" t="inlineStr">
        <is>
          <t>Technical Program Manager - Enterprise Software Release and Execution</t>
        </is>
      </c>
      <c r="C20" t="inlineStr">
        <is>
          <t>NVIDIA</t>
        </is>
      </c>
      <c r="D20" t="inlineStr">
        <is>
          <t>indeed</t>
        </is>
      </c>
      <c r="E20" t="inlineStr"/>
      <c r="F20" t="inlineStr"/>
      <c r="G20" t="inlineStr">
        <is>
          <t>Santa Clara, CA, US</t>
        </is>
      </c>
      <c r="H20" s="2" t="n">
        <v>46054</v>
      </c>
      <c r="I2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a strong and technical program manager to drive and deliver the Enterprise software releases. This position will give you the best opportunity to showcase your strong program management experience and knowledge of Generative AI innovations, Large Language Models (LLMs) and traditional machine learning (ML). Our work at NVIDIA is dedicated towards a computing model passionate about visual and AI computing. For over multiple decades, NVIDIA has pioneered visual computing, the art and science of computer graphics, with our invention of the GPU. The GPU has also shown to be astonishingly effective at solving some of the most sophisticated problems in computer science. Today, NVIDIA’s GPU simulates human intelligence, running deep learning algorithms and acting as the brain of computers, robots and self\-driving cars that can perceive and understand the world. Artificial intelligence is already on its way to transform every industry. You will get the opportunity to directly work with NVIDIA's industry leading software stack partners to complete and deliver groundbreaking product roadmap across various enterprise software. You will collaborate closely with teams, including engineering and product management for execution and alignment with organizational objectives. In partnership with such diverse partners, you will be responsible for developing robust processes that ensure the successful execution and timely delivering of the software products. Inspect and assess projects’ health; provide feedback for corrections needed or help raise up issues for quick resolution. The ideal candidate will be comfortable working in a fast\-paced environment with changing requirements and have experience in large \&amp; complex program management. Excellent communication skills and ability to work independently are critical. Huge positive if you already have had experiences managing technical alignment or engineering partnership across other companies.
**What you'll be doing:**
* As a Technical Program Manager, you will be directly managing technical alignment and product delivery with various NVIDIA partners
* Internally, you will be driving the release planning and collaborating with the Engineering and Product teams that are globally distributed across time zones.
* You will be responsible for the overall consistency and coherence of specifications, setting quality standards and drive quality output of the software releases.
* Speak objectively and constructively about what is working well and what needs to improve as we develop new processes.
* Ensure that systems are in place to manage product feedback from customers as well as internal stakeholders.
* Promote a positive environment across the organization by modeling behavior that promotes good morale.
* Know the latest developments in the state of the art in relevant technology and computing ecosystems.
* Lead a mix of infrastructure, full\-stack, and AI/ML solutions. Inspire the team with a sound technical vision and a vitality to execute by creating an inclusive team culture.
* Continuous Improvement: Find opportunities for process improvements and optimizations. Collaborate to implement standard methodologies, drive efficiency gains, and enhance performance.
**What we need to see:**
* 8\+ years proven track record in technical program management or related roles.
* 5\+ years of this experience should be engineering (coding) and machine learning and deep learning software architecture and frameworks.
* Bachelor’s degree in Computer Science, Electrical Engineering or other technical field (or equivalent experience).
* Deep hands\-on experience with DL Frameworks (e.g. TensorFlow, PyTorch, etc.). Up to speed on generative\-AI advancements.
* Experience leading programs building software products using AI technologies.
* Ability to cultivate teamwork among teams composed of both technical and non\-technical members.
* Strong written and oral communications skills, independent and able to multitask effectively with minimal day\-to\-day direction.
* Proven track record to drive alignment across external and internal stakeholders and deliver complex products to customers.
* Confirmed experience to creatively resolve issues and resource conflicts. Ability to think strategically and tactically and to build consensus to make programs successful.
* Detailed knowledge of software engineering principles. Experience with industry standard configuration management tools. Experience with productivity tools and process automation.
* You should be detail oriented with shown ability to multitask, in a dynamic environment with shifting priorities and changing requirements.
* Excellent knowledge of theory and practice of Generative AI and Large Language Models and specifically with NVIDIA GPUs and software libraries.
NVIDIA is widely considered to be one of the technology world’s most desirable employers. We have some of the most forward\-thinking and hardworking people in the world working for us. If you're creative and enjoy having fun, then what are you waiting for? Apply today!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168,000 USD \- 258,750 USD for Level 4, and 200,000 USD \- 322,000 USD for Level 5\.
You will also be eligible for equity and benefits.
Applications for this job will be accepted at least until February 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1">
      <c r="A21" t="inlineStr">
        <is>
          <t>in-71e9900cb41b012a</t>
        </is>
      </c>
      <c r="B21" t="inlineStr">
        <is>
          <t>AI Product Manager - Banking</t>
        </is>
      </c>
      <c r="C21" t="inlineStr">
        <is>
          <t>Tiger Analytics</t>
        </is>
      </c>
      <c r="D21" t="inlineStr">
        <is>
          <t>indeed</t>
        </is>
      </c>
      <c r="E21" t="inlineStr"/>
      <c r="F21" t="inlineStr"/>
      <c r="G21" t="inlineStr">
        <is>
          <t>Dallas, TX, US</t>
        </is>
      </c>
      <c r="H21" s="2" t="n">
        <v>46054</v>
      </c>
      <c r="I21" t="inlineStr">
        <is>
          <t>Tiger Analytics is an advanced analytics consulting firm recognized for our deep expertise in Data Science, Machine Learning, and AI. Our partnerships with Fortune 100 companies enable us to tackle complex business challenges and drive value through innovative analytical solutions.
We are looking for an experienced AI Product Manager to lead the strategy, development, and go\-to\-market execution of AI\-driven products within the BFS domain. This role requires strong product ownership, stakeholder management, and hands\-on collaboration with engineering and analytics teams.
 **Responsibilities**\-
* Own and execute the product vision, strategy, and roadmap for AI\-enabled solutions.
* Define ‘what’ and ‘why’ the platform should build, and what business and user problems it will solve
* Define and track product OKRs and KPIs, and drive the team to achieve them
* Drive GTM (go to market) excitement and awareness of our platform across all enterprise teams at RBC
* Collaborate closely with engineering and data science teams to build, validate, and showcase POCs and demos.
* Translate business problems into clear product requirements and user stories.
* Communicate product strategy, progress, and outcomes to senior leadership and key stakeholders.
* Ensure products align with BFS regulatory, compliance, and risk considerations.
**Requirements**
* 10\+ years of product management experience in a top\-tier technology company, with a focus on AI or machine learning products;
* Proven experience working in the Banking \&amp; Financial Services (BFS) domain.
* Demonstrated technical depth with solutions leveraging generative AI, ML, LLMs, or cloud services architecture through shipped products or solutions;
* Experience presenting and explaining product and technology topics in\-depth to executive and technical audiences;
* Strong communicator (written, verbal) and collaborator, and can influence both technical and business stakeholders
* Ability to work in a fast\-paced, enterprise environment and drive outcomes end\-to\-end.
* MBA or equivalent advanced degree is a plus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22">
      <c r="A22" t="inlineStr">
        <is>
          <t>in-59dd0bc9ba907834</t>
        </is>
      </c>
      <c r="B22" t="inlineStr">
        <is>
          <t>Product Owner - Post-Trade Operations Technology</t>
        </is>
      </c>
      <c r="C22" t="inlineStr">
        <is>
          <t>Sumitomo Group</t>
        </is>
      </c>
      <c r="D22" t="inlineStr">
        <is>
          <t>indeed</t>
        </is>
      </c>
      <c r="E22" t="inlineStr"/>
      <c r="F22" t="inlineStr"/>
      <c r="G22" t="inlineStr">
        <is>
          <t>New York, NY, US</t>
        </is>
      </c>
      <c r="H22" s="2" t="n">
        <v>46054</v>
      </c>
      <c r="I22"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highly organized and strategic Product Owner to lead the development and delivery of post\-trade operations platforms for our Fixed Income, Currencies, and Commodities (FICC) business. This role is critical in managing confirmations, settlements, and reconciliation processes to ensure operational accuracy, regulatory compliance, and efficiency across global markets.
**Role Objectives**
-------------------
* Define and own the roadmap for post\-trade operations platforms, aligning with business objectives and regulatory requirements.
* Prioritize features that improve automation, reduce operational risk, and enhance straight\-through processing (STP).
* Champion modernization initiatives, including workflow digitization and scalable architecture adoption.
* Act as the primary liaison between operations teams, risk, compliance, and technology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post\-trade automation, settlement systems, and reconciliation tools.
* Drive initiatives to enhance performance, reduce operational risk, and improve user experience for operations teams.
* Promote data\-driven decision\-making and continuous feedback loops.
**Qualifications and Skills**
-----------------------------
* 8\+ years of experience in product management or ownership within investment banking or trading operations technology.
* Deep understanding of FICC products (Rates, Credit, FX, Commodities) and post\-trade workflows (confirmations, settlements, reconciliation).
* Familiarity with clearing systems, settlement platforms, and regulatory reporting requirements.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3">
      <c r="A23" t="inlineStr">
        <is>
          <t>in-2f87ae17c424f41f</t>
        </is>
      </c>
      <c r="B23" t="inlineStr">
        <is>
          <t>Product Owner - Pre-Trade Analytics</t>
        </is>
      </c>
      <c r="C23" t="inlineStr">
        <is>
          <t>Sumitomo Group</t>
        </is>
      </c>
      <c r="D23" t="inlineStr">
        <is>
          <t>indeed</t>
        </is>
      </c>
      <c r="E23" t="inlineStr"/>
      <c r="F23" t="inlineStr"/>
      <c r="G23" t="inlineStr">
        <is>
          <t>New York, NY, US</t>
        </is>
      </c>
      <c r="H23" s="2" t="n">
        <v>46054</v>
      </c>
      <c r="I2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strategic and detail\-oriented Product Owner to lead the development and delivery of pre\-trade analytics platforms for our Fixed Income, Currencies, and Commodities (FICC) business. This role is critical in providing foundational data and analytics that enable accurate pricing, risk assessment, and trade decision\-making across global markets.
**Role Objectives**
-------------------
* Define and own the roadmap for pre\-trade analytics platforms, ensuring alignment with trading, risk, and regulatory objectives.
* Prioritize features that enhance data quality, speed of analytics, and integration with pricing and trade capture systems.
* Champion modernization initiatives, including advanced analytics, automation, and scalable architecture.
* Act as the primary liaison between trading desks, quants, risk teams, and technology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data science, and DevOps teams to deliver high\-quality solutions on time.
* Apply Agile and SAFe principles to improve delivery efficiency and transparency across global teams.
* Ensure adherence to regulatory standards and internal risk frameworks for pre\-trade analytics.
* Partner with compliance and risk teams to embed controls into product design and delivery.
* Stay ahead of industry trends in pre\-trade analytics, market data, and quantitative modeling.
* Drive initiatives to enhance performance, reduce operational risk, and improve trader experience.
* Promote data\-driven decision\-making and continuous feedback loops.
**Qualifications and Skills**
-----------------------------
* 8\+ years of experience in product management or ownership within investment banking or trading technology.
* Deep understanding of FICC products (Rates, Credit, FX, Commodities) and pre\-trade analytics workflows.
* Familiarity with market data platforms, pricing models, and quantitative analytics tools.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4">
      <c r="A24" t="inlineStr">
        <is>
          <t>in-f712a74b80ca01e5</t>
        </is>
      </c>
      <c r="B24" t="inlineStr">
        <is>
          <t>Staff Product Manager (Evals)</t>
        </is>
      </c>
      <c r="C24" t="inlineStr">
        <is>
          <t>Workato</t>
        </is>
      </c>
      <c r="D24" t="inlineStr">
        <is>
          <t>indeed</t>
        </is>
      </c>
      <c r="E24" t="inlineStr"/>
      <c r="F24" t="inlineStr"/>
      <c r="G24" t="inlineStr">
        <is>
          <t>Palo Alto, CA, US</t>
        </is>
      </c>
      <c r="H24" s="2" t="n">
        <v>46054</v>
      </c>
      <c r="I24" t="inlineStr">
        <is>
          <t>**About Workato**
=================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
We're looking for a Staff Product Manager to own evaluations for AI agents at Workato — both the internal framework that helps our teams ship better AI features, and the customer\-facing tools that let builders assess and improve the agents they create. This is a role with a dual mandate. Internally, you'll establish how Workato evaluates agent quality, starting with Agent Studio and expanding to other teams shipping AI capabilities. Externally, you'll build the evaluation experience that helps business technologists understand why their agents succeed or fail — and what to do about it. The right person for this role has actually written evals. You've built test suites, designed evaluation criteria, and debugged agent failures in the trenches. You know the gap between "eval theory" and "eval reality," and you can translate that practitioner knowledge into products that work for both technical teams and non\-technical builders.
In this role, you will also be responsible to:
* Define and own the evaluation framework for Workato's internal AI agent features, driving adoption across teams starting with Agent Studio
* Build the customer\-facing evaluation experience — how builders test, measure, and improve agents they create on Workato
* Make hard calls about what evaluation complexity to expose versus abstract, balancing rigor with approachability
* Partner closely with the Build Experience PM to ensure evaluation is integrated into the builder journey, not bolted on
* Work with ML engineers and platform teams to ground the framework in technical reality while keeping it accessible
* Establish metrics for what "good" looks like — both for internal agent quality and for customer evaluation adoption
* Spend significant time with customers understanding where they struggle to assess agent performance and what mental models they bring
**Requirements**
================
### **Qualifications / Experience**
* 7\+ years in Product Management
* Hands\-on experience writing evaluations for AI/ML systems (agents, LLMs, or similar)
* Track record of shipping technical products to both internal and external users
* Experience driving adoption of frameworks or practices across engineering teams
* Strong written and verbal communication skills
* Bachelor's degree or equivalent experience
* **Practitioner depth in evaluations.** You've written evals yourself — built test suites, designed rubrics, debugged why agents underperformed. You understand evaluation methodology not only from reading about it, but from doing it. You have opinions about what works, what doesn't, and where current approaches fall short.
* **Strong product management experience.** You've shipped products, driven roadmaps, and led cross\-functional teams. You know how to translate technical capabilities into user value and write specs that don't leave details to chance.
* **Technical translation ability.** You can take complex evaluation concepts and make them accessible to business technologists without dumbing them down. You understand the difference between hiding complexity and organizing it.
* **Internal influence skills.** You've driven adoption of frameworks, practices, or tools across teams. You can be a credible partner to ML engineers while advocating for what internal teams actually need.
* **Greenfield comfort.** You've defined products from ambiguity — scoped v1s, made bets with incomplete information, and iterated based on what you learned. You don't need an existing playbook to be effective.
* **B2B product sensibility.** You see enterprise conventions as problems to solve, not constraints to accept. You're drawn to products that make complex workflows feel elegant.
### **Nice to Have**
* Experience with agent architectures, RAG systems, or LLM application development
* Background in ML engineering, solutions architecture, or technical program management before PM
* Experience building developer tools or platform products
* Familiarity with evaluation frameworks (e.g., human eval pipelines, automated benchmarks, red\-teaming)
**(REQ ID: 2538\)**</t>
        </is>
      </c>
    </row>
    <row r="25">
      <c r="A25" t="inlineStr">
        <is>
          <t>in-1960bcb5811bf245</t>
        </is>
      </c>
      <c r="B25" t="inlineStr">
        <is>
          <t>Laser Product Manager</t>
        </is>
      </c>
      <c r="C25" t="inlineStr">
        <is>
          <t>Cincinnati Incorporated</t>
        </is>
      </c>
      <c r="D25" t="inlineStr">
        <is>
          <t>indeed</t>
        </is>
      </c>
      <c r="E25" t="inlineStr"/>
      <c r="F25" t="inlineStr"/>
      <c r="G25" t="inlineStr">
        <is>
          <t>Harrison, OH, US</t>
        </is>
      </c>
      <c r="H25" s="2" t="n">
        <v>46054</v>
      </c>
      <c r="I25" t="inlineStr">
        <is>
          <t>**Laser Product Manager (Job ID: 1296\).**
**Cincinnati Incorporated** is a privately owned industrial machine manufacturer that has been a staple in the fabrication industry since the late 1890s. We pride ourselves on a hard day’s work and quality. Our employees have shaped the reputation and culture at CI with their uncompromising integrity, focus, and innovation. The icing on top of the cake: we offer a competitive and comprehensive benefits package. ***Are you ready for your career at CI?***
**Position Summary and Purpose:** We are seeking an experienced Product Manager to lead our laser products portfolio at Cincinnati Inc. This role is pivotal in driving product strategy, managing the full product lifecycle, and ensuring our laser solutions meet market demands while delivering strong financial performance. The ideal candidate will have a proven track record in product management, with a customer\-centric mindset, strong problem\-solving abilities, and creative thinking to innovate in a technical environment. You will collaborate cross\- functionally with engineering, sales, marketing, and operations teams to develop and execute product visions that align with business goals.
**Duties and Responsibilities:**
* Product Vision and Goals: Develop and articulate a compelling product vision, roadmap, and measurable goals that align with company objectives and customer needs.
* Product Lifecycle Management: Oversee the entire product lifecycle from ideation and development through launch, growth, maturity, and end\-of\-life, ensuring timely updates, enhancements, and retirements.
* P\&amp;L Ownership: Manage profit and loss (P\&amp;L) for the laser products line, including budgeting, forecasting, pricing strategies, and financial analysis to optimize profitability and growth.
* Strategic Decision Making: Lead strategic initiatives by evaluating market opportunities, competitive landscapes, and internal capabilities to make data\- driven decisions that position our laser products for long\-term success.
* 80/20 Analysis: Apply the 80/20 principle (Pareto analysis) to focus efforts on high\-impact features, customers, and revenue drivers, streamlining processes and resource allocation for maximum efficiency.
* Product Analytics: Utilize data analytics tools and metrics (e.g., usage data, KPIs, A/B testing) to monitor product performance, identify trends, and inform iterative improvements.
* Market Research: Conduct in\-depth market research, including customer interviews, surveys, competitor analysis, and industry trend monitoring to uncover insights and validate product opportunities.
* Prioritization: Prioritize features, backlog items, and initiatives using frameworks like RICE, MoSCoW, or value vs. effort matrices, balancing short\-term wins with long\-term strategy.
* Cross\-Functional Collaboration: Work closely with R\&amp;D, engineering, sales, and customer support teams to gather requirements, define specifications, and ensure successful product delivery.
* Customer\-Centric Approach: Champion a customer\-first mentality by incorporating user feedback, usability testing, and persona development into product decisions to enhance satisfaction and loyalty.
* Innovation and Problem Solving: Identify and solve complex problems creatively, fostering an environment of continuous improvement and exploring emerging technologies in laser fabrication.
* Performance Tracking: Establish and track success metrics, reporting on product health to senior leadership and stakeholders.
**Education and Experience:**
REQUIRED:
* Bachelors degree in Business, Engineering, Marketing, or a related field; MBA is a strong plus.
* 5\+ years of experience in product management, preferably in manufacturing, industrial equipment, or technology sectors.  
Demonstrated track record of successfully launching and managing products that drive revenue growth and market share.
**Knowledge, Skills, Abilities, Characteristics, etc.**
REQUIRED:
* Strong analytical skills with proficiency in product analytics tools (e.g., Google Analytics) and financial modeling.
* Excellent communication and presentation skills, with the ability to influence stakeholders at all levels.
* Proven ability to thrive in a fast\-paced, collaborative environment while managing multiple priorities.
* Experience with agile methodologies and product management tools (e.g., Jira, Aha!, Productboard) is highly desirable.
**Reporting to this Position:**
* Product Specialists, Application Engineers, and Administrative Assistants
**Physical Demands and Work Environment:**
* Ability to work in an office environment daily
* Ability to travel as required (up to 50% annually)
* Ability to work in a development laboratory running CI machines
The physical demands and work environment characteristics described here are representative of those that must be met by an employee to successfully perform the essential functions of this job.
Physical demands: Employee is occasionally required to stand, walk, sit, use hands to finger, handle or feel objects, tools or controls. Specific vision abilities required by the job include close vision, distance vision, color vision, peripheral vision, depth perception and the ability to adjust focus.
Work environment: The noise level in the work environment is usually moderate.
***Equal Opportunity Employer Minorities/Women/Veterans/Disabled***
**\*\*This role does not offer sponsorship employment benefits and being authorized to work in the U.S. is a precondition of employment. You must be a U.S. Citizen, U.S. National, or recent lawful permanent resident to apply.**
**Some more amazing benefits offered by Cincinnati Incorporated:**
✓ Paid Vacations
✓ Paid Holiday and Personal Days
✓ Medical Insurance (including HSA)
✓ Dental Insurance
✓ Vision Insurance
✓ Accident Insurance
✓ Life Insurance: AD\&amp;D
✓ Disability Insurance
✓ Generous 401K Employer Match
✓ Flexible Spending Account
✓ Tuition Reimbursement
✓ Employee Assistance Program
✓ Parental Leave</t>
        </is>
      </c>
    </row>
    <row r="26">
      <c r="A26" t="inlineStr">
        <is>
          <t>in-257eda068215ad95</t>
        </is>
      </c>
      <c r="B26" t="inlineStr">
        <is>
          <t>Regional Program Manager - Columbia, SC</t>
        </is>
      </c>
      <c r="C26" t="inlineStr">
        <is>
          <t>Sisters of Charity Health System</t>
        </is>
      </c>
      <c r="D26" t="inlineStr">
        <is>
          <t>indeed</t>
        </is>
      </c>
      <c r="E26" t="inlineStr"/>
      <c r="F26" t="inlineStr"/>
      <c r="G26" t="inlineStr">
        <is>
          <t>Columbia, SC, US</t>
        </is>
      </c>
      <c r="H26" s="2" t="n">
        <v>46054</v>
      </c>
      <c r="I26" t="inlineStr">
        <is>
          <t>**Regional Program Manager**
**Who Are We?**  
The SC Center for Fathers and Families (Center) is a faith\-based nonprofit organization dedicated to ending father absence through educational programming, wraparound services, research, and advocacy. For over 20 years, we have helped create stronger, safer, and more prosperous families and communities by re\-engaging fathers with their children, aiming to improve overall childhood well\-being and reduce poverty. We are the voice for fathers in South Carolina and lead one of the nation’s largest and most experienced networks of community\-based organizations providing men with the tools and resources they need to be great dads. Our Center office is in Columbia, SC, and we have a network of five fatherhood organizations across the state.
**Program Leadership \&amp; Integration**
* Oversee implementation of program strategies across multiple partner fatherhood organizations, ensuring alignment with the Center’s mission and statewide goals
* Serve as a strategic liaison between the Center and regional partners, fostering collaboration and continuous improvement
* Support partner staff in translating program goals into actionable service delivery plans
* Strengthen employment readiness strategies in response to evolving workforce trends  
Promote trauma\-informed practices and culturally responsive engagement across all sites
**Employer \&amp; Community Engagement**
* Cultivate relationships with regional employers, community stakeholders, and service providers to expand opportunities for fathers
* Represent the Center at regional events, coalitions, and workforce development initiatives  
Advocate for father\-friendly policies and practices that support family stability and economic mobility
* Data Management \&amp; Evaluation
* Ensure regional program data is accurate, timely, and aligned with organizational standards
* Leverage participant records and assessments to guide program improvements and inform regional strategy
* Support partner staff in using data to celebrate impact, identify growth areas, and foster continuous learning
* Contribute to performance reporting and ensure compliance with grant requirements
**Preferred Qualifications**
* Bachelor’s degree in business, social sciences, workforce development, or related field—or equivalent experience
* Background in workforce development, employer relations, or nonprofit program management
* Strong regional coordination and stakeholder engagement skills
* Ability to lead cross\-functional teams and support continuous learning
* Familiarity with data systems, case tracking, and reporting platforms
* Valid driver’s license and ability to travel across the region as needed
* Occasional evening and weekend work is required
This is a full\-time grant\-funded position. Salary $45K \- $50K.
Qualified candidates should submit a cover letter and resume with the online application.</t>
        </is>
      </c>
    </row>
    <row r="27">
      <c r="A27" t="inlineStr">
        <is>
          <t>in-47a4e3d0b016e9eb</t>
        </is>
      </c>
      <c r="B27" t="inlineStr">
        <is>
          <t>Regional Program Manager - Greenville, SC</t>
        </is>
      </c>
      <c r="C27" t="inlineStr">
        <is>
          <t>Sisters of Charity Health System</t>
        </is>
      </c>
      <c r="D27" t="inlineStr">
        <is>
          <t>indeed</t>
        </is>
      </c>
      <c r="E27" t="inlineStr"/>
      <c r="F27" t="inlineStr"/>
      <c r="G27" t="inlineStr">
        <is>
          <t>Greenville, SC, US</t>
        </is>
      </c>
      <c r="H27" s="2" t="n">
        <v>46054</v>
      </c>
      <c r="I27" t="inlineStr">
        <is>
          <t>**Regional Program Manager**
**Who Are We?**  
The SC Center for Fathers and Families (Center) is a faith\-based nonprofit organization dedicated to ending father absence through educational programming, wraparound services, research, and advocacy. For over 20 years, we have helped create stronger, safer, and more prosperous families and communities by re\-engaging fathers with their children, aiming to improve overall childhood well\-being and reduce poverty. We are the voice for fathers in South Carolina and lead one of the nation’s largest and most experienced networks of community\-based organizations providing men with the tools and resources they need to be great dads. Our Center office is in Columbia, SC, and we have a network of five fatherhood organizations across the state. While this position is housed within the Center, **the selected candidate will work locally with the Upstate Fatherhood Coalition in Greenville, SC.**
**Program Leadership \&amp; Integration**
* Oversee implementation of program strategies across multiple partner fatherhood organizations, ensuring alignment with the Center’s mission and statewide goals
* Serve as a strategic liaison between the Center and regional partners, fostering collaboration and continuous improvement
* Support partner staff in translating program goals into actionable service delivery plans
* Strengthen employment readiness strategies in response to evolving workforce trends  
Promote trauma\-informed practices and culturally responsive engagement across all sites
**Employer \&amp; Community Engagement**
* Cultivate relationships with regional employers, community stakeholders, and service providers to expand opportunities for fathers
* Represent the Center at regional events, coalitions, and workforce development initiatives  
Advocate for father\-friendly policies and practices that support family stability and economic mobility
* Data Management \&amp; Evaluation
* Ensure regional program data is accurate, timely, and aligned with organizational standards
* Leverage participant records and assessments to guide program improvements and inform regional strategy
* Support partner staff in using data to celebrate impact, identify growth areas, and foster continuous learning
* Contribute to performance reporting and ensure compliance with grant requirements
**Preferred Qualifications**
* Bachelor’s degree in business, social sciences, workforce development, or related field—or equivalent experience
* Background in workforce development, employer relations, or nonprofit program management
* Strong regional coordination and stakeholder engagement skills
* Ability to lead cross\-functional teams and support continuous learning
* Familiarity with data systems, case tracking, and reporting platforms
* Valid driver’s license and ability to travel across the region as needed
* Occasional evening and weekend work is required
This is a full\-time grant\-funded position. Salary $45K \- $50K.
Qualified candidates should submit a cover letter and resume with the online application.</t>
        </is>
      </c>
    </row>
    <row r="28">
      <c r="A28" t="inlineStr">
        <is>
          <t>in-73ec8d392e95175f</t>
        </is>
      </c>
      <c r="B28" t="inlineStr">
        <is>
          <t>Regional Program Manager - Charleston, SC</t>
        </is>
      </c>
      <c r="C28" t="inlineStr">
        <is>
          <t>Sisters of Charity Health System</t>
        </is>
      </c>
      <c r="D28" t="inlineStr">
        <is>
          <t>indeed</t>
        </is>
      </c>
      <c r="E28" t="inlineStr"/>
      <c r="F28" t="inlineStr"/>
      <c r="G28" t="inlineStr">
        <is>
          <t>Charleston, SC, US</t>
        </is>
      </c>
      <c r="H28" s="2" t="n">
        <v>46054</v>
      </c>
      <c r="I28" t="inlineStr">
        <is>
          <t>**Regional Program Manager**
**Who Are We?**  
The SC Center for Fathers and Families (Center) is a faith\-based nonprofit organization dedicated to ending father absence through educational programming, wraparound services, research, and advocacy. For over 20 years, we have helped create stronger, safer, and more prosperous families and communities by re\-engaging fathers with their children, aiming to improve overall childhood well\-being and reduce poverty. We are the voice for fathers in South Carolina and lead one of the nation’s largest and most experienced networks of community\-based organizations providing men with the tools and resources they need to be great dads. Our Center office is in Columbia, SC, and we have a network of five fatherhood organizations across the state. While this position is housed within the Center, **the selected candidate will work locally with A Father's Place in Charleston, SC.**
**P****rogram Leadership \&amp; Integration**
* Oversee implementation of program strategies across multiple partner fatherhood organizations, ensuring alignment with the Center’s mission and statewide goals
* Serve as a strategic liaison between the Center and regional partners, fostering collaboration and continuous improvement
* Support partner staff in translating program goals into actionable service delivery plans
* Strengthen employment readiness strategies in response to evolving workforce trends  
Promote trauma\-informed practices and culturally responsive engagement across all sites
**Employer \&amp; Community Engagement**
* Cultivate relationships with regional employers, community stakeholders, and service providers to expand opportunities for fathers
* Represent the Center at regional events, coalitions, and workforce development initiatives  
Advocate for father\-friendly policies and practices that support family stability and economic mobility
* Data Management \&amp; Evaluation
* Ensure regional program data is accurate, timely, and aligned with organizational standards
* Leverage participant records and assessments to guide program improvements and inform regional strategy
* Support partner staff in using data to celebrate impact, identify growth areas, and foster continuous learning
* Contribute to performance reporting and ensure compliance with grant requirements
**Preferred Qualifications**
* Bachelor’s degree in business, social sciences, workforce development, or related field—or equivalent experience
* Background in workforce development, employer relations, or nonprofit program management
* Strong regional coordination and stakeholder engagement skills
* Ability to lead cross\-functional teams and support continuous learning
* Familiarity with data systems, case tracking, and reporting platforms
* Valid driver’s license and ability to travel across the region as needed
* Occasional evening and weekend work is required
This is a full\-time grant\-funded position. Salary $45K \- $50K.
Qualified candidates should submit a cover letter and resume with the online application.</t>
        </is>
      </c>
    </row>
    <row r="29">
      <c r="A29" t="inlineStr">
        <is>
          <t>in-1c50965fea97a7eb</t>
        </is>
      </c>
      <c r="B29" t="inlineStr">
        <is>
          <t>Engineering Program Manager, Data Platform, Apple Services Engineering</t>
        </is>
      </c>
      <c r="C29" t="inlineStr">
        <is>
          <t>Apple</t>
        </is>
      </c>
      <c r="D29" t="inlineStr">
        <is>
          <t>indeed</t>
        </is>
      </c>
      <c r="E29" t="inlineStr"/>
      <c r="F29" t="inlineStr"/>
      <c r="G29" t="inlineStr">
        <is>
          <t>Seattle, WA, US</t>
        </is>
      </c>
      <c r="H29" s="2" t="n">
        <v>46054</v>
      </c>
      <c r="I29" t="inlineStr">
        <is>
          <t>Are you ready to take a pivotal role in shaping Apple’s next\-generation products by driving the adoption of machine learning and equipping engineering teams with robust data insights? Join the Apple Data Platform EPM team as a Senior Program Manager, focusing on Machine Learning Infrastructure and data platform products. You’ll play a critical role in shaping and scaling the platform that powers AI application development across Apple.  
The Apple Data Platform team powers GenAI, ML, data analytics, and exploration platforms that fuel the App Store, Music, Search, Maps, iCloud and many other beloved products in the Apple ecosystem. Our mission is to provide ML engineers and data scientists with an innovative, reliable, secure, and user\-friendly platform for ingesting, storing, processing, and interacting with data, ultimately helping teams derive insights that drive product success.  
**Description**  
In this role, you’ll oversee a platform responsible for secure data ingestion, storage, management, feature engineering, real\-time and batch processing, data transformation, and analytics, among other critical functions. This infrastructure enables Apple’s engineering teams to manage the ML lifecycle effectively, supporting model training and enhancing product quality to deliver a seamless, privacy\-centric experience to Apple customers. You’ll collaborate extensively with cross\-functional partners within and beyond the AI/ML landscape, defining and delivering impactful ML and data platform products that meet Apple’s organizational needs. With a deep understanding of user needs, you’ll own complex challenges, exploring all facets of business opportunities, and connecting insights across roles and functions to drive innovative solutions.","responsibilities":"Drive Program Roadmap and Strategy: Define and execute the roadmap for scalable, privacy\-preserving ML infrastructure and data platforms, empowering Apple’s development teams to efficiently ingest, store, process, transform, and analyze data for machine learning and analytics.  
Program Ownership and Use Case Identification: Proactively engage with internal partners to identify high\-impact use cases, build strong business cases, and define detailed requirements and product specifications.Lead cross\-functional discussions with stakeholders to prioritize and establish a strategic program roadmap.  
Establish and Maintain Feedback Loops: Develop and sustain a robust feedback loop with stakeholders, partners, and users to drive iterative improvements, ensuring that products continuously evolve to meet user needs and program objectives.  
Define Success Metrics: Develop and monitor key product metrics that align with broader ASE product goals, enabling clear measurement of data platform success and impact.  
Champion Product Adoption and Evangelism: Act as a primary advocate for data products, leading efforts to promote platform adoption, ensuring awareness, and aligning stakeholders on the platform’s value across the organization.  
Foster Cross\-Functional Relationships: Build strong, collaborative relationships across Apple, facilitating seamless communication between divisions and fostering a unified approach to program goals.  
Lead Complex Multi\-Org Programs: Identify and manage stakeholders, dependencies, risks, and tradeoffs across distributed ML systems spanning engineering, infrastructure, product, security, privacy, regulatory, and governance teams  
**Preferred Qualifications**  
User\-Centric Program Strategy: Passionate about optimizing the user experience, providing thought leadership to enhance end\-to\-end user interactions for technical products.  
Technical Proficiency in ML and Data Tools: Familiarity with ML infrastructure, frameworks like PyTorch and TensorFlow, Jupyter notebooks, Spark, Trino, Flink, SQL, Python, and other advanced analytical tools is a significant asset.  
Familiarity with Distributed Cloud ML Systems: Familiarity with distributed systems and large\-scale compute environments. Background working closely with applied Data \&amp; ML infra teams. Experience with developer platforms, APIs, or infrastructure products.  
**Minimum Qualifications**  
Program management in ML Infrastructure: 7\+ years of experience leading large cross\-functional infrastructure programs, with 2\+ years leading ML, AI, and data programs.  
Proven Delivery of Large\-Scale Solutions: Demonstrated success in delivering reliable, large\-scale ML infrastructure and data platform products, including data storage, feature store, data management, data versioning, privacy, governance, analytics, and backend services that support high\-throughput, user\-facing applications.  
Technical Expertise in Cloud and Hybrid Platforms: Solid understanding of cloud technologies and experience in building hybrid cloud ML infrastructure and data platforms.  
BS in Computer Science, Computer Engineering, or related technical field OR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in-df445eac35e38e8e</t>
        </is>
      </c>
      <c r="B30" t="inlineStr">
        <is>
          <t>Engineering Program Manager, Data Center Efficiency</t>
        </is>
      </c>
      <c r="C30" t="inlineStr">
        <is>
          <t>Apple</t>
        </is>
      </c>
      <c r="D30" t="inlineStr">
        <is>
          <t>indeed</t>
        </is>
      </c>
      <c r="E30" t="inlineStr"/>
      <c r="F30" t="inlineStr"/>
      <c r="G30" t="inlineStr">
        <is>
          <t>Elk Grove, CA, US</t>
        </is>
      </c>
      <c r="H30" s="2" t="n">
        <v>46054</v>
      </c>
      <c r="I3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Imagine what you could do here. At Apple, new ideas have a way of quickly becoming great products, services, and customer experiences. Every new product we build, service we create, or Apple Store experience we deliver is the result of us making each other’ll add something.  
**Description**  
Decommissioning Leadership  
* Oversees programs that enable migration from traditional bare\-metal services to cloud platforms, ensuring milestones, dependencies, and resources are managed across engineering and product teams.
* Ensure decommissioning activities align with internal policies, compliance requirements, and security best practices.
* Drives initiatives with Data Center Engineering, Systems Engineering, Product and SRE teams to deliver automated decommissioning processes, improving operational efficiency and compliance.
* Partner with engineering and product stakeholders to define roadmaps, project plans, critical paths, and delivery timelines for internally developed systems that enable LOB processes.
Infrastructure Risk Management  
* Identify and track assets that pose infrastructure risks (e.g., under any infrastructure risk in the data centers, aging hardware, unsupported systems, inefficient racks, maintenance needs).
* Applies broad system design knowledge to translate business requirements into technical (Hardware engineering) requirements, ensuring risk mitigation strategies are feasible, scalable, and aligned with engineering constraints.
* Maintain detailed documentation of risk exposures and remediation plans.
* Provides program oversight grounded in a strong understanding of engineering and data center fundamentals, including power and cooling capacity, server space utilization, and electrical infrastructure, ensuring program decisions reflect both technical and operational realities.
Reporting, Insights \&amp; Executive Engagement  
* Build dashboards, reports, and forecasts that track decommission progress, risk remediation, and efficiency metrics.
* Deliver clear, confident presentations to senior leaders that influence decisions and drive alignment (i.e broad system design knowledge to translate business requests/requirements to technical requirements) (also referred to as engineering requirements), define roadmaps and create project plans
* Use milestone tracking, forecasts, and program metrics to inform engineering prioritization and drive execution decisions.
* Support and partner with engineering on internal information system\-specific design decisions by identifying and articulating risks and engaging critical parties where necessary
","responsibilities":"In this role, you will be responsible for tracking and coordinating server decommissioning activities, ensuring compliance with risk and security standards, and supporting overall infrastructure efficiency initiatives. You’ll partner closely with operations, engineering, security, and Finance teams to ensure hardware impacted by infrastructure risks are decommissioned efficiently, securely, and responsibly.  
**Preferred Qualifications**  
Familiarity with data center standards and best practices.  
Experience working with asset management and decommissioning tools  
Knowledge of IT sustainability and responsible recycling practices  
Bachelor’s degree in Engineering, Information Systems, Project Management, or equivalent work experience  
**Minimum Qualifications**  
5\+ years of project management experience, preferably in data center or infrastructure environments.  
Solid understanding of server hardware lifecycle management and infrastructure operational risk.  
Tried experience leading technical projects with cross\-functional teams in a multifaceted, high\-paced environment.  
Excellent organizational skills, attention to detail, and ability to prioritize  
Proficiency in project tracking tools (e.g., Jira, ServiceNow, Smartsheet, Asana) and data reporting platforms (e.g., Tableau, Power BI)  
Strong communication, stakeholder management, and time management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in-ba7c1135ee76c408</t>
        </is>
      </c>
      <c r="B31" t="inlineStr">
        <is>
          <t>Engineering Program Manager, Data Center Efficiency</t>
        </is>
      </c>
      <c r="C31" t="inlineStr">
        <is>
          <t>Apple</t>
        </is>
      </c>
      <c r="D31" t="inlineStr">
        <is>
          <t>indeed</t>
        </is>
      </c>
      <c r="E31" t="inlineStr"/>
      <c r="F31" t="inlineStr"/>
      <c r="G31" t="inlineStr">
        <is>
          <t>Elk Grove, CA, US</t>
        </is>
      </c>
      <c r="H31" s="2" t="n">
        <v>46054</v>
      </c>
      <c r="I31"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Imagine what you could do here. At Apple, new ideas have a way of quickly becoming great products, services, and customer experiences. Every new product we build, service we create, or Apple Store experience we deliver is the result of us making each other’ll add something.  
**Description**  
Decommissioning Leadership  
* Oversees programs that enable migration from traditional bare\-metal services to cloud platforms, ensuring milestones, dependencies, and resources are managed across engineering and product teams.
* Ensure decommissioning activities align with internal policies, compliance requirements, and security best practices.
* Drives initiatives with Data Center Engineering, Systems Engineering, Product and SRE teams to deliver automated decommissioning processes, improving operational efficiency and compliance.
* Partner with engineering and product stakeholders to define roadmaps, project plans, critical paths, and delivery timelines for internally developed systems that enable LOB processes.
Infrastructure Risk Management  
* Identify and track assets that pose infrastructure risks (e.g., under any infrastructure risk in the data centers, aging hardware, unsupported systems, inefficient racks, maintenance needs).
* Applies broad system design knowledge to translate business requirements into technical (Hardware engineering) requirements, ensuring risk mitigation strategies are feasible, scalable, and aligned with engineering constraints.
* Maintain detailed documentation of risk exposures and remediation plans.
* Provides program oversight grounded in a strong understanding of engineering and data center fundamentals, including power and cooling capacity, server space utilization, and electrical infrastructure, ensuring program decisions reflect both technical and operational realities.
Reporting, Insights \&amp; Executive Engagement  
* Build dashboards, reports, and forecasts that track decommission progress, risk remediation, and efficiency metrics.
* Deliver clear, confident presentations to senior leaders that influence decisions and drive alignment (i.e broad system design knowledge to translate business requests/requirements to technical requirements) (also referred to as engineering requirements), define roadmaps and create project plans
* Use milestone tracking, forecasts, and program metrics to inform engineering prioritization and drive execution decisions.
* Support and partner with engineering on internal information system\-specific design decisions by identifying and articulating risks and engaging critical parties where necessary
","responsibilities":"In this role, you will be responsible for tracking and coordinating server decommissioning activities, ensuring compliance with risk and security standards, and supporting overall infrastructure efficiency initiatives. You’ll partner closely with operations, engineering, security, and Finance teams to ensure hardware impacted by infrastructure risks are decommissioned efficiently, securely, and responsibly.  
**Preferred Qualifications**  
Familiarity with data center standards and best practices.  
Experience working with asset management and decommissioning tools  
Knowledge of IT sustainability and responsible recycling practices  
Bachelor’s degree in Engineering, Information Systems, Project Management, or equivalent work experience  
**Minimum Qualifications**  
5\+ years of project management experience, preferably in data center or infrastructure environments.  
Solid understanding of server hardware lifecycle management and infrastructure operational risk.  
Tried experience leading technical projects with cross\-functional teams in a multifaceted, high\-paced environment.  
Excellent organizational skills, attention to detail, and ability to prioritize  
Proficiency in project tracking tools (e.g., Jira, ServiceNow, Smartsheet, Asana) and data reporting platforms (e.g., Tableau, Power BI)  
Strong communication, stakeholder management, and time management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in-f4bd96ed333ecd5c</t>
        </is>
      </c>
      <c r="B32" t="inlineStr">
        <is>
          <t>Engineering Program Manager, Data Center Efficiency</t>
        </is>
      </c>
      <c r="C32" t="inlineStr">
        <is>
          <t>Apple</t>
        </is>
      </c>
      <c r="D32" t="inlineStr">
        <is>
          <t>indeed</t>
        </is>
      </c>
      <c r="E32" t="inlineStr"/>
      <c r="F32" t="inlineStr"/>
      <c r="G32" t="inlineStr">
        <is>
          <t>Elk Grove, CA, US</t>
        </is>
      </c>
      <c r="H32" s="2" t="n">
        <v>46054</v>
      </c>
      <c r="I32"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Imagine what you could do here. At Apple, new ideas have a way of quickly becoming great products, services, and customer experiences. Every new product we build, service we create, or Apple Store experience we deliver is the result of us making each other’ll add something.  
**Description**  
Decommissioning Leadership  
* Oversees programs that enable migration from traditional bare\-metal services to cloud platforms, ensuring milestones, dependencies, and resources are managed across engineering and product teams.
* Ensure decommissioning activities align with internal policies, compliance requirements, and security best practices.
* Drives initiatives with Data Center Engineering, Systems Engineering, Product and SRE teams to deliver automated decommissioning processes, improving operational efficiency and compliance.
* Partner with engineering and product stakeholders to define roadmaps, project plans, critical paths, and delivery timelines for internally developed systems that enable LOB processes.
Infrastructure Risk Management  
* Identify and track assets that pose infrastructure risks (e.g., under any infrastructure risk in the data centers, aging hardware, unsupported systems, inefficient racks, maintenance needs).
* Applies broad system design knowledge to translate business requirements into technical (Hardware engineering) requirements, ensuring risk mitigation strategies are feasible, scalable, and aligned with engineering constraints.
* Maintain detailed documentation of risk exposures and remediation plans.
* Provides program oversight grounded in a strong understanding of engineering and data center fundamentals, including power and cooling capacity, server space utilization, and electrical infrastructure, ensuring program decisions reflect both technical and operational realities.
Reporting, Insights \&amp; Executive Engagement  
* Build dashboards, reports, and forecasts that track decommission progress, risk remediation, and efficiency metrics.
* Deliver clear, confident presentations to senior leaders that influence decisions and drive alignment (i.e broad system design knowledge to translate business requests/requirements to technical requirements) (also referred to as engineering requirements), define roadmaps and create project plans
* Use milestone tracking, forecasts, and program metrics to inform engineering prioritization and drive execution decisions.
* Support and partner with engineering on internal information system\-specific design decisions by identifying and articulating risks and engaging critical parties where necessary
","responsibilities":"In this role, you will be responsible for tracking and coordinating server decommissioning activities, ensuring compliance with risk and security standards, and supporting overall infrastructure efficiency initiatives. You’ll partner closely with operations, engineering, security, and Finance teams to ensure hardware impacted by infrastructure risks are decommissioned efficiently, securely, and responsibly.  
**Preferred Qualifications**  
Familiarity with data center standards and best practices.  
Experience working with asset management and decommissioning tools  
Knowledge of IT sustainability and responsible recycling practices  
Bachelor’s degree in Engineering, Information Systems, Project Management, or equivalent work experience  
**Minimum Qualifications**  
5\+ years of project management experience, preferably in data center or infrastructure environments.  
Solid understanding of server hardware lifecycle management and infrastructure operational risk.  
Tried experience leading technical projects with cross\-functional teams in a multifaceted, high\-paced environment.  
Excellent organizational skills, attention to detail, and ability to prioritize  
Proficiency in project tracking tools (e.g., Jira, ServiceNow, Smartsheet, Asana) and data reporting platforms (e.g., Tableau, Power BI)  
Strong communication, stakeholder management, and time management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in-21a7b49ec02d5fa7</t>
        </is>
      </c>
      <c r="B33" t="inlineStr">
        <is>
          <t>Program Manager / Senior Program Manager</t>
        </is>
      </c>
      <c r="C33" t="inlineStr">
        <is>
          <t>Federal Heath</t>
        </is>
      </c>
      <c r="D33" t="inlineStr">
        <is>
          <t>indeed</t>
        </is>
      </c>
      <c r="E33" t="inlineStr"/>
      <c r="F33" t="inlineStr"/>
      <c r="G33" t="inlineStr">
        <is>
          <t>Hurst, TX, US</t>
        </is>
      </c>
      <c r="H33" s="2" t="n">
        <v>46054</v>
      </c>
      <c r="I33" t="inlineStr">
        <is>
          <t>*Federal Heath Sign Company* is a retail signage company experiencing growth and seeking a Program Manager to support our Key Account customers.  
Our success is a direct result of our exceptional people!
**About the Role**  
We are seeking a highly organized, self\-motivated Program Manager (or Senior Program Manager depending on experience) to support our Key Accounts team in Hurst TX. This role is ideal for someone who thrives in a fast\-paced role, someone who can juggle multiple priorities at once, and enjoys being the go\-to person who keeps everything moving smoothly. You’ll collaborate closely with customers, field supervisors, suppliers, and internal teams to ensure projects are completed accurately, on time, and with exceptional service.
**JOB RESPONSIBILITIES:**  
A Program Manager is a member of the Account Management Services team and is responsible for the management of signage accounts.  
For example, when a sign program is sold to a company for multiple locations of their stores or hotels or restaurants, your task is to organize and coordinate it to its on\-time completion. You’ll ensure that all processes from the time the program is sold, manufactured, installed, and billed occur smoothly and to the requirements and overwhelming satisfaction of the customer.  
**Additional Responsibilities include:**  
* Maintain customer communication to their satisfaction
* Prepare sales presentations and proposals
* Arrange customer location surveys as needed, verify sign codes
* Qualify and negotiate with subcontractors for obtaining permits, installation \&amp; estimates
* Issue purchase orders
* Establish accessible, organized and complete job files
* Track forecast and projections of projects
* Coordinate manufacturing, delivery, and install activities
**EXPERIENCE/SKILLS REQUIRED:**  
* A minimum of two years of experience in project management, 5\+ years would be beneficial.
* Sign industry experience strongly desired.
* Leadership ability, proven decision\-making skills
* Lean knowledge or experience desired
* Outstanding phone etiquette and Customer Service skills
* Good written \&amp; verbal communication skills.
* Ability to work well independently as well as in teams within a rapidly changing deadline driven environment
 **Why You’ll Love Working Here**  
You’ll be part of a committed team that values accuracy, collaboration, and accountability. The work is dynamic, hands\-on, and impactful, supporting projects that require precision and strong coordination across multiple stakeholders.
**What We Offer**  
We pay competitive wages and offer a comprehensive benefits package, including:  
* Health, dental, and vision coverage
* Flexible Spending Plans
* Tuition Reimbursement
* 401(k) Plan
* Paid vacation and holidays
* And more!
If you're looking for an exciting career in a unique and growing industry, we’d love to hear from you. Apply today for consideration!
WjmOlPXqPv</t>
        </is>
      </c>
    </row>
    <row r="34">
      <c r="A34" t="inlineStr">
        <is>
          <t>in-19ad852ad7d72419</t>
        </is>
      </c>
      <c r="B34" t="inlineStr">
        <is>
          <t>Program Manager, Fleet Engineering Senior</t>
        </is>
      </c>
      <c r="C34" t="inlineStr">
        <is>
          <t>Parkland Corporation</t>
        </is>
      </c>
      <c r="D34" t="inlineStr">
        <is>
          <t>indeed</t>
        </is>
      </c>
      <c r="E34" t="inlineStr"/>
      <c r="F34" t="inlineStr"/>
      <c r="G34" t="inlineStr">
        <is>
          <t>Chattanooga, TN, US</t>
        </is>
      </c>
      <c r="H34" s="2" t="n">
        <v>46054</v>
      </c>
      <c r="I34" t="inlineStr">
        <is>
          <t>**Job ID:** 518149  
**Location:** CHATTANOOGA, TN  
**Regular/Temporary:** Regular  
**External \- Posting Description**
**Program Manager, Fleet Engineering Senior \- 518149**
**Organization: Nuclear Power Group**
**Department: Nuclear Engineering**
**Work Location: Chattanooga, TN**
**Relocation:** **Relocation benefits are offered for this position and will be aligned with federal travel regulation.**
**Posting Open: 02/02/2026**
**Posting Close: 02/08/2026 11:59 PM EST**
**Salary: Competitive**
 **Position Purpose**
Serves as the fleet program manager for various programs and systems, as assigned. Oversees and provides mentoring direction to the system engineers and managers within their area and provides authoritative decisions and recommendations on behalf of TVA regarding critical and/or controversial issues related to their engineering specialty/field. Consults, negotiates, and commits TVA resources, engineering support and professional cooperation with senior management personnel, management\-level officers from other companies, and policy\-making representatives from regulatory and professional engineering organizations. Is responsible for one or more programs or program components of such magnitude, diversity, and scope that their technical performance is of critical importance to NPG's overall engineering objectives.
 **Principal Accountabilities**
Provides fleet governance in their respective area by developing and maintaining policies, program procedures, practices, and definitive metrics to achieve desired outcomes consistent with industry best performance in their field.
Provides fleet oversight of responsible areas by monitoring work, performance, and site metrics to ensure desired outcomes are met.
Provide program management and serves as an industry\-recognized leader, expert, and technical consultant in their field.
Is accountable and influential for TVA’s interests on industry committees for regulatory issues, research, and the future of the US Nuclear industry with authority to speak for the Agency. May hold the chairmanship or other high position on these committees.
Participates in the development of long\-range planning involving large fiscal expenditures for NPG facilities.
Supports troubleshooting or issue resolution efforts as needed and ensures an appropriate level of rigor is applied to technical products.
Provides technical consultation to Nuclear, Fossil, Hydro and Transmission.
Understands, develops, and provides interpretations of engineering regulations, policies and industry standards and provides the final decision on these matters. Maintains engineering requirements documents in areas of expertise.
Provides overall technical conscience, experience, industry involvement and guidance.
Works as an individual contributor or as a team leader in planning, organizing, and overseeing the work of specialist level engineers in an intensely specialized field and may be assigned to rotate to each nuclear site to assist in outages.
Serves on the emergency response team in various positions as needed providing technical guidance to mitigate/resolve the emergency, and interfaces with vendors, and local/state/federal agencies.
 **Minimum Requirements**
**Education** – Bachelor's degree in engineering from an accredited college or university. An advanced degree is highly desirable.
**Experience** –Ten years of experience associated with the design, construction, maintenance, and/or operation of a power generating plant with at least 4 years of experience in the nuclear power industry. Extensive experience in interfacing with other engineering disciplines, expertise into the engineering process, and a broad exposure to major problems/issues with demonstrated ability for their identification and resolution.
**Certification/License, etc** — Professional Engineering License and/or SRO certification is desirable.
**Knowledge/Skills/Abilities** — Individuals at this level must demonstrate a high degree of foresight, strategic consideration, and mature judgment in anticipating and solving unprecedented engineering complexities. Must be able to obtain and maintain requirements for nuclear plant unescorted access. Candidate may be required to obtain and maintain a security clearance based on position / access requirements and essential job functions.
**Equal Employment Opportunity**
TVA is an Equal Opportunity employer and complies with all applicable laws and regulations regarding equal employment opportunities. Any applicant or employee who believes s/he has a discrimination claim (including harassment or retaliation) must contact TVA’s Equal Opportunity Compliance office within 45 calendar days of the event or action s/he believes to constitute discrimination, harassment, or retaliation.
**Drug\-Free Workplace**  
All TVA Non\-Nuclear employees are covered by TVA's Federal Drug\-Free Workplace Program Plan, in accordance with Executive Order 12564, Public Law 100\-71 and the Mandatory Guidelines for Federal Workplace Drug Testing. Information regarding the Drug Free Workplace Program can be found at www.samhsa.gov/workplace. TVA Non\-Nuclear employees in Testing Designated Positions, including those performing safety\-sensitive duties are also subject to random drug testing. TVA Nuclear employees are subject to random alcohol and drug tests in accordance with 10 CFR Part 26 as mandated by the Nuclear Regulatory Commission (NRC).
 **How to Claim Vet Preference**
If you are requesting to be considered as a preference\-eligible veteran as outlined in the application process, you must submit your military documents before the posting close date indicated above. Be sure to include all supporting documentation: Form DD214 (member 2 or member 4 copy), a Veterans Disability Rating Letter from the VA (if applicable), and a completed form TVA 3595\. If you will not get your DD214 until you are separated or retired, you can request a Statement of Service through your military personnel office. The Statement of Service must list your dates of military service, character of service, expected date of separation and any service\-connected disability rating that you have been awarded from your branch of military service. Please submit your military documents each time you apply for a position.
How to Submit Documentation:
* Upload documents in Step 7 of the application process.
* Email documents to careers@tva.gov
*More information about preference eligibility and a link to form TVA 3595, can be found at* *https://www.tva.gov/Careers/Claiming\-Veteran\-Preference*. *If you have a question about preference eligibility, please email* *Careers@tva.gov*.</t>
        </is>
      </c>
    </row>
    <row r="35">
      <c r="A35" t="inlineStr">
        <is>
          <t>in-726e9849c8758ad3</t>
        </is>
      </c>
      <c r="B35" t="inlineStr">
        <is>
          <t>Program Manager I</t>
        </is>
      </c>
      <c r="C35" t="inlineStr">
        <is>
          <t>M&amp;T Bank</t>
        </is>
      </c>
      <c r="D35" t="inlineStr">
        <is>
          <t>indeed</t>
        </is>
      </c>
      <c r="E35" t="inlineStr"/>
      <c r="F35" t="inlineStr"/>
      <c r="G35" t="inlineStr">
        <is>
          <t>Buffalo, NY, US</t>
        </is>
      </c>
      <c r="H35" s="2" t="n">
        <v>46054</v>
      </c>
      <c r="I35" t="inlineStr">
        <is>
          <t>Overview:
Manages assigned staff (on a direct and indirect basis) on multiple related projects and ongoing operations directed towards a common objective and affecting three or more businesses or functional areas.
Manages changes to project scope, schedule and costs using appropriate verification techniques to keep the project plan accurate, updated, reflective of authorized project changes as defined in the change management plan, and facilitate customer acceptance.
Primary Responsibilities:* Manage multiple related projects and ongoing operations impacting three or more businesses or functions. Ensure familiarity with scope and project objectives and establish clear roles and responsibilities for project team members. Work with constituent project managers to monitor cost, schedule and technical performance.
* Develop Project Plan, forecast and schedule. Work with stakeholders to record detailed project requirements, constraints and assumptions to establish project deliverables, using requirement\-gathering techniques (e.g. planning sessions, brainstorming, focus groups) and the project charter.
* Ensure plans for assigned projects include work breakdown, project organization chart, cost/budget and communication, risk, quality and resource plans.
* Ensure execution of tasks defined in the project plan to achieve the project goals. Execute all parts of the project plan and manage the budget/forecast. Monitor and control project work including change controls.
* Measure project performance utilizing appropriate tools and techniques to monitor progress; identify and quantify variances, complete any required corrective actions, and communicate to all stakeholders. Address program issues by identifying and selecting a course of action by taking into account program constraints and objectives to enable continued program success.
* Implement approved actions and workarounds required to mitigate project risk events.
* Improve project team performance by building team cohesiveness, leading, mentoring, training and motivating to facilitate cooperation, ensure project efficiency and boost morale. Determine and coordinate sharing of resources among constituent projects for overall program benefit.
* Understand and adhere to the Company’s risk and regulatory standards, policies and controls in accordance with the Company’s Risk Appetite. Design, implement, maintain and enhance internal controls to mitigate risk on an ongoing basis. Identify risk\-related issues needing escalation to management.
* Promote an environment that supports belonging and reflects the M\&amp;T Bank brand.
* Maintain M\&amp;T internal control standards, including timely implementation of internal and external audit points together with any issues raised by external regulators as applicable.
* Complete other related duties as assigned.
* Exercise usual authority of a manager concerning staffing, performance appraisals, promotions, salary recommendations, performance management and terminations.
Scope of Responsibilities:
Responsible for coordinated management of multiple related projects and ongoing operations impacting three or more businesses or functions; responsibility for the projects includes all aspects from initiation to close.
Must be familiar with system scope and project objectives, as well as the role and responsibility of each team member, to effectively coordinate team activities.
Project Guidelines:
Project Scope: $5\.0 m or more
Team Size Range: 30 \- 50 FTE
Project Duration: 18 \- 24 months
Project Size: Multiple high priority projects
Project Customer: Three or more lines of business or functions
Scope of Change: Minor changes to business processes or procedures
Project Timeline: Moderately aggressive
Project Innovation: Moderately defined scope
Project Benefits: Major
Project Customization: Major
Number of Interfaces: 6 or more
Project Integration: Internal and External Systems
Supervisory/ Managerial Responsibilities:
Typically manages a team ranging from 5 \- 15 directly and indirectly and 50 \- 100 on a project team basis.
Education and Experience Required:
Bachelor’s degree and a minimum of 8 years’ proven project management experience,
OR in lieu of a degree,
A combined minimum of 12 years’ higher education and/or work experience, including a minimum of 8 years’ proven project management experience.
Proficiency with personal computers as well as pertinent software packages.
Strong knowledge of project management methodology.
Strong verbal and written communication skills, particularly an ability to negotiate, influence and gain consensus.
Regularly communicates verbally and in writing with executive management on status of initiatives, in a professional and understandable manner.
Excellent problem\-solving skills.
Ability to work individually as well as a member of a team.
Self\-motivated, results\-driven and well\-organized individual.
Ability to handle multiple tasks and work under time constraints in support of various assignments.
Ability to function professionally at many different levels (clients, management and peers).
Strong interpersonal skills necessary for business partner relationships within and outside the organization.
Ability to build mutual trust and encourage respect; open to diverse points of view.
Education and Experience Preferred:
Project Management Professional (PMP) certification.
Program Management Professional (PgMP) certification.
Master’s degree.
\#LI\-LA1
M\&amp;T Bank is committed to fair, competitive, and market\-informed pay for our employees. The pay range for this position is $107,500\.00 \- $179,100\.00 Annual (USD). The successful candidate’s particular combination of knowledge, skills, and experience will inform their specific compensation.
Location
Buffalo, New York, United States of America</t>
        </is>
      </c>
    </row>
    <row r="36">
      <c r="A36" t="inlineStr">
        <is>
          <t>in-49fc6aafd2f08e92</t>
        </is>
      </c>
      <c r="B36" t="inlineStr">
        <is>
          <t>Staff Product Manager, Revenue Tooling</t>
        </is>
      </c>
      <c r="C36" t="inlineStr">
        <is>
          <t>Ibotta</t>
        </is>
      </c>
      <c r="D36" t="inlineStr">
        <is>
          <t>indeed</t>
        </is>
      </c>
      <c r="E36" t="inlineStr"/>
      <c r="F36" t="inlineStr"/>
      <c r="G36" t="inlineStr">
        <is>
          <t>Denver, CO, US</t>
        </is>
      </c>
      <c r="H36" s="2" t="n">
        <v>46054</v>
      </c>
      <c r="I36" t="inlineStr">
        <is>
          <t>Ibotta is seeking a Staff Product Manager to join our Revenue Tooling team and contribute to our mission to Make Every Purchase Rewarding. In this role, you will own the strategy and execution of the systems that power how we quote, price, and contract with partners. Sitting at the center of our go\-to\-market motion you will lead Quoting, Pricing, and CLM tooling. You will partner with Sales, Legal, RevOps, Data Science, and Engineering to deliver a fast, flexible pre\-contract experience across self\-serve, managed, and hybrid motions.
Quoting underpins how we sell and grow revenue. This role focuses on simplifying how proposals are created, pricing is governed, and contracts are managed so teams can move with clarity and speed. As a Staff PM, you’ll connect dots across systems, anticipate what’s next, and lead through influence, not just ownership.
This position is located in Denver, Colorado as a hybrid position requiring 3 days in office (Tuesday, Wednesday, and Thursday). Candidates must live in the United States.
What you will be doing:* Own the end\-to\-end quoting \&amp; proposal experience for a high\-visibility product domain at Ibotta \- turning today’s clunky, error\-prone internal revenue workflows into fast, confident, self\-serve seller tooling that scales
* Lead internal tooling strategy across quote\-to\-cash, aligning quoting, pricing, proposals, SOWs, and Salesforce handoffs to a unified data model and automated downstream flows
* Drive the roadmap execution: quoting tool pilot beta GA, pricing automation, automated SOWs, and proposal generation, shipping iteratively while reducing seller steps, errors, and cycle time
* Be the connective tissue between Sales, RevOps, Legal, Analytics, and Engineering, eliminating inter\-team dependencies and replacing them with standards, APIs, and defaults
* Set the long\-term tooling vision for agentic, programmatic quote\-to\-cash: defining what gets automated now, what gets standardized next, and what unlocks real\-time campaign design later
* Obsess over efficiency: fewer manual inputs, higher confidence predictions, cleaner data lineage, because the goal isn’t prettier tools, it’s more deals moving faster with less human suffering
What we are looking for:* 7\+ years in product, with clear evidence of operating at staff level: setting direction, not just shipping tickets; influencing without authority
* BA/BS in business or technology required
* Deep internal tooling experience (Sales, RevOps, Finance, Ops, or similar). You’ve built products where the users are coworkers, the edge cases are endless, and bad UX directly costs revenue
* Excellent quote\-to\-cash instincts: familiarity with CPQ, pricing engines, contracts/SOWs, billing handoffs, or Salesforce\-adjacent workflows. You understand how small data model decisions echo loudly downstream
* Systems thinker, not a screen\-by\-screen PM. You can reason about workflows, data models, APIs, and automation as a single organism while making principled tradeoffs when reality intrudes
* Proven ability to untangle manual, error\-prone processes and replace them with scalable, automated paths, while keeping the business running mid\-flight
* Fluent collaborator with technical partners. You can hold your own with senior engineers on architecture, sequencing, and risk without pretending to be one
* High judgment in ambiguous environments. Comfortable making calls with imperfect data, aligning stakeholders, and revisiting decisions without ego when the evidence changes
* Operational empathy. You’ve spent real time with Sales, RevOps, Finance, or Legal, and it shows in how you design tools people actually adopt
* Bias toward leverage over heroics. You optimize for fewer steps, cleaner standards, and compounding gains, not bespoke fixes or performative spreadsheets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This position is located in Denver, CO and includes competitive pay, flexible time off, benefits package (including medical, dental, vision), Employee Stock Purchase Program, and 401k match. Denver office perks include paid parking, snacks, and occasional meals.
* Base compensation range: $161,000 \- $185,000\.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\#LI\-Hybrid
\#BI\-Hybrid</t>
        </is>
      </c>
    </row>
    <row r="37">
      <c r="A37" t="inlineStr">
        <is>
          <t>in-f388000c7b502f7b</t>
        </is>
      </c>
      <c r="B37" t="inlineStr">
        <is>
          <t>Product Manager</t>
        </is>
      </c>
      <c r="C37" t="inlineStr"/>
      <c r="D37" t="inlineStr">
        <is>
          <t>indeed</t>
        </is>
      </c>
      <c r="E37" t="inlineStr"/>
      <c r="F37" t="inlineStr"/>
      <c r="G37" t="inlineStr">
        <is>
          <t>Santa Cruz, CA, US</t>
        </is>
      </c>
      <c r="H37" s="2" t="n">
        <v>46054</v>
      </c>
      <c r="I37" t="inlineStr">
        <is>
          <t>As a Product Manager at QuickLaunch Analytics, you’ll have the opportunity to fully own and drive the lifecycle of key product capabilities—from initial concept and ideation to launch and ongoing optimization. This role empowers you to shape the evolution of our product offering, ensuring it addresses customer needs in analytics, integration, and performance management. You’ll also gain valuable exposure to innovative technologies, including AI Agents, LLMs, and MCP frameworks, which are increasingly shaping enterprise workflows and offer excellent growth opportunities for your career.
**What** **You’ll** **Do**
* **Manage the full product lifecycle.** Drive planning, requirements, development, release, and sunset decisions for assigned features.
* **Roadmap \&amp; prioritization.** Translate customer insights and business goals into a clear roadmap; maintain backlog and ensure alignment with strategic objectives.
* **Discovery \&amp; validation.** Conduct user research, run experiments, and validate hypotheses before committing resources.
* **Execution \&amp; delivery.** Write product requirements documents, collaborate with Engineering and Design, and ensure timely, high\-quality releases.
* **Post\-launch optimization.** Monitor adoption, gather feedback, and iterate to improve usability and performance.
* **Cross\-functional** **leadership****.** Partner with Sales, Customer Success, and Marketing to enable go\-to\-market success.
* **AI awareness.** Stay current with emerging AI technologies—including AI Agents, LLMs, and MCP patterns—and proactively identify how these advancements can enhance workflows.
* **Security** **\&amp; compliance****.** Ensure features align with CIS/NIST controls and customer trust requirements.
**Who You Are**
* 4–7\+ years in Product Management for enterprise SaaS or analytics platforms.
* Strong experience in Product Lifecycle Management—from concept through retirement.
* Familiarity with Power BI, Microsoft Fabric, Databricks, and data integration tools (e.g., Fivetran).
* Exposure to ERP and performance systems such as OneStream, JDE, or Vista.
* Understanding of AI concepts (Agents, LLMs, MCP) and ability to frame opportunities responsibly.
* Excellent communication, stakeholder alignment, and evidence\-based prioritization skills.
**Working Location**: Remote (USA) or hybrid (Santa Cruz County, CA)
**Compensation:** The estimated base salary range for this role is $110,000\-140,000\. There is also an opportunity for a discretionary bonus.
**About Us:**
At QuickLaunch Analytics our purpose is to simplify the often\-complex world of data analytics. For over 20 years, we've helped 250\+ companies make better decisions by delivering a comprehensive platform that centralizes and transforms data ecosystems into a unified enterprise\-wide foundation for trusted information.
We're a team of 35\+ professionals with deep expertise in Power BI, Databricks, and Azure Cloud. Our culture is built on ownership, collaboration, and continuous learning—reflected in our world\-class Net Promoter Scores from both customers and team members.
If you're passionate about analytics and want to work with talented people who genuinely enjoy solving complex data challenges, we'd love to hear from you.</t>
        </is>
      </c>
    </row>
    <row r="38">
      <c r="A38" t="inlineStr">
        <is>
          <t>in-73e986a5ee64c073</t>
        </is>
      </c>
      <c r="B38" t="inlineStr">
        <is>
          <t>Technical Product Manager (Teradyne, North Reading, MA)</t>
        </is>
      </c>
      <c r="C38" t="inlineStr">
        <is>
          <t>Teradyne</t>
        </is>
      </c>
      <c r="D38" t="inlineStr">
        <is>
          <t>indeed</t>
        </is>
      </c>
      <c r="E38" t="inlineStr"/>
      <c r="F38" t="inlineStr"/>
      <c r="G38" t="inlineStr">
        <is>
          <t>North Reading, MA, US</t>
        </is>
      </c>
      <c r="H38" s="2" t="n">
        <v>46053</v>
      </c>
      <c r="I38"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**Technical Product Manager**
Teradyne’s Integrated System Test systems utilize complex high\-speed automation to manipulate semiconductor and storage devices, position them in test fixtures which simulate their real\-life usage, and determine whether product quality levels have been achieved in the manufacturing process.
The Technical Product Manager will be based in Massachusetts. This role will report to the Senior Director of Product Management and Business Development of the Integrated Systems Test Division. In this role you will lead the product strategy definition as well as future positioning of our Storage product line at one of 3 major OEMs. Your leadership will directly influence how our products integrate and excel across segments, positioning Teradyne as the go\-to provider in storage testing sector. This role involves collaborating and working with multiple teams in marketing, engineering, sales, and operations.
Key Responsibilities:
* Participate and influence the organization to implement successful product strategies for our existing markets
* Identify, win and negotiate business with key customers. Ensure that customer commitments and support are delivered to Teradyne standards of quality and customer satisfaction.
* Establish and maintain a collaborative working environment across product management, project management, research and engineering development teams, including production operations and support.
* Sponsorship and active support of design\-ins including targeting, competitive differentiation, and resource allocation.
* Development of competitive differentiation through sales and marketing collateral.
* Coordination of key customer relationships and strategic engagement activities.
* Participate in defining and the execution of the division’s mid\-term plan.
* Grow market share by prioritizing, targeting, and supporting strategic design\-in activities, including resource trade\-offs
* Product pricing strategy for the market, as well as working with sales on account discounting, including pricing approval to ensure rationalized pricing across the customer base.
* Responsible for the searching and incubation of new business development opportunities that leverages the core capabilities of the group.
 **All About You**  
We seek individuals who share our passion and determination. Our commitment to customer success drives us to go the extra mile. If you’re ready to join us in this mission, take a closer look at the minimum criteria for the position.
* BS in engineering or equivalent experience. MBA or Masters in Engineering a plus.
* 8\+ years of overall experience with at least 3\+ years in product development, product management, or equivalent leadership experience creating and deploying advanced technical solutions (Semiconductor/Storage Capital Equipment preferred)
* Proven ability to lead all aspects of a growing business including market development, customer engagement and sales
* Strong influence, leadership, analytical, synthesis skills
* Ability to travel up to 30%
Additional qualifications:
* + Ability to establish internal credibility with peer managers as a provider of valuable solutions.
	+ An understanding of operational requirements for the business and the ability to identify opportunities and solutions.
	+ Skill in defining, leading and managing change.
	+ Strength in building and working in a collaborative, team environment and in motivating top notch technical teams
 **Compensation:**  
The base salary range for this role is $126,800\-$202,800\. This range is a good faith estimate, and the amount of base salary will correspond with experience and skill set. This range can also fluctuate depending on demand and location.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\#LI\-JL2</t>
        </is>
      </c>
    </row>
    <row r="39">
      <c r="A39" t="inlineStr">
        <is>
          <t>in-e10d49d017d1d0e3</t>
        </is>
      </c>
      <c r="B39" t="inlineStr">
        <is>
          <t>Design Program Manager - CA, UT, WA, TX, CO</t>
        </is>
      </c>
      <c r="C39" t="inlineStr">
        <is>
          <t>Zions Bancorporation</t>
        </is>
      </c>
      <c r="D39" t="inlineStr">
        <is>
          <t>indeed</t>
        </is>
      </c>
      <c r="E39" t="inlineStr"/>
      <c r="F39" t="inlineStr"/>
      <c r="G39" t="inlineStr">
        <is>
          <t>San Diego, CA, US</t>
        </is>
      </c>
      <c r="H39" s="2" t="n">
        <v>46053</v>
      </c>
      <c r="I39" t="inlineStr">
        <is>
          <t>For more than 150 years, Zions Bancorporation has built on the dedication and talent of our people, earning recognition as one of the ‘Best Banks to Work For.’ Now, we’re focused on shaping the future of banking—leveraging innovation, strengthening local relationships, and delivering exceptional value across our collection of great banks in the West.
Our expanding marketing team is creating something transformative: a dynamic, in\-house Creative Studio that will redefine how we tell our story and connect with customers. Under the leadership of our new CMO, we’re building a modern, collaborative hub for bold ideas and innovative campaigns that elevate a bank known for exceptional service and deep community roots. This is your opportunity to help shape a creative vision that sets a new standard for financial marketing.
We’re looking for a Design Program Manager who will lead strategic marketing initiatives while coordinating collaborative impact. This role will need to move fluidly within a complex organization to facilitate high impact creative across print and digital. The Design Program Manager will oversee the operations for the Creative Studio — how we plan, review, and collaborate across affiliates, segments, and internal teams. This role will build and evolve the systems, rituals, and tooling that help the creative team work efficiently, scale quality, and operate with clarity.
You’ll partner closely with Design leadership to establish consistent design rhythms, streamline processes, and introduce systems that support capacity planning, quality reviews, and team enablement. You’ll also guide design tooling, onboarding, and key initiatives that improve the health, performance, and culture of the Creative Studio.
This is a keystone role designed for someone who thrives at the intersection of operations, systems design, and creative collaboration.
JOB RESPONSIBILITIES
**Lead design operations for the Creative Studio:** Build, maintain, and evolve how the team creates high\-quality work that drives business goals. Drive creative process: Establish consistent, efficient team rituals such as critique, shareouts, review processes that drive alignment and elevate craft . Manage and facilitate leadership meetings: Run agendas for the Creative Studio team meetings, ensuring focus, follow\-through, and clarity. Manage creative tooling: Daily administration of creative tools (Adobe, Figma, etc.) as well as working with procurement to secure new tools to improve efficiency. Drive onboarding and enablement: Maintain and update onboarding in partnership with IT, HR, and other teams to ensure new team members ramp up quickly. Enable Creative Studio leadership: Free up time by managing coordination, communication and planning logistics. Support Creative Studio culture and growth: Lead follow\-ups with team, research and coordinate team activities, and facilitate initiatives that strengthen community and collaboration.
QUALIFICATIONS Bachelor’s degree in Design, Marketing, Communications, or related field; Master’s preferred. Minimum 5 years in creative agency roles, ideally within financial services or regulated industries. Expertise in marketing strategies across digital, interactive, and print channels. Proven ability to manage large\-scale projects, budgets, and agile workflows. Exceptional leadership, organizational, and communication skills with a track record of mentoring teams. Creative problem\-solving and analytical abilities. Familiarity with banking products and services is a plus.
BENEFITS \&amp; COMPENSATION
Along with competitive benefits starting on day one, including 12 bank holidays, profit sharing, and a company\-matched 401(k), you’ll have the chance to grow your career while creating work that truly matters to our customers and communities. Ready to bring your ideas to life? Share your application and portfolio today.
This position is eligible to earn a base salary in the range of $105,000 \- $150,000 annually depending on job\-related factors such as level of experience and location.
Day\-one coverage for Medical, Dental, Vision, Life, and Disability Insurance. Paid Parental Leave, Adoption Assistance, and Mental Health benefits including coaching and therapy sessions. 401(k) with company match, Profit Sharing, and Tuition Reimbursement (up to $5,250 annually). Paid Training, Paid Time Off (PTO), 11 Federal Holidays plus applicable state holidays. Employee Ambassador preferred banking products.
LOCATION OPTIONS Salt Lake City, UT San Diego, CA San Francisco, CA Seattle, WA Houston, TX Denver, CO
**Please note:** This is an in\-office position that will sit at a local corporate hub 5 days a week. This is not a hybrid role.
Ready to bring your vision to life? Share your application and portfolio today.</t>
        </is>
      </c>
    </row>
    <row r="40">
      <c r="A40" t="inlineStr">
        <is>
          <t>in-24151ffc5338ef47</t>
        </is>
      </c>
      <c r="B40" t="inlineStr">
        <is>
          <t>Asthma Control Program Manager</t>
        </is>
      </c>
      <c r="C40" t="inlineStr">
        <is>
          <t>Southeastern Louisiana Area Health Education Center</t>
        </is>
      </c>
      <c r="D40" t="inlineStr">
        <is>
          <t>indeed</t>
        </is>
      </c>
      <c r="E40" t="inlineStr"/>
      <c r="F40" t="inlineStr"/>
      <c r="G40" t="inlineStr">
        <is>
          <t>Hammond, LA, US</t>
        </is>
      </c>
      <c r="H40" s="2" t="n">
        <v>46055</v>
      </c>
      <c r="I40" t="inlineStr">
        <is>
          <t>This position is located in the Bureau of Chronic Disease Prevention and Healthcare Access (BCDPHA). The BCDPHA is responsible for improving the health of Louisianans by preventing and/or controlling chronic disease and relevant risk factors by promoting policy, systems and environmental changes, as well as healthy behaviors and education, utilizing evidence\-based interventions and leveraging resources through collaborative public and private partnerships to maximize health outcomes for our residents. This position is responsible for effective implementation of work plan deliverables funded through the Centers for Disease Control and Prevention related to addressing asthma prevention and control. Providing functional support to the Asthma Control representatives is also a responsibility of this position. The development and management of efficient partnership initiation and communication processes are major responsibilities of this team member.
**50% Develop and implement a coordinated state asthma control strategy to increase prevention efforts that can be incorporated into the Bureau’s program areas; coordinate program alignment to educate and reduce populations with a high asthma prevalence throughout Louisiana; ensure activities align with CDC best practices and the overall mission of Well\-Ahead Louisiana and the Louisiana Department of Health.**
· Support equitable asthma prevention and control policies that can be interrogated and sustained in existing and future Bureau programs to improve chronic disease prevention and management; tobacco prevalence; healthcare access; and healthy nutrition and safe physical activity in populations with a high asthma prevalence; continually evaluating the plan to identify opportunities for improvement.
· Support activities related to the following strategies: linkages and coordination of care across settings; environmental policies or best practices to reduce asthma triggers from indoor, outdoor, and occupational sources; education on asthma self\-management; and X\-tinguishing smoking and secondhand smoke.
· Establish and maintain partnerships with traditional and non\-traditional organizations from both public and private sectors to ensure engagement with partners possessing lived experiences to support asthma prevention and control activities.
· Connecting patients to community resources and partners as necessary to support their asthma management through patient navigation services.
· Work directly with contractors to ensure timely achievement of deliverables for associated payment as needed.
· Continually seek opportunities to maximize efficiency and effectiveness through increased collaboration.
· Monitor performance measures for asthma grant activities. Collaborate with BCDPHA staff, contractors and partners to draft grant reports and ensure appropriate data surveillance.
**25% Asthma Control Representative**
· Collect and review monthly performance and productivity reports.
· Assist in the development of regional strategic planning to achieve deliverables.
· Ensure ongoing communication on workflow changes of the Asthma Control Program.
· Coordinate and lead quarterly meetings between Asthma Control Representative, Regional WellSpot Representative, and Regional Community Resource Coordinator if applicable.
**15% Support the development of provider education and networking opportunities for asthma control and prevention.**
· Collaborate with the Provider Education team to ensure that content for print and web\-based media is available.
· Coordinate with internal and external partners as needed
· Ensure sufficient and appropriate resources and educational material are available for asthma prevention and control for both internal and external team members and partners.
**5% Travel**
· In and out of state travel as necessary
· Travel to meetings, conferences for the purpose of fulfilling responsibilities of this position
**5% Other duties as assigned**
**QUALIFICATIONS**
· Bachelor’s Degree is required. Preferred area of concentration includes Public Health, Health Promotion or Healthcare Management.
· MA/MPH/MBA is preferred.
· Project management or healthcare experience is required.
· Prior experience working with community organizations and managing partnership development is preferred.
· Some statewide and out of state travel is required.
Job Type: Full\-time
Pay: $45,000\.00 \- $55,000\.00 per hour
Benefits:
* Dental insurance
* Flexible spending account
* Health insurance
* Life insurance
* Retirement plan
* Vision insurance
Education:
* Bachelor's (Preferred)
Work Location: In person</t>
        </is>
      </c>
    </row>
    <row r="41">
      <c r="A41" t="inlineStr">
        <is>
          <t>in-7b0691473b0d15c6</t>
        </is>
      </c>
      <c r="B41" t="inlineStr">
        <is>
          <t>Youth Cycling Program Manager</t>
        </is>
      </c>
      <c r="C41" t="inlineStr"/>
      <c r="D41" t="inlineStr">
        <is>
          <t>indeed</t>
        </is>
      </c>
      <c r="E41" t="inlineStr"/>
      <c r="F41" t="inlineStr"/>
      <c r="G41" t="inlineStr">
        <is>
          <t>Bentonville, AR, US</t>
        </is>
      </c>
      <c r="H41" s="2" t="n">
        <v>46055</v>
      </c>
      <c r="I41" t="inlineStr">
        <is>
          <t>**Why This Role Matters**
Pedal Kids USA exists to get more kids on bikes—and keep them riding for life. We believe youth cycling builds confidence, independence, connection, and joy. This role is critical to making that mission real, at scale.
The Youth Cycling Program Manager owns the planning, execution, and growth of our programs. You turn vision into action, ensure programs launch smoothly, and help them grow through strong partnerships, excellent experiences, and proactive leadership.
**What You’ll Do**
* Own program calendars, launch readiness, and day\-to\-day execution across partner sites
* Serve as the primary relationship manager for program partners—from onboarding through renewal
* Ensure programs are operationally excellent, safe, and aligned with our values
* Share ownership of program sales by driving enrollment, renewals, and fill rates
* Anticipate real\-world challenges (weather, logistics, partner needs) and plan ahead
* Use data to track performance and improve outcomes
* Collaborate closely with Coaching, Marketing, and Leadership to deliver a world\-class experience
**How You’ll Show Up** 
**You’re someone who:**
* Takes full ownership from idea to execution
* Thinks ahead, not just about what’s next—but what’s downstream
* Communicates clearly and proactively so others can act
* Uses judgment, not just checklists
* Cares deeply about kids, community, and the environments we ride in
* Brings energy, optimism, and a solutions\-first mindset
If you prefer highly prescribed tasks, frequent reminders, or reactive work, this role will not be a fit.
**What Success Looks Like**
* Programs launch on time and feel calm, prepared, and joyful
* Partners trust us and renew with confidence
* Programs fill, grow, and deliver on what we promise families
* Coaches feel supported and set up to succeed
* Kids leave more confident, more connected, and more excited to ride
**What You Bring**
* Experience in youth programs, operations, or partner\-based work
* Strong organizational and communication skills
* Comfort owning outcomes, not just tasks
* Proficiency with Google Workspace and spreadsheets
* Ability to lift 35 lbs and ride a bicycle
**Compensation \&amp; Benefits**
* Salary Range: **$45,000** to **$50,000**, based on experience
* Simple IRA with 3% match
* Health care reimbursement plan (company plan in development)
* Flexible PTO
* Access to bikes and parts at cost
**Why Pedal Kids USA**
We’re building something meaningful—and we’re building it thoughtfully. You’ll have real responsibility, real trust, and the chance to shape programs that impact kids, families, and communities.
If you’re excited to own outcomes, grow programs, and help more kids discover the joy of cycling, we’d love to hear from you.
Pedal Kids USA is proud to be an equal opportunity employer. We’re committed to growing a team that reflects the diverse families and communities we serve. We welcome applicants of all backgrounds and encourage women, people of color, veterans, and individuals with disabilities to apply. All qualified candidates will be considered for employment regardless of race, religion, color, national origin, sex, sexual orientation, gender identity, age, veteran status, or disability. We believe bicycles bring people together — across neighborhoods, generations, and cultures — and we want our workplace to do the same.
Job Type: Full\-time
Pay: $45,000\.00 \- $50,000\.00 per year
Benefits:
* Employee discount
* Flexible schedule
* Paid time off
Application Question(s):
* Tell us about a time you designed or adapted curriculum, programming, or a learning experience. How did you decide what to include, why it mattered, and how you evaluated whether it was working?
* When something important isn’t clearly assigned to you, how do you decide whether to step in and own it? Can you share an example?
* Tell us about a time you had to try something new or make a decision without having all the information you wanted. What did you do, and what did you learn?
* What excites you about youth cycling or youth development, and how do you see programs like this impacting kids and families?
Work Location: Hybrid remote in Bentonville, AR 72712</t>
        </is>
      </c>
    </row>
    <row r="42">
      <c r="A42" t="inlineStr">
        <is>
          <t>in-0ce7c2fd16b13ca0</t>
        </is>
      </c>
      <c r="B42" t="inlineStr">
        <is>
          <t>Administrative &amp; Human Resources Program Manager</t>
        </is>
      </c>
      <c r="C42" t="inlineStr">
        <is>
          <t>Nano Catalytics, Inc.</t>
        </is>
      </c>
      <c r="D42" t="inlineStr">
        <is>
          <t>indeed</t>
        </is>
      </c>
      <c r="E42" t="inlineStr"/>
      <c r="F42" t="inlineStr"/>
      <c r="G42" t="inlineStr">
        <is>
          <t>Cincinnati, OH, US</t>
        </is>
      </c>
      <c r="H42" s="2" t="n">
        <v>46055</v>
      </c>
      <c r="I42" t="inlineStr">
        <is>
          <t>**Nano Ccatalytics**is a fast\-growing advanced materials startup working with global industrial partners to enable next\-generation nanomaterials at dramatically lower cost.
We are seeking our **first dedicated Administrative \&amp; Human Resources Program Manager**to build and scale our people operations while supporting executive leadership.
This is a **hands\-on role**for an experienced HR professional who thrives in **startup or small\-company environments**and enjoys balancing **strategy with execution**.
**What You’ll Do** 
**Human Resources**
* · Own the full employee lifecycle: recruiting, onboarding, performance management, retention, benefits, and compliance
* · Partner with the CEO and COO to develop and implement HR strategies aligned with company growth
* · Establish and maintain HR policies, compensation structures, State and Federal compliance, and benefits programs
* · Lead workforce planning, organizational design, and salary benchmarking
* · Drive employee engagement and culture initiatives
**Administrative \&amp; Executive Support**
* · Manage complex executive calendars and scheduling across time zones
* · Coordinate domestic and international travel
* · Prepare meeting materials, agendas, and executive briefings
**Meetings \&amp; Operations**
* · Coordinate meetings, off\-sites, customer visits, and board meetings
* · Ensure seamless logistics for in\-person and virtual meetings (Teams/Zoom, IT setup, catering, venues)
* · Maintain org charts, contact lists, and internal distribution groups
* · Manage confidential information with discretion
**Qualifications**   
2 / 2
* · U.S. Citizen or Permanent Resident
* · Bachelor’s degree in Business, Human Resources, or related field
* · 10\+ years of combined HR leadership and executive administrative experience
* · Prior experience in startups and/or small, growing companies
* · Strong organizational skills with the ability to manage competing priorities
* · Experience coordinating domestic and international travel
* · Advanced proficiency with Microsoft Office, Teams, SharePoint, and Concur
* · Excellent written and verbal communication skills
* · Self\-directed, reliable, and comfortable in a fast\-paced, evolving environment
**Preferred** 
* · Experience in chemicals, materials, or manufacturing industries
* · Master’s degree in Human Resources, Organizational Development, or similar
* · Local to the greater Cincinnati area
**Why Nanocatalytics?**
You’ll play a foundational role in shaping the people, culture, and operational backbone of a company commercializing breakthrough materials technology—while working closely with experienced executive leadership and global partners.
You must be a US Citizen or permanent resident.
\-\-\-\-\-\-\-\-\-\-\-\-\-\-\-\-\-\-\-\-\-\-\-\-\-\-\-\-\-\-\-\-\-\-\-\-\-\-\-\-\-\-\-\-\-\-\-\-\-\-\-\-\-\-\-\-\-\-\-\-\-\-\-\-\-\-\-\-\-\-\-\-\-\-\-\-
Nano Catalytics, Inc. is an equal opportunity employer that is committed to diversity in the workplace. We prohibit discrimination and harassment of any kind based on race, color, sex, religion, national origin, disability, health status,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Nano Catalytics, Inc. makes hiring decisions based solely on qualifications, merit, and business needs at the time.
Job Type: Full\-time
Pay: $90,000\.00 \- $120,000\.00 per year
Benefits:
* Dental insurance
* Health insurance
* Paid time off
Work Location: In person</t>
        </is>
      </c>
    </row>
    <row r="43">
      <c r="A43" t="inlineStr">
        <is>
          <t>in-115f87d02637f55e</t>
        </is>
      </c>
      <c r="B43" t="inlineStr">
        <is>
          <t>Program Manager</t>
        </is>
      </c>
      <c r="C43" t="inlineStr">
        <is>
          <t>SteppingStone</t>
        </is>
      </c>
      <c r="D43" t="inlineStr">
        <is>
          <t>indeed</t>
        </is>
      </c>
      <c r="E43" t="inlineStr"/>
      <c r="F43" t="inlineStr"/>
      <c r="G43" t="inlineStr">
        <is>
          <t>San Francisco, CA, US</t>
        </is>
      </c>
      <c r="H43" s="2" t="n">
        <v>46055</v>
      </c>
      <c r="I43" t="inlineStr">
        <is>
          <t>**Overview**
SteppingStone Adult Day Health is San Francisco's largest provider of adult day health care. Licensed by the State Department of Public Health and certified as a Medi\-Cal provider with the California Department of Aging, the organization has worked tirelessly since 1983 to help seniors and disabled adults thrive and overcome the obstacles to independent living by providing a cost\-effective, stimulating, and comprehensive set of health and social services. SteppingStone also operates three supplementary programs under the umbrella of adult day health care – Enhanced Care Coordination that focuses on community living and an aging\-in\-place approach, the LGBTQ\+ Community Services program and the Alzheimer’s Day Care Resource Center. The Enhanced Care Management (ECM) Project at SteppingStone is a program designed to provide comprehensive care coordination and management services to individuals with complex medical and behavioral health needs. The program is aimed at improving the health outcomes and quality of life for participants, many of whom are elderly or disabled and require multiple services and treatments. The program is funded through the California Department of Health Care Services and operates under the state's Medi\-Cal managed care program. ECM has been successful in improving health outcomes and reducing hospitalizations for participants, while also providing much\-needed support and resources to caregivers and families.
JOB ANNOUNCEMENT – ECM PROGRAM MANAGER
Job Summary: Under the supervision of the Enhanced Care Management Program Director, the Enhanced Care Management Program Manager is responsible for assisting in the implementation and ongoing management of the Enhanced Care Management program. This program provides personalized care and support to patients with complex medical needs to improve their health outcomes and quality of life. The Program Manager will work closely with the Program Director and care management team to ensure effective coordination of care and communication with patients, healthcare providers, and community resources. The Program Manager will also be responsible for program evaluation and quality improvement efforts in coordination with the Program Director.
Duties and Responsibilities: **Assist the Program Director in the management of the Enhanced Care Management program.**  Ensure program policies and procedures are implemented. **Provide leadership, direction, and supervision and support to the care management team.**  Ensure effective coordination of care between patients, healthcare providers, and community resources. **Collaborate with other departments and community organizations to ensure effective delivery of services.**  Maintain accurate and up\-to\-date program documentation and data. **Participate in program evaluation and quality improvement efforts.**  Assist the Program Director in developing and delivering training and education programs for care management staff. **Ensure compliance with all regulatory requirements related to the program.**  Manage program reporting. **Perform Lead Care Manager duties as assigned.**  Perform other duties as assigned.
Qualifications: **Bachelor's degree in nursing, social work, healthcare administration or related field.**  Minimum of 2 years of experience in healthcare management, preferably in care management or related field.
**Strong leadership and communication skills.**  Ability to manage a team and work collaboratively with other departments and community organizations.
**Knowledge of healthcare systems and community resources.**  Understanding of regulatory requirements related to care management.
**Experience in program evaluation and quality improvement.**  Proficient in electronic health record systems and Microsoft Office.
**Excellent organizational and time management skills.** 
**Working Environment: Must be able to safely perform all physical and manual movements needed for job functions.** 
**Must be able to carry out job instructions promptly and willingly, and to follow established procedures accurately. And must be flexible, positive, and cooperative in solving problems and working with other staff in constantly changing and sometimes stressful circumstances.** 
**Physical Demands:**  The ECM Program Manager may need to stand, sit, or walk for extended periods of time and may need to lift or move patients or equipment weighing up to 50 pounds.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talk or hear. The employee is frequently required to walk; use hands to finger, handle, or feel; and reach forward with hands and arms. The employee is occasionally required to sit and stoop, kneel, or crouch. The employee must frequently lift and/or move up to 50 pounds. Specific vision abilities required by this job include close vision, distance vision, color vision, peripheral vision, depth perception, and ability to focus.
SteppingStone is requiring vaccination of its employees for COVID\-10\.
SteppingStone is dedicated to providing equal employment opportunity for all employees and applicants on the basis of merit without regard to race, color, religion, sex, age, marital status, gender identity or gender expression, sexual orientation, national origin, ancestry, physical or mental disability, AIDS/HIV status, medical condition (cancer and genetic), pregnancy, military or veteran status, or any other classification protected by applicable anti\-discrimination laws.
Compensation: $98,000 \- $99,225 annually. This position is exempt/salaried. Comprehensive benefits package includes health insurance, dental insurance, retirement plan, and paid time off.
Please send letter of interest and resume to Marc Lewis, ECM Program Director at marclewis@steppingstonehealth.org, or to LeeAnn Barone, Human Resource Manager at leeannbarone@steppingstonehealth.org
Pay: $98,000\.00 \- $99,225\.10 per year
Benefits:
* Employee assistance program
* Flexible spending account
* Health insurance
* Life insurance
* Paid time off
* Retirement plan
Work Location: In person</t>
        </is>
      </c>
    </row>
    <row r="44">
      <c r="A44" t="inlineStr">
        <is>
          <t>in-f970005e36a1cbf5</t>
        </is>
      </c>
      <c r="B44" t="inlineStr">
        <is>
          <t>Product Manager, Content Management</t>
        </is>
      </c>
      <c r="C44" t="inlineStr">
        <is>
          <t>NBCUniversal</t>
        </is>
      </c>
      <c r="D44" t="inlineStr">
        <is>
          <t>indeed</t>
        </is>
      </c>
      <c r="E44" t="inlineStr"/>
      <c r="F44" t="inlineStr"/>
      <c r="G44" t="inlineStr">
        <is>
          <t>Washington, DC, US</t>
        </is>
      </c>
      <c r="H44" s="2" t="n">
        <v>46055</v>
      </c>
      <c r="I44"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Product Manager for Content Management owns the strategy, roadmap, and execution of NBC News Group’s Media Asset Management (MAM) platforms and editing workflows. This role ensures media assets can be ingested, managed, edited, versioned, published, and archived efficiently to support breaking news, live events, and long\-form storytelling across broadcast and digital platforms.
This role partners closely with Editorial, Video, Newsroom Operations, Engineering, and Platform teams to deliver reliable, scalable systems that improve speed to air and publish while maintaining editorial quality and operational excellence.
**Key Responsibilities:**
Editorial \&amp; Workflow Outcomes
* Define and own the long\-term vision and roadmap for MAM and editing platforms
* Align platform strategy with editorial priorities, production demands, and distribution needs
* Identify and deliver workflow improvements that reduce friction and increase speed
Stakeholder Partnership
* Partner with Editorial, Video, Post\-Production, and Operations teams to understand end\-to\-end media workflows
* Act as the primary product owner and decision\-maker for MAM and editing capabilities
* Balance competing needs across news, live production, and post\-production stakeholders
Execution \&amp; Delivery
* Translate workflow needs into clear product requirements, user stories, and acceptance criteria
* Prioritize initiatives across new features, platform stability, and technical debt
* Lead agile product delivery in partnership with Engineering and UX
Media Asset \&amp; Editing Workflows
* Own the full media lifecycle: ingest, metadata, search, editing, versioning, approvals, publishing, and archiving
* Support integrations with non\-linear editing tools, production systems, and distribution platforms
* Enable fast\-turnaround editing workflows for breaking news and live\-to\-clip use cases
Platform Reliability \&amp; Governance
* Ensure platforms meet performance, scalability, and availability requirements
* Partner with engineering and operations on incident response and system health
* Support rights management, compliance, and asset governance needs
**Outcomes \&amp; Measures of Success:**
Editorial \&amp; Workflow Outcomes
* Faster time from ingest to edit to publish, particularly during breaking news
* Improved editor and producer satisfaction with asset discovery, editing, and collaboration
* Reduced reliance on manual workarounds or offline processes
Platform \&amp; Operational Outcomes
* High availability and reliability of MAM and editing platforms during peak news events
* Scalable workflows that support increasing volumes of video and media assets
* Clear, consistent metadata and asset governance across the organization
Business \&amp; Product Outcomes
* Strong adoption of MAM and editing tools across NBC News Group teams
* Measurable efficiency gains in editing and publishing workflows
* A prioritized, transparent roadmap aligned to newsroom and production needs
**Qualifications** **Required Qualifications**
* 5\+ years or equivalent of product management experience, ideally in media, video, or content platforms
* Direct experience with Media Asset Management systems and editing workflows
* Strong understanding of newsroom, production, or post\-production environments
* Proven ability to turn complex workflows into scalable, user\-centered solutions
* Excellent communication and stakeholder management skills
* Must be willing to travel
**Preferred Qualifications**
* Experience working in broadcast news or digital video organizations
* Familiarity with non\-linear editing tools and media platform integrations
* Experience supporting live production or high\-pressure, time\-sensitive workflows
* Background in modernizing or scaling media technology platforms
**Additional Information**
**Required On\-Site**: This position is required to be performed full\-time from an NBCUniversal\-designated worksite.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$145,000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45">
      <c r="A45" t="inlineStr">
        <is>
          <t>in-6c5bd66eecdcae35</t>
        </is>
      </c>
      <c r="B45" t="inlineStr">
        <is>
          <t>Program Manager</t>
        </is>
      </c>
      <c r="C45" t="inlineStr">
        <is>
          <t>Lobo Solar LLC</t>
        </is>
      </c>
      <c r="D45" t="inlineStr">
        <is>
          <t>indeed</t>
        </is>
      </c>
      <c r="E45" t="inlineStr"/>
      <c r="F45" t="inlineStr"/>
      <c r="G45" t="inlineStr">
        <is>
          <t>Rio Rancho, NM, US</t>
        </is>
      </c>
      <c r="H45" s="2" t="n">
        <v>46055</v>
      </c>
      <c r="I45" t="inlineStr">
        <is>
          <t>**Program Manager** 
**Position Overview**
Lobo Home Innovations is hiring a **Program Manager (Alarm and Solar Field Sales Representative)** to represent our home security division in the field. This role is designed for individuals who are **serious about sales**, want to build real closing skills, and are looking for a **clear career path**, not a short\-term hustle.
This is a **door\-to\-door (D2D) role combined with lead opportunities**, not random knocking. Reps operate using our **proven New Homeowner \+ Surrounding Doors method**, which combines verified new homeowner data with strategically selected surrounding homes to maximize efficiency, trust, and close rates. You will be in your car driving to each lead – not walking up and down the street. You will have an assigned zip code for your leads, professional sales systems, and ongoing leadership support.
**Company:** Lobo Home Innovations **Location:** Albuquerque Metro Market **Job Type:** Full\-Time \| Field Sales \| Direct\-to\-Consumer (D2D \+ Leads)
**Key Responsibilities**
* Knock doors in assigned territories using our **New Homeowner \+ Surrounding Doors system**.
* Sell home alarm and security systems directly to residential customers.
* Educate homeowners on security solutions and close same\-day installs.
* Follow proven sales scripts, objection handling, and qualification processes.
* Track daily activity, installs, and follow\-ups using company systems.
* Maintain a professional appearance and represent the Lobo brand.
* Work closely with Sales Managers and Team Leads for coaching and performance improvement.
**What We’re Looking For**
* Individuals who want a **long\-term career in sales**, not just a job.
* Strong communication skills and confidence speaking with homeowners.
* Coachable mindset and willingness to follow proven systems.
* Competitive, disciplined, and self\-motivated work ethic.
* Ability to work full\-time, we work from 2:00\-8:30 pm Mon\-Fri \+ Saturdays 9:30am\-4:00pm when going to the field because that's when homeowners are home. We can absolutely have schedule flexibility for the right candidates.
* Reliable transportation and valid driver’s license.
* Prior experience in door\-to\-door sales, alarms, solar, roofing, or home services is a plus—but not required.
**Clear Advancement Path**
This role has **defined promotion opportunities** for high performers:
* **Program Manager → Senior Sales Representative**
* Earn higher commissions
* Receive priority on leads and opportunities
* Run scheduled appointments in addition to D2D sales
* **Senior Sales Representative → Team Leadership / Sales Manager**
* Train and mentor new reps
* Participate in hiring and onboarding
* Earn overrides on team production
* Transition into leadership and management roles
Promotions are **performance\-based**, not time\-based. We actively promote from within.
**Why Lobo Home Innovations**
* This is **not random door knocking** — you work structured territories with real homeowner data.
* Combination of **D2D \+ lead opportunities** to support consistent production.
* Professional training and ongoing coaching from experienced leaders.
* Fast\-paying product (alarm installs pay weekly).
* Real opportunity to grow into **Senior Rep and Management** positions.
**Compensation**
* Performance\-based commission structure
* **Weekly pay cycles**
* **Monthly bonuses for consistency and production**
* No cap on earnings
OTE: $60,000\-90,000 and potential for six figures if you are an experienced top performer. We pay more than the average dealership or alarm company per deal.
Job Types: Full\-time, Contract
Pay: $60,000\.00 \- $120,000\.00 per year
Benefits:
* Employee discount
* Flexible schedule
* Referral program
Work Location: On the road</t>
        </is>
      </c>
    </row>
    <row r="46">
      <c r="A46" t="inlineStr">
        <is>
          <t>in-7acb0cfd00e718e2</t>
        </is>
      </c>
      <c r="B46" t="inlineStr">
        <is>
          <t>Residential Program Manager / Program Specialist</t>
        </is>
      </c>
      <c r="C46" t="inlineStr">
        <is>
          <t>Sunny Days Adult Daily Living Center</t>
        </is>
      </c>
      <c r="D46" t="inlineStr">
        <is>
          <t>indeed</t>
        </is>
      </c>
      <c r="E46" t="inlineStr"/>
      <c r="F46" t="inlineStr"/>
      <c r="G46" t="inlineStr">
        <is>
          <t>Bellefonte, PA, US</t>
        </is>
      </c>
      <c r="H46" s="2" t="n">
        <v>46055</v>
      </c>
      <c r="I46" t="inlineStr">
        <is>
          <t>Residential Program Manager / Program Specialist (ODP – Chapter 6400\)
Location: Centre County, PA
Schedule: Monday–Friday, 8:00am–5:00pm
**Position Overview**
*Sunny Days Adult Daily Living Center is seeking an experienced Residential Program Manager / Program Specialist to oversee community\-based residential programs for individuals with intellectual disabilities and/or autism.*
This position requires advanced knowledge of Pennsylvania Office of Developmental Programs (ODP) Chapter 6400 regulations and hands\-on experience managing residential programs in a highly regulated environment. This is not an entry\-level role.
**IMPORTANT SCHEDULE \&amp; AVAILABILITY REQUIREMENT — PLEASE READ**
The standard scheduled hours for this position are Monday through Friday, 8:00 a.m. to 5:00 p.m. However, this role requires flexibility and availability outside of scheduled hours.
The selected candidate must be able and willing to provide coverage for call\-offs and short staffing when a House Manager is not available, including occasional evenings, weekends, or holidays. While this does not occur frequently, the ability to provide coverage when needed is a required function of this position.
Candidates who are unable to meet this availability requirement need not apply.
**Key Responsibilities**
* Oversee daily operations of assigned residential homes.
* Ensure full compliance with ODP Chapter 6400 and HCBS Waiver requirements.
* Conduct site visits, inspections, and documentation reviews.
* Support and monitor Individual Support Plan (ISP) implementation.
* Supervise and support Residential Supervisors and Direct Support Professionals.
* Participate in hiring, training, coaching, and performance management.
* Review incident reports and coordinate corrective actions.
* Serve as liaison with families, guardians, and support coordinators.
* Respond to audits, licensing inspections, reportable incidents, emergencies, call\-off's and critical incidents.
**REQUIRED BACKGROUND \&amp; REGULATORY KNOWLEDGE — PLEASE READ**
Associate’s degree in Human Services or a related field is required; Bachelor’s degree preferred.
A minimum of 2–3 years of experience in Pennsylvania ODP residential services is required.
Strong, working knowledge of Pennsylvania ODP Chapter 6400 regulations is required. Candidates must be able to independently interpret and apply Chapter 6400 requirements to staffing, documentation, incident management, and daily operations.
This position is not appropriate for candidates who are unfamiliar with Chapter 6400 or who would require basic training in ODP residential regulations. Candidates without strong prior ODP Regulations experience need not apply.
**Additional Requirements**
* Valid Pennsylvania driver’s license.
* CPR/First Aid certification (or ability to obtain).
* Medication Administration Certification (preferred).
Pay: $19\.00 \- $20\.00 per hour
Expected hours: No less than 40\.0 per week
Benefits:
* 401(k)
* 401(k) matching
* Dental insurance
* Health insurance
* Life insurance
* Paid orientation
* Paid time off
* Vision insurance
Application Question(s):
* Do you possess a valid driver's license and reliable transportation?
Education:
* Associate (Required)
Experience:
* 6400 Residential management: 3 years (Preferred)
Work Location: In person</t>
        </is>
      </c>
    </row>
    <row r="47">
      <c r="A47" t="inlineStr">
        <is>
          <t>in-9634bc95e2abbfdc</t>
        </is>
      </c>
      <c r="B47" t="inlineStr">
        <is>
          <t>Program Manager</t>
        </is>
      </c>
      <c r="C47" t="inlineStr">
        <is>
          <t>General Atomics</t>
        </is>
      </c>
      <c r="D47" t="inlineStr">
        <is>
          <t>indeed</t>
        </is>
      </c>
      <c r="E47" t="inlineStr"/>
      <c r="F47" t="inlineStr"/>
      <c r="G47" t="inlineStr">
        <is>
          <t>Englewood, CO, US</t>
        </is>
      </c>
      <c r="H47" s="2" t="n">
        <v>46054</v>
      </c>
      <c r="I47" t="inlineStr">
        <is>
          <t>General Atomics Electromagnetic Systems (GA\-EMS) designs and manufactures first\-of\-a\-kind electromagnetic and electric power generation systems. GA\-EMS' expanding portfolio of specialized products and integrated system solutions support critical fleet, space systems and satellites, missile defense, power and energy, and process and monitoring applications for defense, industrial, and commercial customers worldwide.  
As a Program Manager, you will play a pivotal role in driving strategic projects forward, managing risks, resolving issues, and ensuring quality deliverables. You will utilize your strong communication, problem\-solving, and organizational skills to influence decision\-making and lead teams to successful outcomes and apply established technologies using standard principles, theories, concepts, and techniques to provide solutions to a variety of programmatic challenges. Objectives will be accomplished through subordinate managers and team leadership.  
**DUTIES AND RESPONSIBILITIES:*** Program Management: Support medium\-to\-large scale programs from initiation through to successful completion, ensuring projects are delivered on time, within scope, and on budget.
* Stakeholder Management: Build and maintain relationships with key stakeholders, including executives, product managers, and cross\-functional teams, to ensure alignment and transparency throughout the program lifecycle.
* Cross\-Functional Collaboration: Work closely with teams across various departments, including product, engineering, procurement security, marketing, and operations, to ensure that all elements of the program are delivered as planned.
* Subcontractor Management: Manage/Facilitate the generation of Statements of Work (SOW’s) and Purchase Orders (PO’s) that accurately reflect the scope of work, primary Program Management Office (PMO) interface with Subcontract Management.
* Risk Management: Manage potential risks, proactively addressing issues and escalating when necessary. Track dependencies, issues, and changes to keep the program on track.
* Project Planning \&amp; Scheduling: Develop detailed project plans, manage schedules, and allocate resources effectively to ensure program milestones are met.
* Budget Oversight: Monitor program budgets, track expenditures, and ensure that financial targets are met while maintaining program quality.
* Reporting \&amp; Communication: Provide regular updates to senior management, stakeholders, and team members on program status, risks, and issues. Create and deliver program reports, presentations, and other communication materials.
* Continuous Improvement: Drive process improvements within the program management function, identifying opportunities to enhance efficiency, collaboration, and program success.
* Interact with internal and external representatives at various levels concerning resolution of technical and scheduling issues.
* Ensure technical leadership and excellence is maintained by participating in the planning, attraction, selection, retention, and development of the required management, professional, and technical talent.
* Identify program risks and provide leadership in developing solutions.
We recognize and appreciate the value and contributions of individuals with diverse backgrounds and experiences and welcome all qualified individuals to apply.
**Job Qualifications**
* Typically requires a Bachelors, Masters or PhD in engineering, science or a related technical field as well as thirteen or more years of progressively complex program administration experience. May substitute equivalent experience in lieu of education.
* Experience managing electronics development programs and Internal Research and Development.
* Emotional intelligence and ability to navigate complex organizational dynamics.
* Results\-oriented with the ability to maintain focus on program success and long\-term organizational goals.
* Adaptability and resilience in a fast\-paced and ever\-changing environment.
* Demonstrates technical expertise and application of program management principles, concepts, and practice as well as program management and leadership skills including organizing, planning, scheduling, and coordinating workloads to meet established deadlines or milestones.
* Strong communication, leadership, presentation, and interpersonal skills are required to enable an effective interface with other departments, all levels of management, professional and support staff, customers, potential customers, and government representatives.
* Must be customer focused and able to work on a self\-initiated basis or in a team environment and able to work extended hours and travel as required.
* Ability to obtain and maintain a DoD Security Clearance is required.
**Job Category**
Program/Project Management
**Experience Level**
Senior (8\+ years)
**Workstyle**
Onsite
**Full\-Time/Part\-Time**
Full\-Time Salary
**Pay Range Low**
140,900
**Pay Range High**
257,233
**Travel Percentage Required**
0% \- 25%
**Relocation Assistance Provided?**
Yes
**US Citizenship Required?**
Yes
**Clearance Required?**
Yes
**Clearance Level**
Top Secret</t>
        </is>
      </c>
    </row>
    <row r="48">
      <c r="A48" t="inlineStr">
        <is>
          <t>in-561d218abf591384</t>
        </is>
      </c>
      <c r="B48" t="inlineStr">
        <is>
          <t>Evening Assistant Program Manager</t>
        </is>
      </c>
      <c r="C48" t="inlineStr">
        <is>
          <t>Catholic Charities</t>
        </is>
      </c>
      <c r="D48" t="inlineStr">
        <is>
          <t>indeed</t>
        </is>
      </c>
      <c r="E48" t="inlineStr"/>
      <c r="F48" t="inlineStr"/>
      <c r="G48" t="inlineStr">
        <is>
          <t>Staten Island, NY, US</t>
        </is>
      </c>
      <c r="H48" s="2" t="n">
        <v>46054</v>
      </c>
      <c r="I48" t="inlineStr">
        <is>
          <t>**STATEN ISLAND COMMUNITY RESIDENCES – EVENING ASSISTANT PROGRAM MANAGER**
Beacon of Hope (BOH), a Division of Catholic Charities Community Services, seeks an **Evening Assistant Program Manager** for its Staten Island Community Residences. The Assistant Program Manager works Sunday through Thursday, from 4 PM to 12 AM, and has oversight of the program’s operations and maintains compliance with the Office of Mental Health regulatory requirements, as well as with BOH’s Policies and Procedures.
Salary is commensurate with experience, up to $68,000 to $70,000 annually.
Job Requirements:  
* Bachelor’s degree in a Mental Health discipline
* Four years of experience working with mentally ill and/or substance use population
* Strong leadership skills, with ability to work independently, flexibly, and responsibly.
* Excellent organizational, time\-management and communication skills</t>
        </is>
      </c>
    </row>
    <row r="49">
      <c r="A49" t="inlineStr">
        <is>
          <t>in-57cd99dd24ef00c9</t>
        </is>
      </c>
      <c r="B49" t="inlineStr">
        <is>
          <t>Cybersecurity Program Manager</t>
        </is>
      </c>
      <c r="C49" t="inlineStr">
        <is>
          <t>Blount Fine Foods</t>
        </is>
      </c>
      <c r="D49" t="inlineStr">
        <is>
          <t>indeed</t>
        </is>
      </c>
      <c r="E49" t="inlineStr"/>
      <c r="F49" t="inlineStr"/>
      <c r="G49" t="inlineStr">
        <is>
          <t>Warren, RI, US</t>
        </is>
      </c>
      <c r="H49" s="2" t="n">
        <v>46054</v>
      </c>
      <c r="I49" t="inlineStr">
        <is>
          <t>Bringing our love of food to families for five generations! Blount Fine Foods is a family\-owned and operated manufacturer, marketer, and developer of premium fresh prepared foods. We are an engaging team, bringing restaurant\-quality products to America including single\-serve grab\-n\-go fresh soups, mac \&amp; cheese, and entrées in grocery stores across the country, as well as for hot bars and restaurants. Help us create the finest food experiences including those with specialty certifications that include organic, gluten\-free, and low sodium, among others. Join a proven team for growth, success, and a satisfying career!**THIS POSITIONS IS FULLY ONSITE AT OUR COPORATE HEADQUARTERS IN WARREN, RHODE ISLAND.****Summary**
The Cybersecurity Program Manager plays a critical role in protecting Blount’s reputation, operations, and customer trust by ensuring that cybersecurity risks are identified, managed, and mitigated effectively. This position drives a culture of security awareness across the organization, reducing human error and strengthening resilience against cyber threats. By coordinating vendor risk assessments, compliance documentation, and employee training programs, the Cybersecurity Program Manager ensures that Blount meets regulatory obligations, safeguards sensitive data, and minimizes the likelihood of costly breaches or operational disruptions. This role provides visibility and accountability for cybersecurity processes, enabling leadership to make informed decisions and maintain confidence in the company’s risk posture.**Key Responsibilities****Third\-Party \&amp; Subsidiary Risk Management*** Assess cybersecurity risks related to broader supply\-chain partners (e.g., logistics, suppliers, co\-manufacturers) and integrate them into third‑party risk processes.
* Track subsidiary compliance with corporate security policies.
* Maintain records of security requirements in contracts and ensure documentation is complete.
### 
### **Cybersecurity Training \&amp; Awareness**
* Schedule and manage cybersecurity training for employees and subsidiaries.
* Coordinate phishing simulations and track completion metrics.
* Maintain reports on training effectiveness and participation.
**Risk \&amp; Compliance Support*** Develop and maintain the technology risk register with input from IT and leadership.
* Manage compliance documentation for audits and assessments.
* Ensure timely review of policies and procedures.
### **Governance \&amp; Program Administration**
* Prepare meeting agendas and track action items for governance committees.
* Maintain cybersecurity program documentation and reporting templates.
* Facilitate organizational cybersecurity maturity assessments.
* Manage development and execution of cybersecurity program roadmap.
* Ensure cybersecurity program initiatives align with Digital \&amp; Technology strategic principles, enterprise architecture standards, and company\-wide business objectives.
* Maintain high\-level awareness across key cybersecurity domains (incident response, vulnerability management, threat intelligence, identity governance) to support enterprise coordination.
* Coordinate reporting and program support for core security initiatives such as Identity Modernization, Asset \&amp; Endpoint Management, SSO expansion, and third‑party risk maturity.
* Demonstrate change management skills to drive adoption of cybersecurity practices across functional teams and business units.
* Knowledge of phishing simulation tools and awareness program best practices.
* Ability to interpret audit requirements and prepare compliance documentation.
* Strong collaboration skills to work across all key organizational functions.
* Detail\-oriented with a focus on accuracy and accountability.
**Education and/or Experience*** 1\-3 years’ experience in cybersecurity program coordination, vendor risk management, or compliance.
* Preferred certifications: PMP, CISSP, CGRC, Security\+, or equivalent cybersecurity/governance credentials.
* Strong organizational and documentation skills.
* Experience managing security awareness programs.
* Familiarity with cybersecurity frameworks (e.g., NIST CSF, ISO 27001\) at a conceptual level.
* Excellent communication and stakeholder engagement skills.
* Experience with vendor risk management platforms or processes.
**Our Total Compensation Package Includes:*** Medical, dental and vision benefits.
* 401k with Company match.
* Paid time off including vacation, sick time and holidays.
* Education Assistance Program.
* Life Insurance and Short\-Term Disability.
* Discounts on Blount products at Company retail location.
* Discretionary Annual Bonus Program.</t>
        </is>
      </c>
    </row>
    <row r="50">
      <c r="A50" t="inlineStr">
        <is>
          <t>in-19b8bde3bfb39842</t>
        </is>
      </c>
      <c r="B50" t="inlineStr">
        <is>
          <t>Senior Technology Product Manager</t>
        </is>
      </c>
      <c r="C50" t="inlineStr">
        <is>
          <t>Wolters Kluwer</t>
        </is>
      </c>
      <c r="D50" t="inlineStr">
        <is>
          <t>indeed</t>
        </is>
      </c>
      <c r="E50" t="inlineStr"/>
      <c r="F50" t="inlineStr"/>
      <c r="G50" t="inlineStr">
        <is>
          <t>Chicago, IL, US</t>
        </is>
      </c>
      <c r="H50" s="2" t="n">
        <v>46054</v>
      </c>
      <c r="I50" t="inlineStr">
        <is>
          <t>Wolters Kluwer Enablon is the enterprise software leader in environmental, health, safety,
sustainability and quality (EHSSQ), operational risk management (ORM) and process safety
management (PSM) with millions of users in 160 countries. Enablon and its more than 80 worldwide
partners have driven innovation with its global enterprise customer base through industry events,
executive engagement, customer innovation challenges, user groups, and customer workshops.
Enablon’s mission is to help create a better world by making organizations responsible, productive, and
safe through innovative technology.
We are a fast\-growing international company operating in more than 130 countries with a large diverse
partnership network. Our global headquarters and main R\&amp;D divisions are in France (Paris) Netherlands
(Alphen), India (Pune) and Romania (Cluj) with North American headquarters in Chicago and offices in
Houston, London, Sydney, Melbourne, and Montreal.
Our solutions make a difference – and so do our people.
The Technical Partner Manager will own and lead Enablon’s ecosystem of technical integration partners
across the product portfolio. This role sits within the Product Management organization and serves as the
single point of contact for both internal product teams and external technical partners.
Technical partners include content providers, data providers, and capability partners whose solutions are
integrated with, or supported within, Enablon products.
The Technical Partner Manager is responsible for identifying, prioritizing, negotiating, and managing
partner relationships; ensuring successful integrations; aligning partner capabilities with product strategy;
and enabling go\-to\-market success. The role works closely with Product Managers, Engineering, Product
Marketing, Enablement, Legal, and Commercial teams to maximize customer value and business impact
from the partner ecosystem.
Responsibilities:
Partner Strategy \&amp; Portfolio Leadership* Own and manage Enablon’s portfolio of technical partners across domains and platform capabilities.
* Identify gaps and opportunities in the partner ecosystem aligned with product strategy, customer needs, and market trends.
* Evaluate, prioritize, and onboard new technical partners to extend Enablon’s product capabilities and value proposition.
* Define partner tiers, engagement models, and success metrics in collaboration with Product and Commercial leadership.
* Maintain a clear view of partner dependencies, risks, and strategic importance across the portfolio.
Partner Relationship \&amp; Contract Management* Serve as the primary point of contact for technical partners, managing ongoing relationships and performance.
* Lead commercial and operational discussions with partners, including scope definition, responsibilities, SLAs, and escalation paths.
* Work closely with Legal, Procurement, and Finance teams to negotiate, establish, and maintain partnership agreements.
* Ensure contracts align with product strategy, roadmap commitments, and go\-to\-market objectives.
* Manage renewals, amendments, and partner performance reviews.
Product \&amp; Engineering Collaboration* Act as the bridge between Product Management, Engineering teams, and partners to ensure successful integration delivery.
* Collaborate with Product Managers to prioritize partner\-related roadmap items and dependencies.
* Support definition of high\-level requirements and integration approaches in alignment with platform and domain standards.
* Coordinate planning and delivery timelines across internal teams and external partners.
* Where applicable, ensure partner solutions meet Enablon’s quality, security, and scalability standards.
Go\-to\-Market \&amp; Enablement* Partner with Product Marketing and Enablement to develop and execute go\-to\-market strategies for integrated partner offerings.
* Support internal enablement for Sales, Presales, Services, and Support teams, including messaging, positioning, and documentation.
* Contribute to partner\-related launch activities, announcements, demos, and customer\-facing materials.
* Support customer engagements where partner integrations are a key part of the value proposition.
Stakeholder Communication \&amp; Governance* Provide clear and consistent communication on partner status, roadmap dependencies, risks, and opportunities.
* Align stakeholders across Product, Engineering, Commercial, Legal, and Support teams.
* Represent the partner ecosystem in product planning, portfolio reviews, and leadership discussions.
* Establish governance processes to ensure consistency, transparency, and accountability in partner engagements.
JOB QUALIFICATIONS
Knowledge/ Skills/ Abilities / Education
SKILLS/COMPETENCIES:* Strong experience managing complex B2B technology partnerships in a software or enterprise
technology environment.* Ability to operate effectively across Product Management, Engineering, Commercial, and Legal teams.
* Strong negotiation, stakeholder management, and relationship\-building skills.
* Strategic mindset with the ability to translate partner capabilities into product and customer value.
* Excellent communication skills, with the ability to align technical and non\-technical stakeholders.
* Comfortable working in a matrixed, international organization.
* Familiarity with Agile development methodologies and product lifecycle concepts.
Education/Experience
EDUCATION:* Bachelor’s degree in Business, Technology, Engineering, or a related field required.
EXPERIENCE:* 5\+ years’ experience in partner management, product management, technical alliances, or a
related role in B2B enterprise software.* Experience working with software integrations, platforms, APIs, or data/content providers.
* Experience collaborating with product and engineering teams on roadmap planning and delivery.
* Prior experience supporting go\-to\-market activities and internal enablement is highly desirable.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$94,200\.00 \- $164,450\.00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51">
      <c r="A51" t="inlineStr">
        <is>
          <t>in-e228b6914f512da6</t>
        </is>
      </c>
      <c r="B51" t="inlineStr">
        <is>
          <t>Staff Product Manager - Social</t>
        </is>
      </c>
      <c r="C51" t="inlineStr">
        <is>
          <t>Integral Ad Science</t>
        </is>
      </c>
      <c r="D51" t="inlineStr">
        <is>
          <t>indeed</t>
        </is>
      </c>
      <c r="E51" t="inlineStr"/>
      <c r="F51" t="inlineStr"/>
      <c r="G51" t="inlineStr">
        <is>
          <t>San Francisco, CA, US</t>
        </is>
      </c>
      <c r="H51" s="2" t="n">
        <v>46054</v>
      </c>
      <c r="I51" t="inlineStr">
        <is>
          <t>**Job Description:**
As a Staff Product Manager \- Social you will be responsible for one of the fastest growing, and most innovative product areas. If you thrive on leading complex product initiatives, collaborating with cross\-functional teams, and delivering solutions that leverage cutting\-edge data and technology to solve real business problems, then IAS could be the perfect place for you. You will own and drive the strategy for our Social Media Product suite, partnering with the biggest platforms like YouTube, Meta, and TikTok.
IAS’s Social Product team is dedicated to shaping the future of optimization (pre\-bid), verification, and measurement (post\-bid) across social platforms. As social media evolves, our team leads IAS’s investment in optimization improvements, attention\-base initiatives, proactive fraud detection, brand safety, and cutting\-edge analytics for advertisers and publishers.
 **What You’ll Get To Do:**
* Shape Strategy \&amp; Vision: Define the roadmap for social products, leveraging market insights and customer feedback to deliver differentiated solutions
* Drive execution: Partner cross\-functionally with engineering, data science, design, and go\-to\-market teams to ensure timely, impactful, and quality product delivery
* Product expert for social at IAS: Mentoring PMs and influencing organizational decisions with a broad, business\-centric perspective
* Drive strategic partnerships and platform integrations: representing IAS with key industry stakeholders, clients, and partners
* Innovate with Data: Identify new market opportunities through customer, industry, and technical insights, and synthesize these into actionable roadmaps
* Mentor \&amp; Elevate: Model and promote product excellence using structured problem\-solving, data\-driven approaches, and continuous improvement
 **You should apply if you have most of these:**
* Bachelor’s degree in a STEM or quantitative field (e.g., Computer Science, Mathematics, Economics).
* 10\+ years of product management experience, with significant tenure in social platforms and advertising technology
* A demonstrated track record of building and scaling B2B SaaS or measurement products at increasing levels of seniority
* Proven ability to set vision, rally teams, and deliver sophisticated, multi\-stakeholder solutions in a matrixed environment
* Deep knowledge of social APIs, measurement methodologies, and the evolving privacy, safety, and ad verification landscape
* Skilled at driving outcomes by influence and thought leadership—not just authority
* Excellent communication and executive presence, able to represent IAS with major clients, partners, and the broader industry, while at the same time, having the ability to communicate with internal technical teams and stakeholders
* Experience mentoring product managers and contributing to a culture of learning and growth
* Data\-driven decision maker, comfortable with analytics, experimentation, and technical problem\-solving
* Adept at navigating ambiguity and leading through change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NY**Primary Location Base Pay Range:**
Annual**Additional Locations:**
US \- San Francisco, CA**Additional Locations Pay Range:**
135,100\.00 \- 231,600\.00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\#LI\-Onsite</t>
        </is>
      </c>
    </row>
    <row r="52">
      <c r="A52" t="inlineStr">
        <is>
          <t>in-9ee3d09ea40d9efd</t>
        </is>
      </c>
      <c r="B52" t="inlineStr">
        <is>
          <t>Staff Product Manager - Social</t>
        </is>
      </c>
      <c r="C52" t="inlineStr">
        <is>
          <t>Integral Ad Science</t>
        </is>
      </c>
      <c r="D52" t="inlineStr">
        <is>
          <t>indeed</t>
        </is>
      </c>
      <c r="E52" t="inlineStr"/>
      <c r="F52" t="inlineStr"/>
      <c r="G52" t="inlineStr">
        <is>
          <t>New York, NY, US</t>
        </is>
      </c>
      <c r="H52" s="2" t="n">
        <v>46054</v>
      </c>
      <c r="I52" t="inlineStr">
        <is>
          <t>**Job Description:**
As a Staff Product Manager \- Social you will be responsible for one of the fastest growing, and most innovative product areas. If you thrive on leading complex product initiatives, collaborating with cross\-functional teams, and delivering solutions that leverage cutting\-edge data and technology to solve real business problems, then IAS could be the perfect place for you. You will own and drive the strategy for our Social Media Product suite, partnering with the biggest platforms like YouTube, Meta, and TikTok.
IAS’s Social Product team is dedicated to shaping the future of optimization (pre\-bid), verification, and measurement (post\-bid) across social platforms. As social media evolves, our team leads IAS’s investment in optimization improvements, attention\-base initiatives, proactive fraud detection, brand safety, and cutting\-edge analytics for advertisers and publishers.
 **What You’ll Get To Do:**
* Shape Strategy \&amp; Vision: Define the roadmap for social products, leveraging market insights and customer feedback to deliver differentiated solutions
* Drive execution: Partner cross\-functionally with engineering, data science, design, and go\-to\-market teams to ensure timely, impactful, and quality product delivery
* Product expert for social at IAS: Mentoring PMs and influencing organizational decisions with a broad, business\-centric perspective
* Drive strategic partnerships and platform integrations: representing IAS with key industry stakeholders, clients, and partners
* Innovate with Data: Identify new market opportunities through customer, industry, and technical insights, and synthesize these into actionable roadmaps
* Mentor \&amp; Elevate: Model and promote product excellence using structured problem\-solving, data\-driven approaches, and continuous improvement
 **You should apply if you have most of these:**
* Bachelor’s degree in a STEM or quantitative field (e.g., Computer Science, Mathematics, Economics).
* 10\+ years of product management experience, with significant tenure in social platforms and advertising technology
* A demonstrated track record of building and scaling B2B SaaS or measurement products at increasing levels of seniority
* Proven ability to set vision, rally teams, and deliver sophisticated, multi\-stakeholder solutions in a matrixed environment
* Deep knowledge of social APIs, measurement methodologies, and the evolving privacy, safety, and ad verification landscape
* Skilled at driving outcomes by influence and thought leadership—not just authority
* Excellent communication and executive presence, able to represent IAS with major clients, partners, and the broader industry, while at the same time, having the ability to communicate with internal technical teams and stakeholders
* Experience mentoring product managers and contributing to a culture of learning and growth
* Data\-driven decision maker, comfortable with analytics, experimentation, and technical problem\-solving
* Adept at navigating ambiguity and leading through change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NY**Primary Location Base Pay Range:**
Annual**Additional Locations:**
US \- San Francisco, CA**Additional Locations Pay Range:**
135,100\.00 \- 231,600\.00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\#LI\-Onsite</t>
        </is>
      </c>
    </row>
    <row r="53">
      <c r="A53" t="inlineStr">
        <is>
          <t>in-b417748b9693328a</t>
        </is>
      </c>
      <c r="B53" t="inlineStr">
        <is>
          <t>Program Manager (PM)</t>
        </is>
      </c>
      <c r="C53" t="inlineStr">
        <is>
          <t>Nightwing</t>
        </is>
      </c>
      <c r="D53" t="inlineStr">
        <is>
          <t>indeed</t>
        </is>
      </c>
      <c r="E53" t="inlineStr"/>
      <c r="F53" t="inlineStr"/>
      <c r="G53" t="inlineStr">
        <is>
          <t>Palm Bay, FL, US</t>
        </is>
      </c>
      <c r="H53" s="2" t="n">
        <v>46054</v>
      </c>
      <c r="I5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**Job Summary**  
The Deputy Program Manager (DPM) will serve as the second\-in\-command on one of NW CODEX’s cyber services program, ensuring all project objectives, performance metrics, and contractual requirements are met on time and within budget. The DPM will be responsible for day\-to\-day program execution, directly managing cross\-functional teams, and serving as the primary interface with the customer and stakeholders in the absence of the Program Manager. This role requires an individual with a strong foundation in program management best practices, exceptional leadership skills, and an active Top Secret clearance.
 **Essential Duties and Responsibilities**  
The DPM will be responsible for duties typical of a Program Manager, including but not limited to:
Program Execution and Leadership:
* Directly oversee and manage the execution of project plans, schedules, and deliverables to ensure compliance with contract terms and customer expectations
* Lead, mentor, and provide technical guidance to the Integrated Program Teams (IPTs), consisting of engineers, technicians, and support staff
* Act as the Program Manager in their absence, assuming full responsibility for all contract performance aspects
Customer and Stakeholder Management:
* Serve as a key liaison with the customer, Contracting Officer's Technical Representative (COTR), and other customer leadership personnel
* Facilitate regular program reviews, briefings, and communications to report on status, risks, and progress
* Cultivate strong customer relationships to ensure high satisfaction and identify potential new business opportunities
Financial and Resource Management:
* Assist the PM in managing program budgets, tracking expenditures, and accurately forecasting the Estimate at Complete (EAC)
* Monitor and enforce adherence to cost, schedule, and performance baselines, utilizing methodologies like Earned Value Management (EVM) as required
* Manage and allocate program resources, including personnel, equipment, and subcontractor performance
Risk and Compliance Management:
* Proactively identify, analyze, and mitigate program risks and issues, developing effective contingency plans
* Ensure strict compliance with all security requirements, customer regulations, government regulations (FAR, DFARS) (if applicable), and internal company policies
* Oversee and ensure the integrity of the program's data and reporting systems
 **Required Qualifications**  
Education: Bachelor's degree from an accredited college or university in Business Administration, Program Management, Engineering, or a related technical discipline.  
Clearance: Must possess an Active Top Secret (TS) U.S. Security Clearance.  
Experience:
* 3 years of experience in project or program management, or officer military experience, preferably in a DoD or government contracting environment
* Proven experience in managing complex, cross\-functional programs, including budget and schedule management
 Skills:
* Strong working knowledge of project management principles, tools, and best practices (e.g., PMP certification is highly desirable)
* Exceptional written and verbal communication skills, including the ability to present technical and financial information to executive\-level audiences
* Demonstrated ability to lead large teams, resolve conflicts, and drive consensus among multiple stakeholders
Preferred Qualifications
* Security Clearance: TS/SCI eligibility w/ polygraph
* Certification: Project Management Professional (PMP) or Program Management Professional (PgMP) certification
Location Experience: Previous work experience supporting DoD or Government programs in the Space Coast/Central Florida region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54">
      <c r="A54" t="inlineStr">
        <is>
          <t>in-084565fcd9123d60</t>
        </is>
      </c>
      <c r="B54" t="inlineStr">
        <is>
          <t>Product Owner</t>
        </is>
      </c>
      <c r="C54" t="inlineStr"/>
      <c r="D54" t="inlineStr">
        <is>
          <t>indeed</t>
        </is>
      </c>
      <c r="E54" t="inlineStr"/>
      <c r="F54" t="inlineStr"/>
      <c r="G54" t="inlineStr">
        <is>
          <t>Belleville, MI, US</t>
        </is>
      </c>
      <c r="H54" s="2" t="n">
        <v>46054</v>
      </c>
      <c r="I54" t="inlineStr">
        <is>
          <t>**About Ascent**
Ascent Global Logistics, headquartered in Belleville, Michigan, is a leading global provider of expedited, time\-critical logistics solutions and other direct transportation services. The company connects customers to its extensive carrier network, internal ground fleet and airline via its proprietary, digital PEAK freight marketplace, which provides robust carrier capacity and transparent pricing, backed by 24/7/365 logistics experts. Ascent’s offerings include air charter and ground expedited solutions as well as truckload, less\-than\-truckload, global forwarding, brokerage, and managed transportation services. The experienced Ascent team solves customers’ most challenging logistics needs by providing industry\-leading service and top\-tier satisfaction.
**Our Guiding Principles**
At the core of Ascent's culture is a strong commitment to excellence, driven by the passion and dedication of every team member. We're equally dedicated to going above and beyond for our customers, ensuring this commitment extends beyond our team and brings exceptional value to those we serve. We aim for perfect execution in everything we do and ‘play hard’ by creating an environment where tasks are performed with a can\-do attitude from start to finish. We ‘play smart’ by delivering on our commitments in an honest, fair and ethical manner. We treat every person with whom we interface with the utmost dignity and respect. We understand that our teammates are our most valuable assets, so we ‘play together’ by making every effort to provide a professional and enjoyable experience, enabling careers to flourish and personal growth to be achieved.
**What You’ll Do**
We’re seeking a Product Owner to guide the discovery, delivery, and adoption of enterprise supply\-chain and transportation platforms. You’ll translate business strategy into outcomes, own and order the product backlog, and ensure each increment delivers measurable value to operations and customers. The role blends logistics/TMS domain fluency with strong product execution in an Agile environment. The Product Owner is accountable for maximizing value and for effective backlog management (vision, ordering, clarity), working closely with engineering, design, QA, data, and integration teams. You’ll be part of a cross\-functional product team supported by a Scrum Master; you own the vision, prioritization, and acceptance of increments.
**Backlog Ownership \&amp; Execution**
* Translate product strategy into actionable user stories with clear acceptance criteria and supporting context.
* Maintain and prioritize a well\-groomed backlog in Jira, balancing technical dependencies, user needs, and business priorities; keep 1–2 sprints of “Ready” work.
* Own value and ordering—make timely scope and priority calls; accept or reject increments against acceptance criteria and Definition of Done (DoD).
* Partner with engineering, QA, and UX to ensure items meet Definition of Ready/Done (DoR/DoD).
* Participate in Scrum events (Planning, Refinement, Review, Retro); keep the team focused and sequence cross\-team dependencies.
**Delivery \&amp; Quality**
-----------------------
* Act as the voice of the customer during development; define acceptance tests and validate increments to ensure valuable, usable outcomes.
* Validate releases through UAT, operational testing, and post\-deployment feedback loops.
* Support release readiness and communicate new functionality to business users (release notes, SOP updates, self\-serve guides).
* Monitor flow and quality (e.g., cycle time, defect escape rate) and drive timely corrective actions.
**Collaboration \&amp; Communication**
----------------------------------
* Serve as the central point of contact between delivery teams and business stakeholders across operations, sales, and customer service.
* Communicate progress, risks, and scope decisions to stakeholders; make trade\-offs explicit and evidence based.
* Document functionality, workflows, and user impacts in Confluence and other shared knowledge bases; enable field teams with concise how\-to and change notes.
* Coordinate with the Scrum Master to support effective Reviews and a healthy team cadence.
**Alignment \&amp; Continuous Improvement**
---------------------------------------
* Partner with stakeholders to align Sprint Goals to broader roadmap milestones and strategic initiatives.
* Analyze and report on feature adoption, quality metrics, and sprint outcomes to inform future iterations; update the backlog rapidly after Reviews.
* Contribute to process improvements that enhance delivery efficiency and team collaboration; refine DoR/DoD as the product evolves.
* Coordinate cross\-team dependencies through established Agile ceremonies and forums.
**What You’ll Bring**
* 3\+ years in a Product Owner or Product Manager role delivering software products or platforms.
Domain fluency in supply chain and transportation (planning execution visibility* financials), with practical experience supporting or evolving TMS/visibility or adjacent systems.
* Demonstrated skill in user story writing, backlog ordering, acceptance/validation, and Agile delivery with cross\-functional teams.
* Strong stakeholder facilitation and communication; comfortable with executives, operations, and engineers.
* Data literacy: able to define metrics, read dashboards, and use insights to shape priorities.
* Proficiency with Jira/Confluence (or similar Agile delivery tools).
* Experience coordinating work across multiple business units and multiple systems (TMS, visibility, WMS, ERP, CRM).
* Familiarity with EDI/API concepts and logistics data flows; comfort partnering on data quality and eventing.
* Exposure to scaled delivery (e.g., PI/quarterly planning, dependency management) and outcome\-based roadmaps.
* Certifications (e.g., CSPO/PSPO, SAFe PO/PM) are a plus.
**Ascent’s Competitive Benefits**
* 401(k) and employer matching
* Life Insurance
* Health, Dental, Vision Insurance
* Short\- \&amp; Long\-Term Disability
* Paid Time Off (PTO)
* Employee Assistance Program
* Paid Parental Leave
* Employee Wellness Program
* Paid Holidays
* Employee Recognition Programs
* Flexible Spending Account (FSA)
* Tuition Reimbursement
* Health Savings Account (HSA)
* Overtime, Differential \&amp; Bonus Pay
**Additional Considerations**
* Fully remote role aligned with Eastern or Central Time Zone hours.
* Some cross\-functional or global meeting participation may be required.
* Close collaboration with Operations, Customer Experience, and IT.
**\#LI\-Remote**
Salary Range: $115,000 \- $130,000</t>
        </is>
      </c>
    </row>
    <row r="55">
      <c r="A55" t="inlineStr">
        <is>
          <t>in-b2455a7f05d038e8</t>
        </is>
      </c>
      <c r="B55" t="inlineStr">
        <is>
          <t>Utility Development Program Manager</t>
        </is>
      </c>
      <c r="C55" t="inlineStr">
        <is>
          <t>QTS</t>
        </is>
      </c>
      <c r="D55" t="inlineStr">
        <is>
          <t>indeed</t>
        </is>
      </c>
      <c r="E55" t="inlineStr"/>
      <c r="F55" t="inlineStr"/>
      <c r="G55" t="inlineStr">
        <is>
          <t>Richmond, VA, US</t>
        </is>
      </c>
      <c r="H55" s="2" t="n">
        <v>46054</v>
      </c>
      <c r="I55" t="inlineStr">
        <is>
          <t>The Utility Development Project Manager will support the overall planning and execution of QTS utility infrastructure. This role will support the delivery of utility capacity at each campus for data center substation and utility build projects. This role will interface and collaborate with many critical stakeholders, including but not limited to energy leaders responsible for utility contracts and negotiations; utility engagement developing relationships with utilities; pre\-development leads evaluating new properties; operations leaders managing load growth projections; and development team project leaders planning and building new data centers.
ESSENTIAL DUTIES AND RESPONSIBILITIES \- Other duties may be assigned.* Liaise with partners and consultants related to electrical substation design and construction.
* Establish project schedules and report on milestones for utility projects.
* Establish budgets and cost forecasting of utility projects, including construction and equipment.
* Procure substation long lead equipment, transformers, HV breakers, and MV switchgear.
* Procure and manage construction of several substation sites.
* Deliver utility projects on\-schedule, on\-budget, and as\-scoped.
* Track and report on status and schedule of power delivery timelines.
* Write scopes of work for utility design, construction, commissioning services \&amp; participate in procurement and project cost estimates.
* Evaluate and level pricing proposals for design, construction, and commissioning services.
* Review and approve monthly pay applications from the contractors.
* Review change order requests from contractors and negotiate pricing.
BASIC QUALIFICATIONS* Bachelor’s degree in electrical engineering, construction, or equivalent professional experience.
* Four or more years of medium/high voltage construction management.
* Four or more years or more years’ experience running multiple projects at the same time or related professional experience.
* Experience with Microsoft Office suite, specifically PowerPoint for use in communicating program updates to executive level, and Excel to create and maintain project budgets.
* Be able to travel up to 50% of the time or as needed to support projects.
* Demonstrated experience working directly with executives and collaborating effectively across all levels of the organization.
PREFERRED QUALIFICATIONS* Seven plus years of electrical substation construction
* Knowledge of substation industry partners and transformer manufacturers
* Technical expertise in High and Medium Voltage Electrical Design or Construction
* Experience managing large portfolio of work.
KNOWLEDGE, SKILLS, AND ABILITIES* Strong verbal and written communication skills.
* Ability to independently manage deadlines and support staff.
* Ability to influence cross\-discipline teams.
* Ability to be flexible and adapt to changing situations at a high growth company.
* Ability to prioritize, multitask, and deliver high quality work in tight timeframes.
SKILLS:* Substations
* Construction Management
* Budgeting
* Scheduling
* Risk Management
* Transmission
* High\-voltage electricity
* Utilities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56">
      <c r="A56" t="inlineStr">
        <is>
          <t>in-1fe7fb5c8cb486c1</t>
        </is>
      </c>
      <c r="B56" t="inlineStr">
        <is>
          <t>Sr Product Manager</t>
        </is>
      </c>
      <c r="C56" t="inlineStr">
        <is>
          <t>Illumina</t>
        </is>
      </c>
      <c r="D56" t="inlineStr">
        <is>
          <t>indeed</t>
        </is>
      </c>
      <c r="E56" t="inlineStr"/>
      <c r="F56" t="inlineStr"/>
      <c r="G56" t="inlineStr">
        <is>
          <t>San Diego, CA, US</t>
        </is>
      </c>
      <c r="H56" s="2" t="n">
        <v>46054</v>
      </c>
      <c r="I56"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Summary  
We are seeking a dynamic and strategic Senior Product Manager to manage key products and product lines within Illumina’s DNA library prep portfolio. In this role, you will drive product strategy, understand customer needs, and collaborate cross\-functionally to ensure commercial success of your product lines. The ideal candidate possesses deep knowledge in genomics and next\-generation sequencing (NGS), along with strong experience in product management.
Responsibilities
Product Strategy* Develop and implement product strategies to ensure commercial success and align with business objectives.
* Utilize voice of customer (VOC) input and market research to address customer pain points and shape the product roadmap.
* Identify market trends, customer needs, and competitive gaps to inform portfolio direction.
* Communicate complex product strategies and technical concepts clearly to diverse stakeholders.
Go\-to\-Market Execution* Develop pricing, positioning, and messaging strategies.
* Partner with marketing to create compelling collateral, technical content, and training materials.
* Support commercial teams with product education, sales enablement, and customer engagement initiatives.
Lifecycle Management* Monitor product performance, customer feedback, and market dynamics.
* Drive continuous product improvements, manage obsolescence, and evaluate opportunities for portfolio growth.
Champion Our Customers* Engage directly with customers, key opinion leaders (KOLs), and collaborators to gain deep insights.
* Share VOC and insights with internal teams to drive customer\-centric solutions.
* Advocate for customer needs throughout the organization.
Requirements* Typically requires a minimum of 5 years of related experience with a Bachelor's degree; or 3 years and a Master's degree; or a PhD without experience; or equivalent work experience..
* Proven success managing complex product lifecycles and launching products in scientific or biotech environments.
* Strong understanding of the genomics market and NGS applications.
* Excellent written and verbal communication skills, with the ability to convey technical information to diverse audiences.
* Experience working in a matrixed organization with R\&amp;D, Operations, Finance, and Commercial teams.
The estimated base salary range for the Sr Product Manager role based in the United States of America is: $107,700 \- $161,500\.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row>
    <row r="57">
      <c r="A57" t="inlineStr">
        <is>
          <t>in-88c4b4a4457ef569</t>
        </is>
      </c>
      <c r="B57" t="inlineStr">
        <is>
          <t>IT Program Manager</t>
        </is>
      </c>
      <c r="C57" t="inlineStr">
        <is>
          <t>Paradigm Corp</t>
        </is>
      </c>
      <c r="D57" t="inlineStr">
        <is>
          <t>indeed</t>
        </is>
      </c>
      <c r="E57" t="inlineStr"/>
      <c r="F57" t="inlineStr"/>
      <c r="G57" t="inlineStr">
        <is>
          <t>Lombard, IL, US</t>
        </is>
      </c>
      <c r="H57" s="2" t="n">
        <v>46054</v>
      </c>
      <c r="I57" t="inlineStr">
        <is>
          <t>Paradigm is an accountable specialty care management organization focused on improving the lives of people with complex injuries and diagnoses. The company has been a pioneer in value\-based care since 1991 and has an exceptional track record of generating the very best outcomes for patients, payers, and providers. Deep clinical expertise is the foundation for every part of Paradigm’s business: risk\-based clinical solutions, case management, specialty networks, home health, shared decision support, and payment integrity programs.
We’re proud to be recognized—again! For the fourth year in a row, we’ve been certified by Great Place to Work®, and for the third consecutive year, we’ve earned a spot on Fortune's Best Workplaces in Health Care™ list. These honors reflect our unwavering commitment to fostering a positive, inclusive, and employee\-centric culture where people thrive.
Watch this short video for a brief introduction to Paradigm.
We are seeking a full\-time, remote IT Program Manager. The IT Program Manager will be responsible for leading and developing a team of project managers, establishing clear roles and processes, and ensuring disciplined delivery of complex, cross\-functional programs. They play a key role in shaping Paradigm’s project management framework, driving strategic direction, and fostering a culture of accountability, innovation, and continuous improvement.
**RESPONSIBILITIES:**  
Strategic Direction \&amp; Role Clarity
* Define, communicate, and enforce clear roles and responsibilities for project managers, supporting Paradigm’s transition to a structured, process\-driven framework.
* Mentor, train, and supervise project managers, providing effective feedback and fostering a high\-performance team culture.
* Guide, maintain, and enforce departmental practices, methodologies, policies, and procedures.
Scope Management \&amp; Timeboxed Releases
* Lead the team in planning high\-level features and scope items for timeboxed releases, ensuring incremental and predictable delivery.
* Coordinate with internal stakeholders to understand business goals and objectives, translating them into actionable directives for project managers interacting with digital product teams and business analysts.
* Maintain situational awareness and a keen sense of urgency in responding to digital product, business, and IT environmental influences.
Governance, Reporting \&amp; Resource Management
* Implement robust governance standards, including RAID logs, risk management, and mitigation planning.
* Oversee status tracking, resource prioritization, and schedule adherence for all programs.
* Establish and track IT implementation metrics (KPIs) and team dashboards to increase visibility, alignment, and accountability.
* Produce regular, comprehensive reporting on project/program status, budgets, schedules, resource allocation, and operational effectiveness for the Steering Committee and leadership team.
Quality Assurance \&amp; Deployment Discipline
* Champion disciplined QA/UAT and deployment processes, ensuring accuracy in project management tools and timely communication of deployment readiness.
* Support the team in developing and maintaining project milestones, work breakdown structures, and contingency plans.
* Ensure successful implementation within defined timeframes and budgets.
Innovation \&amp; AI Enablement
* Drive adoption of AI tools (e.g., Microsoft 365 Copilot) to enhance project management efficiency, automate status summaries, risk registers, and weekly updates.
* Work with App Dev Directors and digital product owners on continuous improvements of technology capabilities to ensure efficient and effective implementations.
* Provide strategic insights to organizational leaders on process improvements that reduce time to market, lower costs, and increase ROI.
Stakeholder Engagement \&amp; Communication
* Maintain communication with digital product management and internal stakeholders on overall project status, milestones, and risks.
* Create and maintain standard operating process reference material for internal staff and digital product management, including workflows and solution delivery protocols.
* Demonstrate outstanding communication and presentation skills, conveying sophisticated concepts simply and clearly to a variety of audiences.
**SUPERVISORY RESPONSIBILITIES:**  
* Mentor, train, and supervise team members directly and indirectly, review their work and provide effective constructive feedback to achieve their best performance and goal attainment
* Set the tone for a strong Enterprise culture and high employee engagement.
* Ensure all team members understand, are trained in, and comply with Paradigm’s security requirements and policies.
* Ensure all team members have the minimum level of IT system access required to effectively complete their Paradigm responsibilities.
**QUALIFICATIONS:**  
* Bachelor’s Degree in Computer Science, Project Management, Business Management, or related field, or equivalent experience.
* 3–5 years of program/portfolio planning and management experience.
* 10\+ years of direct IT project management experience, including managing multiple projects and leading project managers.
* PMP or PMP\-ACP certification required.
* Demonstrated experience leading strategic technology initiatives.
* Proven expertise in project governance, risk management, change management, and people management.
* Strong business/digital product management engagement, communication, and organizational skills.
* High proficiency with project management tools (e.g., MS Project, Planview), Microsoft productivity tools, and MS Office suite.
* Strong business analysis and IT integration skills.
* Strong IT Agile experience.
* Working knowledge of the Workers’ Comp industry is a plus.
What We Value
* Defined PM roles and structured governance.
* Clear scope for timeboxed releases.
* Comprehensive reporting (RAID, risk, financial health).
* Disciplined QA/UAT and deployment processes.
* Adoption of AI tools for PM efficiency.
**Paradigm Benefits:**  
* Health and wellness– We want our people to be and stay healthy, so we offer PPO, HDHP, and HMO health insurance options with Cigna and Kaiser (CA employees only).
* Financial incentives – Paradigm’s financial benefits help prepare you for the future: competitive salaries, 401(k) matching contributions, employer\-paid life and disability insurance, flexible spending and commuter accounts, and employer\-matched HSA contributions.
* Vacation \- We believe strongly that work\-life balance is good for you and for our company. Our paid time off and personal holiday programs give you the flexibility you need to live your life to the fullest.
* Volunteer time– We want our employees to engage with and give back to their communities in meaningful ways. Full and part\-time employees receive one paid day per calendar year.
* Learning and development: One of Paradigm’s core values is expertise, so we encourage our employees to continually learn and grow. We support this in a variety of ways, including our new Learning Excellence at Paradigm (LEAP) program.
Paradigm believes that fostering a diverse and inclusive workplace is central to our mission of helping more people and transforming lives. We’re striving to build a culture that better reflects the society we live in and empowers our team to deliver the highest levels of compassion and care to those we serve. For us, achieving this goal requires a workforce that respectfully embraces differences and commits to positive change, creating an environment where everyone is able to bring their whole self to work.
Paradigm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Leave Management at leave.management@paradigmcorp.com.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As a contractor with the State of Wisconsin, Paradigm complies with Wisconsin Contract Compliance Law (§16\.765\). Poster link: Contract Compliance Law Poster</t>
        </is>
      </c>
    </row>
    <row r="58">
      <c r="A58" t="inlineStr">
        <is>
          <t>in-93caed8dcd9bc412</t>
        </is>
      </c>
      <c r="B58" t="inlineStr">
        <is>
          <t>Program Manager I</t>
        </is>
      </c>
      <c r="C58" t="inlineStr">
        <is>
          <t>UPLIGHT</t>
        </is>
      </c>
      <c r="D58" t="inlineStr">
        <is>
          <t>indeed</t>
        </is>
      </c>
      <c r="E58" t="inlineStr"/>
      <c r="F58" t="inlineStr"/>
      <c r="G58" t="inlineStr">
        <is>
          <t>US</t>
        </is>
      </c>
      <c r="H58" s="2" t="n">
        <v>46054</v>
      </c>
      <c r="I58" t="inlineStr">
        <is>
          <t>Uplight is *creating a new category of energy*.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**Program Manager I** to join our team and help us achieve our ambitious goals for our business and the planet. We are searching for an organized, detail\-oriented Program Manager who is passionate about metrics\-driven delivery excellence and Agile as a philosophy, and is eager to support product and engineering teams in optimizing delivery for our customers. This role focuses on executing program management fundamentals, maintaining delivery systems, and providing actionable insights through data analysis.
You will also support organizational change management initiatives, including stakeholder mapping, communications planning, and facilitating adoption of new processes and tools as part of our Ways of Working transformation.**How you will make an impact:**
As the Program Manager I, you will support product and engineering teams in tracking, measuring, and reporting on delivery performance. You will help teams maintain visibility into key outcomes and metrics that support our journey toward an optimized DevOps culture.
You will execute on established frameworks and processes, supporting program planning and tracking for projects within your product portfolio. This work includes maintaining project delivery plans, monitoring and reporting on program status, tracking dependencies, and supporting prioritization conversations with cross\-functional teams.
In this role, you will work with Product Managers and engineering leads based in India and globally, who are responsible for the lifecycle management of our products and solutions. Success in this role requires effective collaboration across time zones, as a significant portion of your work will involve coordinating with our India\-based engineering teams. You will support the achievement of target results across your program's scope.
To be successful, you'll need to collaborate effectively with Uplight Product, Engineering, and other cross\-functional teams. The right candidate is highly organized, communicates clearly, and is comfortable working with data and tools to support program visibility and execution. Experience working with distributed teams across different time zones is important for this role.**What you get to do:**
* **Maintain Jira workflows and administration**, ensuring data quality, accurate reporting, and optimized usage across product and engineering teams
* **Support engineering leads** in tracking and reporting on dev efficiency metrics (e.g., sprint velocity, cycle time, DORA metrics)
* **Build and maintain dashboards** that provide visibility into team performance, roadmap progress, and delivery health
* **Execute program and project management activities** including tracking deliverables, updating status reports, managing meeting cadences, and supporting stakeholder communication
* **Support cross\-functional coordination** by maintaining clear documentation, tracking action items, and ensuring follow\-through on decisions
* **Support change management activities** including stakeholder mapping, identifying impacted groups, and tracking adoption of new processes and tools
* **Assist in developing and executing communication plans** for organizational changes, process updates, and new tool rollouts
* **Maintain change logs and documentation** that track organizational transformation initiatives and their progress
* **Facilitate adoption of new processes** by creating training materials, user guides, and supporting teams through transitions
* **Gather feedback from teams** on process changes and new initiatives, synthesizing input to inform continuous improvement
* **Maintain accurate project documentation** including plans, timelines, risk logs, and dependency tracking
* **Translate data into clear summaries and reports** that help teams and leadership understand program status
* **Support process adherence** by helping teams follow established agile ceremonies and delivery practices
**What you bring to Uplight:**
* **2\-4 years of experience** as a Business Analyst, Program Analyst, Project Coordinator, or similar role in a tech environment
* **Willingness and ability to work with distributed teams** across different time zones (particularly Asia/India and North America)
* **Strong organizational skills** with demonstrated ability to manage multiple workstreams and maintain attention to detail
* **Interest in organizational change management** with willingness to learn change management methodologies and best practices
* **Solid comfort with data tools and analytics** (e.g., Excel, Jira, Confluence, or similar platforms)
* **Experience with Agile methodologies**, ideally including participation in scrum ceremonies or supporting agile teams
* **Strong communication skills** with ability to document processes clearly and provide concise status updates
* **Project coordination capabilities** with ability to track deliverables, manage schedules, and identify blockers
* **Analytical mindset** with ability to work with data, identify patterns, and present findings clearly
* **Collaborative approach** with willingness to support team needs and adapt to changing priorities
**Preferred:*** Experience as a project manager, scrum master or agile facilitator
* Prior experience working with teams in India or other international locations
* Familiarity with software development lifecycle and engineering team structures
* Experience with data visualization tools (e.g., Tableau, PowerBI)
* Exposure to change management principles or frameworks (e.g., ADKAR, Prosci)
* Experience supporting process improvement or organizational transformation initiatives
**Bonus Points**
* Passionate about energy consumption and making a difference in the world
* Prior experience working at a software company in the energy or utility space
* Interest in process improvement and learning about organizational effectiveness
* Experience creating training materials, user guides, or process documentation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$64,000\-$80,000 USD \+ Bonus
Application Deadline: March 1,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59">
      <c r="A59" t="inlineStr">
        <is>
          <t>in-b1b8a3987654e0be</t>
        </is>
      </c>
      <c r="B59" t="inlineStr">
        <is>
          <t>Program Manager I</t>
        </is>
      </c>
      <c r="C59" t="inlineStr">
        <is>
          <t>UPLIGHT</t>
        </is>
      </c>
      <c r="D59" t="inlineStr">
        <is>
          <t>indeed</t>
        </is>
      </c>
      <c r="E59" t="inlineStr"/>
      <c r="F59" t="inlineStr"/>
      <c r="G59" t="inlineStr">
        <is>
          <t>Boulder, CO, US</t>
        </is>
      </c>
      <c r="H59" s="2" t="n">
        <v>46054</v>
      </c>
      <c r="I59" t="inlineStr">
        <is>
          <t>Uplight is *creating a new category of energy*.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**Program Manager I** to join our team and help us achieve our ambitious goals for our business and the planet. We are searching for an organized, detail\-oriented Program Manager who is passionate about metrics\-driven delivery excellence and Agile as a philosophy, and is eager to support product and engineering teams in optimizing delivery for our customers. This role focuses on executing program management fundamentals, maintaining delivery systems, and providing actionable insights through data analysis.
You will also support organizational change management initiatives, including stakeholder mapping, communications planning, and facilitating adoption of new processes and tools as part of our Ways of Working transformation.**How you will make an impact:**
As the Program Manager I, you will support product and engineering teams in tracking, measuring, and reporting on delivery performance. You will help teams maintain visibility into key outcomes and metrics that support our journey toward an optimized DevOps culture.
You will execute on established frameworks and processes, supporting program planning and tracking for projects within your product portfolio. This work includes maintaining project delivery plans, monitoring and reporting on program status, tracking dependencies, and supporting prioritization conversations with cross\-functional teams.
In this role, you will work with Product Managers and engineering leads based in India and globally, who are responsible for the lifecycle management of our products and solutions. Success in this role requires effective collaboration across time zones, as a significant portion of your work will involve coordinating with our India\-based engineering teams. You will support the achievement of target results across your program's scope.
To be successful, you'll need to collaborate effectively with Uplight Product, Engineering, and other cross\-functional teams. The right candidate is highly organized, communicates clearly, and is comfortable working with data and tools to support program visibility and execution. Experience working with distributed teams across different time zones is important for this role.**What you get to do:**
* **Maintain Jira workflows and administration**, ensuring data quality, accurate reporting, and optimized usage across product and engineering teams
* **Support engineering leads** in tracking and reporting on dev efficiency metrics (e.g., sprint velocity, cycle time, DORA metrics)
* **Build and maintain dashboards** that provide visibility into team performance, roadmap progress, and delivery health
* **Execute program and project management activities** including tracking deliverables, updating status reports, managing meeting cadences, and supporting stakeholder communication
* **Support cross\-functional coordination** by maintaining clear documentation, tracking action items, and ensuring follow\-through on decisions
* **Support change management activities** including stakeholder mapping, identifying impacted groups, and tracking adoption of new processes and tools
* **Assist in developing and executing communication plans** for organizational changes, process updates, and new tool rollouts
* **Maintain change logs and documentation** that track organizational transformation initiatives and their progress
* **Facilitate adoption of new processes** by creating training materials, user guides, and supporting teams through transitions
* **Gather feedback from teams** on process changes and new initiatives, synthesizing input to inform continuous improvement
* **Maintain accurate project documentation** including plans, timelines, risk logs, and dependency tracking
* **Translate data into clear summaries and reports** that help teams and leadership understand program status
* **Support process adherence** by helping teams follow established agile ceremonies and delivery practices
**What you bring to Uplight:**
* **2\-4 years of experience** as a Business Analyst, Program Analyst, Project Coordinator, or similar role in a tech environment
* **Willingness and ability to work with distributed teams** across different time zones (particularly Asia/India and North America)
* **Strong organizational skills** with demonstrated ability to manage multiple workstreams and maintain attention to detail
* **Interest in organizational change management** with willingness to learn change management methodologies and best practices
* **Solid comfort with data tools and analytics** (e.g., Excel, Jira, Confluence, or similar platforms)
* **Experience with Agile methodologies**, ideally including participation in scrum ceremonies or supporting agile teams
* **Strong communication skills** with ability to document processes clearly and provide concise status updates
* **Project coordination capabilities** with ability to track deliverables, manage schedules, and identify blockers
* **Analytical mindset** with ability to work with data, identify patterns, and present findings clearly
* **Collaborative approach** with willingness to support team needs and adapt to changing priorities
**Preferred:*** Experience as a project manager, scrum master or agile facilitator
* Prior experience working with teams in India or other international locations
* Familiarity with software development lifecycle and engineering team structures
* Experience with data visualization tools (e.g., Tableau, PowerBI)
* Exposure to change management principles or frameworks (e.g., ADKAR, Prosci)
* Experience supporting process improvement or organizational transformation initiatives
**Bonus Points**
* Passionate about energy consumption and making a difference in the world
* Prior experience working at a software company in the energy or utility space
* Interest in process improvement and learning about organizational effectiveness
* Experience creating training materials, user guides, or process documentation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$64,000\-$80,000 USD \+ Bonus
Application Deadline: March 1,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60">
      <c r="A60" t="inlineStr">
        <is>
          <t>in-1a1ba06cff520c7b</t>
        </is>
      </c>
      <c r="B60" t="inlineStr">
        <is>
          <t>Program Manager I</t>
        </is>
      </c>
      <c r="C60" t="inlineStr">
        <is>
          <t>UPLIGHT</t>
        </is>
      </c>
      <c r="D60" t="inlineStr">
        <is>
          <t>indeed</t>
        </is>
      </c>
      <c r="E60" t="inlineStr"/>
      <c r="F60" t="inlineStr"/>
      <c r="G60" t="inlineStr">
        <is>
          <t>Denver, CO, US</t>
        </is>
      </c>
      <c r="H60" s="2" t="n">
        <v>46054</v>
      </c>
      <c r="I60" t="inlineStr">
        <is>
          <t>Uplight is *creating a new category of energy*.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**Program Manager I** to join our team and help us achieve our ambitious goals for our business and the planet. We are searching for an organized, detail\-oriented Program Manager who is passionate about metrics\-driven delivery excellence and Agile as a philosophy, and is eager to support product and engineering teams in optimizing delivery for our customers. This role focuses on executing program management fundamentals, maintaining delivery systems, and providing actionable insights through data analysis.
You will also support organizational change management initiatives, including stakeholder mapping, communications planning, and facilitating adoption of new processes and tools as part of our Ways of Working transformation.**How you will make an impact:**
As the Program Manager I, you will support product and engineering teams in tracking, measuring, and reporting on delivery performance. You will help teams maintain visibility into key outcomes and metrics that support our journey toward an optimized DevOps culture.
You will execute on established frameworks and processes, supporting program planning and tracking for projects within your product portfolio. This work includes maintaining project delivery plans, monitoring and reporting on program status, tracking dependencies, and supporting prioritization conversations with cross\-functional teams.
In this role, you will work with Product Managers and engineering leads based in India and globally, who are responsible for the lifecycle management of our products and solutions. Success in this role requires effective collaboration across time zones, as a significant portion of your work will involve coordinating with our India\-based engineering teams. You will support the achievement of target results across your program's scope.
To be successful, you'll need to collaborate effectively with Uplight Product, Engineering, and other cross\-functional teams. The right candidate is highly organized, communicates clearly, and is comfortable working with data and tools to support program visibility and execution. Experience working with distributed teams across different time zones is important for this role.**What you get to do:**
* **Maintain Jira workflows and administration**, ensuring data quality, accurate reporting, and optimized usage across product and engineering teams
* **Support engineering leads** in tracking and reporting on dev efficiency metrics (e.g., sprint velocity, cycle time, DORA metrics)
* **Build and maintain dashboards** that provide visibility into team performance, roadmap progress, and delivery health
* **Execute program and project management activities** including tracking deliverables, updating status reports, managing meeting cadences, and supporting stakeholder communication
* **Support cross\-functional coordination** by maintaining clear documentation, tracking action items, and ensuring follow\-through on decisions
* **Support change management activities** including stakeholder mapping, identifying impacted groups, and tracking adoption of new processes and tools
* **Assist in developing and executing communication plans** for organizational changes, process updates, and new tool rollouts
* **Maintain change logs and documentation** that track organizational transformation initiatives and their progress
* **Facilitate adoption of new processes** by creating training materials, user guides, and supporting teams through transitions
* **Gather feedback from teams** on process changes and new initiatives, synthesizing input to inform continuous improvement
* **Maintain accurate project documentation** including plans, timelines, risk logs, and dependency tracking
* **Translate data into clear summaries and reports** that help teams and leadership understand program status
* **Support process adherence** by helping teams follow established agile ceremonies and delivery practices
**What you bring to Uplight:**
* **2\-4 years of experience** as a Business Analyst, Program Analyst, Project Coordinator, or similar role in a tech environment
* **Willingness and ability to work with distributed teams** across different time zones (particularly Asia/India and North America)
* **Strong organizational skills** with demonstrated ability to manage multiple workstreams and maintain attention to detail
* **Interest in organizational change management** with willingness to learn change management methodologies and best practices
* **Solid comfort with data tools and analytics** (e.g., Excel, Jira, Confluence, or similar platforms)
* **Experience with Agile methodologies**, ideally including participation in scrum ceremonies or supporting agile teams
* **Strong communication skills** with ability to document processes clearly and provide concise status updates
* **Project coordination capabilities** with ability to track deliverables, manage schedules, and identify blockers
* **Analytical mindset** with ability to work with data, identify patterns, and present findings clearly
* **Collaborative approach** with willingness to support team needs and adapt to changing priorities
**Preferred:*** Experience as a project manager, scrum master or agile facilitator
* Prior experience working with teams in India or other international locations
* Familiarity with software development lifecycle and engineering team structures
* Experience with data visualization tools (e.g., Tableau, PowerBI)
* Exposure to change management principles or frameworks (e.g., ADKAR, Prosci)
* Experience supporting process improvement or organizational transformation initiatives
**Bonus Points**
* Passionate about energy consumption and making a difference in the world
* Prior experience working at a software company in the energy or utility space
* Interest in process improvement and learning about organizational effectiveness
* Experience creating training materials, user guides, or process documentation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$64,000\-$80,000 USD \+ Bonus
Application Deadline: March 1,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61">
      <c r="A61" t="inlineStr">
        <is>
          <t>in-33b5e0f173c98e20</t>
        </is>
      </c>
      <c r="B61" t="inlineStr">
        <is>
          <t>Technical Product Manager, Data Platform</t>
        </is>
      </c>
      <c r="C61" t="inlineStr">
        <is>
          <t>Mirion</t>
        </is>
      </c>
      <c r="D61" t="inlineStr">
        <is>
          <t>indeed</t>
        </is>
      </c>
      <c r="E61" t="inlineStr"/>
      <c r="F61" t="inlineStr"/>
      <c r="G61" t="inlineStr">
        <is>
          <t>US</t>
        </is>
      </c>
      <c r="H61" s="2" t="n">
        <v>46054</v>
      </c>
      <c r="I61" t="inlineStr">
        <is>
          <t>The Technical Product Manager is responsible for driving the vision, strategy, and roadmap of the MEDIAN data platform. This role combines product thinking with technical depth, serving as the bridge between customer needs, business strategy, and the technical teams building the platform. You'll conduct user research, manage stakeholder relationships across product and engineering teams, translate customer feedback into product requirements, and define the platform's feature priorities to maximize customer value and business impact.
Responsibilities
* Conduct user interviews and research with engineering teams across Mirion to understand their data and analytics needs
Manage relationships with key stakeholders, including product managers, business leaders, engineering teams, and customers.
* Synthesize customer feedback and technical insights from the Data Platform and Solution steams into product direction.
* Define and maintain the product roadmap for the MEDIAN platform, balancing customer needs with strategic objectives.
* Write clear product requirements and user stories that inform the work of platform andsolutions engineers.
* Collaborate with the Data Platform and Solutions teams to understand technical constraintsand feasibility.
* Advocate for customer needs internally, while managing expectations and communicating product vision.
* Monitor market trends, competitive data platforms, and emerging technologies relevant to the space.
* Measure product success through KPIs, adoption metrics, and customer satisfaction.
* Present product vision and roadmap to leadership, customers, and internal stakeholders.
* Manage the product lifecycle, including feature prioritization, release planning, and post\-launch evaluation.
Minimum Qualifications
* 3\+ years of product management, product strategy, or technical program management experience.
* Strong understanding of data platforms, data pipelines, and analytics use cases (hands\-onexperience preferred).
* Excellent communication and stakeholder management skills.
* Experience conducting user research and translating feedback into product requirements.
* Ability to work in a fast\-paced, ambiguous environment with limited resources.
* Proficiency with data concepts (SQL, ETL, data modeling, cloud platforms).
* Demonstrated ability to prioritize and manage competing interests across teams.
Preferred Qualifications
* Background as a data engineer, data analyst, or solutions engineer before moving into product management.
* Experience with modern data platforms (Databricks, Snowflake, BigQuery, etc.).
* Experience working in regulated industries or with complex compliance requirements.
* Familiarity with the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development and product development methodologies.</t>
        </is>
      </c>
    </row>
    <row r="62">
      <c r="A62" t="inlineStr">
        <is>
          <t>in-0745a2403873a930</t>
        </is>
      </c>
      <c r="B62" t="inlineStr">
        <is>
          <t>Technical Product Manager, Data Platform</t>
        </is>
      </c>
      <c r="C62" t="inlineStr">
        <is>
          <t>Mirion</t>
        </is>
      </c>
      <c r="D62" t="inlineStr">
        <is>
          <t>indeed</t>
        </is>
      </c>
      <c r="E62" t="inlineStr"/>
      <c r="F62" t="inlineStr"/>
      <c r="G62" t="inlineStr">
        <is>
          <t>Remote, US</t>
        </is>
      </c>
      <c r="H62" s="2" t="n">
        <v>46054</v>
      </c>
      <c r="I62" t="inlineStr">
        <is>
          <t>The Technical Product Manager is responsible for driving the vision, strategy, and roadmap of the MEDIAN data platform. This role combines product thinking with technical depth, serving as the bridge between customer needs, business strategy, and the technical teams building the platform. You'll conduct user research, manage stakeholder relationships across product and engineering teams, translate customer feedback into product requirements, and define the platform's feature priorities to maximize customer value and business impact.
Responsibilities
* Conduct user interviews and research with engineering teams across Mirion to understand their data and analytics needs
Manage relationships with key stakeholders, including product managers, business leaders, engineering teams, and customers.
* Synthesize customer feedback and technical insights from the Data Platform and Solution steams into product direction.
* Define and maintain the product roadmap for the MEDIAN platform, balancing customer needs with strategic objectives.
* Write clear product requirements and user stories that inform the work of platform andsolutions engineers.
* Collaborate with the Data Platform and Solutions teams to understand technical constraintsand feasibility.
* Advocate for customer needs internally, while managing expectations and communicating product vision.
* Monitor market trends, competitive data platforms, and emerging technologies relevant to the space.
* Measure product success through KPIs, adoption metrics, and customer satisfaction.
* Present product vision and roadmap to leadership, customers, and internal stakeholders.
* Manage the product lifecycle, including feature prioritization, release planning, and post\-launch evaluation.
Minimum Qualifications
* 3\+ years of product management, product strategy, or technical program management experience.
* Strong understanding of data platforms, data pipelines, and analytics use cases (hands\-onexperience preferred).
* Excellent communication and stakeholder management skills.
* Experience conducting user research and translating feedback into product requirements.
* Ability to work in a fast\-paced, ambiguous environment with limited resources.
* Proficiency with data concepts (SQL, ETL, data modeling, cloud platforms).
* Demonstrated ability to prioritize and manage competing interests across teams.
Preferred Qualifications
* Background as a data engineer, data analyst, or solutions engineer before moving into product management.
* Experience with modern data platforms (Databricks, Snowflake, BigQuery, etc.).
* Experience working in regulated industries or with complex compliance requirements.
* Familiarity with the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development and product development methodologies.</t>
        </is>
      </c>
    </row>
    <row r="63">
      <c r="A63" t="inlineStr">
        <is>
          <t>in-2064f2ab91fbd841</t>
        </is>
      </c>
      <c r="B63" t="inlineStr">
        <is>
          <t>Program Manager</t>
        </is>
      </c>
      <c r="C63" t="inlineStr">
        <is>
          <t>Modine Manufacturing Company</t>
        </is>
      </c>
      <c r="D63" t="inlineStr">
        <is>
          <t>indeed</t>
        </is>
      </c>
      <c r="E63" t="inlineStr"/>
      <c r="F63" t="inlineStr"/>
      <c r="G63" t="inlineStr">
        <is>
          <t>Grenada, MS, US</t>
        </is>
      </c>
      <c r="H63" s="2" t="n">
        <v>46054</v>
      </c>
      <c r="I63" t="inlineStr">
        <is>
          <t>For more than 100 years, Modine has solved the toughest thermal management challenges for mission\-critical applications. Our purpose of Engineering a Cleaner, Healthier World™ means we are always evolving our portfolio of technologies to provide the latest heating, cooling, and ventilation solutions. Through the hard work of more than 11,000 employees worldwide, our Climate Solutions and Performance Technologies segments advance our purpose with systems that improve air quality, reduce energy and water consumption, lower harmful emissions, enable cleaner running vehicles, and use environmentally friendly refrigerants. Modine is a global company headquartered in Racine, Wisconsin (U.S.), with operations in North America, South America, Europe, and Asia. For more information about Modine, visit modine.com.
**Position Description**
------------------------
Responsible for managing medium\-to\-large programs that involve multiple projects and stakeholders. They ensure alignment with business goals and coordinate across workstreams to deliver outcomes on time and within budget.
**Key Responsibilities**
------------------------
* Develop and manage program plans, schedules, and budgets.
* Coordinate project teams and ensure alignment across workstreams.
* Monitor program performance and report progress.
* Manage risks, issues, and change requests.
* Support stakeholder engagement and communication.
**Required Education \&amp; Qualifications**
----------------------------------------
* Bachelor’s degree in Business, Engineering, or related field and/or equivalent experience.
* 5\+ years of project/program management experience.
* Strong organizational and communication skills.
* Experience with project management tools and methodologies.
* PMP certification preferred.
 **Why Choose Modine?**
 **Health \&amp; Well\-being:**
* Day One
* + Competitive health, dental \&amp; vision insurance coverage
	+ Employee Assistance Program
* After 90 days of continuous employment
* + Maternity Leave (12 weeks at 100% pay)
	+ - 8 weeks of short term disability leave paid at 100%
		- 4 weeks of paid parental leave paid at 100%
	+ Paternity Leave (4 weeks at 100% pay)
 **Financial Benefits:**
* 401k Retirement plan and company paid match
* Life Insurance
* Health Savings Account (HSA) with employer contribution
* Flexible Spending Accounts (FSA)
* Short Term Disability (company paid)
* Long Term Disability
 **Work\-Life Balance:**
* Competitive time\-off policies
* Tuition Reimbursement
Modine is an equal opportunity employer. All qualified applicants will receive consideration for employment without regard to race, color, religion, sex, sexual orientation, gender identity, national origin, disability, veteran status, or any other characteristic protected by law.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
\#LI\-AC1
\#LI\-Onsite</t>
        </is>
      </c>
    </row>
    <row r="64">
      <c r="A64" t="inlineStr">
        <is>
          <t>in-8d25af739c63b301</t>
        </is>
      </c>
      <c r="B64" t="inlineStr">
        <is>
          <t>PRODUCT MANAGER</t>
        </is>
      </c>
      <c r="C64" t="inlineStr">
        <is>
          <t>Globus Medical</t>
        </is>
      </c>
      <c r="D64" t="inlineStr">
        <is>
          <t>indeed</t>
        </is>
      </c>
      <c r="E64" t="inlineStr"/>
      <c r="F64" t="inlineStr"/>
      <c r="G64" t="inlineStr">
        <is>
          <t>Audubon, PA, US</t>
        </is>
      </c>
      <c r="H64" s="2" t="n">
        <v>46054</v>
      </c>
      <c r="I64"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The Product Manager is responsible for designing, developing, and managing activities for a specific product or group of products from product definition and planning through production, release and end of life. This position is the central resource with design, process, manufacturing, test, quality and marketing as the product(s) move from production through distribution* Essential Functions:
* Collaborates with management to establish strategic plans and objectives
* Implements functional strategy and contributes to the development of organizational policies
* Develops sound mechanical, pre\-clinical, and clinical data of scientific merit on all technologies developed
* Performs and maintains a market analysis for each assigned product segment to identify new offerings and line extensions
* Creates and manages a project plan for each project in conjunction with the engineer
* Leads coordination and documentation of project team activities including: kick\- off meetings, design review meetings, verification/validation and cadaver lab utilization
* Develops marketing plans for each product introduction
* Forecasts and oversees inventory management for all projects
* Ensures timely and high\-quality documentation of DHFs, DMRs, and DHRs for each project according to the company’s quality policy and regulatory bodies
* Develops technique guides, product literature, brochures, sales binders, and other sales support collateral
* Partners with operations and purchasing to source products through company supply chain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 Bachelor’s Degree with 5 years of related experience; or Master’s Degree and 3 years of experience
* Excellent verbal and written communication skills
* Advanced project management skills
* Experience with new product introduction and lifecycle management
* Advanced critical thinking and problem\-solving skills
* Proficiency in using Microsoft Office products
* Ability to travel up to 20% of the time
*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 oriented and decisive. We overcome obstacles that arise in our quest to deliver solutions that will improve the lives of our customers and patients.  
Physical Demands:  
The physical demands listed here are representative of those that must be met by and employee to successfully perform the essential functions of this job.
*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65">
      <c r="A65" t="inlineStr">
        <is>
          <t>in-e614d87c363a4d2a</t>
        </is>
      </c>
      <c r="B65" t="inlineStr">
        <is>
          <t>Associate Product Manager</t>
        </is>
      </c>
      <c r="C65" t="inlineStr">
        <is>
          <t>Globus Medical</t>
        </is>
      </c>
      <c r="D65" t="inlineStr">
        <is>
          <t>indeed</t>
        </is>
      </c>
      <c r="E65" t="inlineStr"/>
      <c r="F65" t="inlineStr"/>
      <c r="G65" t="inlineStr">
        <is>
          <t>Audubon, PA, US</t>
        </is>
      </c>
      <c r="H65" s="2" t="n">
        <v>46054</v>
      </c>
      <c r="I65"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The Associate Product Manager is responsible for designing, developing, and managing activities for a specific product or group of products from product definition and planning through production, release and end of life. This position is the central resource with design, process, manufacturing, test, quality and marketing as the product(s) move from production through distribution* Essential Functions:
* Collaborates with management to establish strategic plans and objectives
* Implements functional strategy and contributes to the development of organizational policies
* Develops sound mechanical, pre\-clinical, and clinical data of scientific merit on all technologies developed
* Performs and maintains a market analysis for each assigned product segment to identify new offerings and line extensions
* Creates and manages a project plan for each project in conjunction with the engineer
* Leads coordination and documentation of project team activities including kick\- off meetings, design review meetings, verification/validation and cadaver lab utilization
* Develops marketing plans for each product introduction
* Forecasts and oversees inventory management for all projects
* Ensures timely and high\-quality documentation of DHFs, DMRs, and DHRs for each project according to the company’s quality policy and regulatory bodies
* Develops technique guides, product literature, brochures, sales binders, and other sales support collateral
* Partners with operations and purchasing to source products through company supply chain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 Bachelor’s Degree with 0\-2 of related experience
* Excellent verbal and written communication skills
* Advanced project management skills
* Experience with new product introduction and lifecycle management
* Advanced critical thinking and problem\-solving skills
* Proficiency in using Microsoft Office products
* Ability to travel up to 20% of the time
*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 oriented and decisive. We overcome obstacles that arise in our quest to deliver solutions that will improve the lives of our customers and patients.  
Physical Demands:  
The physical demands listed here are representative of those that must be met by and employee to successfully perform the essential functions of this job.
*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66">
      <c r="A66" t="inlineStr">
        <is>
          <t>in-829133d72f4946e9</t>
        </is>
      </c>
      <c r="B66" t="inlineStr">
        <is>
          <t>Product Manager II</t>
        </is>
      </c>
      <c r="C66" t="inlineStr">
        <is>
          <t>Kraken</t>
        </is>
      </c>
      <c r="D66" t="inlineStr">
        <is>
          <t>indeed</t>
        </is>
      </c>
      <c r="E66" t="inlineStr"/>
      <c r="F66" t="inlineStr"/>
      <c r="G66" t="inlineStr">
        <is>
          <t>US</t>
        </is>
      </c>
      <c r="H66" s="2" t="n">
        <v>46054</v>
      </c>
      <c r="I66" t="inlineStr">
        <is>
          <t>Location
United States
Employment Type
Full time
Location Type
Remote
Department
Product
Compensation
$96K – $192K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The compensation range provided is influenced by various factors and represents the initial target range. Our salary offerings are dynamic and we strive to ensure that our base salary and total compensation package aligns and recognizes the top talent we aim to attract and retain. The compensation package of the successful candidate is based on various factors such as their skillset, experience, and job scope.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Given our rapid growth, we are looking for a proactive Product Manager to join Kraken’s Financial Systems product group. You’ll play a critical role in shaping and scaling the systems that underpin Kraken’s accounting, treasury, and financial operations, while acting as a strong bridge between engineering, finance, treasury, and the broader product organisation.
Your product area has not previously operated within a fully established product structure. As such, there is a unique opportunity to shape and define how product management operates across Kraken’s core financial systems, setting clear ownership, vision, and ways of working.
You’ll be working closely with the teams that own Kraken’s accounting, treasury, and financial control platforms, as well as partnering with product owners across the organisation whose products and services interact with Finance and Treasury. These systems are foundational to the business, supporting accurate financial reporting, liquidity management, regulatory requirements, and day\-to\-day operational decision\-making across crypto\-native products, tokenized equities, and traditional financial instruments. You will report into the Senior Product Manager of this domain, operating at the intersection of highly technical systems, complex financial workflows, and cross\-product dependencies.
The opportunity
Be the product manager for Kraken’s Financial Systems, covering accounting, treasury, and related financial platforms.
Work closely with your engineering squads to establish a strong product culture and clear ownership within a historically project\-driven domain.
Partner deeply with Finance, Treasury, Accounting, Risk, and Compliance stakeholders to understand their needs and translate them into scalable, reliable system capabilities.
Collaborate with product owners across the organisation whose teams integrate with or depend on financial and treasury systems, ensuring alignment, clear interfaces, and shared priorities.
Collaborate closely with developers to ensure complex financial and technical challenges are solved in ways that ensure accuracy, auditability, scalability, and resilience.
Drive the development process end\-to\-end, ensuring products are delivered on time and meet Kraken’s quality, reliability, and control standards.
Participate in strengthening the overall product group through close collaboration with your globally distributed team of fellow product managers.
Skills you should HODL
Prior experience in product management or technical product management.
Experience working on complex internal systems, platforms, or enterprise software, ideally within financial services or trading environments.
Deep understanding of financial instruments and markets, including crypto assets, tokenized equities, derivatives, securities, and their associated lifecycle events.
Strong knowledge of payment processes and methods, including fiat and crypto rails, settlement, clearing, and reconciliation concepts.
A background that enables you to engage confidently in discussions around system design, integrations, data models, and trade\-offs impacting reliability and performance.
Ability to bridge highly technical system design with financial, accounting, and treasury requirements.
Nice to haves
Experience with accounting systems, treasury management systems, or financial data platforms.
Familiarity with financial controls, audits, or regulatory reporting requirements across multiple jurisdictions.
Experience coordinating across multiple product teams with shared platform dependencies.
Experience integrating systems across trading, payments, custody, or securities platforms.
Experience working in a fast\-paced start\-up or scale\-up environment.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67">
      <c r="A67" t="inlineStr">
        <is>
          <t>in-f46d8bbbd884c4af</t>
        </is>
      </c>
      <c r="B67" t="inlineStr">
        <is>
          <t>Sr. Screening Program Manager</t>
        </is>
      </c>
      <c r="C67" t="inlineStr">
        <is>
          <t>Kraken</t>
        </is>
      </c>
      <c r="D67" t="inlineStr">
        <is>
          <t>indeed</t>
        </is>
      </c>
      <c r="E67" t="inlineStr"/>
      <c r="F67" t="inlineStr"/>
      <c r="G67" t="inlineStr">
        <is>
          <t>US</t>
        </is>
      </c>
      <c r="H67" s="2" t="n">
        <v>46054</v>
      </c>
      <c r="I67" t="inlineStr">
        <is>
          <t>Location
United States
Employment Type
Full time
Location Type
Remote
Department
Compliance
Compliance
Compensation
$110\.4K – $220\.8K
This is the target annual salary range for this role. This range is not inclusive of other additional compensation elements, such as our Bonus program, Equity program, Wellness allowance, and other benefits \[US Only] (including medical, dental, vision and 401(k)).
The compensation range provided is influenced by various factors and represents the initial target range. Our salary offerings are dynamic and we strive to ensure that our base salary and total compensation package aligns and recognizes the top talent we aim to attract and retain. The compensation package of the successful candidate is based on various factors such as their skillset, experience, and job scope.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fully remote role reports to the Kraken’s Chief Sanctions Officer (CSO). As the Sanctions Screening Program Manager, you will play a critical role within Kraken’s Global Sanctions Compliance function and report to senior sanctions leadership. This role is responsible for the design, execution, and continuous enhancement of Kraken’s sanctions screening program, including name screening, transaction screening, geo\-controls, evasion detection, and related technical controls across Kraken and its global subsidiaries. This is an individual contributor role, but requires extensive leadership experience as communications, documentation, partnership, and strategy are key to success, as well as time management.
You will lead sanctions screening strategy, controls, program optimization, and regulatory readiness while partnering closely with Compliance Technology, Engineering, Product, Legal, and Operations. This role requires deep expertise in global sanctions regulations, screening technologies, data\-driven risk management, and the ability to operate effectively in a fast\-paced, highly regulated, and evolving crypto environment.
This is a hands\-on role requiring strong ownership, strategic thinking, and the ability to both lead initiatives and execute independently.
The opportunity
Own and manage Kraken’s global sanctions screening program, including name screening, transaction monitoring, geo\-blocking, sanctions evasion detection, and related technical controls; maintain and enhance screening frameworks to meet global regulatory expectations while supporting scalability and efficiency.
Design and execute screening strategy to support regulatory compliance, business growth, product launches, and global expansion.
Partner with Compliance, Risk, and Engineering to lead and execute tuning efforts for sanctions screening tooling and related controls; partner with Engineering to develop, prioritize, and execute the sanctions screening roadmap, including vendor management and system/control enhancements.
Participate in annual and ad\-hoc enterprise, product, and sanctions risk assessments with a focus on screening\-related risks; identify emerging sanctions risks, control gaps, and data quality issues, perform root cause analyses, and recommend corrective actions.
Collaborate with Product, Engineering, Legal, Client Engagement, and Finance to embed sanctions screening requirements into new and existing products; assist Sanctions peers in the completion of Product Risk Assessments, specific to sanctions controls and risk mitigants.
Lead business requirements documentation (BRDs) for sanctions screening initiatives and effectively translate compliance needs to technical teams.
Support regulatory exams, audits, testing, and inquiries related to sanctions screening controls and systems; provide sanctions screening advisory and guidance to leadership, regional compliance partners, and cross\-functional stakeholders.
Drive process improvements, documentation quality, and program maturity across all sanctions screening verticals.
Skills you should HODL
5\+ years of experience in sanctions compliance, with a strong focus on screening systems and controls (or equivalent experience as a data scientist); knowledgeable on string search algorithms, compliance data, and/or controls.
Knowledge of global sanctions regimes (OFAC, EU, UK, UN, and other jurisdictions) and expert knowledge of sanctions screening technologies and controls, including name screening, transaction screening, IP/geo controls, evasion detection, and blockchain analytics.
Proven experience owning or managing sanctions screening programs (or similar) for a global organization.
Demonstrated ability to author detailed business requirements and partner effectively with engineering and technology teams; strong analytical skills, including experience with SQL, Python, or similar tools for ad\-hoc analysis and investigations.
Experience supporting regulatory exams, audits, and enforcement\-related inquiries.
Excellent written and verbal communication skills, with the ability to communicate horizontally and vertically; strong organizational skills with the ability to manage multiple priorities in a fast\-paced environment.
High degree of integrity, discretion, and ability to handle confidential information; comfortable navigating ambiguity, context switching, and evolving regulatory expectations.
Bachelor’s degree or equivalent practical experience.
Nice to haves
Experience reviewing sanctions enforcement actions and translating regulatory expectations into short\- and long\-term controls; experience monitoring regulatory sanctions updates and driving screening enhancements.
Experience managing sanctions screening vendors and platforms.
Working knowledge of blockchain technology and cryptocurrency ecosystems.
Background in statistics, data science, or quantitative risk analysis.
Experience supporting global operations across multiple jurisdictions
\#LI\-Remote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68">
      <c r="A68" t="inlineStr">
        <is>
          <t>in-a3b9bd43c8eeec7f</t>
        </is>
      </c>
      <c r="B68" t="inlineStr">
        <is>
          <t>Digital Product Manager</t>
        </is>
      </c>
      <c r="C68" t="inlineStr">
        <is>
          <t>MillerKnoll</t>
        </is>
      </c>
      <c r="D68" t="inlineStr">
        <is>
          <t>indeed</t>
        </is>
      </c>
      <c r="E68" t="inlineStr"/>
      <c r="F68" t="inlineStr"/>
      <c r="G68" t="inlineStr">
        <is>
          <t>Zeeland, MI, US</t>
        </is>
      </c>
      <c r="H68" s="2" t="n">
        <v>46054</v>
      </c>
      <c r="I68"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GENERAL PURPOSE
The MillerKnoll Technology team is building a customer\-centric, digitally enabled business model to reshape the way our family of brands does business. We’re creating frictionless customer experiences through digital solutions across our platforms, and we need a Digital Product Manager focused on Product Information Management (PIM) to help enable our B2B and Dealer channels.
As the Digital Product Manager for the B2B/Dealer channel within our enterprise PIM platform, you will own the channel roadmap and backlog, partnering closely with business leaders and delivery teams to capture needs, lead discovery, translate needs into clear requirements, and drive those requirements through delivery, rollout, and adoption. We are looking for a strategic, highly collaborative product leader with a strong understanding of the B2B ecosystem and dealer network, as well as product data, master data concepts, and system integrations. You will work with architecture, engineering, and data governance partners to ensure solutions are scalable across the enterprise while delivering measurable improvements for dealer users—such as faster item setup, higher data quality, and more reliable downstream integrations.
ESSENTIAL FUNCTIONS* Identifies 1st through final degree customer needs. Acts as the champion of the customer needs.
* Collaborates with product and engineering teams on both internal and external bugs and feature improvements.
* Defines product features and requirements. Prioritizes based on enterprise goals, technology and customer goals and needs.
* Uses influence and negotiation skills to create and advance a user first roadmap.
* Ensures that all necessary user acceptance, performance, and postproduction testing is conducted and documented according to MillerKnoll testing guidelines.
* Fosters a culture of customer\-centered design throughout the organization.
* Identifies opportunities and trends from the digital marketplace, analyzing relevant vendors and keeping an eye toward our competitive landscape.
* Manages vendor and stakeholder relationships, including RFP, contract negotiations, spend tracking, and external roadmap / upgrade notifcations.
* Researches and maintains knowledge of emerging technologies and how they may optimize current business practices.
* Utilizes analytics and customer research to measure product effectiveness and to direct future product development.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in IT or Business, or a related field, or an equivalent combination of education and experience.
* 3\-5 years of experience in product or delivery management, preferably within digital.
Skills and Abilities* A passion for and understanding of digital products and marketplaces.
* Strong analytical skills with a deep understanding of product data.
* Experience in requirements analysis and definition.
* A deep understanding of the contemporary digital ecosystem.
* Excellent written and verbal communication skills with the ability to influence decision making and creative concepts.
* A history of delivering consistent results with a high attention to detail.
* The ability to use automation, communication, software, and tools in the Herman Miller office environment.
* The ability to perform all essential job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69">
      <c r="A69" t="inlineStr">
        <is>
          <t>in-63f34b09e9307e5d</t>
        </is>
      </c>
      <c r="B69" t="inlineStr">
        <is>
          <t>Planning Program Manager</t>
        </is>
      </c>
      <c r="C69" t="inlineStr">
        <is>
          <t>Anduril</t>
        </is>
      </c>
      <c r="D69" t="inlineStr">
        <is>
          <t>indeed</t>
        </is>
      </c>
      <c r="E69" t="inlineStr"/>
      <c r="F69" t="inlineStr"/>
      <c r="G69" t="inlineStr">
        <is>
          <t>Costa Mesa, CA, US</t>
        </is>
      </c>
      <c r="H69" s="2" t="n">
        <v>46054</v>
      </c>
      <c r="I6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 are seeking a Planning Manager to drive the systems, processes, and cross\-functional initiatives that power Anduril’s supply planning and operational readiness. This role will be at the center of our efforts to scale planning, material readiness, and hardware fulfillment in alignment with rapidly evolving product and deployment needs. As a Planning Project Manager, you will work across Supply Chain, Product, Engineering, Finance, and Deployment Ops to ensure we can plan and deliver the right hardware, at the right time, with minimal friction and maximum scalability. You’ll bring clarity to complex planning problems, lead high\-impact projects from conception to execution, and build the planning foundation needed to support Anduril’s next phase of growth. This is a high\-impact, high\-autonomy role ideal for someone who thrives at the intersection of systems thinking, operational execution, and stakeholder alignment.
#### **WHAT YOU’LL DO**
**Lead Cross\-Functional Planning Projects**
* Drive planning work streams from kickoff to execution, aligning stakeholders across supply chain, product, and engineering to ensure timely delivery of planning goals
* Chart project trajectories, run operational cadences, identify and resolve blockers, while executing with urgency and precision
**Design \&amp; Optimize Planning Processes**
* Identify and implement scalable processes for demand, supply, and material planning
* Collaborate cross\-functionally to bridge upstream business capabilities with downstream outcomes
* Develop and document standard operating procedures and planning tools and aggressively pursue adoption
**Partner with Systems \&amp; Analytics Teams**
* Translate planning challenges into system requirements and partner with Business Analytics to implement ERP and planning tool enhancements
* Support the development of dashboards and reporting tools that provide visibility into material availability, constraints, and fulfillment risks
**Enable Strategic Decision\-Making**
* Leverage data to analyze supply\-demand imbalances, identify planning gaps, and proactively communicate trade\-offs and recommendations to stakeholders
* Jump freely in and out of operational value chains including S\&amp;OP, NPI planning, and long\-range forecasting to understand and drive alignment across business functions
**Drive Continuous Improvement**
* Monitor planning KPIs and drive initiatives to relentlessly reduce waste, improve accuracy, and increase on\-time delivery rates.
* Proactively identify issues and work to implement fixes
#### **REQUIRED QUALIFICATIONS**
* 6\+ years’ experience in inventory forecasting, supply planning, or inventory management in a hardware/manufacturing environment.
* Track record of improving inventory forecast accuracy and enforcing business\-wide accountability.
* Strong data analysis skills; able to identify and fix systemic issues impacting inventory forecast reliability.
* Deep familiarity with ERP and planning systems (SAP, NetSuite, Oracle, or similar).
* High ownership, strong cross\-functional leadership, and ability to build process rigor in fast\-scaling environments.
* Bachelor’s degree in Supply Chain, Logistics, Business, Engineering, or related field.
* Eligible to obtain and maintain a U.S. Secret security clearance.
**US Salary Range**
$146,000 \- $194,000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0">
      <c r="A70" t="inlineStr">
        <is>
          <t>in-5a811e15c98398a5</t>
        </is>
      </c>
      <c r="B70" t="inlineStr">
        <is>
          <t>Product Manager Property and Casualty</t>
        </is>
      </c>
      <c r="C70" t="inlineStr">
        <is>
          <t>DXC Technology</t>
        </is>
      </c>
      <c r="D70" t="inlineStr">
        <is>
          <t>indeed</t>
        </is>
      </c>
      <c r="E70" t="inlineStr"/>
      <c r="F70" t="inlineStr"/>
      <c r="G70" t="inlineStr">
        <is>
          <t>Fort Mill, SC, US</t>
        </is>
      </c>
      <c r="H70" s="2" t="n">
        <v>46054</v>
      </c>
      <c r="I70" t="inlineStr">
        <is>
          <t>**Job Description:**
DXC Technology is a leading global provider of information technology services and solutions, delivering innovative business solutions to customers in over 70 countries. Our Insurance Software and Business Process Services (BPS) division is dedicated to revolutionizing the insurance industry through cutting\-edge technology and strategic business process management.
**Job Description:**
As the Product Manager for Property \&amp; Casualty you will own roadmap execution, and cross‑functional alignment across DXC’s P\&amp;C portfolio—including Assure Policy, Billing and Claims components and modernization. This role blends product leadership, domain expertise, and strong execution in a fast‑moving SAFe® Agile environment. You will champion Product Management best practices to deliver solutions that drive measurable value for P\&amp;C carriers.
**Key Responsibilities:**
*Product Leadership:*
* Serve as the Product Manager for the P\&amp;C Suite, owning the end\-to\-end release lifecycle.
* Strategize and manage the product roadmap, collaborating with Offering Managers, Product Leaders, and Delivery teams.
* Oversee the entire product lifecycle from inception to delivery, ensuring alignment with customer needs and business goals.
* Champion the adoption of Product Management best practices to optimize product performance and innovation.
*Team \&amp; Stakeholder Management:*
* Lead a multidisciplinary team of developers, architects, and business analysts.
* Act as a liaison between account teams, project teams, and customers, ensuring seamless communication and delivery.
* Ensure effective cross\-functional team management to drive project success and stakeholder satisfaction.
*Execution \&amp; Delivery:*
* Drive release planning, execution, and monitoring, ensuring compliance with SAFe® Agile practices.
* Ensure timely delivery of the product roadmap and alignment with strategic business objectives.
*Insurance \&amp; Data Expertise:*
* Bring deep experience in the Insurance industry, especially P\&amp;C industry with a focus on understanding all aspects including modernization of underwriting, regulatory compliance and claims.
* Guide requirements and product direction such as rating, claims automation, process orchestration and insights/reporting.
*Required Qualifications:*
* 4\+ years of relevant experience in software engineering and product management.
* Proven experience in Insurance, data migration, and Agile delivery.
* Strong understanding of insurance.
* Excellent communication, negotiation, and leadership skills.
* Comfortable working in ambiguous, fast\-paced environments.
*Nice to Have:*
* Experience in DXC existing technologies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**If you are an applicant from the United States, Guam, or Puerto Rico**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
We participate in E\-Verify. In addition to the posters already identified, DXC provides access to prospective employees for the **Federal Minimum Wage Poster, Federal Polygraph Protection Act Poster as well as any state or locality specific applicant posters** .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t>
        </is>
      </c>
    </row>
    <row r="71">
      <c r="A71" t="inlineStr">
        <is>
          <t>in-495148ec4fbf7595</t>
        </is>
      </c>
      <c r="B71" t="inlineStr">
        <is>
          <t>Senior Product Manager</t>
        </is>
      </c>
      <c r="C71" t="inlineStr">
        <is>
          <t>Mobilunity</t>
        </is>
      </c>
      <c r="D71" t="inlineStr">
        <is>
          <t>indeed</t>
        </is>
      </c>
      <c r="E71" t="inlineStr"/>
      <c r="F71" t="inlineStr"/>
      <c r="G71" t="inlineStr">
        <is>
          <t>US</t>
        </is>
      </c>
      <c r="H71" s="2" t="n">
        <v>46054</v>
      </c>
      <c r="I71" t="inlineStr">
        <is>
          <t>We are seeking a hands\-on, remote, Senior Client Product Manager that will be primarily responsible for driving the delivery of web applications and other technology implementations for our clients. You will work with our development team, Customer Success Managers and clients to drive implementations and live site maintenance.
Our Client specializes in developing innovative digital solutions for businesses, focusing on modular e\-commerce, web performance optimization, and AI\-driven retail technologies. They create flexible, API\-first architectures that enhance scalability and user experience. Their expertise includes AI\-powered recommendations, conversational commerce, and tailored digital experiences across various industries. With a customer\-centric approach, they integrate artificial intelligence to drive efficiency and growth.
Essential functions:
* You love managing and leading a fast paced agile development process in close collaboration with a diverse engineering and design team
* You enjoy working closely with external partners and clients to lead and deliver projects that modernize and transform their website to achieve business objectives
* You are organized and proficient with managing a large or complex project in a fast moving, dynamic environment including managing project scope, schedules, and budgets
* You work with an Engineering team to decompose product scope, gather estimates, and build delivery plans and proposals
* You are a big picture thinker and also detail oriented to be able to manage both the overall project delivery plans and product requirements
* You do whatever it takes to make your product and team successful, whether that means writing a QA plan or hunting down the root cause of a client’s frustration or issue
* You are technical enough to challenge engineers to identify solutions to technical problems and facilitate technical discussions
* You have a strong desire to continuously improve the product development process
Qualifications:
* 5\+ years of experience in Agile Software development as a Project, Product or Program Manager of large (10\+ people) or complex projects
* Strong knowledge and experience in software delivery, methodologies, and associated tools: Agile, Scrum, Kanban, Jira
* Experience in all phases of software development including product discovery, software delivery, testing, launch, and post\-launch life cycles
* Client\-facing digital product delivery experience which includes requirements gathering, creating and managing a backlog of priorities, and user story writing
* Experience gathering business and functional requirements with involved teams (including external partners) then managing prioritization throughout the process in iterative software development environments
* Experience working with technical resources to estimate scope and creating accurate project timelines and resource estimates for project planning
* A passion to deliver on\-time and the personality to overcome any obstacle, associated to the ability to work individually or as part of a team
* Strong problem solving skills
Come on board, and let’s grow together!</t>
        </is>
      </c>
    </row>
    <row r="72">
      <c r="A72" t="inlineStr">
        <is>
          <t>in-d8e2d7fc670d2a1e</t>
        </is>
      </c>
      <c r="B72" t="inlineStr">
        <is>
          <t>Program Manager (SOCOM/CENTCOM Experience)</t>
        </is>
      </c>
      <c r="C72" t="inlineStr">
        <is>
          <t>Hoplite Group</t>
        </is>
      </c>
      <c r="D72" t="inlineStr">
        <is>
          <t>indeed</t>
        </is>
      </c>
      <c r="E72" t="inlineStr"/>
      <c r="F72" t="inlineStr"/>
      <c r="G72" t="inlineStr">
        <is>
          <t>Remote, US</t>
        </is>
      </c>
      <c r="H72" s="2" t="n">
        <v>46054</v>
      </c>
      <c r="I72" t="inlineStr">
        <is>
          <t>**Opportunity (Full\-Time): Program Manager (SOCOM/CENTCOM Experience)**  
**Bottom Line Up Front:** Hoplite Group is seeking a Program Manager to support Department of War (DoW) programs aligned with U.S. Special Operations Command and/or U.S. Central Command in Tampa. This role supports day\-to\-day program execution, coordination, and reporting across distributed stakeholders, ensuring contractual compliance and timely delivery of program objectives. The ideal candidate has prior experience with contract support to SOCOM and/or CENTCOM as site lead, or junior program manager. Expectation is to increase responsibility to senior program manager within 18 months.  
**Location:** Preferably in Tampa area (\+/\- 1 hour commute), able to work from home, but ability to commute to MacDill AFB and/or office as required.
**Level of Effort:** Full\-Time  
**Responsibilities*** Support planning, coordination, and execution of multiple concurrent program activities in support of DoW operational and security cooperation efforts, principally in Tampa but also able to support programs elsewhere in CONUS.
* Assist in managing the full program lifecycle, including task initiation, scheduling, execution tracking, deliverable submission, and closeout activities. Serve as a day\-to\-day coordination point between government stakeholders, prime and/or subcontractors, and internal Hoplite Group teams.
* Track program performance, milestones, and risks; escalate issues as required to senior program leadership. Coordinate with finance and contracts personnel to support cost tracking, invoice review, and vendor portal submissions. Maintain accurate program documentation, schedules, and trackers using Microsoft Office tools and program management software.
* Produce concise weekly or monthly status reports, dashboards, and briefing materials for internal leadership and government customers.
* Support recruiting and staffing efforts by coordinating candidate submissions, onboarding timelines, and labor tracking.
* Ensure program execution aligns with contractual requirements, federal regulations, and internal quality standards.
**Required Qualifications*** Minimum 3\-5 years of experience as site lead, program or project management that focus on any of the following fields intelligence, information operations, strategy/planning, special activities, current operations/joint operations center support.
* Demonstrated experience supporting federal contracts within complex, multi\-stakeholder environments.
* Working knowledge of federal contracting fundamentals, including FAR\-based execution, reporting requirements, and compliance considerations.
* Experience tracking schedules, deliverables, labor hours, and financial data across multiple workstreams.
* Proficiency with Microsoft Office (Excel, Word, PowerPoint); familiarity with MS Project or similar tools preferred.
* Strong written and verbal communication skills, with the ability to brief both technical and non\-technical stakeholders.
* Ability to operate independently while supporting senior program leadership.
* Active DoW Secret security clearance, with eligibility for Top Secret (Note: Active Top Secret clearance desired/preferred).
23MmGFs1N5</t>
        </is>
      </c>
    </row>
    <row r="73">
      <c r="A73" t="inlineStr">
        <is>
          <t>in-5a89288007a1fb45</t>
        </is>
      </c>
      <c r="B73" t="inlineStr">
        <is>
          <t>Program Manager</t>
        </is>
      </c>
      <c r="C73" t="inlineStr">
        <is>
          <t>TriMas Corporation</t>
        </is>
      </c>
      <c r="D73" t="inlineStr">
        <is>
          <t>indeed</t>
        </is>
      </c>
      <c r="E73" t="inlineStr"/>
      <c r="F73" t="inlineStr"/>
      <c r="G73" t="inlineStr">
        <is>
          <t>Simi Valley, CA, US</t>
        </is>
      </c>
      <c r="H73" s="2" t="n">
        <v>46054</v>
      </c>
      <c r="I73" t="inlineStr">
        <is>
          <t>**Program Manager**
Company: RSA Engineered Products LLC
Primary Location: 110 West Cochran Street, Unit A, Simi Valley, CA, 93065, USA
Workplace Type: On\-site
Employment Type: Salaried \| Full\-Time
Function: Quality
Equal Opportunity Employer Minorities/Women/Veterans/Disabled
**Main Duties \&amp; Responsibilities**
 **Company:**  
RSA provides flight\-critical components and assemblies for the commercial, defense and business jet markets. RSA designs and produces custom\-engineered high pressure/high\-temperature ducting assemblies for each customer’s specific performance requirements. RSA’s Peri\-SealTM is one of the most sought after connectors in the aerospace industry. Additionally, RSA designs and produces flexible joints and hoses, ozone converters and many complex assemblies to meet stringent customer needs.  
**Job Summary:**  
Plan, direct, control, and manage the activities involved with the negotiation, preparation, and execution of a contract or program between the company and customer to ensure that fulfillment of all contractual
and program requirements are met. Will be responsible for the financial success for projects and programs.
**Principal Duties \&amp; Responsibilities:**  
Working across our teams to ensure alignment of schedules and activities.
Foster regular review meetings to ensure team and schedule alignment.
Lead efforts for transition to manufacturing.
Supplier engagements to ensure smooth interface between our development teams.
Overall responsibility to meet the customer program milestones on time and adhering to the deliverables outlined within the product development process.
Accountable for program team and is responsible for their execution of the program deliverables.
Assist factory team to research and resolve customer problems.
Facilitate communication between management team and customers.
Conform to company safety policies and procedures.  
Work in a team environment.
This role is required to be on\-site 5 days at the Simi Valley, CA location.
**Qualifications**
 **Minimum Education \&amp; Experience:**  
Bachelors or Masters in Business, Engineering or related field or can demonstrate exceptional talent, experience and results in lieu of a degree.
5 \-10 years’ experience in related field with 2\-5 years’ experience in project or program management  
Project management certification a plus.
Must have ability to perform with ambiguous and incomplete information in a fast\-paced environment.  
Analytical problem solving, critical thinking, and being hands on are a must.  
**Other Skills:**  
Analytical problem solving, critical thinking, and being hands on are a must.  
Microsoft Office \&amp; Project
**Compensation**
In compliance with all states and cities requiring transparency of pay, the expected pay range for this position is $90,000 \- $110,000\.
Compensation can vary depending on several factors, including a candidate's qualifications, skills, experience, competencies, and geographic location. Some roles may qualify for extra incentives like equity, commissions, or other variable performance\-related bonuses. Further details will be provided by our recruiting team during the interview process.
**Benefits**
Benefit offerings include Medical Insurance and Prescription Drugs, Dental Insurance, Vision Insurance, Flexible Spending Accounts, Life Insurance, Short\-Term Disability, Long\-Term Disability Insurance (for eligible employees), Employee Assistance Plan (EAP), Paid Time Off (may include vacation and sick time), Retirement Program, and Other Voluntary Benefits.
Click here for more information: **www.trimasbenefits.com**</t>
        </is>
      </c>
    </row>
    <row r="74">
      <c r="A74" t="inlineStr">
        <is>
          <t>in-1cdc2556f1df5d7e</t>
        </is>
      </c>
      <c r="B74" t="inlineStr">
        <is>
          <t>Program Manager</t>
        </is>
      </c>
      <c r="C74" t="inlineStr">
        <is>
          <t>ACT1 Federal</t>
        </is>
      </c>
      <c r="D74" t="inlineStr">
        <is>
          <t>indeed</t>
        </is>
      </c>
      <c r="E74" t="inlineStr"/>
      <c r="F74" t="inlineStr"/>
      <c r="G74" t="inlineStr">
        <is>
          <t>San Diego, CA, US</t>
        </is>
      </c>
      <c r="H74" s="2" t="n">
        <v>46054</v>
      </c>
      <c r="I74" t="inlineStr">
        <is>
          <t>**Description**
---------------
**Position Title: Program Manager (MANA3\)**
**Location: San Diego, CA**
**Category: Contingent**
**Schedule (FT/PT): FT**
**Travel Required: NA**
**Shift: Day**
**Remote Type: On\-site**
**Clearance required: Active Secret or above**
**Division: Aviation**
**Who is ACT1 Federal?** ACT1 Federal LLC is a 100% employee\-owned company. We’ve served the Department of Defense (DoD) for nearly thirty years. Our core missions include weapon systems engineering, logistics, space domain expertise, global defense and security, business and financial management for security assistance and major defense articles, as well as military training and arctic security. Join us!
**\*\*\*THIS POSITION IS CONTINGENT UPON CONTRACT AWARD\*\*\***
**Description**: ACT1 Federal is currently seeking an experience Program Manager to provide program management support for the Department of the Navy (DON) Naval Information Warfare Systems Command (NAVWAR) Headquarter (HQ), Comptroller Directorate.
**Responsibilities:**
Responsible for the overall planning, direction and success of the program, systems development efforts, and research or technology initiatives which have great significance to the activities and agency’s needs. Experience managing mid\-to\-large, multi\-year efforts divided into several sub\-programs/tasks. Responsible for the overall program definition, organization, and direction of short\- and long\-range plans to include formulating, guiding, and directing the technical approach; and defining and negotiating with activity and agency personnel for necessary resources, establishment and control of technical milestones, schedules, budgets and costs are also essential tasks.
**Requirements**
----------------
* Bachelor’s degree in accounting, finance, economics or business administration is required.
* 7\+ years of professional experience managing financial management programs. Experience managing mid\-to\-large financial management support programs in a DoD/Navy environment required.
* Experience with Navy ERP, Defense Travel Systems (DTS), Payroll support, Defense Finance and Accounting Services (DFAS), funds control analysis, budget execution validation (BEV), receipt \&amp; acceptance, Reimbursable Work Order (RWO) events, general accounting, cash account analysis, accounts payable analysis, General Ledger (GL), reconciliation support, asset management is required.
* **Active Secret or above clearance is required.**
Salary: $116,625\-$186,600 to align with education and experience.
**Benefits**
------------
* Medical/Dental/Vision Insurance
* ACT1 Employee Stock Ownership Plan (ESOP)
* Company Paid Life and AD\&amp;D Insurance
* Company Paid Short\-Term Disability
* Voluntary Long\-Term Disability
* Flexible Spending Accounts (FSA)
* Health Savings Account (HSA)
* 401K with employer match
* Paid Time Off
* Paid Holidays
* Parental Leave
* Military Leave
* Education, Training \&amp; Professional Development
* Voluntary Accidental Injury/Critical Illness/Hospital Care
* Voluntary Pet Insurance, Legal Resources, and Identity Protection
 **https://act1federal.com/careers/**
Our people\-first culture prioritizes the benefits of flexibility and collaboration, whether that happens in person or remotely.
* If this position is listed as remote or hybrid, you’ll periodically work from a ACT1 Federal or client site facility.
* If this position is listed as onsite, you’ll work with colleagues and clients in person, as needed for the specific role.
 All qualified applicants will receive consideration for employment without regard to disability, status as a protected veteran or any other status protected by applicable federal, state, local or international law.</t>
        </is>
      </c>
    </row>
    <row r="75">
      <c r="A75" t="inlineStr">
        <is>
          <t>in-73a31989b2b46a82</t>
        </is>
      </c>
      <c r="B75" t="inlineStr">
        <is>
          <t>Product Manager (HYBRID)</t>
        </is>
      </c>
      <c r="C75" t="inlineStr">
        <is>
          <t>Equitable</t>
        </is>
      </c>
      <c r="D75" t="inlineStr">
        <is>
          <t>indeed</t>
        </is>
      </c>
      <c r="E75" t="inlineStr"/>
      <c r="F75" t="inlineStr"/>
      <c r="G75" t="inlineStr">
        <is>
          <t>Charlotte, NC, US</t>
        </is>
      </c>
      <c r="H75" s="2" t="n">
        <v>46054</v>
      </c>
      <c r="I75" t="inlineStr">
        <is>
          <t>**Product Manager (HYBRID)**
 (26000022\)**Primary Location** **:** UNITED STATES\-NC\-Charlotte**Organization** **:** Equitable**Schedule** **:** Full\-time **About the Role**
At Equitable, we help clients secure their financial well\-being so they can pursue long and fulfilling lives \- a mission we’ve honed since 1859\.
Equitable is looking for a Product Manager for their Individual Annuity Product Solutions \&amp; Implementation Team. This position is on the Exceptions Processing team in direct involvement with the field and reports directly to the department’s Team Lead.
**What You’ll Be Doing**
* Manage the implementation of changes to annuity product forms, including eDox.
* Management and implementation of the processing of Retail product exception and the weekly Exceptions Committee Meeting, exclusive of large case Retail exceptions.
* Oversee the review and approval of Marketing Materials, Sales Ideas, and Presentations.
* Participate in the yearly Prospectus review process.
* Assist in Contract and Filed Forms reviews and analysis as needed.
* Responsible for working with the Senior Product Managers of Individual Retirement to:
	+ Support coordination of all aspects of implementation for prioritized initiatives including post\-implementation monitoring and evaluation. Typically, this will require working with other areas for specific implementation needs.
	+ Clear communication of status, milestones and deliverables across all projects.
This position offers a hybrid work schedule, with an on–site presence of 2–3 days per week combining flexibility with team collaboration.
The base salary range for this position is $75,000 \- $82,000\.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**What You Will Bring**
* Bachelor’s Degree in Business, Finance or related discipline
* 3 years\+ of relevant experience.
* Understanding of annuity products.
* Knowledge of Individual Retirement products in the inforce block.
* Established project management skills.
* Ability to lead cross\-functional teams.
* Excels at multi\-tasking and working in a team environment.
* Enjoys and is efficient at attention to detail in a fast\-paced, heavy volume environment.
**Skills**
**Business Acumen:** Knowledge of business concepts, tools, and processes that are needed for making sound decisions in the context of the company's business; ability to apply this knowledge appropriately to diverse situations.
**Document Management:** Knowledge of document management; ability to categorize, integrate, update, document and distribute business information in a secure, effective way.
**Effective Communications:** Understanding of effective communication concepts, tools and techniques; ability to effectively transmit, receive, and accurately interpret ideas, information, and needs through the application of appropriate communication behaviors.
**Managing Multiple Priorities:** Knowledge of effective self\-management practices; ability to manage multiple concurrent objectives, projects, groups, or activities, making effective judgments as to prioritizing and time allocation.
**Products and Services:** Knowledge of major products and services and product and service groups; ability to apply knowledge of product and service appropriately to diverse situations.
**Project Management:** Knowledge of effective project management strategies and tactics; ability to plan, organize, monitor, and control projects, ensuring efficient utilization of technical and administrative resources to achieve project objectives.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Click Careers at Equitable to learn more.
\*\*\*\*\*\*\*\*\*\*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t>
        </is>
      </c>
    </row>
    <row r="76">
      <c r="A76" t="inlineStr">
        <is>
          <t>in-681d25aa4c06991b</t>
        </is>
      </c>
      <c r="B76" t="inlineStr">
        <is>
          <t>Planning Program Manager</t>
        </is>
      </c>
      <c r="C76" t="inlineStr">
        <is>
          <t>Anduril</t>
        </is>
      </c>
      <c r="D76" t="inlineStr">
        <is>
          <t>indeed</t>
        </is>
      </c>
      <c r="E76" t="inlineStr"/>
      <c r="F76" t="inlineStr"/>
      <c r="G76" t="inlineStr">
        <is>
          <t>Costa Mesa, CA, US</t>
        </is>
      </c>
      <c r="H76" s="2" t="n">
        <v>46054</v>
      </c>
      <c r="I7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 are seeking a Planning Manager to drive the systems, processes, and cross\-functional initiatives that power Anduril's supply planning and operational readiness. This role will be at the center of our efforts to scale planning, material readiness, and hardware fulfillment in alignment with rapidly evolving product and deployment needs. As a Planning Project Manager, you will work across Supply Chain, Product, Engineering, Finance, and Deployment Ops to ensure we can plan and deliver the right hardware, at the right time, with minimal friction and maximum scalability. You'll bring clarity to complex planning problems, lead high\-impact projects from conception to execution, and build the planning foundation needed to support Anduril's next phase of growth. This is a high\-impact, high\-autonomy role ideal for someone who thrives at the intersection of systems thinking, operational execution, and stakeholder alignment.
#### **WHAT YOU'LL DO**
**Lead Cross\-Functional Planning Projects**
* Drive planning work streams from kickoff to execution, aligning stakeholders across supply chain, product, and engineering to ensure timely delivery of planning goals
* Chart project trajectories, run operational cadences, identify and resolve blockers, while executing with urgency and precision
**Design \&amp; Optimize Planning Processes**
* Identify and implement scalable processes for demand, supply, and material planning
* Collaborate cross\-functionally to bridge upstream business capabilities with downstream outcomes
* Develop and document standard operating procedures and planning tools and aggressively pursue adoption
**Partner with Systems \&amp; Analytics Teams**
* Translate planning challenges into system requirements and partner with Business Analytics to implement ERP and planning tool enhancements
* Support the development of dashboards and reporting tools that provide visibility into material availability, constraints, and fulfillment risks
**Enable Strategic Decision\-Making**
* Leverage data to analyze supply\-demand imbalances, identify planning gaps, and proactively communicate trade\-offs and recommendations to stakeholders
* Jump freely in and out of operational value chains including S\&amp;OP, NPI planning, and long\-range forecasting to understand and drive alignment across business functions
**Drive Continuous Improvement**
* Monitor planning KPIs and drive initiatives to relentlessly reduce waste, improve accuracy, and increase on\-time delivery rates.
* Proactively identify issues and work to implement fixes
#### **REQUIRED QUALIFICATIONS**
* 6\+ years' experience in inventory forecasting, supply planning, or inventory management in a hardware/manufacturing environment.
* Track record of improving inventory forecast accuracy and enforcing business\-wide accountability.
* Strong data analysis skills; able to identify and fix systemic issues impacting inventory forecast reliability.
* Deep familiarity with ERP and planning systems (SAP, NetSuite, Oracle, or similar).
* High ownership, strong cross\-functional leadership, and ability to build process rigor in fast\-scaling environments.
* Bachelor's degree in Supply Chain, Logistics, Business, Engineering, or related field.
* Eligible to obtain and maintain a U.S. Secret security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7">
      <c r="A77" t="inlineStr">
        <is>
          <t>in-a1bb2e8e0c846330</t>
        </is>
      </c>
      <c r="B77" t="inlineStr">
        <is>
          <t>Program Manager</t>
        </is>
      </c>
      <c r="C77" t="inlineStr">
        <is>
          <t>CME Associates</t>
        </is>
      </c>
      <c r="D77" t="inlineStr">
        <is>
          <t>indeed</t>
        </is>
      </c>
      <c r="E77" t="inlineStr"/>
      <c r="F77" t="inlineStr"/>
      <c r="G77" t="inlineStr">
        <is>
          <t>East Brunswick, NJ, US</t>
        </is>
      </c>
      <c r="H77" s="2" t="n">
        <v>46054</v>
      </c>
      <c r="I77" t="inlineStr">
        <is>
          <t>### **Description**
**CME** Associates is currently recruiting for a **Program Manager** to join their team of professionals in our Municipal Engineering Department.
The **Program Manager** is responsible for overseeing multiple related projects within an organization and various clients to ensure they align with business objectives, are executed effectively, and deliver the expected value. The senior program manager will operate as a senior leader within the company supporting staff and project managers deliver high quality products for our clients. They will be responsible for running teams between 3 to 15\+ people varying on scope and owning the relationship for a client while engaging in business development activities that generate new revenue.### **Responsibilities**
* Ensure that all projects within the program are aligned with strategic priorities i.e. profitability, revenue growth, and resource management.
* Responsible for the development of project plans, timelines, and budgets for specific projects assigned to them with little to no supervision.
* Facilitate communication between team members, stakeholders, and clients to ensure everyone is aligned with project objectives and timelines.
* Monitor project portfolio to ensure objectives are being satisfied and provide timely advice to the Manager/Client on any anticipated delays affecting project commitments.
* Owns the progress of projects, ensuring that tasks are completed on time and within budget and is responsible for escalating when project metrics are at risk.
* Responsible for the relationships and health of good standing with clients.
* Works with senior leadership to develop and guide business development activities for achieving growth targets in assigned areas and clients.
* Assist in allocating resources effectively, ensuring that tasks are completed on time and within budget and communicating with leadership when required for additional resources.
* Review of Site Plan and Subdivision applicants submitted to Municipal Land Use Boards and attend Municipal Planning Board, Zoning Board of Adjustment, and Council Meetings, when required by management or client.
* Coordinate client needs and internal resources and teams to effectively uphold high quality delivery of projects to our clients.
* Apply technical skills required to manage the project and client expectations, and to support the staff (e.g. storm water, hydraulics, grading, land use planning, structural analysis, survey, base mapping, etc.)
* Consider health, safety and environmental requirements when developing civil designs.
* Monitor and track project portfolio’s expenses to ensure that the project stays within the allocated budget.
* Ensure that project milestones and deliverables are achieved on schedule and within scope/budget.
* Regularly communicate project status, issues, risks, and changes to stakeholders and senior management.
* Act as the primary point of contact for clients, ensuring their needs are met and concerns addressed promptly.
* Lead, motivate, and mentor project teams, ensuring collaboration and high performance.
* Oversee or manage staff to ensure quality control checks to ensure deliverables meet project specifications and client expectations.
* Serve as the main point of contact for stakeholders, providing regular updates and addressing concerns.
* Engage in CME activities as a senior leader, going above and beyond to ensure the future success of junior staff are set up for success.
### **Qualifications**
* Bachelor’s degree in engineering, Environmental Science, Surveying, Construction Management, or related disciplines.
* Professional Engineer (PE) or equivalent professional license required.
* 10\+ years of experience in design, construction, or equivalent experience.
* 10\+ years of experience managing and assisting in project management or client management.
* Certified Municipal Engineer (CME), preferred
**Preferred Qualifications:*** Advanced proficiency in scheduling, resource allocation, and progress tracking.
* Proficiency in creating advanced Gantt charts, reporting dashboards, and resource management.
* Organizing workflows and visualizing project tasks, particularly for smaller or less complex projects.
* Knowledge of cost estimation techniques and software.
* Entry level understanding KPIs (Key Performance Indicators) for tracking project progress.
* Basic knowledge of AutoCAD or MicroStation if for managing design aspects of engineering projects.
* Familiarity with software for managing quality audits and compliance.
* Proficiency with Microsoft Teams for team communication and updates.
* Experience with SharePoint Adobe or similar platforms to manage project documents, blueprints, and specifications.
* Basic knowledge of contract law and understanding of contract management tools for reviewing and preparing contracts and monitoring deliverables.
* Knowledge of safety regulations as OSHA.
* Ability to create proposals, technical reports, specifications, and other project documentation in an organized and professional manner.
### **Benefits**
CME offers a competitive compensation package including: medical, prescription, dental and vision coverage, 401(k) retirement plan with employer match, educational assistance program and paid time off.### **About CME Associates**
CME Associates is a multi\-disciplined consulting engineering firm dedicated to providing a high quality of professional services in a cost\-effective and timely manner. We endeavor to develop and maintain long\-term, responsive, and personal business relationships with our clients and to address their needs in a positive and successful manner. Through our commitment to the principles of integrity and quality, we utilize practical and innovative problem\-solving techniques to ensure that our clients' problems are resolved cost\-effectively through technically sound, scientifically\-based methods in an environmentally conscious and responsive manner.  
Three professionals with over sixty years of collective experience established CME Associates in 1983\. In 1997 CME Associates acquired the staff of Berson Ackermann Associates, another respected civil engineering and surveying firm with substantial experience. In 2002, CME Associates acquired Icon Engineering, an environmental engineering firm specializing in Brownfield Redevelopment. In 2007, CME Associates acquired EGS Associates, Inc., a firm specializing in providing geotechnical services. Currently, CME Associates provides a complete range of Environmental, Geotechnical, Engineering, Surveying, and Planning services and has represented both the public and private sectors on a wide range of projects and, specifically, projects relating to the environment, including water and wastewater treatment facilities and pipelines; wastewater and potable water master plans; water resources and treatment, storage and conveyance facilities; surface and groundwater monitoring; landfills; recycling facilities implementation plans; environmental impact statements; highway and roadway construction; large residential and commercial development projects, and major capital construction projects.  
The qualifications and experience of its personnel are CME Associates' greatest assets. The firm has made a conscious effort to attract, develop and retain the highest quality professionals chosen for their demonstrated capabilities, field experience, energy, commitment to excellence and ability to accept increasing levels of responsibility. Our staff includes civil engineers, site engineers, environmental scientists, planners, hydraulic engineers, surveyors, geologists, geotechnical engineers, hydrogeologists, wetlands technicians, GIS specialists, landscape architects, and office and field support staff experienced in all disciplines necessary to successfully complete our client's projects.  
CME is also a leader in Geographic Information System (GIS) Services. By utilizing the latest in GIS technology we assure our clients a state\-of\-the\-art effective and efficient solution to their needs. We use various software solutions to complete a quality program. CME encourages our clients to integrate the expertise of their own personnel into the GIS effort creating a successful long\-term solution for information needs.  
CME Associates presently has eight (8\) offices in New Jersey (Parlin, Howell, Monmouth Junction, Pleasantville, Camden, Barnegat, Medford and Cape May Court House).  
### **Our hiring process**
**Stage 1:** Applied  
**Stage 2:** Initial Screening  
**Stage 3:** 1st Interview  
**Stage 4:** Offer  
**Stage 5:** Hired</t>
        </is>
      </c>
    </row>
    <row r="78">
      <c r="A78" t="inlineStr">
        <is>
          <t>in-67068dc23f6664b1</t>
        </is>
      </c>
      <c r="B78" t="inlineStr">
        <is>
          <t>Program Manager</t>
        </is>
      </c>
      <c r="C78" t="inlineStr">
        <is>
          <t>CME Associates</t>
        </is>
      </c>
      <c r="D78" t="inlineStr">
        <is>
          <t>indeed</t>
        </is>
      </c>
      <c r="E78" t="inlineStr"/>
      <c r="F78" t="inlineStr"/>
      <c r="G78" t="inlineStr">
        <is>
          <t>Cape May, NJ, US</t>
        </is>
      </c>
      <c r="H78" s="2" t="n">
        <v>46054</v>
      </c>
      <c r="I78" t="inlineStr">
        <is>
          <t>### **Description**
**CME** Associates is currently recruiting for a **Program Manager** to join their team of professionals in our Municipal Engineering Department.
The **Program Manager** is responsible for overseeing multiple related projects within an organization and various clients to ensure they align with business objectives, are executed effectively, and deliver the expected value. The senior program manager will operate as a senior leader within the company supporting staff and project managers deliver high quality products for our clients. They will be responsible for running teams between 3 to 15\+ people varying on scope and owning the relationship for a client while engaging in business development activities that generate new revenue.### **Responsibilities**
* Ensure that all projects within the program are aligned with strategic priorities i.e. profitability, revenue growth, and resource management.
* Responsible for the development of project plans, timelines, and budgets for specific projects assigned to them with little to no supervision.
* Facilitate communication between team members, stakeholders, and clients to ensure everyone is aligned with project objectives and timelines.
* Monitor project portfolio to ensure objectives are being satisfied and provide timely advice to the Manager/Client on any anticipated delays affecting project commitments.
* Owns the progress of projects, ensuring that tasks are completed on time and within budget and is responsible for escalating when project metrics are at risk.
* Responsible for the relationships and health of good standing with clients.
* Works with senior leadership to develop and guide business development activities for achieving growth targets in assigned areas and clients.
* Assist in allocating resources effectively, ensuring that tasks are completed on time and within budget and communicating with leadership when required for additional resources.
* Review of Site Plan and Subdivision applicants submitted to Municipal Land Use Boards and attend Municipal Planning Board, Zoning Board of Adjustment, and Council Meetings, when required by management or client.
* Coordinate client needs and internal resources and teams to effectively uphold high quality delivery of projects to our clients.
* Apply technical skills required to manage the project and client expectations, and to support the staff (e.g. storm water, hydraulics, grading, land use planning, structural analysis, survey, base mapping, etc.)
* Consider health, safety and environmental requirements when developing civil designs.
* Monitor and track project portfolio’s expenses to ensure that the project stays within the allocated budget.
* Ensure that project milestones and deliverables are achieved on schedule and within scope/budget.
* Regularly communicate project status, issues, risks, and changes to stakeholders and senior management.
* Act as the primary point of contact for clients, ensuring their needs are met and concerns addressed promptly.
* Lead, motivate, and mentor project teams, ensuring collaboration and high performance.
* Oversee or manage staff to ensure quality control checks to ensure deliverables meet project specifications and client expectations.
* Serve as the main point of contact for stakeholders, providing regular updates and addressing concerns.
* Engage in CME activities as a senior leader, going above and beyond to ensure the future success of junior staff are set up for success.
### **Qualifications**
* Bachelor’s degree in engineering, Environmental Science, Surveying, Construction Management, or related disciplines.
* Professional Engineer (PE) or equivalent professional license required.
* 10\+ years of experience in design, construction, or equivalent experience.
* 10\+ years of experience managing and assisting in project management or client management.
* Certified Municipal Engineer (CME), preferred
**Preferred Qualifications:*** Advanced proficiency in scheduling, resource allocation, and progress tracking.
* Proficiency in creating advanced Gantt charts, reporting dashboards, and resource management.
* Organizing workflows and visualizing project tasks, particularly for smaller or less complex projects.
* Knowledge of cost estimation techniques and software.
* Entry level understanding KPIs (Key Performance Indicators) for tracking project progress.
* Basic knowledge of AutoCAD or MicroStation if for managing design aspects of engineering projects.
* Familiarity with software for managing quality audits and compliance.
* Proficiency with Microsoft Teams for team communication and updates.
* Experience with SharePoint Adobe or similar platforms to manage project documents, blueprints, and specifications.
* Basic knowledge of contract law and understanding of contract management tools for reviewing and preparing contracts and monitoring deliverables.
* Knowledge of safety regulations as OSHA.
* Ability to create proposals, technical reports, specifications, and other project documentation in an organized and professional manner.
### **Benefits**
CME offers a competitive compensation package including: medical, prescription, dental and vision coverage, 401(k) retirement plan with employer match, educational assistance program and paid time off.### **About CME Associates**
CME Associates is a multi\-disciplined consulting engineering firm dedicated to providing a high quality of professional services in a cost\-effective and timely manner. We endeavor to develop and maintain long\-term, responsive, and personal business relationships with our clients and to address their needs in a positive and successful manner. Through our commitment to the principles of integrity and quality, we utilize practical and innovative problem\-solving techniques to ensure that our clients' problems are resolved cost\-effectively through technically sound, scientifically\-based methods in an environmentally conscious and responsive manner.  
Three professionals with over sixty years of collective experience established CME Associates in 1983\. In 1997 CME Associates acquired the staff of Berson Ackermann Associates, another respected civil engineering and surveying firm with substantial experience. In 2002, CME Associates acquired Icon Engineering, an environmental engineering firm specializing in Brownfield Redevelopment. In 2007, CME Associates acquired EGS Associates, Inc., a firm specializing in providing geotechnical services. Currently, CME Associates provides a complete range of Environmental, Geotechnical, Engineering, Surveying, and Planning services and has represented both the public and private sectors on a wide range of projects and, specifically, projects relating to the environment, including water and wastewater treatment facilities and pipelines; wastewater and potable water master plans; water resources and treatment, storage and conveyance facilities; surface and groundwater monitoring; landfills; recycling facilities implementation plans; environmental impact statements; highway and roadway construction; large residential and commercial development projects, and major capital construction projects.  
The qualifications and experience of its personnel are CME Associates' greatest assets. The firm has made a conscious effort to attract, develop and retain the highest quality professionals chosen for their demonstrated capabilities, field experience, energy, commitment to excellence and ability to accept increasing levels of responsibility. Our staff includes civil engineers, site engineers, environmental scientists, planners, hydraulic engineers, surveyors, geologists, geotechnical engineers, hydrogeologists, wetlands technicians, GIS specialists, landscape architects, and office and field support staff experienced in all disciplines necessary to successfully complete our client's projects.  
CME is also a leader in Geographic Information System (GIS) Services. By utilizing the latest in GIS technology we assure our clients a state\-of\-the\-art effective and efficient solution to their needs. We use various software solutions to complete a quality program. CME encourages our clients to integrate the expertise of their own personnel into the GIS effort creating a successful long\-term solution for information needs.  
CME Associates presently has eight (8\) offices in New Jersey (Parlin, Howell, Monmouth Junction, Pleasantville, Camden, Barnegat, Medford and Cape May Court House).  
### **Our hiring process**
**Stage 1:** Applied  
**Stage 2:** Initial Screening  
**Stage 3:** 1st Interview  
**Stage 4:** Offer  
**Stage 5:** Hired</t>
        </is>
      </c>
    </row>
    <row r="79">
      <c r="A79" t="inlineStr">
        <is>
          <t>in-a774d694a0830c4e</t>
        </is>
      </c>
      <c r="B79" t="inlineStr">
        <is>
          <t>Capital Improvement Program Manager</t>
        </is>
      </c>
      <c r="C79" t="inlineStr">
        <is>
          <t>City of West University Place, TX</t>
        </is>
      </c>
      <c r="D79" t="inlineStr">
        <is>
          <t>indeed</t>
        </is>
      </c>
      <c r="E79" t="inlineStr"/>
      <c r="F79" t="inlineStr"/>
      <c r="G79" t="inlineStr">
        <is>
          <t>Houston, TX, US</t>
        </is>
      </c>
      <c r="H79" s="2" t="n">
        <v>46054</v>
      </c>
      <c r="I79" t="inlineStr">
        <is>
          <t>**CLAS****S** **SUMMARY:**
Manages and oversees the development of the comprehensive Capital Improvement Program. Program components include, master plan updating and development, project development, and project cost estimating. These components will apply to traditional public works that include water and wastewater infrastructure, drainage systems (regional and local), sidewalks and roadway construction, etc. Position may also be responsible for grant programs related to capital projects, and other compliance with grant mandates. Position is funded from capital improvement proceeds and may not be extended beyond the funding allocated for capital improvements.
 **TYPICAL CLASS ESSENTIAL DUTIES****:** (These duties are a representative sample; position assignments may vary.)  
1\. Responsible for overseeing, monitoring, and managing the development all aspects of the City's Capital Improvement Program to include project scope and schedules; preparing budgets, estimates, and preliminary schedules; and reviewing costs for active City infrastructure projects  
2\. Manages project management staff to oversee the design, bid, construction and closeout phases for the Capital Improvement Program.
3\. Monitors project development with all involved department representatives, project managers, and liaisons to ensure projects remain on track in terms of budget and schedule to include quality assurance reviews on schedules (including major activities, durations, milestones, critical path, and dependencies)  
4\. Monitoring and reporting of project status for cost and schedule to identify potential variances, providing recommendations for possible corrective actions or efficiencies in timelines or budget; identifying and analyzing department performance trends and standard practices for the management of City infrastructure projects, preparing a variety of associated text and graphical cost and schedule reports;  
5\. Acts as primary liaison of the CIP project scoping process with the Public Works Director, Finance office, the office of the City Manager and other City stakeholders to develop future capital improvement projects and assist with existing capital improvements.  
6\. Oversees and continuously improves processing of contracts related to capital improvement projects including change orders, invoices, payments, and other related issues, including potential presentation to council as needed.  
7\. Develops agenda memos and other documents related to presentation to City Council, relevant boards and commissions, or the public at large.  
8\. Performs other duties as assigned **TRAINING AND EXPERIENCE****:**
Bachelor's of Science in Civil Engineering or a related field, with a minimum of five (5\) years of experience with municipal capital programs, or any combination of education and experience sufficient to perform the essential functions of the job.
Preferred Qualifications: Licensed Professional Engineer with the State of Texas or ability to obtain in two years.
 **LICENSING REQUIREMENTS****:**
Valid Texas driver's license.
Preferred: Certified Project Management Professional (PMP), Professional Engineer, State of Texas
 **KNOWLEDGE:**
* Lifecycle of infrastructure projects.
* Construction estimating techniques.
* Costs; contractor production rates. project design process flow; project construction process flow.
* Understanding of complex project control systems.
* project scheduling software including MS Project or other related project scheduling software.
 **SKILLS:**
* Program Development.
* Using computers and related software applications to generate visual dashboard reports of progress.
* Identification and resolution of conflicts with existing specifications and plans.
* Communication skills, both oral and written.
* Providing customer service.
* Mediating hostile situations.
* Performing mathematical calculations.
* Interpreting and applying applicable laws, codes, rules, and regulations.
* Verify and approve monthly invoices for payment.
 **PHYSICAL REQUIREMENTS****:**
Positions in this class typically require: climbing, balancing, stooping, kneeling, crouching, reaching, standing, walking, pushing, pulling, lifting, fingering, grasping, feeling, talking, hearing, seeing and repetitive motions.
Heavy Work: Exerting up to 50 pounds of force occasionally, and/or up to 20 pounds of force frequently, and/or up to 10 pounds of forces constantly to move objects.
Incumbents may be exposed to hazardous physical conditions, such as, mechanical parts, electrical currents, and vibrations; atmospheric conditions, such as fumes, odors, gases, and poor ventilation; hazardous materials, such as chemicals, blood, and other bodily fluids; extreme temperatures; inadequate lighting; work space\-related movement restrictions; intense noise; and other environmental conditions, such as, challenging behaviors, imminent danger, and threatening environments.</t>
        </is>
      </c>
    </row>
    <row r="80">
      <c r="A80" t="inlineStr">
        <is>
          <t>in-dcb96f6b0baa6dcd</t>
        </is>
      </c>
      <c r="B80" t="inlineStr">
        <is>
          <t>Senior Product Manager</t>
        </is>
      </c>
      <c r="C80" t="inlineStr">
        <is>
          <t>SimplyInsured</t>
        </is>
      </c>
      <c r="D80" t="inlineStr">
        <is>
          <t>indeed</t>
        </is>
      </c>
      <c r="E80" t="inlineStr"/>
      <c r="F80" t="inlineStr"/>
      <c r="G80" t="inlineStr">
        <is>
          <t>Remote, US</t>
        </is>
      </c>
      <c r="H80" s="2" t="n">
        <v>46054</v>
      </c>
      <c r="I80" t="inlineStr">
        <is>
          <t>**At SimplyInsured we are on a mission to eliminate fear in health insurance.**
Health insurance is complicated, expensive, and really important \- so it tends to create fear for most people; our goal is to reduce that fear as much as possible.
We specifically work with small business owners who have the enormous task of purchasing the right type of insurance for their employees and their families. With more than 20,000 customers and several major partnerships, including NetSuite, Toast, and Square, we're growing quickly and disrupting this convoluted and confusing industry by making it more transparent and fully accessible to everyone. We got our start in the Y\-Combinator incubator, and have been funded by top\-tier investors at Polaris Partners, Bessemer Venture Partners, New York Life Ventures and AltaIR Capital.
**Job Summary:**
The Senior Product Manager will report directly to the CEO and work closely with our product, engineering, and operations teams to establish the direction for the future of our platform, helping us serve small businesses with their insurance needs through new integrated partnerships and new product development.
**What you'll do:**
* Serve as a strategic Product leader for the launch of new integrated partnerships and new product development.
* You'll be responsible for gathering, structuring, and prioritizing product requirements from internal and external stakeholders
* Execute the roadmap across our technology stack to deliver industry\-leading service at scale
* Develop strong cross\-functional relationships to connect the product, the value proposition, and the audience
* Synthesize and summarize competitive intel, industry data, and market feedback into actionable insights for internal teams
* Bring ideas on best approaches to making our products more effective in new and innovative ways
* Partner with the engineer teams to bring the product vision to life with prototypes and mocks
**What you'll bring:**
* 7\+ years of product management experience with senior\-level responsibilities and roadmap ownership
* Experience working in early\-stage startups (Fintech, SaaS, Healthtech, Insurtech)
* 0\-1 product development experience
* Hands\-on experience with consumer\-facing products for SaaS and/or marketplace products
* Experience developing creative solutions to complex problems
* Creative and analytical thinking
* Proactive problem solver
**What we offer:**
* Generous stock option packages
* Competitive compensation package with an annual discretionary bonus
* "Take what you need" time off plan
* 100% Company paid Medical, Dental, and Vision Insurance options for employees and family members
* 401k plan
* A values\-based culture that invests in employee success
* Remote first environment
**Compensation:**
The base salary range for this position is $150,000\-175,000\.
We have a market\-based compensation structure. The salary for this position may vary based on a candidate's experience, industry expertise, technical skills, and location. The range provided is just one component of total compensation including, but not limited to bonus eligibility based upon the achievement of performance objectives and company stock options.
**Our Culture:**
We value radical transparency, feedback, bias to action, growth, and an obligation to dissent. Every opinion is respected, we hold each other to extremely high standards, we're driven by the diversity in our backgrounds, and unified by 100% alignment on our mission.
Research shows that candidates from underrepresented backgrounds often don't apply for roles if they don't meet all the criteria. We strongly encourage you to apply if you're interested; we'd love to learn how you can amplify our team with your unique experience!
*We are an equal opportunity employer and value diversity at our company. We do not discriminate on the basis of race, religion, color, national origin, gender, sexual orientation, age, marital status, veteran status, or disability status.*
*\#LI\-Remote*</t>
        </is>
      </c>
    </row>
    <row r="81">
      <c r="A81" t="inlineStr">
        <is>
          <t>in-94859d53c21dad95</t>
        </is>
      </c>
      <c r="B81" t="inlineStr">
        <is>
          <t>Senior Product Manager (Remote)</t>
        </is>
      </c>
      <c r="C81" t="inlineStr">
        <is>
          <t>Experian</t>
        </is>
      </c>
      <c r="D81" t="inlineStr">
        <is>
          <t>indeed</t>
        </is>
      </c>
      <c r="E81" t="inlineStr"/>
      <c r="F81" t="inlineStr"/>
      <c r="G81" t="inlineStr">
        <is>
          <t>US</t>
        </is>
      </c>
      <c r="H81" s="2" t="n">
        <v>46054</v>
      </c>
      <c r="I81" t="inlineStr">
        <is>
          <t>Experian Software Solutions (ESS) primary objective is dedicated to capitalizing on Experian's unparalleled data assets through an innovative, market\-leading portfolio of world\-class software focused on Analytics, Credit Marketing, Decisioning, and Fraud use cases.
We are seeking a collaborative Senior Product Manager to support the expansion of our Global Analytics product portfolio. You will play a critical part in enabling scalable, efficient model development and AI capabilities across initiatives. You will work with your peers and other cross\-functional teams across the globe to deliver impactful solutions that support data science workflows and enterprise\-wide innovation.
You will report to the Product Management Senior Director.
**You'll have the opportunity to:**
* Define and execute long\-term product roadmap, aligning with global strategy, for model development tools which include Global Ascend Sandbox, Feature Factory, Experian Assistant, and product management support for Analytical Services.
* Collaborate with global technology and regional product teams to build and launch Analytics capabilities.
* Articulate near and long\-term strategy and roadmap to senior internal and external stakeholders with the ability to show the bigger picture.
* Gather input from internal stakeholders and end users to define clear, actionable product requirements for development teams that support scalable model development and analytics enablement.
* Collaborate with our regions to identify and operationalize key customer value pools, product areas, and geographic regions that offer the greatest potential for impact.
* Act as a liaison between technical and non\-technical teams, ensuring transparency, alignment, and updates on progress, risks, and dependencies.
* Analyze established key metrics to determine the overall health of the product, mitigate external and internal risks, and utilize insights to bring changes to product roadmaps.
* Streamline product processes to enhance efficiency, reduce time\-to\-market, and ensure high\-quality standards.
* Help improve product development processes, documentation standards, and team collaboration practices to drive efficiency and quality.
About Experian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Experience and Skills  
**Your background:**
* 7\+ years of Product Management experience, including at least 2 years in a Senior Product Manager role, preferably in data, analytics, or platform\-focused environments working through end\-to\-end product lifecycle.
* Bachelor's degree in computer science, Engineering, Data Science, or a related field.
* Strong understanding of model development workflows and data science tools.
* Experience launching successful products, working with globally distributed teams and managing cross\-time zone collaboration.
* Experience in Agile delivery/development methodologies.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
\#LI\-Remote
This is a remote position.</t>
        </is>
      </c>
    </row>
    <row r="82">
      <c r="A82" t="inlineStr">
        <is>
          <t>in-5a1647ed679e00dd</t>
        </is>
      </c>
      <c r="B82" t="inlineStr">
        <is>
          <t>Program Manager for Shipboard Insulation</t>
        </is>
      </c>
      <c r="C82" t="inlineStr">
        <is>
          <t>Q.E.D. Systems, Inc.</t>
        </is>
      </c>
      <c r="D82" t="inlineStr">
        <is>
          <t>indeed</t>
        </is>
      </c>
      <c r="E82" t="inlineStr"/>
      <c r="F82" t="inlineStr"/>
      <c r="G82" t="inlineStr">
        <is>
          <t>Norfolk, VA, US</t>
        </is>
      </c>
      <c r="H82" s="2" t="n">
        <v>46051</v>
      </c>
      <c r="I82" t="inlineStr">
        <is>
          <t>**Job Description:**
QED Systems Inc., an experienced marine engineering, planning, and ship modernization firm, is seeking a Program Manager at our Norfolk, VA location.
**Duties/Responsibilities:**
* Lead and train new employees in shipboard insulation installation and repair
* Knowledge and ability to operate hand and power tools and industrial upholstery equipment
* Track production schedules and report progress
* Provide quality service by following organization standards
* Contribute to team effort by accomplishing related results as needs
**Job Requirements/skill sets:**
* Strong Leadership Skills
* Basic Computer Skills, to include MS Office Suite
* Dependability
* Teamwork
* Time Management
**Education Requirements:**
* High School Diploma, GED or equivalent
**Security Clearance/Naval Facility Access:** U.S. citizenship required. Must be able to meet and maintain eligibility for a Secret Clearance and/or be able to access military facilities, naval shipyards, and private shipyards.
**Q.E.D. offers competitive benefits such as:** Paid Leave, Medical, Dental, Vision, Short/Long Term Disability, 401(k) retirement plan, Basic Life Insurance, supplemental insurances, and Employee Assistance Program.
EOE, including disability/vets</t>
        </is>
      </c>
    </row>
    <row r="83">
      <c r="A83" t="inlineStr">
        <is>
          <t>in-46d741af9843452a</t>
        </is>
      </c>
      <c r="B83" t="inlineStr">
        <is>
          <t>Principal Digital Product Owner - 90403365 - Washington</t>
        </is>
      </c>
      <c r="C83" t="inlineStr">
        <is>
          <t>Amtrak</t>
        </is>
      </c>
      <c r="D83" t="inlineStr">
        <is>
          <t>indeed</t>
        </is>
      </c>
      <c r="E83" t="inlineStr"/>
      <c r="F83" t="inlineStr"/>
      <c r="G83" t="inlineStr">
        <is>
          <t>Washington, DC, US</t>
        </is>
      </c>
      <c r="H83" s="2" t="n">
        <v>46047</v>
      </c>
      <c r="I83"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As a Principal Digital Product Owner, you will play a crucial role in ensuring the successful delivery of multiple digital products, capabilities, and services, leveraging broad business and process knowledge at Amtrak. You will be a member of a cross\-functional team and serve as the primary voice of the customer to guide development teams in building data and software products with the highest business and customer impact.
You will work with product management and other stakeholders to develop multi\-product strategy and prioritize/manage medium\- to high\-complexity digital product backlog, incorporating feedback from business stakeholders and the team to guide continuous product improvement. This product owner role is focused on stream\-aligned data and analytics products supporting Amtrak’s operations, to provide business and technical stakeholders with trusted data and insights.
**Role is based in Washington, DC, Boston, Wilmington, Philadelphia, Chicago, New York, or Los Angeles. Requests for Remote work will be reviewed but not guaranteed. Candidates must be able to work Eastern Time Zone business hours.**
**Essential Functions**
-----------------------
* Act as the primary voice of the customer and point of contact across multiple products within a value stream representing significant business impact, managing the product backlog, ensuring that it reflects business priorities and drives value.
* Develop and communicate a clear product vision and strategy, ensuring alignment with business goals and customer needs. Navigate difficult conversations with influence and respect, gaining buy\-in for difficult decisions or changes.
* Lead cross\-functional collaboration with product management and stakeholders to define high\-value features and user experiences, ensuring delivery of scalable solutions with clear acceptance criteria that drive measurable outcomes across multiple teams or domains. You will focus on delivering impactful solutions within a value stream.
* Prioritize features and user stories based on business value, customer feedback, and technical feasibility, ensuring the team works on high\-priority items.
* Collaborate with stakeholders, customers, and development teams, to ensure everyone is aligned with the product vision.
* Create and maintain a product roadmap that outlines the strategic direction, key features, and timelines for product development.
* Define and track key metrics and outcomes to measure the success of the product and identify areas for improvement.
* Drive agile maturity and continuous improvement, both within a team and at an Agile Release Train or Team\-of\-Teams level.
**Minimum Qualifications**
--------------------------
* Bachelor’s Degree or equivalent combination of education, training and/or relevant experience. Plus 7 years of relevant work experience.
**Preferred Qualifications**
----------------------------
* Experience with Jira Software, Confluence, FigJam, Jira Align, and similar tools.
* Strong understanding of Product Management, User Experience Research, and Design Thinking methodologies.
* Experience defining Minimum Viable Product (MVP) approaches and pivot or persevere decisions.
* Transportation, rail operations, or customer service industry experience.
* Demonstrated success in defining and building products on product teams.
* Bachelor's Degree or equivalent combination of education, training and/or relevant experience. Plus 9 years of relevant work experience.
**Knowledge, Skills, and Abilities**
------------------------------------
* Broad knowledge of enterprise data and analytics, including experience with data platforms such as Databricks, visualization tools such as Power BI and Tableau, and self\-service analytics.
* Ability to prioritize and make data\-driven decisions.
* Strong problem\-solving and analytical skills.
* Strong leadership, communication, relationship building, and facilitation skills, with the ability to bridge the gap between business needs and technical delivery.
* Demonstrated success in defining and building products on product teams.
The salary/hourly range is $113,200 \- $146,664\.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ID:**165734  
**Work Arrangement:**06\-Onsite 4/5 Days Click here for more information about work arrangements at Amtrak.
**Relocation Offered:**No
**Travel Requirements:**Up to 25%
**Recruiter Name:**Joshua Popejoy
**Recruiter Email:** Joshua.Popejoy@amtrak.com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84">
      <c r="A84" t="inlineStr">
        <is>
          <t>in-4cd6b2f080f27c75</t>
        </is>
      </c>
      <c r="B84" t="inlineStr">
        <is>
          <t>Sr. Product Manager Technical, Deal Tooling &amp; Insights, Strategic Customer Engagements</t>
        </is>
      </c>
      <c r="C84" t="inlineStr">
        <is>
          <t>Amazon Web Services</t>
        </is>
      </c>
      <c r="D84" t="inlineStr">
        <is>
          <t>indeed</t>
        </is>
      </c>
      <c r="E84" t="inlineStr"/>
      <c r="F84" t="inlineStr"/>
      <c r="G84" t="inlineStr">
        <is>
          <t>Seattle, WA,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5">
      <c r="A85" t="inlineStr">
        <is>
          <t>in-68e37078d268a1c9</t>
        </is>
      </c>
      <c r="B85" t="inlineStr">
        <is>
          <t>Sr. Product Manager Technical, Deal Tooling &amp; Insights, Strategic Customer Engagements</t>
        </is>
      </c>
      <c r="C85" t="inlineStr">
        <is>
          <t>Amazon Web Services</t>
        </is>
      </c>
      <c r="D85" t="inlineStr">
        <is>
          <t>indeed</t>
        </is>
      </c>
      <c r="E85" t="inlineStr"/>
      <c r="F85" t="inlineStr"/>
      <c r="G85" t="inlineStr">
        <is>
          <t>Arlington, VA,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6">
      <c r="A86" t="inlineStr">
        <is>
          <t>in-9e90fb0801494b23</t>
        </is>
      </c>
      <c r="B86" t="inlineStr">
        <is>
          <t>Sr. Product Manager Technical, Deal Tooling &amp; Insights, Strategic Customer Engagements</t>
        </is>
      </c>
      <c r="C86" t="inlineStr">
        <is>
          <t>Amazon Web Services</t>
        </is>
      </c>
      <c r="D86" t="inlineStr">
        <is>
          <t>indeed</t>
        </is>
      </c>
      <c r="E86" t="inlineStr"/>
      <c r="F86" t="inlineStr"/>
      <c r="G86" t="inlineStr">
        <is>
          <t>Dallas, TX, US</t>
        </is>
      </c>
      <c r="H86" s="2"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7">
      <c r="A87" t="inlineStr">
        <is>
          <t>in-a88f4635f6b04fb3</t>
        </is>
      </c>
      <c r="B87" t="inlineStr">
        <is>
          <t>Sr. Product Manager Technical, Deal Tooling &amp; Insights, Strategic Customer Engagements</t>
        </is>
      </c>
      <c r="C87" t="inlineStr">
        <is>
          <t>Amazon Web Services</t>
        </is>
      </c>
      <c r="D87" t="inlineStr">
        <is>
          <t>indeed</t>
        </is>
      </c>
      <c r="E87" t="inlineStr"/>
      <c r="F87" t="inlineStr"/>
      <c r="G87" t="inlineStr">
        <is>
          <t>New York, NY, US</t>
        </is>
      </c>
      <c r="H87" s="2" t="n">
        <v>45994</v>
      </c>
      <c r="I8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8">
      <c r="A88" t="inlineStr">
        <is>
          <t>in-2d0560b86127f305</t>
        </is>
      </c>
      <c r="B88" t="inlineStr">
        <is>
          <t>Sr. Product Manager Technical, Deal Tooling &amp; Insights, Strategic Customer Engagements</t>
        </is>
      </c>
      <c r="C88" t="inlineStr">
        <is>
          <t>Amazon Web Services</t>
        </is>
      </c>
      <c r="D88" t="inlineStr">
        <is>
          <t>indeed</t>
        </is>
      </c>
      <c r="E88" t="inlineStr"/>
      <c r="F88" t="inlineStr"/>
      <c r="G88" t="inlineStr">
        <is>
          <t>Austin, TX, US</t>
        </is>
      </c>
      <c r="H88" s="2" t="n">
        <v>45994</v>
      </c>
      <c r="I8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9">
      <c r="A89" t="inlineStr">
        <is>
          <t>in-231c4a12fccf2217</t>
        </is>
      </c>
      <c r="B89" t="inlineStr">
        <is>
          <t>Sr. Product Manager Technical, Deal Tooling &amp; Insights, Strategic Customer Engagements</t>
        </is>
      </c>
      <c r="C89" t="inlineStr">
        <is>
          <t>Amazon Web Services</t>
        </is>
      </c>
      <c r="D89" t="inlineStr">
        <is>
          <t>indeed</t>
        </is>
      </c>
      <c r="E89" t="inlineStr"/>
      <c r="F89" t="inlineStr"/>
      <c r="G89" t="inlineStr">
        <is>
          <t>Herndon, VA, US</t>
        </is>
      </c>
      <c r="H89" s="2" t="n">
        <v>45994</v>
      </c>
      <c r="I8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0">
      <c r="A90" t="inlineStr">
        <is>
          <t>in-caf20508055cf206</t>
        </is>
      </c>
      <c r="B90" t="inlineStr">
        <is>
          <t>Sr. Product Manager - Tech, WHS Data-Tech</t>
        </is>
      </c>
      <c r="C90" t="inlineStr">
        <is>
          <t>Amazon.com</t>
        </is>
      </c>
      <c r="D90" t="inlineStr">
        <is>
          <t>indeed</t>
        </is>
      </c>
      <c r="E90" t="inlineStr"/>
      <c r="F90" t="inlineStr"/>
      <c r="G90" t="inlineStr">
        <is>
          <t>Nashville, TN, US</t>
        </is>
      </c>
      <c r="H90" s="2" t="n">
        <v>45836</v>
      </c>
      <c r="I9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91">
      <c r="A91" t="inlineStr">
        <is>
          <t>in-59179a529fefa9f7</t>
        </is>
      </c>
      <c r="B91" t="inlineStr">
        <is>
          <t>Sr. Product Manager - Tech, WHS Data-Tech</t>
        </is>
      </c>
      <c r="C91" t="inlineStr">
        <is>
          <t>Amazon.com</t>
        </is>
      </c>
      <c r="D91" t="inlineStr">
        <is>
          <t>indeed</t>
        </is>
      </c>
      <c r="E91" t="inlineStr"/>
      <c r="F91" t="inlineStr"/>
      <c r="G91" t="inlineStr">
        <is>
          <t>Bellevue, WA, US</t>
        </is>
      </c>
      <c r="H91" s="2" t="n">
        <v>45836</v>
      </c>
      <c r="I9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92">
      <c r="A92" t="inlineStr">
        <is>
          <t>in-d5fed94c6ac917c6</t>
        </is>
      </c>
      <c r="B92" t="inlineStr">
        <is>
          <t>Sr. Product Manager - Tech, WHS Data-Tech</t>
        </is>
      </c>
      <c r="C92" t="inlineStr">
        <is>
          <t>Amazon.com</t>
        </is>
      </c>
      <c r="D92" t="inlineStr">
        <is>
          <t>indeed</t>
        </is>
      </c>
      <c r="E92" t="inlineStr"/>
      <c r="F92" t="inlineStr"/>
      <c r="G92" t="inlineStr">
        <is>
          <t>Arlington, VA, US</t>
        </is>
      </c>
      <c r="H92" s="2" t="n">
        <v>45836</v>
      </c>
      <c r="I9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93">
      <c r="A93" t="inlineStr">
        <is>
          <t>in-38d16f6d2ecdb045</t>
        </is>
      </c>
      <c r="B93" t="inlineStr">
        <is>
          <t>Principal Product Manager - Tech, Recommender Systems, Prime Video Personalization &amp; Discovery</t>
        </is>
      </c>
      <c r="C93" t="inlineStr">
        <is>
          <t>Amazon.com</t>
        </is>
      </c>
      <c r="D93" t="inlineStr">
        <is>
          <t>indeed</t>
        </is>
      </c>
      <c r="E93" t="inlineStr"/>
      <c r="F93" t="inlineStr"/>
      <c r="G93" t="inlineStr">
        <is>
          <t>Washington, DC, US</t>
        </is>
      </c>
      <c r="H93" s="2" t="n">
        <v>45753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in-18bd93f55c9c809b</t>
        </is>
      </c>
      <c r="B94" t="inlineStr">
        <is>
          <t>Principal Product Manager - Tech, Recommender Systems, Prime Video Personalization &amp; Discovery</t>
        </is>
      </c>
      <c r="C94" t="inlineStr">
        <is>
          <t>Amazon.com</t>
        </is>
      </c>
      <c r="D94" t="inlineStr">
        <is>
          <t>indeed</t>
        </is>
      </c>
      <c r="E94" t="inlineStr"/>
      <c r="F94" t="inlineStr"/>
      <c r="G94" t="inlineStr">
        <is>
          <t>Seattle, WA, US</t>
        </is>
      </c>
      <c r="H94" s="2" t="n">
        <v>45753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in-c62efacc312d9542</t>
        </is>
      </c>
      <c r="B95" t="inlineStr">
        <is>
          <t>Program Manager</t>
        </is>
      </c>
      <c r="C95" t="inlineStr"/>
      <c r="D95" t="inlineStr">
        <is>
          <t>indeed</t>
        </is>
      </c>
      <c r="E95">
        <f>HYPERLINK("https://www.indeed.com/viewjob?jk=c62efacc312d9542", "https://www.indeed.com/viewjob?jk=c62efacc312d9542")</f>
        <v/>
      </c>
      <c r="F95">
        <f>HYPERLINK("http://www.indeed.com/job/program-manager-c62efacc312d9542", "http://www.indeed.com/job/program-manager-c62efacc312d9542")</f>
        <v/>
      </c>
      <c r="G95" t="inlineStr">
        <is>
          <t>Sandpoint, ID, US</t>
        </is>
      </c>
      <c r="H95" s="3" t="n">
        <v>46055</v>
      </c>
      <c r="I95" t="inlineStr">
        <is>
          <t>**Program Manager – IdaHope Families (Christian Ministry)**
IdaHope Families is a Christ\-centered nonprofit ministry serving children and families in crisis by mobilizing churches and volunteers across North Idaho. We are seeking a **Program Manager** who is passionate about our mission and committed to supporting faith\-based community partnerships.
This role works closely with the Director to implement program operations, recruit and support volunteers, coordinate training, strengthen church partnerships, and assist with outreach and reporting.
**Key Responsibilities**
* Recruit, onboard, and support volunteers (Host Homes, Mentors, Support Partners, Ambassadors)
* Develop partnerships with local churches in Boundary, Bonner, and Kootenai Counties
* Coordinate volunteer training and continued education requirements
* Maintain volunteer records, background checks, and database management
* Assist with outreach events, marketing/training materials, and monthly reporting
* Provide office support and front desk coverage as needed
**Faith\-Based Requirement**  
IdaHope Families is a Christian religious nonprofit organization. Consistent with our mission and religious purpose, this position requires an employee who sincerely supports and is able to affirm IdaHope Families’ Statement of Faith, upholds Christian values in both conduct and leadership, and carries out all job responsibilities in alignment with the organization’s faith\-based ministry objectives.
**Required Qualifications**
* Bachelor’s degree or equivalent relevant experience
* Experience in volunteer recruitment, training, and supervision
* Strong communication, organization, social media, and public speaking skills
* Proficiency in Microsoft Office and basic technology
* Valid driver’s license, reliable transportation, and ability to pass a background check
* Ability to work independently and manage time effectively
**Preferred Qualifications**
* Experience mobilizing volunteers through local faith communities
* Experience serving at\-risk children and families
**To Apply**
Submit your resume and a brief statement of interest to:  
director@idahopefamilies.org
**Equal Employment \&amp; Religious Organization Notice**
IdaHope Families is an equal opportunity employer and does not unlawfully discriminate on the basis of race, color, national origin, sex, age, disability, or any other status protected by applicable law.
As a Christian religious nonprofit organization, IdaHope Families is permitted under federal law (Title VII of the Civil Rights Act of 1964\) to give employment preference to individuals who share and support the organization’s faith\-based mission, religious beliefs, and Statement of Faith.
All employment is contingent upon successful completion of required background checks and applicable training.
Employment with IdaHope Families is at\-will and may be terminated at any time, with or without cause or notice, in accordance with applicable law.
Job Type: Part\-time
Pay: From $22\.00 per hour
Expected hours: 21 – 22 per week
Work Location: In person</t>
        </is>
      </c>
    </row>
    <row r="96">
      <c r="A96" t="inlineStr">
        <is>
          <t>in-024c6f61202c5a17</t>
        </is>
      </c>
      <c r="B96" t="inlineStr">
        <is>
          <t>Program Manager</t>
        </is>
      </c>
      <c r="C96" t="inlineStr">
        <is>
          <t>Hose-McCann Communications</t>
        </is>
      </c>
      <c r="D96" t="inlineStr">
        <is>
          <t>indeed</t>
        </is>
      </c>
      <c r="E96">
        <f>HYPERLINK("https://www.indeed.com/viewjob?jk=024c6f61202c5a17", "https://www.indeed.com/viewjob?jk=024c6f61202c5a17")</f>
        <v/>
      </c>
      <c r="F96">
        <f>HYPERLINK("http://www.indeed.com/job/program-manager-024c6f61202c5a17", "http://www.indeed.com/job/program-manager-024c6f61202c5a17")</f>
        <v/>
      </c>
      <c r="G96" t="inlineStr">
        <is>
          <t>Deerfield Beach, FL, US</t>
        </is>
      </c>
      <c r="H96" s="3" t="n">
        <v>46055</v>
      </c>
      <c r="I96" t="inlineStr">
        <is>
          <t>**PROGRAM MANAGER** 
**FUNCTIONS:** 
* Oversees the sales/engineering project portfolio regarding maritine industry.
* Works on multiple projects of moderate to large size using time efficiently to stay within budget and timely delivery.
* Ensures project engineering activities comply with contract requirements and support overall project schedule, scope and budget.
* Experience with government contracts, DOD, ITAR, DFAR experience helpful
* Prepares complete project documentation to include plans, specifications, and engineer estimates including the collection, assembling, and organizing of project data.
* Evaluates, selects, and adapts standard techniques, procedures, and criteria to project assignments; formulates and solves problems.
* Prepare and conduct meetings with internal teams to plan and track deliverables.
* Work cross\-functionally and influence various teams such as Engineering, Production, Sales, Project Management, Quality, Procurement and provide feedback to improve deployment efficiency.
* Interprets contract specifications and resolves conflicts with stakeholders on such matters as interpretation of specifications, and related matters.
* Participates in customer meetings, and resolves client, engineering and management project issues.
* Maintains list of project milestones and issues in\-progress.
* Assess and communicate project status, escalations on potential risks and delays across multiple teams.
* Solve for standard work gaps, identify lessons learned, and propose continuous improvement with a goal of driving global deployment scalability.
**ESSENTIAL QUALIFICATIONS**
* Bachelor’s in Electrical, Electronic, or Systems Engineering or related Engineering field.
* Experience with Marine Communications Systems (Telephone Systems, Public Address, Alarms, etc.) preferred.
* Proficiency using tools like AutoCAD, MS Visio, MS Outlook, MS Excel, and MS Word.
* PMP Certification preferred.
**REQUIRED KNOWLEDGE, ABILITY, AND SKILLS**
* Strong understanding of marine industry standards and regulations.
* Ability to work cooperatively and collaboratively with all levels of employees, management, and clients.
* Ability to organize work, set priorities, meet critical deadlines, and follow\-up on assignments with minimal supervision.
* Experience working in a manufacturing environment.
* Ability to maintain confidentiality and protect privileged client information and documents appropriately.
Submit resume and salary requirements for consideration.
Equal Opportunity Employer/Veterans/Disabled
All qualified applicants will receive consideration for employment without regard to race, color, religion, sex, sexual orientation, gender identity, national origin, or protected veteran status and will not be discriminated against based on disability.
Job Type: Full\-time
Pay: From $90,000\.00 per year
Benefits:
* 401(k) matching
* Dental insurance
* Health insurance
* Life insurance
* Paid time off
* Vision insurance
Work Location: In person</t>
        </is>
      </c>
    </row>
    <row r="97">
      <c r="A97" t="inlineStr">
        <is>
          <t>in-b3c89f064edaad1a</t>
        </is>
      </c>
      <c r="B97" t="inlineStr">
        <is>
          <t>Product Manager, Retail Applications</t>
        </is>
      </c>
      <c r="C97" t="inlineStr">
        <is>
          <t>Vuori</t>
        </is>
      </c>
      <c r="D97" t="inlineStr">
        <is>
          <t>indeed</t>
        </is>
      </c>
      <c r="E97">
        <f>HYPERLINK("https://www.indeed.com/viewjob?jk=b3c89f064edaad1a", "https://www.indeed.com/viewjob?jk=b3c89f064edaad1a")</f>
        <v/>
      </c>
      <c r="F97">
        <f>HYPERLINK("https://jobs.smartrecruiters.com/VuoriInc/744000106949255-product-manager-retail-applications", "https://jobs.smartrecruiters.com/VuoriInc/744000106949255-product-manager-retail-applications")</f>
        <v/>
      </c>
      <c r="G97" t="inlineStr">
        <is>
          <t>Carlsbad, CA, US</t>
        </is>
      </c>
      <c r="H97" s="3" t="n">
        <v>46055</v>
      </c>
      <c r="I97" t="inlineStr">
        <is>
          <t>**Company Description**  
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We are seeking a strategic and results driven Product Manager, Retail Applications to own the vision, strategy, and execution of technology capabilities that drive the best digital experience in our physical stores. This includes the management of store systems operations and enhancements for our existing retail stores, driving emerging retail opportunities such as RFID, Loyalty, Ship from Store, and Buy Online Pickup in stores. This role will build a strong partnership with Retail Operations and Brand teams, to act as the lead for Omni\-related projects. Responsibilities include leading cross\-functional partners to identify opportunities, value work, monitor and control product KPIs and health, communicate \&amp; coordinate with stakeholders, and drive iterative positive change for their product and the business it supports. The role will participate in maintaining and enhancing standard product lifecycle processes for the global POS solution and other retail technology.
The ideal candidate will be skilled at collaborating cross\-functionally to ensure omni\-initiatives are seamlessly integrated across all customer touchpoints, including eCommerce, retail, and mobile platforms. You will evaluate and adopt emerging technologies to optimize store inventory, improve the in\-store customer experience, and decrease friction points to increase store’s operational performance.
**What you'll get to do:**
*Strategy \&amp; Roadmap*
* Defining product vision and roadmap for omni\-channel retail. This includes both digital and physical within our retail stores.
* Align roadmap with retail performance KPIs: average order value, units per transaction, inventory accuracy, and operational overhead.
* Collaborate with digital product managers and engineering to design, build, and deploy new omni capabilities on eComm and in\-store.
*Platform Capabilities \&amp; Development*
* Lead evaluation, integration, and optimization of POS technology, store inventory management, RFID, and omni technology.
* Drive process improvements globally through increasing inventory accuracy and giving time back to our retail staff by reducing non\-sellable hours to provide incredible customer service.
*Execution \&amp; Delivery*
* Collaborate with engineering to deliver new retail capabilities (e.g., omnichannel loyalty, points accrual across POS/eCom, tiered loyalty models, referral engines), and RFID.
* Partner with data \&amp; analytics to instrument retention dashboards and measure incremental ROI for new retail features.
*Cross\-Functional Leadership*
* Work with Retails Ops, CRM, and Site Merch teams to design loyalty program benefits for our physical retail shoppers.
* Ensure seamless customer experience across eCommerce, retail, and mobile app touchpoints.
*Stakeholder Engagement \&amp; Influence*
* Partner closely with senior leaders in Retail Ops, Retail Field Leadership, Marketing, Analytics, and eComm to define retail technology needs, align priorities, and communicate results.
* Translate complex business questions into technical requirements for engineering.
* Act as a thought partner for all in\-store retail technical and operational problems.
*Innovation \&amp; Supporting New Store Openings*
* Manage the overall new store setup systemic process. Work closely with business and technology partners to ensure the systemic steps are planned and executed in a timely manner. Drive continuous improvement for the new store setup process.
* Create and maintain all product, project and portfolio documentation using Enterprise PMO standard tools, e.g. Jira, Workfront, Microsoft Project, and SharePoint, and ensure all documentation and project artifacts are kept current, complete, and saved in standardized folder locations.
**Qualifications** **Who you are:**
* Bachelor's degree in business, Marketing, Computer Science, or related field; MBA or equivalent a plus.
* Direct retail store experience a plus.
* 7\+ years in product management, with at least 3\+ years focused on retail, loyalty, inventory management, or lifecycle technologies in D2C.
* Domain Expertise: Strong understanding of retail KPIs, in\-store inventory management, RFID, clienteling, and emerging retail technology.
* Technical Acumen: Hands\-on experience with leading POS implementations (e.g., Shopify, Jumpmind, Oracle Xstore), RFID software platforms, loyalty platforms, and international retail requirements.
* Data\-Driven Mindset: Ability to partner with analytics and data science teams to define instrumentation, build dashboards, and share learnings with business partners.
* Cross\-Functional Leadership: Track record of collaborating with engineering, marketing, and operations to launch customer\-facing experiences at scale.
* Customer\-Centric Approach: Deep empathy for customer journeys, with proven ability to design seamless omnichannel experiences across eCommerce, retail, and mobile.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$155,000 per year \- $185,000 per year. This role is bonus eligible.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row>
    <row r="98">
      <c r="A98" t="inlineStr">
        <is>
          <t>in-fadd36d705637d48</t>
        </is>
      </c>
      <c r="B98" t="inlineStr">
        <is>
          <t>Sr. Product Manager, Marketing Technology (Streaming)</t>
        </is>
      </c>
      <c r="C98" t="inlineStr">
        <is>
          <t>Hallmark Media</t>
        </is>
      </c>
      <c r="D98" t="inlineStr">
        <is>
          <t>indeed</t>
        </is>
      </c>
      <c r="E98">
        <f>HYPERLINK("https://www.indeed.com/viewjob?jk=fadd36d705637d48", "https://www.indeed.com/viewjob?jk=fadd36d705637d48")</f>
        <v/>
      </c>
      <c r="F98">
        <f>HYPERLINK("https://recruiting2.ultipro.com/HAL1009HLLI/JobBoard/5db221f5-a32c-44eb-a611-3168ce087868/OpportunityDetail?opportunityId=73a25cf9-dc77-425a-b5b2-8aac62f29b4b&amp;postingId=3f5fd6fa-eac7-4334-929a-13362b7bcb99", "https://recruiting2.ultipro.com/HAL1009HLLI/JobBoard/5db221f5-a32c-44eb-a611-3168ce087868/OpportunityDetail?opportunityId=73a25cf9-dc77-425a-b5b2-8aac62f29b4b&amp;postingId=3f5fd6fa-eac7-4334-929a-13362b7bcb99")</f>
        <v/>
      </c>
      <c r="G98" t="inlineStr">
        <is>
          <t>New York, NY, US</t>
        </is>
      </c>
      <c r="H98" s="3" t="n">
        <v>46055</v>
      </c>
      <c r="I98" t="inlineStr">
        <is>
          <t>At Hallmark\+, we believe in the power of storytelling to create lasting connections. As a **Senior Product Manager – Marketing Technology (Streaming)** you will own and drive the roadmap and execution of marketing technology capabilities for Hallmark \+. **This product role is enablement\-oriented**, ensuring that solutions empower and enable business stakeholders and the business to meet their goals and deliver business value across Hallmark’s digital ecosystem.
##### ***The salary range for this job is between*** ***$110,100\-$149,800******. Salary rate will take into consideration several factors including location.***
**Role Overview**
This role supports the One Hallmark vision by streamlining marketing technology capabilities across businesses. You will lead roadmap planning, feature prioritization, and execution for MarTech solutions, while partnering on consumer data integrations that complement marketing efforts. Success requires strong execution skills, cross\-functional collaboration, and the ability to translate business needs into actionable product requirements. You will work closely with Privacy and Data Stewardship teams to ensure all solutions meet compliance standards.
**Key Responsibilities**
* **Roadmap Ownership \&amp; Execution**
* + Own and manage the MarTech product roadmap: prioritize initiatives, define requirements, and deliver features that enable advanced targeting, personalization, and automation.
	+ Drive execution of MarTech solutions in partnership with engineering, marketing, and analytics teams.
* **Marketing Attribution**
* + Own marketing mobile attribution tools such as **Kochava and AppsFlyer** ensuring accurate measurement and optimization of mobile campaigns.
	+ Enable e2e marketing channel owned attribution using tools such as Amplitude, Adobe Customer Journey Analytics.
	+ Work with H\+ SVOD Product team to align data needs for full\-funnel attribution.
* **Omni\-Channel Communications**
* + Enable omni\-channel communications and real\-time automated marketing journeys (SMS, Email, etc.) in tools such as Salesforce Marketing Cloud and SailThru.
	+ Partner with Product Managers, MarTech Retail (Hallmark.com) to ensure consistency in holistic communication capabilities.
* **Data Collaboration \&amp; Anonymization**
* + Support in data needs that will need to be ingested in Consumer Data Platforms (CDP) create real\-time activation marketing campaigns.
	+ Work with other product managers and tech to enable metadata used for marketing needs.
	+ Enable secure data collaboration through anonymization tools such as LiveRamp and clean room technologies, supporting privacy\-compliant audience targeting and measurement.
* **Compliance \&amp; Governance**
* + Partner with Privacy and Data Stewardship teams to ensure all MarTech solutions adhere to regulatory and internal compliance standards.
	+ Embed compliance considerations into product development without owning privacy or data instrumentation.
* **Cross\-Functional Collaboration**
* + Work closely with marketing, technology, and business stakeholders to align on goals and deliver cohesive solutions.
	+ Work with external partners to ensure that product requirements and delivery timelines are met.
	+ Collaborate with other product managers to ensure seamless integration across platforms.
**Qualifications**
* 5–7 years of experience in product management with a focus on MarTech platforms (e.g., Salesforce Marketing Cloud, Kochava, LiveRamp, CDPs).
* Experience with streaming or subscription\-based businesses.
* Strong execution skills: ability to translate business needs into actionable product requirements and deliver results.
* Experience with Agile methodology.
* Understanding of compliance and privacy considerations in marketing technology.
* Excellent communication and stakeholder management skills.
**Preferred Qualifications**
* Familiarity with CDPs, clean room technologies, and identity resolution platforms.
* Familiarity with AdTech tools and their integration with MarTech ecosystems.
* Experience enabling SEO capabilities within MarTech ecosystems to improve discoverability and engagement.
* Background in digital advertising or marketing technology.</t>
        </is>
      </c>
    </row>
    <row r="99">
      <c r="A99" t="inlineStr">
        <is>
          <t>in-9bba390f7e635e14</t>
        </is>
      </c>
      <c r="B99" t="inlineStr">
        <is>
          <t>Peer Support Program Manager</t>
        </is>
      </c>
      <c r="C99" t="inlineStr">
        <is>
          <t>Foundation for Recovery</t>
        </is>
      </c>
      <c r="D99" t="inlineStr">
        <is>
          <t>indeed</t>
        </is>
      </c>
      <c r="E99">
        <f>HYPERLINK("https://www.indeed.com/viewjob?jk=9bba390f7e635e14", "https://www.indeed.com/viewjob?jk=9bba390f7e635e14")</f>
        <v/>
      </c>
      <c r="F99">
        <f>HYPERLINK("https://foundation-for-recovery.careerplug.com/j/02via7s", "https://foundation-for-recovery.careerplug.com/j/02via7s")</f>
        <v/>
      </c>
      <c r="G99" t="inlineStr">
        <is>
          <t>Henderson, NV, US</t>
        </is>
      </c>
      <c r="H99" s="3" t="n">
        <v>46055</v>
      </c>
      <c r="I99" t="inlineStr">
        <is>
          <t>**Benefits:**
* Dental insurance
* Health insurance
* Paid time off
* Vision insurance
**Job Summary**
The Program Manager for the Henderson Satellite Office is responsible for the day\-to\-day management, delivery, and growth of peer\-led recovery support services in Henderson, including services provided at the Henderson Detention Center and at the Foundation for Recovery’s Henderson office. This position provides direct peer support, supervises peer staff and interns, manages program operations and grant reporting, and builds strong partnerships to support individuals transitioning from incarceration into long\-term recovery.  
The Program Manager plays a critical role in ensuring high\-quality, trauma\-informed, and recovery\-oriented services while maintaining compliance with program reporting requirements and organizational standards.  
**General Accountabilities**  
**Program Supervision \&amp; Operations**  
* Supervise, support, and mentor peer support staff and interns assigned to the Henderson Satellite Office.
* Provide coaching, feedback, and performance support consistent with Foundation for Recovery’s peer\-led service model.
* Support onboarding, training, and ongoing professional development of peer staff and interns.
* Develop and manage the Henderson office program schedule, including groups, peer support hours, and special activities.
* Manage office supply inventory and submit supply order requests as needed.
* Oversee cleanliness, organization, and overall functionality of the Henderson office space.
* Ensure a welcoming, safe, and recovery\-supportive environment for participants, staff, and visitors.  
**Direct Peer Support Services**
* Provide individual peer recovery support to individuals incarcerated at the Henderson Detention Center and to participants at the Henderson office.
* Facilitate peer support groups at the Henderson office using evidence\-informed, recovery\-oriented practices.
* Support individuals in developing recovery goals, identifying strengths, and navigating barriers to recovery.
* Connect individuals leaving incarceration to community\-based programs and resources, including recovery housing, substance use and mental health treatment, social services and public benefits, workforce development, education, and employment program  
**Data Collection \&amp; Reporting**
* Manage data collection, tracking, and reporting for Henderson\-based programs.
* Ensure accurate and timely entry of participant demographics, services provided, and outcome measures.
* Support preparation of program reports for internal review, funders, and partners.
* Collaborate with leadership to identify trends, outcomes, and opportunities for program improvement.  
**Community Engagement \&amp; Partnerships**
* Build and maintain strong relationships with community stakeholders, referral partners, and system partners.
* Represent Foundation for Recovery at community meetings, coalition meetings, and outreach events.
* Support development of referral pathways and collaborative partnerships that enhance recovery outcomes for participants.
* Introduce Foundation for Recovery to partners and stakeholders in Henderson.
**Job Qualifications**
**Required**
* Bachelor's Degree in related area
* Certified as a Peer Recovery Support Specialist Supervisor by the Nevada
* Certification Board or ability to obtain certification within 60 days of employment
* Minimum of 2 years of experience working in behavioral health
* Minimum of 2 years of experience providing addiction counseling or peer recovery support or services.
* Minimum of 2 years prior experience managing non\-profit or community based programs
* Experience supervising staff, interns, or volunteers.
* Must understand and adhere to the Nevada Certification Board's code of ethics for Peer Recovery Support Specialists (PRSS) and PRSS Supervisors
* Ability to work effectively with justice\-involved populations.
* Proficiency with data entry, basic reporting, and office software.
* Ability to maintain confidentiality and professional boundaries.
**Preferred**
* Certified Alcohol Drug Counselor with at least two years prior experience assessing, planning, and facilitating treatment programs for individuals
* Certified Peer Recovery Support Specialist (or ability to obtain certification).
* Experience working in correctional, reentry, or community\-based recovery settings.
* Experience with grant\-funded programs and outcome reporting.
* Knowledge of local recovery, treatment, housing, and workforce resources in Southern Nevada.
**Skills**
* DAP and Progress Notes
* Peer Recovery Group Facilitation (SMART Recovery, All Recovery, Etc.)
* Motivational Interviewing
* Use of Electronic Health Records or other case management system
* Maintaining accurate records of work performed
* Superb phone etiquette and customer service skills
**Work Environment**
Our employees work in a supportive and collaborative office environment. This position is full\-time and based in Henderson at Foundation for Recovery’s Satellite Office. Foundation for Recovery will provide all the tools necessary to perform the duties of the position.
**Physical Demands**
Sedentary work. Exerting up to 50 pounds of force occasionally and/or negligible amount of force frequently or constantly to lift, carry, push, pull or otherwise move objects. Repetitive motion. Substantial movements (motions) of the wrists, hands, and/or fingers. The worker is required to have close visual acuity to perform an activity such as: preparing and analyzing data and figures; transcribing; viewing a computer terminal; extensive reading. Local travel in personal vehicle required for outreach activities.
**About Foundation for Recovery**
Established in 2005, Foundation for Recovery has built programs and partnerships to remove barriers for Nevada families and communities impacted by substance use and mental health disorders. Our success is attributed to a simple concept; expand community support services, empower local leaders, build capacity for authentic addiction recovery resources, and treat people who use substances with dignity and respect. As Nevada's first and only statewide Recovery Community Organization, our philosophy is that those closest to the issue are closest to the solution. Which is why most of our staff, board, and volunteers who drive our mission are people with their own life experiences recovering from addiction and co\-occurring disorders. Together, we uplift the voices of our communities and choose to focus on our strengths and talents, rather than our illnesses. This strength\-based approach guides our vision for a world where resources, treatment, and support for addiction and mental health are abundant.
**Job Details and Salary**
* Full\-time exempt employee
* Fringe benefits, including health, vision, and dental insurance available after three months of employment.
* Salary Range: $55,000 \- $60,000 commensurate with experience
* PTO/Vacation Package
* Disclaimer
**Disclaimer**
Nothing in this job description restricts management’s right to assign or reassign duties and responsibilities to this job at any time. This is a grant\-funded position. Funding for this position is currently approved through September 30, 2027 and continuation of this position is subject to ongoing grant funding.</t>
        </is>
      </c>
    </row>
    <row r="100">
      <c r="A100" t="inlineStr">
        <is>
          <t>in-61c7dcd1693847d0</t>
        </is>
      </c>
      <c r="B100" t="inlineStr">
        <is>
          <t>Residential Program Manager</t>
        </is>
      </c>
      <c r="C100" t="inlineStr">
        <is>
          <t>California Recovery Center</t>
        </is>
      </c>
      <c r="D100" t="inlineStr">
        <is>
          <t>indeed</t>
        </is>
      </c>
      <c r="E100">
        <f>HYPERLINK("https://www.indeed.com/viewjob?jk=61c7dcd1693847d0", "https://www.indeed.com/viewjob?jk=61c7dcd1693847d0")</f>
        <v/>
      </c>
      <c r="F100">
        <f>HYPERLINK("http://www.indeed.com/job/residential-program-manager-61c7dcd1693847d0", "http://www.indeed.com/job/residential-program-manager-61c7dcd1693847d0")</f>
        <v/>
      </c>
      <c r="G100" t="inlineStr">
        <is>
          <t>Roseville, CA, US</t>
        </is>
      </c>
      <c r="H100" s="3" t="n">
        <v>46055</v>
      </c>
      <c r="I100" t="inlineStr">
        <is>
          <t>**OUR MISSION AND PURPOSE**
California Recovery Center, based in Roseville, California, is an industry\-leading organization at the forefront of behavioral health and substance use recovery services. Our client\-focused and rapidly expanding array of services includes behavioral health and substance use Intensive Outpatient Programs (IOP), Partial Hospitalization Programs (PHP), Substance Use Disorder Residential Treatment Center (RTC) services, Detoxification services, Aftercare/Alumni activities and services, Telehealth, and Family Education opportunities.
We are a resource for individuals desiring to change their lifestyle to a more fulfilling, meaningful, satisfying way of living. Employing a multidisciplinary team of caring professionals combined with evidence\-based treatment approaches, we are on a mission to change how people think, live, and do. If you believe in serving others and using your talents to make healthy communities, work well with others, and feel called to dedicate your efforts to helping people, then join us in our mission and make a difference now, not later.
**Salary:** $95,000 – $115,000/yr OTE
**Job Description:** 
The Residential Program Manager oversees all Detox and Residential Treatment operations for California Recovery Center (CRC). This includes supervision of clinical and nonclinical staff, management of daily operations, scheduling, program compliance, transportation oversight, and direct collaboration with HR and leadership. ‑clinical staff, management of daily operations, scheduling, program compliance, transportation oversight, and direct collaboration with HR and leadership.
The Residential Program Manager ensures high\-quality care, regulatory compliance, and efficient clinical workflows across a 24/7 residential environment quality care, regulatory compliance, and efficient clinical workflows across a 24/7 residential environment.
**Responsibilities:** 
**Leadership \&amp; Staff Management**
* Supervises Recovery Specialists, Counselors, Case Managers, Drivers, and other assigned staff.
* Works closely with Detox Manager to co\-supervise Medical Assistants as needed.
* Conducts regular evaluations and ensures performance standards are met.
* Supports hiring, onboarding, training, development, and off‑boarding.
* Ensure employee records remain compliant with regulatory requirements.
**Program Operations \&amp; Client Care** 
* Manages 24/7 staffing schedules and ensures required client\-to\-staff ratios.
* Oversee referrals, admissions, transfers, and coordinated care for detox and residential clients.
* Implement program goals, treatment activities, and documentation standards.
* Coordinates daily/weekly client scheduling, groups, activities, and sessions.
**Compliance, Quality, \&amp; Planning**
* Ensures adherence to California regulations (Title 9, Section 13010/13015\), agency standards, and program objectives.
* Participates in goal setting, program planning, and quality assurance activities.
* Ensures a safe, confidential, and compliant treatment environment
**Transportation \&amp; Logistics Oversight**
* Manages CRC transportation operations, ensuring safety and regulatory compliance.
* Oversees vehicle maintenance, transportation staffing, and budgeting for transport operations.
**Administrative \&amp; Cross\-Departmental Duties**
* Acts as point person for payroll, ensuring accurate hours and approvals.
* Collaborates with HR on training requirements and staff credentialing.
* May serve as a community liaison when needed.
* May provide direct client services temporarily during staffing shortages.
* Perform other duties as assigned.
**Requirements** 
* High school diploma or equivalent, college degree preferred.
* Must be certified or licensed per California alcohol \&amp; drug counseling regulations (CAADE, CCAPP, CADTP, CADC‑II preferred) or hold a relevant professional license (LCSW, LMFT, Psychologist, Physician, etc.).
* Required detox management experience.
* Expertise in residential treatment, program planning, budgeting, QA, and supervision (3\-5 years experience).
* Strong communication, time management, and organizational skills.
* Proficiency in Microsoft tools, KIPU EMR/CRM, and related platforms.
* Must have a valid ID such as CA ID or Driver’s License to provide evidence of vehicle insurance and be insurable under the company’s insurance policy.
* Valid First Aid/CPR/AED certification, Health Screen Results, negative TB and Drug test results; Proof of COVID vaccination, including booster shot.
***“California Recovery Center is an equal opportunity employer and does not discriminate in employment practices, the provision of benefits, and services on the basis of race, color, age, religion, sex, and mental or physical disabilities.”***
Job Type: Full\-time
Pay: $95,000\.00 \- $115,000\.00 per year
Work Location: In person</t>
        </is>
      </c>
    </row>
    <row r="101">
      <c r="A101" t="inlineStr">
        <is>
          <t>in-793f1346f9adae2a</t>
        </is>
      </c>
      <c r="B101" t="inlineStr">
        <is>
          <t>Product Manager, Operations</t>
        </is>
      </c>
      <c r="C101" t="inlineStr"/>
      <c r="D101" t="inlineStr">
        <is>
          <t>indeed</t>
        </is>
      </c>
      <c r="E101">
        <f>HYPERLINK("https://www.indeed.com/viewjob?jk=793f1346f9adae2a", "https://www.indeed.com/viewjob?jk=793f1346f9adae2a")</f>
        <v/>
      </c>
      <c r="F101">
        <f>HYPERLINK("http://www.indeed.com/job/product-manager-operations-793f1346f9adae2a", "http://www.indeed.com/job/product-manager-operations-793f1346f9adae2a")</f>
        <v/>
      </c>
      <c r="G101" t="inlineStr">
        <is>
          <t>US</t>
        </is>
      </c>
      <c r="H101" s="3" t="n">
        <v>46055</v>
      </c>
      <c r="I101" t="inlineStr">
        <is>
          <t>**Company Description**
Stride Soles is a digital platform revolutionizing podiatry by connecting individuals with licensed podiatrists to provide custom\-designed orthotic insoles through a seamless virtual experience. Utilizing telehealth consultations, advanced gait analysis, and 3D modeling, Stride Soles delivers expert foot care that is accessible, affordable, and highly personalized. Our innovative approach eliminates the need for in\-person visits, empowering people to improve their foot health from the comfort of their homes.
**Role Description**
This is a full\-time, remote position. As a Product Manager, Operations at Stride Soles, you will oversee the development and optimization of operational processes and workflows. The role involves coordinating cross\-functional teams, implementing operational strategies, and continuously improving efficiency to support our product delivery. Your day\-to\-day tasks will include managing supply chain logistics, vendor partnerships, customer onboarding, and analyzing performance metrics for process improvement.
**Qualifications**
* Experience in product management, project management, and operational strategy execution
* Strong analytical and problem\-solving skills with proficiency in data analysis tools and performance tracking
* Ability to lead cross\-functional teams and manage stakeholder communication effectively
* Knowledge of supply chain logistics, vendor management, and process optimization
* Experience with customer experience enhancement and onboarding processes
* Excellent written and verbal communication, organization, and multitasking skills
* Bachelor’s degree in Business Administration, Operations Management, or a related field (MBA is a plus)
* Previous experience in a health tech, e\-commerce, or consumer goods environment is advantageous
Pay: $100,000\.00 per year
Benefits:
* Health insurance
Application Question(s):
* Tell me about your most entrepreneurial experience.
* Have you started a company before?
* Tell me about a time you improved a complicated process.
Work Location: Remote</t>
        </is>
      </c>
    </row>
    <row r="102">
      <c r="A102" t="inlineStr">
        <is>
          <t>in-a956d5afd7bad5c0</t>
        </is>
      </c>
      <c r="B102" t="inlineStr">
        <is>
          <t>Product Manager, Enterprise Asset Management</t>
        </is>
      </c>
      <c r="C102" t="inlineStr">
        <is>
          <t>Dallas Area Rapid Transit</t>
        </is>
      </c>
      <c r="D102" t="inlineStr">
        <is>
          <t>indeed</t>
        </is>
      </c>
      <c r="E102">
        <f>HYPERLINK("https://www.indeed.com/viewjob?jk=a956d5afd7bad5c0", "https://www.indeed.com/viewjob?jk=a956d5afd7bad5c0")</f>
        <v/>
      </c>
      <c r="F102">
        <f>HYPERLINK("https://jobs.apploi.com/view/1709321?utm_campaign=integration&amp;utm_medium=job-board-feed&amp;utm_source=indeed-apply-feed", "https://jobs.apploi.com/view/1709321?utm_campaign=integration&amp;utm_medium=job-board-feed&amp;utm_source=indeed-apply-feed")</f>
        <v/>
      </c>
      <c r="G102" t="inlineStr">
        <is>
          <t>Dallas, TX, US</t>
        </is>
      </c>
      <c r="H102" s="3" t="n">
        <v>46055</v>
      </c>
      <c r="I102" t="inlineStr">
        <is>
          <t>**General Summary:**
The Product Manager, Enterprise Asset Management, will be responsible for defining product roadmaps, driving cross\-functional collaboration, and ensuring that product solutions meet both business needs and user expectations, while aligning with the department’s overall strategy. The scope includes providing comprehensive product management support for a wide range of enterprise applications, including Enterprise Asset Management (EAM), inventory and materials management, Vertical Lift Modules (VLM) in DART facilities, and mobile versions of these enterprise applications.
**Essential Duties and Responsibilities:**
* Define and maintain product roadmaps for enterprise applications, including Enterprise Asset Management (EAM), inventory and materials management, Vertical Lift Modules (VLM) in DART facilities, and mobile versions of these enterprise applications.
* Coordinate with the Technology leadership to ensure that the product roadmaps are aligned with the departmental and organizational goals.
* Drive cross\-functional collaboration to ensure successful product development and delivery.
* Ensure that product solutions address business needs and meet user expectations.
* Develop, prioritize, and refine product features based on stakeholder input and business requirements.
* Monitor and analyze product performance metrics to identify and implement improvements.
* Oversee the full product lifecycle, including planning, development, testing, deployment, and post\-launch support.
* Lead and manage initiatives for system upgrades, new implementations, and application integrations.
* Ensure compliance with relevant regulations, security standards, and industry best practices.
* Create and deliver training materials and support resources for end\-users and internal teams.
* Conduct market research and stay updated on industry trends, emerging technologies, and best practices.
* Facilitate communication between Technology and business units to drive product success.
* Develop and implement disaster recovery plans to ensure business continuity.
* Oversee application architecture to ensure alignment with security and data standards.
* Manage secure data integration and exchange between enterprise systems.
* Lead change management processes and efforts to ensure smooth business transitions as products evolve and change.
* Maintain a high level of customer service and satisfaction through effective support and communication.
* Stay updated on emerging technologies and industry trends to drive innovation and maintain the relevance of enterprise applications.
* Continuously assess the performance of enterprise applications and provide regular updates to leadership, offering insights and recommendations for future enhancements.
* Performs other related duties as assigned
**Minimum Knowledge, Skills, and Abilities Required:**
**Note**: An equivalent combination of related education and experience may be substituted for the below stated minimums excluding High School Diploma, GED, Licenses, or Certifications.
* Bachelor’s degree from an accredited college or university in Business Administration, Computer Science, or a related field.
* Seven (7\) years of experience in developing and managing product roadmaps, enterprise application architecture, or strategy for enterprise applications.
* Valid Texas Class A, B, or C driver’s license, no Driving While Intoxicated (DWI) conviction within the last sixty (60\) consecutive months, not more than one (1\) DWI on driving record, and not more than three (3\) convictions of moving violations within the last thirty\-six (36\) months in order to operate DART non\-revenue vehicles, or drive in the course and scope of job.
* Proficiency of PC software applications to include Microsoft Office or other related software applications.
* Proficient in task scoping, project management, problem\-solving, resource management, and understanding budget and cost factors.
* Pass a physical (medical) examination that includes a drug screen in order to operate DART non\-revenue vehicles, and the ability to lift 50 pounds.
* Skilled in handling conflicts constructively, and negotiating agreements.
* Must be able to work variable hours, to include emergency response to outages.
* Must be able to perform work from remote locations as needed.
* Must be able to work in an on\-call rotation.
* Must maintain all certification(s) required for this position.
* Knowledge of budget development/analysis, and operational cost factors.
* Analytical and creative skills to find solutions to complex interpersonal, technical and administrative problems.
* Ability to build relationships, address needs, and use feedback for continuous improvement.
* Ability to be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Ability to use rigorous logic and methods to solve difficult problems with effective solutions. Can see hidden problems. Is excellent at honest analysis. Looks beyond the obvious and does not stop at the first answers.
* Ability to effectively communicate both orally and in writing with the public, coworkers, management, and DART Board.
* Ability to be able to write clearly and succinctly in a variety of communication settings and styles. Can get messages across that have the desired effect.
* Ability to use his/her time effectively and efficiently. Values time. Concentrates his/her efforts on the more important priorities. Gets more done in less time than others. Can attend to a broader range of activities.
* Ability to learn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 Ability to quickly find common ground and solve problems for the good of all. Can represent his/her own interests and yet be fair to other groups. Can solve problems with peers with a minimum of noise. Is seen as a team player and is cooperative. Easily gains trust and support of peers. Encourages collaboration. Can be candid with peers.
* Ability to be good at bringing the creative ideas of others to market. Has good judgment about which creative ideas and suggestions will work. Has a sense about managing the creative process of others. Can facilitate effective brainstorming. Can project how potential ideas may play out in the marketplace.
* Ability to make good decisions (without considering how much time it takes) based upon a mixture of analysis, wisdom, experience, and judgment). Most of his/her solutions and suggestions turn out to be correct and accurate when judged over time. Sought out by others for advice and solutions.
**Working Conditions:**
Works in an environment where there is minimum exposure to dust, noise, or temperature. May be moderately exposed to unpleasant working conditions to include dust, noise, temperature, weather, petroleum products, and chemicals while visiting DART's operating facilities, assuming incumbent is observing all policies and procedures, safety precautions and regulations, and using all protective clothing and devices provided.
Note: The above statements are intended to describe the general nature and level of work being performed by people assigned to this job. The statements are not intended to be an exhaustive list of all responsibilities, duties, and skills required of personnel so classified. All employees may perform other duties as assigned.
DART is proud to be an Equal Employment Opportunity Employer, supporting diversity in the workplace. M/F/D/V
Open until qualified applicants are identified.
JR103018</t>
        </is>
      </c>
    </row>
    <row r="103">
      <c r="A103" t="inlineStr">
        <is>
          <t>in-07d739c58a673c7e</t>
        </is>
      </c>
      <c r="B103" t="inlineStr">
        <is>
          <t>Senior Product Manager, AI Powered Messaging</t>
        </is>
      </c>
      <c r="C103" t="inlineStr">
        <is>
          <t>Jerry</t>
        </is>
      </c>
      <c r="D103" t="inlineStr">
        <is>
          <t>indeed</t>
        </is>
      </c>
      <c r="E103">
        <f>HYPERLINK("https://www.indeed.com/viewjob?jk=07d739c58a673c7e", "https://www.indeed.com/viewjob?jk=07d739c58a673c7e")</f>
        <v/>
      </c>
      <c r="F103">
        <f>HYPERLINK("https://jobs.ashbyhq.com/Jerry.ai/ef002fc9-f1c4-4b35-8e71-ff7bff943bab", "https://jobs.ashbyhq.com/Jerry.ai/ef002fc9-f1c4-4b35-8e71-ff7bff943bab")</f>
        <v/>
      </c>
      <c r="G103" t="inlineStr">
        <is>
          <t>Raleigh, NC, US</t>
        </is>
      </c>
      <c r="H103" s="3" t="n">
        <v>46054</v>
      </c>
      <c r="I10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04">
      <c r="A104" t="inlineStr">
        <is>
          <t>in-476c26189f155ab7</t>
        </is>
      </c>
      <c r="B104" t="inlineStr">
        <is>
          <t>Senior Staff Project/Program Manager</t>
        </is>
      </c>
      <c r="C104" t="inlineStr">
        <is>
          <t>Renesas</t>
        </is>
      </c>
      <c r="D104" t="inlineStr">
        <is>
          <t>indeed</t>
        </is>
      </c>
      <c r="E104">
        <f>HYPERLINK("https://www.indeed.com/viewjob?jk=476c26189f155ab7", "https://www.indeed.com/viewjob?jk=476c26189f155ab7")</f>
        <v/>
      </c>
      <c r="F104">
        <f>HYPERLINK("https://jobs.renesas.com/job/senior-staff-project-program-manager-in-austin-texas-united-states-jid-3936", "https://jobs.renesas.com/job/senior-staff-project-program-manager-in-austin-texas-united-states-jid-3936")</f>
        <v/>
      </c>
      <c r="G104" t="inlineStr">
        <is>
          <t>Austin, TX, US</t>
        </is>
      </c>
      <c r="H104" s="3" t="n">
        <v>46054</v>
      </c>
      <c r="I104" t="inlineStr">
        <is>
          <t>**Job Description**
Renesas is hiring a **Sr. Staff Project/Program Design** to join our market\-leading AI and infrastructure power team, driving explosive growth across a portfolio of cutting\-edge solutions for datacenter, Artificial Intelligence (AI), high\-performance networking, and Edge AI client markets.
This team delivers industry\-defining products including digital multiphase PWM controllers, smart power stages, high\-density power modules, DC/DC regulators, and discrete MOSFETs. As an Sr. Staff Program Manager, you’ll play a pivotal role in bringing these technologies to market – partnering with cross\-functional teams to ensure flawless execution, strategic alignment, and ramp readiness.
This is a unique opportunity to launch your career in a fast\-paced, innovation\-driven environment with direct exposure to product lifecycle management, cross\-functional leadership, and strategic execution.
**Key Responsibilities**
* Lead cross‑functional teams across Design, Marketing, Systems \&amp; Applications, Validation, Product \&amp; Test Engineering, Firmware/Software, Supply Chain, Procurement, Packaging, and Quality to ensure seamless execution of NPI product releases.
* Manage end‑to‑end program planning, tracking, and execution – from concept through market launch, including ramp readiness and safe launch activity.
* Ensure process discipline, budget alignment, and execution efficiency while maintaining focus on priority deliverables and driving global process standardization.
* Lead capacity‑expansion initiatives across global manufacturing sites, aligning Engineering, Operations, and Supply Chain to support scalable production.
* Coordinate and conduct formal Project Gate reviews to ensure alignment, readiness, and decision clarity.
* Motivate and guide cross‑functional teams toward flawless execution, positive ROI, and disciplined, data‑driven decision‑making.
* Identify risks early and implement mitigation strategies, demonstrating agility and adaptability in complex, ambiguous environments.
* Oversee wafer fabrication, assembly, test operations, and material logistics to ensure timely execution, cost efficiency, high quality, and smooth project flow.
* Communicate clearly with cross‑functional teams and stakeholders regarding milestones, sample delivery timelines, reliability testing, and product release status.
* Build strong internal and external relationships, reinforcing accountability and alignment through consistent, transparent communication.
* Provide structured program updates to leadership, highlighting project status, risks, and recommended actions while maintaining accurate schedules, qualification plans, and PM tracking systems.
* Drive process scalability and standardization initiatives to strengthen execution discipline across programs.
 **Qualifications**
* Bachelor’s or Master’s degree in Electrical Engineering; PhD preferred. Minimum 12\+ years of Semiconductor industry experience with strong knowledge of the full product lifecycle.
* Experience: 6\+ years as an NPI Program Manager; experience with Power Module and Smart Power Stages programs preferred.
* Deep understanding of semiconductor manufacturing flows including development, production processes, package architectures, and diverse package types. Prior experience at a fab or assembly site as a process or integration engineer is a strong plus.
* Demonstrated success leading complex, cross‑functional programs in fast‑paced, ambiguous environments; supported by foundational program/project management training or certification.
* Strong stakeholder management, communication, collaboration, and partnership skills across Engineering, Operations, Supply Chain, and OSAT partners.
* Highly analytical with strong organizational, problem‑solving, time‑management, and multitasking abilities.
* Fast learner with the ability to adopt new tools, systems, and processes; proficient in Microsoft Office and modern project management tools.
* Self‑driven, inquisitive, and committed to continuous personal and professional development.
 **Additional Information**
Renesas is an embedded semiconductor solution provider driven by its Purpose ‘**To Make Our Lives Easier**.’ As the industry’s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 Connectivity, and Power.  
With a diverse team of over 22,000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‘**To Make Our Lives Easier**.’  
At Renesas, you can:
* **Launch and advance your career** in technical and business roles across four Product Groups and various corporate functions. You will have the opportunities to explore our hardware and software capabilities and try new things.
* **Make a real impact** by developing innovative products and solutions to meet our global customers' evolving needs and help make people’s lives easier, safe and secure.
* **Maximize your performance and wellbeing** in our flexible and inclusive work environment. Our people\-first culture and global support system, including the remote work option and Employee Resource Groups, will help you excel from the first day.
Are you ready to own your success and make your mark?
Join Renesas. **Shape Your Future with Us**.
Renesas Electronics is an equal opportunity and affirmative action employer, committed to celebrating diversity and fostering a work environment free of discrimination on the basis of sex, race, religion, national origin, gender, gender identity, gender expression, age, sexual orientation, military status, veteran status, or any other basis protected by federal, state or local law. For more information, please read our **Diversity \&amp; Inclusion Statement**.
Renesas Electronics deals with dual\-use technology that is subject to U.S. export controls regulations. Under these regulations it may be necessary for Renesas to obtain U.S. government export license prior to release of technology to certain persons. The decision whether or not to file or pursue an export license application is at the sole discretion of Renesas.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
**Job title**
Senior Staff Project/Program Manager
* **Department**Engineering
* **Location**Austin
* **Remote**No
**Requisition ID**20024991\_2026\-01\-28</t>
        </is>
      </c>
    </row>
    <row r="105">
      <c r="A105" t="inlineStr">
        <is>
          <t>in-7d06fc6f0e62da9e</t>
        </is>
      </c>
      <c r="B105" t="inlineStr">
        <is>
          <t>Program Manager - AI Cluster Engineering</t>
        </is>
      </c>
      <c r="C105" t="inlineStr">
        <is>
          <t>AMD</t>
        </is>
      </c>
      <c r="D105" t="inlineStr">
        <is>
          <t>indeed</t>
        </is>
      </c>
      <c r="E105">
        <f>HYPERLINK("https://www.indeed.com/viewjob?jk=7d06fc6f0e62da9e", "https://www.indeed.com/viewjob?jk=7d06fc6f0e62da9e")</f>
        <v/>
      </c>
      <c r="F105">
        <f>HYPERLINK("https://careers.amd.com/jobs/78132/job?utm_source=indeed_integration&amp;iis=Job%20Board&amp;iisn=Indeed&amp;indeed-apply-token=73a2d2b2a8d6d5c0a62696875eaebd669103652d3f0c2cd5445d3e66b1592b0f", "https://careers.amd.com/jobs/78132/job?utm_source=indeed_integration&amp;iis=Job%20Board&amp;iisn=Indeed&amp;indeed-apply-token=73a2d2b2a8d6d5c0a62696875eaebd669103652d3f0c2cd5445d3e66b1592b0f")</f>
        <v/>
      </c>
      <c r="G105" t="inlineStr">
        <is>
          <t>Austin, TX, US</t>
        </is>
      </c>
      <c r="H105" s="3" t="n">
        <v>46054</v>
      </c>
      <c r="I10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We are in search of an experienced program manager with strong analytical, problem\-solving and risk management skills. Ability to work efficiently and manage effective relationships in a cross\-functional organization to meet commitments for successful customer program launches. Must be self\-directed and work in complex and dynamic ecosystems. **THE PERSON:**
As a Program Manager you will partner with our cross functional teams to help validate complex machine learning solutions (from server integration to rack and cluster\-level validation). Identify and document customer requirements and establish engineering schedules. Drive AMD product solution deliverables and alignment with customers’ platforms to ensure highest levels of customer satisfaction throughout their product lifecycle.  
**KEY RESPONSIBILITIES:*** Defines, plans and drives projects and program plans related to machine learning systems based on management and senior technical guidance
* Possesses a thorough knowledge of the principles of project management and can apply them effectively on small to large size projects
* Has responsibility for projects or processes of significant technical importance and for results that cross engineering project areas
* Initiates significant changes to existing processes and methods to improve project and team efficiency
* Creates and maintains project management artifacts such as schedule, resource and resource forecast, risk and issues logs
* Provides unique views of project status updates and facilitates cross development team dependencies and communications
* Identify action or mitigation plans for issues or risks that arise during the project lifecycle
* Collaborates with core teams and execution teams to identify areas that require special attention or escalations to identify corrective actions
* Collect, analyze, organize and publish work performance data via dashboards and recurring status reports
 **PREFERRED EXPERIENCE:*** Experience leading programs for integration of servers in OEMs, ODMs, or data centers
* Familiar with HW and FW life cycle for systems integrators
* Understanding of how data centers use servers, racks, clusters, and all the components (HW/FW/SW) needed to run a data center.
* Detailed oriented, self\-driven with a strong sense of pride and ownership.
* Strong organizational, problem\-solving, interpersonal, presentation, written and verbal communication skills
* Ability to build relationships and work effectively as a self\-starter and as part of a team
* Proactively involve team members in planning, decision\-making and execution efforts
* People management experience is desirable
* Excellent verbal and written communication skills to handle all levels of interaction, including executive level
* Horizontal leadership/Matrix management experience
* Technical program management and customer relationship management
* Collaborate in problem solving and mitigating risks with Engineering, Program/Project Management, Business Units and Product Management \- both internal and external
* Strong knowledge of productivity and project tools including Jira, Confluence, Microsoft Office Suite
 **ACADEMIC CREDENTIALS:*** Bachelor’s or Master’s degree in Computer/Electrical Engineering
* Formal project management education, PMP / Scrum Master
 **Location:*** Austin, TX
\#LI\-KW1**This role is not eligible for visa sponsorship.**  
Qualifications:
*Benefits offered are described:*AMD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6">
      <c r="A106" t="inlineStr">
        <is>
          <t>in-adb86c890e9c2b4f</t>
        </is>
      </c>
      <c r="B106" t="inlineStr">
        <is>
          <t>Principal Program Manager Transformation</t>
        </is>
      </c>
      <c r="C106" t="inlineStr">
        <is>
          <t>Cotiviti</t>
        </is>
      </c>
      <c r="D106" t="inlineStr">
        <is>
          <t>indeed</t>
        </is>
      </c>
      <c r="E106">
        <f>HYPERLINK("https://www.indeed.com/viewjob?jk=adb86c890e9c2b4f", "https://www.indeed.com/viewjob?jk=adb86c890e9c2b4f")</f>
        <v/>
      </c>
      <c r="F106">
        <f>HYPERLINK("https://careers-cotiviti.icims.com/jobs/18215/job?utm_source=indeed_integration&amp;iis=Job%20Board&amp;iisn=Indeed&amp;indeed-apply-token=73a2d2b2a8d6d5c0a62696875eaebd669103652d3f0c2cd5445d3e66b1592b0f", "https://careers-cotiviti.icims.com/jobs/18215/job?utm_source=indeed_integration&amp;iis=Job%20Board&amp;iisn=Indeed&amp;indeed-apply-token=73a2d2b2a8d6d5c0a62696875eaebd669103652d3f0c2cd5445d3e66b1592b0f")</f>
        <v/>
      </c>
      <c r="G106" t="inlineStr">
        <is>
          <t>Remote, US</t>
        </is>
      </c>
      <c r="H106" s="3" t="n">
        <v>46054</v>
      </c>
      <c r="I106" t="inlineStr">
        <is>
          <t>Overview:
The Principal Program Manager provides strategic oversight and coordination for a large, complex, multi\-disciplinary program, partnering closely with individual program managers to ensure alignment, visibility, and execution success. This role serves as the central point for program\-level tracking, risk management, and executive reporting, translating detailed inputs into clear, actionable insights for senior leaders and governance bodies.  
The position is responsible for synthesizing progress, risks, and mitigation plans across multiple workstreams; driving consistent program management practices; and enabling timely decision\-making through high\-quality reports, dashboards, and executive presentations. Working cross\-functionally with business operations, finance, technology, legal, product, and R\&amp;D teams, the role supports change management, innovation, and continuous improvement while adapting quickly to evolving priorities
Responsibilities:
**Program Leadership \&amp; Governance*** Provide enterprise\-level oversight and governance for large, multi\-disciplinary technology transformation programs.
* Partner with program and project managers to guide execution without direct ownership of workstreams.
* Establish and maintain program governance, operating rhythms, and decision frameworks.
**Strategic Planning \&amp; Execution*** Translate enterprise technology strategy into integrated roadmaps, milestones, and success metrics.
* Ensure alignment across business, technology, and operational stakeholders.
* Identify and manage cross\-program dependencies and downstream impacts.
**Executive Reporting \&amp; Risk Management*** Synthesize program\-level status, risks, issues, and mitigation plans across multiple initiatives.
* Deliver clear, timely executive reporting to support informed decision\-making.
* Lead program\-level risk identification, escalation, and mitigation efforts.
**Stakeholder \&amp; Change Leadership*** Serve as a trusted advisor to senior leaders, influencing outcomes without direct authority.
* Drive alignment across diverse, global, and cross\-functional stakeholder groups.
* Track and support change management, adoption, and sustainability of transformation initiatives.
* Partner with business operations, finance, technology, legal, product, and R\&amp;D teams to ensure comprehensive visibility into program performance and risk.
**Continuous Improvement*** Advance program management standards, tools, and best practices.
* Identify opportunities to improve efficiency, transparency, and integration across programs.
* Mentor program managers and strengthen enterprise program management capabilities.
* Prepare executive\-ready reports, dashboards, and presentations.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degree in Business, Technology, Engineering, or related field (Master’s or equivalent advanced business experience preferred).
* 12 \- 15 years of experience leading large, complex, enterprise\-scale technology or business transformation programs, including global initiatives.
* Proven success managing multi\-workstream, interdependent programs within large, matrixed organizations.
* Program or project management certification required (PMP preferred).
* Demonstrated experience partnering with C\-level executives and delivering executive\-ready communications and presentations.
* Strong program\-level risk management expertise, including contingency planning and SOP development.
* Experience working across finance, operations, legal, R\&amp;D, and software engineering teams, including distributed and remote environments.
* Deep familiarity with enterprise technology transformations (e.g., ERP, cloud, digital platforms, data modernization, SDLC).
* Advanced communication, organizational, and prioritization skills with the ability to synthesize complexity into clear insights.
* Highly proficient in Microsoft Office and enterprise program management tools (e.g., PowerPoint, Smartsheet, collaboration platforms).
* Self\-directed, adaptable leader capable of operating effectively in fast\-changing, high\-visibility environments
 **Cognitive / Mental Requirements:*** Strategic Systems Thinking: Ability to understand complex, interconnected technology, business, and operational systems and anticipate downstream impacts of decisions across the enterprise.
* Advanced Analytical Reasoning: Quickly analyze large volumes of qualitative and quantitative information to identify patterns, risks, dependencies, and opportunities within transformation programs.
* Executive Judgment \&amp; Decision\-Making: Apply sound judgment in ambiguous, high\-stakes environments, balancing competing priorities, constraints, and stakeholder interests.
* Rapid Learning \&amp; Adaptability: Assimilate new technical concepts, business models, and program objectives quickly, adjusting strategies and execution plans as conditions evolve.
* Problem Solving in Ambiguity: Define problems that are not clearly articulated, evaluate multiple solution paths, and drive resolution in dynamic and uncertain environments.
* Risk Anticipation \&amp; Mitigation Thinking: Proactively identify potential program, technology, and organizational risks and develop mitigation strategies before issues escalate.
* Synthesis \&amp; Abstraction: Distill complex program details into clear, concise insights and narratives appropriate for executive\-level decision\-making.
* Change \&amp; Impact Assessment: Evaluate organizational readiness, behavioral impacts, and adoption risks associated with large\-scale technology transformation initiatives.
* Prioritization \&amp; Trade\-Off Analysis: Assess relative value, urgency, and impact to sequence work effectively and guide leaders through informed trade\-off decisions.
* Innovation \&amp; Continuous Improvement Mindset: Identify opportunities to improve processes, leverage emerging technologies, and challenge existing assumptions to drive transformation outcomes.
**Physical Requirements and Working Conditions:*** Occasional Travel as assigned by leadership (5% \-10%)
* Repeating motions that may include the wrists, hands and/or fingers.
* Must be able to provide a dedicated, secure work area.
* Must be able to provide high\-speed internet access / connectivity and office setup and maintenance.
* Remaining in a stationary position, often standing or sitting for prolonged periods.
* No adverse environmental conditions expected.
Base compensation ranges from $150,000 to $180,000 per year. Specific offers are determined by various factors, such as experience, education, skills, certifications, and other business needs. This role is eligible for discretionary bonus consideration.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Date of posting: 1/28/2026  
Applications are assessed on a rolling basis. We anticipate that the application window will close on 1/28/2026, but the application window may change depending on the volume of applications received or close immediately if a qualified candidate is selected.</t>
        </is>
      </c>
    </row>
    <row r="107">
      <c r="A107" t="inlineStr">
        <is>
          <t>in-6d1b94c26ac36595</t>
        </is>
      </c>
      <c r="B107" t="inlineStr">
        <is>
          <t>Product Manager</t>
        </is>
      </c>
      <c r="C107" t="inlineStr">
        <is>
          <t>Wiley</t>
        </is>
      </c>
      <c r="D107" t="inlineStr">
        <is>
          <t>indeed</t>
        </is>
      </c>
      <c r="E107">
        <f>HYPERLINK("https://www.indeed.com/viewjob?jk=6d1b94c26ac36595", "https://www.indeed.com/viewjob?jk=6d1b94c26ac36595")</f>
        <v/>
      </c>
      <c r="F107">
        <f>HYPERLINK("https://wiley.wd1.myworkdayjobs.com/en-US/wiley_careers/job/Remote-CA-USA/Product-Manager_R2600037", "https://wiley.wd1.myworkdayjobs.com/en-US/wiley_careers/job/Remote-CA-USA/Product-Manager_R2600037")</f>
        <v/>
      </c>
      <c r="G107" t="inlineStr">
        <is>
          <t>CA, US</t>
        </is>
      </c>
      <c r="H107" s="3" t="n">
        <v>46054</v>
      </c>
      <c r="I107" t="inlineStr">
        <is>
          <t>**Job Description:**
Product Manager
**Location:**
Remote, CA, USA
Our mission is to unlock human potential. We welcome you for who you are, the background you bring, and we embrace individuals who get excited about learning. Bring your experiences, your perspectives, and your passion; it’s in our differences that we empower the way the world learns.
**About the Role:**
zyBooks is looking for a Product Manager to join our Platform team. In this role, you'll work with engineering teams to prioritize platform roadmaps, gather requirements from stakeholders, and drive the delivery of platform capabilities and learning tools that enable product innovation. You'll collaborate across the organization to understand needs, translate them into clear requirements and user stories, and facilitate agile development processes. This is an excellent opportunity to grow your product management skills while making a meaningful impact on a platform used by hundreds of thousands of students at over 1800 academic institutions. zyBooks is a fast\-growing market leader in STEM education—come join us and help transform education!
**How we work:**
----------------
* Hyper\-focused on the student and instructor experience, building platform capabilities that enable great educational outcomes.
* Strong ownership culture where product and engineering teams work together through the entire process from discovery to delivery and support.
* Emphasis on learning and personal growth for all team members, with mentorship opportunities.
* Empowered teams that drive platform initiatives with appropriate guidance and support from leadership.
* Data\-driven decision making balanced with technical expertise and business context.
* Highly collaborative and transparent team culture with strong cross\-functional partnerships.
**Responsibilities:**
---------------------
* Collaborate with engineering, design, content, and other teams to deliver platform features and capabilities.
* Contribute to the definition of priorities, roadmap, and product requirements with guidance from senior product leaders and stakeholders.
* Lead feature development efforts by gathering requirements, writing user stories, and working closely with engineering teams through design, build, and delivery.
* Support agile development processes including sprint planning, backlog refinement, and retrospectives.
* Gain understanding of customer needs by participating in user research and gathering feedback from internal stakeholders.
* Track and communicate progress on platform features to stakeholders, maintaining transparency on timelines and deliverables.
* Monitor feature\-level metrics and KPIs to understand impact and identify opportunities for improvement.
* Contribute to product documentation, process improvements, and team knowledge sharing.
**Requirements:**
-----------------
* 1\-3 years experience in product management, SAAS product development, software engineering, or related technical roles.
* Excellent written and verbal communication skills, with ability to translate technical concepts for various audiences.
* Strong organizational skills with attention to both details and broader context.
* Ability to work with diverse stakeholders and consistently deliver on commitments.
* Collaborative mindset with demonstrated ability to work effectively with engineering teams.
* Experience with agile development processes.
* Experience with product management tools (Jira, Confluence, or similar).
* Passion for educational technology and making a positive impact on student learning.
* Occasional travel may be required for team meetings or company events.
At zyBooks (a Wiley brand),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Wiley is a diverse, global organization and we are proud to be an Equal Opportunity Employer.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**About Wiley:**
Wiley is a trusted leader in research and learning, our pioneering solutions and services are paving the way for knowledge seekers as they work to solve the world's most important challenges. We are advocates of advancement, empowering knowledge\-seekers to transform today's biggest obstacles into tomorrow's brightest opportunities.
With over 200 years of experience in publishing, we continue to evolve knowledge seekers' steps into strides, illuminating their path forward to personal, educational, and professional success at every stage. Around the globe, we break down barriers for innovators, empowering them to advance discoveries in their fields, adapt their workforces, and shape minds.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We offer meeting\-free Friday afternoons allowing more time for heads down work and professional development, and through a robust body of employee programing we facilitate a wide range of opportunities to foster community, learn, and grow.
We are committed to fair, transparent pay, and we strive to provide competitive compensation in addition to a comprehensive benefits package. The range below represents Wiley's good faith and reasonable estimate of the base pay for this role at the time of posting roles either in the United Kingdom, Canada or USA.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
When applying, please attach your resume/CV to be considered.
**Salary Range:**
85,500 USD to 122,567 USD
\#LI\-CW1</t>
        </is>
      </c>
    </row>
    <row r="108">
      <c r="A108" t="inlineStr">
        <is>
          <t>in-91051133b3f73a29</t>
        </is>
      </c>
      <c r="B108" t="inlineStr">
        <is>
          <t>Staff Product Manager, AI/ML</t>
        </is>
      </c>
      <c r="C108" t="inlineStr">
        <is>
          <t>firsthand</t>
        </is>
      </c>
      <c r="D108" t="inlineStr">
        <is>
          <t>indeed</t>
        </is>
      </c>
      <c r="E108">
        <f>HYPERLINK("https://www.indeed.com/viewjob?jk=91051133b3f73a29", "https://www.indeed.com/viewjob?jk=91051133b3f73a29")</f>
        <v/>
      </c>
      <c r="F108">
        <f>HYPERLINK("https://jobs.ashbyhq.com/firsthand/316858fe-d2c3-48dc-8ed2-4c1a348a8567?utm_source=BnQYMawM7Z", "https://jobs.ashbyhq.com/firsthand/316858fe-d2c3-48dc-8ed2-4c1a348a8567?utm_source=BnQYMawM7Z")</f>
        <v/>
      </c>
      <c r="G108" t="inlineStr">
        <is>
          <t>New York, NY, US</t>
        </is>
      </c>
      <c r="H108" s="3" t="n">
        <v>46054</v>
      </c>
      <c r="I108" t="inlineStr">
        <is>
          <t>**About Firsthand**
-------------------
Firsthand has built the first AI\-powered Brand Agent platform, transforming the way marketers and publishers engage consumers through their own AI agents, anywhere online.
While most AI applications in marketing and advertising focus on back\-office automation, the Firsthand Brand Agent Platform powers front\-line consumer engagement. Operating across both owned properties and paid media, Firsthand's Brand Agents make a company’s expertise accessible in real time, adapting to consumers’ interests and guiding them towards the information they need to take action. Central to the platform is Lakebed, the company’s AI\-first data and knowledge rights management system that ensures brands retain full ownership and control of their expertise.
Firsthand is led by Jon Heller, Michael Rubenstein, and Wei Wei, whose previous ventures helped build the foundations of modern digital advertising. Backed by Radical Ventures, FirstMark Capital, Aperiam Ventures, and Crossbeam Venture Partners, Firsthand is shaping the future of AI\-driven consumer engagement.
Firsthand is headquartered in NYC, with team members working together in\-office three days a week.
**The Role**
------------
Firsthand is looking for a skilled Staff Product Manager who will be responsible for inventing, designing, and implementing novel solutions for the AI landscape within the Firsthand platform.
**Responsibilities**
--------------------
* Conceptualize and design new features within the platform, using a data\-informed approach and establishing clear metrics for success
* Navigate through ambiguity and change to collaboratively drive alignment with cross\- functional teammates
* Work with enterprise customers and internal stakeholders to understand their needs and incorporate those insights into product decisions
* Communicate product vision, strategy, and roadmap to key stakeholders, including senior leadership, to drive alignment and decision\-making
* Stay informed of industry trends, emerging technologies, and best practices to drive continuous improvement and innovation
**Qualifications**
------------------
* BS or MS in computer science, related scientific or technical field, or equivalent  
professional experience
* 7\+ years of experience in product management, preferably with 3\+ years of experience building ML and AI solutions at enterprise scale
* Problem\-solver with the ability to create simple and intuitive solutions from complex requirements
* Passion for learning and invention, as well as for efficient processes and scalable execution
* Experience with the product development cycle and new product launches
* Excellent communicator and collaborator, with the ability to effectively share complex technical concepts with both technical and non\-technical stakeholders
**How to Apply**
----------------
If you are ready to embark on an exhilarating journey at the forefront of AI, seize this incredible opportunity and apply here. We eagerly anticipate hearing from you!
Note: Compensation and equity will be market\-competitive for well\-capitalized, early stage startups and will be discussed during the interview process.
Compensation Range: $195K \- $210K</t>
        </is>
      </c>
    </row>
    <row r="109">
      <c r="A109" t="inlineStr">
        <is>
          <t>in-10a061b0d673b731</t>
        </is>
      </c>
      <c r="B109" t="inlineStr">
        <is>
          <t>Product Owner</t>
        </is>
      </c>
      <c r="C109" t="inlineStr">
        <is>
          <t>DriveCentric</t>
        </is>
      </c>
      <c r="D109" t="inlineStr">
        <is>
          <t>indeed</t>
        </is>
      </c>
      <c r="E109">
        <f>HYPERLINK("https://www.indeed.com/viewjob?jk=10a061b0d673b731", "https://www.indeed.com/viewjob?jk=10a061b0d673b731")</f>
        <v/>
      </c>
      <c r="F109">
        <f>HYPERLINK("https://recruitingbypaycor.com/career/JobIntroduction.action?id=8a7883ac9be7cb38019c1fd7fe921f7d&amp;source=Indeed+Free", "https://recruitingbypaycor.com/career/JobIntroduction.action?id=8a7883ac9be7cb38019c1fd7fe921f7d&amp;source=Indeed+Free")</f>
        <v/>
      </c>
      <c r="G109" t="inlineStr">
        <is>
          <t>St. Louis, MO, US</t>
        </is>
      </c>
      <c r="H109" s="3" t="n">
        <v>46054</v>
      </c>
      <c r="I109" t="inlineStr">
        <is>
          <t>**Job Description**
We're looking for a Product Owner to join our dynamic Product Team and help drive the future of our industry\-leading CRM platform for automotive dealerships. In this role, you'll play a key part in contributing to the product roadmap, collaborating across teams and departments, and ensuring the successful execution and support of new features, enhancements, and projects that create real impact for our users.
**Who We Are**
DriveCentric is a premier customer relationship management (CRM) software company connecting automotive dealerships with customers in innovative and award\-winning ways. As the fastest\-growing software company in St. Louis and a Top Workplace for three consecutive years, we are expanding our Product Team.
**What You’ll Do**
* Serve as the voice of the product, translating strategic goals into business requirements, facilitating product design, and championing product launches
* Collaborate with Users, Engineering, Customer Success, Sales, and Key Stakeholders to define, prioritize, and deliver product enhancements and solutions
* Manage the day\-to\-day execution of product bug fixes, features, and larger\-scale initiatives from concept to global release
* Manage third\-party partner communications and projects to ensure alignment with product goals and facilitate smooth collaboration
* Work closely with other Product Owners, the Director of Product, and key stakeholders to align product efforts with company goals and long\-term vision
* Champion a deep understanding of the product, customer needs, and market trends to help guide decision\-making
* Act as a communicator, coordinator, and advocate for product priorities across internal teams
**What We’re Looking For**
**Professional Experience**
* 5\+ years of previous experience in a product\-focused role (Product Owner, Product Manager, or similar)
* 3\+ years of previous experience in a product\-focused role at an automotive SaaS company
* Experience working with third\-party integrations, APIs, and vendor partnerships
* Experience supporting go\-to\-market efforts like feature rollouts, training, and documentation
* Experience working in collaboration with Business Development and GTM Teams
**Technical Skils**
* Experience with Atlassian JIRA products
* Experience with Figma Design products
* Experience working closely with software engineering teams, translating business requirements into light technical requirements
* Deep understanding of standard software development processes
* Ability to analyze user feedback and data to identify opportunities for product enhancements
**Core Competencies**
* **Autonomy \&amp; Flexibility**: Comfortable working autonomously and navigating ambiguity \- able to move initiatives forward without always having perfectly defined requirements
* **Communication Skills**: Strong verbal and written communication abilities to effectively collaborate with cross\-functional teams and stakeholders
* **Task Versatility**: Willingness to handle a wide variety of tasks, from strategy and documentation to QA and support coordination
* **Customer\-Facing**: Comfortable engaging directly with customers to gather feedback, present solutions, and represent the product team in meetings or demos
* **Persuasion \&amp; Problem\-Solving**: Ability to overcome objections and influence outcomes by clearly articulating value, navigating concerns, and adapting to challenges
**What We’re Looking For (Pluses)**
* Prior work in a startup, high\-growth environment
**Why Join Us?**
At DriveCentric, we foster an inviting, productive work culture that prioritizes customer satisfaction and rewards hard work. Employees are eligible to participate in the company's bonus program.
**Join Us:**
Take the next step in your career with DriveCentric and experience the rewards of being part of a rapidly growing, innovative team. We encourage you to take a moment to visit our LinkedIn page and watch a short video that showcases our office and culture. https://www.linkedin.com/posts/drivecentric\_drivecentric\-office\-activity\-7008146024963698688\-ftQU?utm\_source\=share\&amp;utm\_medium\=member\_ios
**Equal Opportunity Statement:**
DriveCentric is an Equal Opportunity Employer. We do not discriminate based on race, color, religion, sex, sexual orientation, gender identity, national origin, disability, veteran status, or other protected characteristics. All qualified applicants are encouraged to apply
**Benefits**:
* Paid Time Off
* Nine (9\) Paid Holidays
* 401(k) plus employer match
* Health Insurance
* Flexible Spending Account
* Health Savings Account
* Dental Insurance
* Vision Insurance
* Short/Long\-Term Disability Insurance
* Employer\-paid Life Insurance
* Additional Voluntary Life Insurance
* Accident Insurance
* Critical Care Insurance
* Hospital Indemnity Insurance
* Employee Assistance Program
**Compensation Packag**e:
* Bonus opportunities
**Schedule**:
* 8\.5\-hour shift
* Day Shift
* Monday to Friday  
**Work Location: DriveCentric HQ \- St. Louis, MO \- In Person****: DriveCentric HQ \- St. Louis, MO \- In PersonWor**
Work Location
: DriveCentric HQ \- St. Louis, MO \- In Person</t>
        </is>
      </c>
    </row>
    <row r="110">
      <c r="A110" t="inlineStr">
        <is>
          <t>in-447bfee8bfe65ef4</t>
        </is>
      </c>
      <c r="B110" t="inlineStr">
        <is>
          <t>Research Program Manager</t>
        </is>
      </c>
      <c r="C110" t="inlineStr">
        <is>
          <t>Cook Children's Health Care System</t>
        </is>
      </c>
      <c r="D110" t="inlineStr">
        <is>
          <t>indeed</t>
        </is>
      </c>
      <c r="E110">
        <f>HYPERLINK("https://www.indeed.com/viewjob?jk=447bfee8bfe65ef4", "https://www.indeed.com/viewjob?jk=447bfee8bfe65ef4")</f>
        <v/>
      </c>
      <c r="F110">
        <f>HYPERLINK("https://cookchildrens.wd1.myworkdayjobs.com/en-US/Cook_Childrens_Careers/job/Fort-Worth-TX/Research-Program-Manager_JR-115657-1", "https://cookchildrens.wd1.myworkdayjobs.com/en-US/Cook_Childrens_Careers/job/Fort-Worth-TX/Research-Program-Manager_JR-115657-1")</f>
        <v/>
      </c>
      <c r="G110" t="inlineStr">
        <is>
          <t>Fort Worth, TX, US</t>
        </is>
      </c>
      <c r="H110" s="3" t="n">
        <v>46054</v>
      </c>
      <c r="I110" t="inlineStr">
        <is>
          <t>Location:
Medical Center Office Building (901 7th Ave)
Department:
Research Administration
Shift:
First Shift (United States of America)
Standard Weekly Hours:
40
Summary:
The Research Program Manager advances organizational research priorities and supports the research enterprise of the organization’s clinical and scientific centers by orchestrating core projects and standardizing center\-specific processes, focusing on strategic execution and compliance. The role serves as the operational bridge for best practice adoption, scientific advancement, and resource optimization in support of cross\-disciplinary teams. This role partners closely with research leadership and project teams to ensure alignment of strategy, funding and compliance, standardize processes, optimize project delivery, and advance the mission and integrity of research activities across all centers.
Experience* At least 5 years of experience in research, project management, or process improvement
Education* Bachelor’s Degree (Education, Business, Healthcare, or related field)
About Us:
Cook Children's Health Care System
Cook Children's Health Care System offers a unique approach to caring for children because we are one of the country's leading integrated pediatric health care delivery organizations. Patients benefit from the integrated system because it allows Cook Children's to use all of its resources to treat a patient and allows for easy communication between the various companies by physicians with a focus on caring for children and adolescents.
Cook Children’s is an equal opportunity employer. As such, Cook Children’s offers equal employment opportunities without regard to race, color, religion, sex, age, national origin, physical or mental disability, pregnancy, protected veteran status, genetic information, or any other protected class in accordance with applicable federal laws. These opportunities include terms, conditions and privileges of employment, including but not limited to hiring, job placement, training, compensation, discipline, advancement and termination.</t>
        </is>
      </c>
    </row>
    <row r="111">
      <c r="A111" t="inlineStr">
        <is>
          <t>in-259c7053ad6ebe7a</t>
        </is>
      </c>
      <c r="B111" t="inlineStr">
        <is>
          <t>Sr. Program Manager-Rail Activation &amp; Testing - 90364948 - Onsite New York, NY</t>
        </is>
      </c>
      <c r="C111" t="inlineStr">
        <is>
          <t>Amtrak</t>
        </is>
      </c>
      <c r="D111" t="inlineStr">
        <is>
          <t>indeed</t>
        </is>
      </c>
      <c r="E111">
        <f>HYPERLINK("https://www.indeed.com/viewjob?jk=259c7053ad6ebe7a", "https://www.indeed.com/viewjob?jk=259c7053ad6ebe7a")</f>
        <v/>
      </c>
      <c r="F111">
        <f>HYPERLINK("https://careers.amtrak.com/job/New-York-Sr_-Program-Manager-Rail-Activation-&amp;-Testing-90364948-Onsite-New-York%2C-NY-NY-10119/1305239200/?feedId=75300&amp;utm_source=Indeed&amp;utm_campaign=Amtrak_Indeed", "https://careers.amtrak.com/job/New-York-Sr_-Program-Manager-Rail-Activation-&amp;-Testing-90364948-Onsite-New-York%2C-NY-NY-10119/1305239200/?feedId=75300&amp;utm_source=Indeed&amp;utm_campaign=Amtrak_Indeed")</f>
        <v/>
      </c>
      <c r="G111" t="inlineStr">
        <is>
          <t>New York, NY, US</t>
        </is>
      </c>
      <c r="H111" s="3" t="n">
        <v>46054</v>
      </c>
      <c r="I111"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Under the direction of the (Project Director, Hudson Tunnel), the Sr Program Mgr – Rail Systems Activation Testing \&amp; Commissioning (T\&amp;C) is responsible for testing, commissioning and all related activities as required by the Hudson Tunnel Project and Amtrak’s internal and external customers. The position is expected to operate with minimum supervision and will collaborate with a team of engineers and/or third\-party engineering contractors, and suppliers as required. The Sr Program Mgr provides guidance for achieving best practices in construction management and project systems activation \&amp; commissioning methods. The incumbent is responsible for providing management support in testing \&amp; commissioning projects that provide improved system safety and security, state of good repair, facility upgrades and enhancements, and system expansions. In addition, the incumbent coordinates the inhouse systems activation testing \&amp; commissioning eff orts of the entire program within Amtrak\-owned and/or maintained right\-of\-way, including track, bridges, buildings, signals and communications and electric traction facilities.
 **ESSENTIAL FUNCTIONS****:*** Establish Program Control structures for effective execution of the Testing and Commissioning program and processes of project driven initiatives for the program.
* Train control system design, construction, testing and commissioning.
* Rail and transit operation Design standards and safety regulations.
* Understanding of project requirements and project closeout.
* Basic to intermediate understanding of other subsystems such as Communications, Supervisory Control and Data Acquisition/ SCADA, Traction power, Tunnel Ventilation, On\-Board, Auxiliary Electrical Systems, and Mechanical\-Electrical (MEP).
* Intermediate to advanced understanding of On\-Board/ Wayside Interface Intermediate to advanced understanding of Train Control technologies such as: Automatic Train Control (ATC), Positive Train Control (PTC), and Communications\-Based Train Control (CBTC) Systems Engineering \&amp; Systems Integration.
* Work with Designer of Record to identify, document and elevate cross\-organizational and vendor\-driven that impact project management or program acceptance, including systems.
* Work with peers across the organization to develop and implement appropriate management processes with internal stakeholders for implementation.
* Identify and manage assessment of scope, schedule and budget through the appropriate design process and support the systems testing and configuration program.
* Work with team members providing guidance and support technologies in support of the Hudson Tunnel Project guidance on adherence to the Project Management practices.
* Build strong relationships within Amtrak to understand the business challenges and opportunities with the delivery of the Hudson Tunnel as directed.
* Cultivate partnership among team members and portfolio stakeholders by ensuring a quality management process during T\&amp;C development.
* Ensure program adherence to the Amtrak Program Management methods and governance standards.
 **MINIMUM QUALIFICATIONS****:*** Bachelor’s Degree required OR equivalent combination of training, education and relevant experience may be considered in lieu of a degree
* Strong project and program management skills.
* Superb communication and stakeholder management skills with focus on collaboration, team building, and customer service.
* Must have work authorization in the United States.
 **MINIMUM KNOWLEDGE, SKILLS, AND ABILITIES:**
* Strong project and program management skills.
* Strong focus on collaboration, team building, and customer service.
* Highly motivated and self\-directed.
* Excellent analytical, mathematical, and creative problem\-solving skills.
* Excellent listening, interpersonal, written, and oral communication skills.
* Logical and efficient, with keen attention to detail.
* Microsoft Office (Word, Excel, Visio, PowerPoint, MS Project).
 **PREFERRED EXPERIENCE, EDUCATION OR QUALIFICATIONS****:**  
* 9\-12 years of relevant experience preferred.
* Graduate degree
* PMP Certification.
* Experience managing programs in the transportation industry environment.
 **WORK ENVIRONMENT****:*** Four (4\) days a week in office.
* Sit at computer to complete assignments, projects, and majority of tasks.
* Ability to work under pressure.
* Occasional travel as needed, up to 25%
 **COMMUNICATIONS AND INTERPERSONAL SKILLS****:**
Must have excellent oral and written communication skills.  
The salary/hourly range is ***$135,800\-$176,040***. Pay is based on several factors including but not limited to education, work experience, certifications, internal equity,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ID:**164716
**Work Arrangement:**06\-Onsite 4/5 Days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12">
      <c r="A112" t="inlineStr">
        <is>
          <t>in-7c72a29acf443e4d</t>
        </is>
      </c>
      <c r="B112" t="inlineStr">
        <is>
          <t>Program Manager</t>
        </is>
      </c>
      <c r="C112" t="inlineStr">
        <is>
          <t>Odyssey Systems Consulting Group</t>
        </is>
      </c>
      <c r="D112" t="inlineStr">
        <is>
          <t>indeed</t>
        </is>
      </c>
      <c r="E112">
        <f>HYPERLINK("https://www.indeed.com/viewjob?jk=7c72a29acf443e4d", "https://www.indeed.com/viewjob?jk=7c72a29acf443e4d")</f>
        <v/>
      </c>
      <c r="F112">
        <f>HYPERLINK("https://careers-odysseyconsult.icims.com/jobs/7356/job?utm_source=indeed_integration&amp;iis=Job%20Board&amp;iisn=Indeed&amp;indeed-apply-token=73a2d2b2a8d6d5c0a62696875eaebd669103652d3f0c2cd5445d3e66b1592b0f", "https://careers-odysseyconsult.icims.com/jobs/7356/job?utm_source=indeed_integration&amp;iis=Job%20Board&amp;iisn=Indeed&amp;indeed-apply-token=73a2d2b2a8d6d5c0a62696875eaebd669103652d3f0c2cd5445d3e66b1592b0f")</f>
        <v/>
      </c>
      <c r="G112" t="inlineStr">
        <is>
          <t>Hanscom AFB, MA, US</t>
        </is>
      </c>
      <c r="H112" s="3" t="n">
        <v>46054</v>
      </c>
      <c r="I112" t="inlineStr">
        <is>
          <t>Position Summary:
Odyssey Systems has an exciting opportunity for a **Program Manager** providing support to Program Executive Office for Nuclear Command, Control, Communications Sentinel Integrated Product Team via the Nuclear Networks Division (NCN).The AFNWC/NC3 Integration Directorate is headquartered at Hanscom Air Force Base, MA, with an operating location at Kirtland AFB, NM. The NC3 Directorate’s mission is to provide support to the Program Executive Office (PEO), the Deputy Director, Deputy AFPEO NC3 and staff for acquisition and administrative control of all NC divisions, branches, and programs. It consists of an Executive Section, Engineering (EN), Financial Management (FM), Operations Management (OM), Information Protection (IP), Contracts (PK), Cyber, Logistics (LG), the Program Execution Group (PEG) and Intelligence (IN). This position resides in the Strategic Communication (NCS) Division, Senior Leader Network Program Management Office.  
This position’s primary role will oversee coordination of a 10\+ person team preparing Power Point presentations to senior leadership on budget, time\-line and paperwork processing. The position will be the focal point for all things NC3 integration within the Sentinel Program.  
This is a full\-time position located at Hanscom Air Force Base, Bedford, MA.
Responsibilities:
In this Advisory and Assistance Services (A\&amp;AS) role, you will provide expert\-level support to Department of Defense (DoD) programs by assisting government leadership with decision\-making, planning, and execution throughout the acquisition lifecycle. You will apply your technical and/or professional expertise to ensure compliance with applicable policies and regulations, contribute to mission success, and help deliver critical capabilities to the warfighter. **Duties include, but not limited to:*** Comprehensive knowledge of principles, policies, and practices of systems acquisition and program management, as defined in DoDI 5000\.02 Operation of the Adaptive Acquisition Framework, AFI 63\-101/20\-101, as well as knowledge of roles and relationships within the DoD and the Air Force.
* Knowledge of qualitative and quantitative techniques for gathering, analyzing, and measuring the effectiveness, efficiency, and productivity of acquisition, sustainment, or modification programs.
* Knowledge of support activities that assist the program manager in assessing what programs are within schedule and cost baselines, be able to recommend viable solutions to problems, and the pursuit of alternative courses of action.
* Effectively communicate orally and in writing, providing quality acquisition and program documentation (briefings, documents, plans, etc.).
* Plan, research, analyze, and assess system acquisition in terms of development, production, deployment and sustainment of weapons systems and associated equipment as well as formulate plans and recommend effective strategies in meeting cost, schedule, and performance objectives.
* Support and develop acquisition and sustainment reports, including statutory and regulatory reports (i.e. Defense Acquisition Executive Summary (DAES), Monthly Activity Report (MAR), etc.).
* Support program management reviews, senior level meeting/reviews, and IMP/IMS reviews.
* Support and develop various briefings/schedules of program status and acquisition tasks to senior management.
* Understand the different funding types, budgets and the Central Asset Management (CAM) process
Qualifications:
**Citizenship: Must be a US citizen** **Minimum Required Qualifications****Clearance:** Must have and be able to maintain a Top\-Secret Clearance with SCI Eligibility**Education:** BA/BS Degree and 3\- 10 years of relevant experience **Preferred Qualifications** **Experience:**
* Air Force acquisition experience with strong emphasis on acquisition documentation processing.
* Ability to work in fast paced environment, often with minimal direction/oversight
**Additional Information****Location:** Hanscom Air Force Base, Bedford, MA**Travel:** Frequent Travel based on the needs of the program**Remote, Onsite, or Hybrid:** On\-Site  
\#LI\-JG1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13">
      <c r="A113" t="inlineStr">
        <is>
          <t>in-5a68d60909943bf8</t>
        </is>
      </c>
      <c r="B113" t="inlineStr">
        <is>
          <t>Engineering Program Manager</t>
        </is>
      </c>
      <c r="C113" t="inlineStr">
        <is>
          <t>Array Tech</t>
        </is>
      </c>
      <c r="D113" t="inlineStr">
        <is>
          <t>indeed</t>
        </is>
      </c>
      <c r="E113">
        <f>HYPERLINK("https://www.indeed.com/viewjob?jk=5a68d60909943bf8", "https://www.indeed.com/viewjob?jk=5a68d60909943bf8")</f>
        <v/>
      </c>
      <c r="F113">
        <f>HYPERLINK("https://arraytechinc.wd5.myworkdayjobs.com/Array_Careers/job/Chandler/Engineering-Program-Manager_R-100632", "https://arraytechinc.wd5.myworkdayjobs.com/Array_Careers/job/Chandler/Engineering-Program-Manager_R-100632")</f>
        <v/>
      </c>
      <c r="G113" t="inlineStr">
        <is>
          <t>Chandler, AZ, US</t>
        </is>
      </c>
      <c r="H113" s="3" t="n">
        <v>46054</v>
      </c>
      <c r="I113" t="inlineStr">
        <is>
          <t>**Job Description:**
 **Engineering Program Manager**
**Job Summary:**
As the Program Managers define and execute our tracker product innovations, updates, enhancements, and overall improvements as we continue to deliver best\-in\-class products and features. This position involves cross\-organizational collaboration to ensure development projects and engineering changes are completed on time, on budget and at the product cost target.
**Key Job Responsibilities:**
* Coordinate, maintain and communicate development schedules
* Develop and monitor timelines and cost estimates for development tasks
* Direct globally dispersed, cross\-functional results\-driven teams
* Assess risks and opportunities and develop actions to address them
* Generate design program documentation per established processes and procedures
* Work with management to resolve resource conflicts, remove roadblocks, and implement risk mitigations
* Manage scope definition and change control
* Report program status to various organizational levels
* Read and interpret engineering documents
* Lead the evaluation of selected concepts to meet functional, clinical, and customer needs
* Create purchase requisitions for components/supplies/equipment to support prototype assembly
* Support preliminary OEM vendor assessment/selection
* Perform other duties as assigned
**Qualifications:**
* Bachelor’s degree in a business or engineering related discipline
* 4\+ years of experience in development programs of mechanical, electrical, or electro\-mechanical products
* 3\+ years In\-depth working experience with electromechanical, electronics production techniques
* 2\+ years working expertise with Stage Gate Product Development processes
* 2\+ years of experience working in a matrixed environment
* Excellent communication, organizational, and time\-management skills
* Ability to lead, motivate, and inspire a strong team
* Ability to work across multiple organizations in a fast paced, smaller company environment
* Executive presence with the ability to confidently interact at a leadership level
**Preferred qualifications:**
* Experience in the solar industry
At Array Tech, Inc., we strive to lead with our culture, and believe that our people are a key enabler of our future state. Our total rewards philosophy supports Array’s ability to attract, develop, and retain our employees. We offer competitive compensation, benefits and wellness programs that align with the local markets where we do business.
***Array Tech, Inc. offers equal employment opportunity without regard to race, color, gender, age, creed, sex, religion, national origin, disability (physical or mental), marital status, citizenship, ancestry, sexual orientation, gender identity, and gender expression, or any other legally protected status.***</t>
        </is>
      </c>
    </row>
    <row r="114">
      <c r="A114" t="inlineStr">
        <is>
          <t>in-3f43273392e3e5e8</t>
        </is>
      </c>
      <c r="B114" t="inlineStr">
        <is>
          <t>Senior Program / Product Manager</t>
        </is>
      </c>
      <c r="C114" t="inlineStr">
        <is>
          <t>Nightwing</t>
        </is>
      </c>
      <c r="D114" t="inlineStr">
        <is>
          <t>indeed</t>
        </is>
      </c>
      <c r="E114">
        <f>HYPERLINK("https://www.indeed.com/viewjob?jk=3f43273392e3e5e8", "https://www.indeed.com/viewjob?jk=3f43273392e3e5e8")</f>
        <v/>
      </c>
      <c r="F114">
        <f>HYPERLINK("https://nwis.wd12.myworkdayjobs.com/NW/job/Annapolis-Junction-MD/Senior-Program---Product-Manager_JR101180", "https://nwis.wd12.myworkdayjobs.com/NW/job/Annapolis-Junction-MD/Senior-Program---Product-Manager_JR101180")</f>
        <v/>
      </c>
      <c r="G114" t="inlineStr">
        <is>
          <t>Annapolis Junction, MD, US</t>
        </is>
      </c>
      <c r="H114" s="3" t="n">
        <v>46054</v>
      </c>
      <c r="I114"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an experienced **Senior Program / Product Manager** to lead high\-visibility, mission\-critical programs in a fast\-paced, government\-focused environment. In this role, you will own complex initiatives end\-to\-end—driving strategy, execution, and delivery while serving as the primary bridge between stakeholders, technical teams, and government partners.
This is a leadership position designed for a seasoned professional who thrives on accountability, autonomy, and impact.
***\*\*\* Candidates must have an active TS/SCI with CI Poly***
Location: Annapolis Junction, Maryland
Key Job Responsibilities:
* Lead and direct complex, government\-funded programs and contracts, ensuring successful delivery on time and within budget
* Serve as the principal liaison between the Contractor and Government stakeholders
* Plan, direct, and coordinate program operations, including policy formulation and daily execution
* Manage resources effectively balancing personnel, materials, schedules, and priorities
* Provide timely and accurate technical, managerial, and contractual deliverables to the Government
* Oversee quality assurance across the program, ensuring consistent implementation of methodologies such as Agile
* Ensure continuity and collaboration across cross\-functional teams
* Independently perform all functional duties while guiding and mentoring less\-senior staff as needed
* Maintain oversight of assigned personnel and be accountable for team performance and outcomes
Minimum Requirements
* 10\+ years of relevant experience in program or product management (or qualifying substitution)
* Current TS/SCI CI Poly clearance
* Proven success managing high\-visibility or mission\-critical programs
* Ability to operate independently while leading complex initiatives
* Strong leadership, communication, and stakeholder\-management skills
* Experience implementing and overseeing Agile methodologies
* IAT Level II certification (required)
* Ability to meet any additional certification requirements as specified
Active and transferable Active U.S. government issued security clearance is required prior to start date. U.S. citizenship is required, as only U.S. citizens are eligible for a security clearance.
**Please Note: This position is contingent upon contract award.**
-----------------------------------------------------------------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15">
      <c r="A115" t="inlineStr">
        <is>
          <t>in-6904e8cd687a5235</t>
        </is>
      </c>
      <c r="B115" t="inlineStr">
        <is>
          <t>Product Manager Sr</t>
        </is>
      </c>
      <c r="C115" t="inlineStr">
        <is>
          <t>PNC Financial Services Group</t>
        </is>
      </c>
      <c r="D115" t="inlineStr">
        <is>
          <t>indeed</t>
        </is>
      </c>
      <c r="E115">
        <f>HYPERLINK("https://www.indeed.com/viewjob?jk=6904e8cd687a5235", "https://www.indeed.com/viewjob?jk=6904e8cd687a5235")</f>
        <v/>
      </c>
      <c r="F115">
        <f>HYPERLINK("https://d.hodes.com/r/tp2?e=se&amp;tv=pixel_tracker&amp;aid=pncbank&amp;p=web&amp;se_ca=indeed&amp;se_ac=click&amp;se_la=22940312&amp;u=https%3A%2F%2Fcareers.pnc.com%2Fglobal%2Fen%2Fjob%2FPNC1GLOBALR211132%2FProduct-Manager-Sr%3Futm_source%3DIndeed%26utm_medium%3Dsymphonytalent-jobads%26utm_campaign%3DProduct%2520Management%2520%26%2520Digital%26utm_content%3DProduct%2520Manager%2520Sr%26utm_term%3DR211132&amp;se_pr=792795cc1065eefa&amp;se_va=11059&amp;tr_af=organic&amp;ti_id=2014_R211132&amp;signature=l7TqdWOhFk2hqPvbY3LPpPfFT1E7JP5IaIXRePxhxP8", "https://d.hodes.com/r/tp2?e=se&amp;tv=pixel_tracker&amp;aid=pncbank&amp;p=web&amp;se_ca=indeed&amp;se_ac=click&amp;se_la=22940312&amp;u=https%3A%2F%2Fcareers.pnc.com%2Fglobal%2Fen%2Fjob%2FPNC1GLOBALR211132%2FProduct-Manager-Sr%3Futm_source%3DIndeed%26utm_medium%3Dsymphonytalent-jobads%26utm_campaign%3DProduct%2520Management%2520%26%2520Digital%26utm_content%3DProduct%2520Manager%2520Sr%26utm_term%3DR211132&amp;se_pr=792795cc1065eefa&amp;se_va=11059&amp;tr_af=organic&amp;ti_id=2014_R211132&amp;signature=l7TqdWOhFk2hqPvbY3LPpPfFT1E7JP5IaIXRePxhxP8")</f>
        <v/>
      </c>
      <c r="G115" t="inlineStr">
        <is>
          <t>Lakewood, CO, US</t>
        </is>
      </c>
      <c r="H115" s="3" t="n">
        <v>46054</v>
      </c>
      <c r="I115"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Manager Sr within PNC's Retail organization, you will be based in Denver, Colorado.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Drives business and financial results through the selection, design, development and promotion of new and existing products or experiences utilizing traditional and emerging capabilities in technology, operations, and data analytics to offer customers a differentiated product experience.
Uses knowledge of emerging technologies to deliver products to customers through all applicable channels. Prioritizes and makes decisions regarding product recommendations. Develops business case, business plan and roll\-out of specific products or experiences.
Monitors the marketplace to assess product, technology, and market trends to identify a market need or opportunity. Recommends new products or enhancements to existing products or experiences and develops and designs innovative features. Manages the development, production, roll\-out, pricing or promotion of specific products, and recognizes, anticipates and resolves operational and process problems that arise.
Partners with key stakeholders including sales, marketing, digital channel delivery, and other internal service partners. Participates in client\-facing and external stakeholder activities to ensure all product offerings or experiences meet strategic goals. Develops product\-specific marketing initiatives. Supports risk management, compliance and audit needs as part of the first line of defense.
Drives business, financial and customer experience results of new and existing products and recommends modifications in product features and/or marketing to improve results.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Business Objectives, Customer Solutions, Marketing, Product Development, Product Management, Sales
Competencies Business Acumen, Collaborating, Competitive Environment, Decision Making and Critical Thinking, Design Thinking, Effective Communications, Emerging Technologies, Innovation, Knowledge Of Product Line, Problem Solving, Producing Results,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$74,750\.00 – $139,150\.00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02/02/2026,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16">
      <c r="A116" t="inlineStr">
        <is>
          <t>in-4736975ee62ed2fd</t>
        </is>
      </c>
      <c r="B116" t="inlineStr">
        <is>
          <t>Product Manager Lead-Strategic Partnerships Delivery</t>
        </is>
      </c>
      <c r="C116" t="inlineStr">
        <is>
          <t>PNC Financial Services Group</t>
        </is>
      </c>
      <c r="D116" t="inlineStr">
        <is>
          <t>indeed</t>
        </is>
      </c>
      <c r="E116">
        <f>HYPERLINK("https://www.indeed.com/viewjob?jk=4736975ee62ed2fd", "https://www.indeed.com/viewjob?jk=4736975ee62ed2fd")</f>
        <v/>
      </c>
      <c r="F116">
        <f>HYPERLINK("https://d.hodes.com/r/tp2?e=se&amp;tv=pixel_tracker&amp;aid=pncbank&amp;p=web&amp;se_ca=indeed&amp;se_ac=click&amp;se_la=22940289&amp;u=https%3A%2F%2Fcareers.pnc.com%2Fglobal%2Fen%2Fjob%2FPNC1GLOBALR210382%2FProduct-Manager-Lead-Strategic-Partnerships-Delivery%3Futm_source%3DIndeed%26utm_medium%3Dsymphonytalent-jobads%26utm_campaign%3DProduct%2520Management%2520%26%2520Digital%26utm_content%3DProduct%2520Manager%2520Lead-Strategic%2520Partnerships%2520Delivery%26utm_term%3DR210382&amp;se_pr=792795cc1065eefa&amp;se_va=11059&amp;tr_af=organic&amp;ti_id=2014_R210382&amp;signature=l7TqdWOhFk2hqPvbY3LPpPfFT1E7JP5IaIXRePxhxP8", "https://d.hodes.com/r/tp2?e=se&amp;tv=pixel_tracker&amp;aid=pncbank&amp;p=web&amp;se_ca=indeed&amp;se_ac=click&amp;se_la=22940289&amp;u=https%3A%2F%2Fcareers.pnc.com%2Fglobal%2Fen%2Fjob%2FPNC1GLOBALR210382%2FProduct-Manager-Lead-Strategic-Partnerships-Delivery%3Futm_source%3DIndeed%26utm_medium%3Dsymphonytalent-jobads%26utm_campaign%3DProduct%2520Management%2520%26%2520Digital%26utm_content%3DProduct%2520Manager%2520Lead-Strategic%2520Partnerships%2520Delivery%26utm_term%3DR210382&amp;se_pr=792795cc1065eefa&amp;se_va=11059&amp;tr_af=organic&amp;ti_id=2014_R210382&amp;signature=l7TqdWOhFk2hqPvbY3LPpPfFT1E7JP5IaIXRePxhxP8")</f>
        <v/>
      </c>
      <c r="G116" t="inlineStr">
        <is>
          <t>Philadelphia, PA, US</t>
        </is>
      </c>
      <c r="H116" s="3" t="n">
        <v>46054</v>
      </c>
      <c r="I116"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Manager Lead within PNC's Retail Lending organization, you will be based in Wilmington, DE or Philadelphia, PA.
As a Product Manager Lead, you will play a critical role in shaping how credit card business strategy, technology priorities, and customer journey needs are translated into clear expectations and executable roadmaps for key technology vendors. This role focuses on strategic partner and vendor relationship management, ensuring that external partners fully understand internal business, data, and architectural needs—and that those needs are incorporated into vendor delivery plans and roadmaps.
You will operate as a senior individual contributor with end to end accountability for vendor alignment, delivery oversight, and value realization across complex, multi team initiatives. Acting as the primary bridge between internal product, data, journey, architecture, and technology teams and external vendors, you will drive clarity, sequencing, and alignment across priorities, dependencies, and execution. This position requires some travel (up to 30%)
Key Responsibilities
* Own strategic relationships with key technology vendors, ensuring ongoing alignment between PNC priorities and vendor delivery, investment, and roadmap planning.
* Serve as the central bridge between internal data, product owners, journey owners, architecture, and engineering teams with strategic technology partners and vendors to align priorities, dependencies, and sequencing—and translate those internal needs into vendor ready requirements and expectations.
* Translate credit card business strategy into adoption roadmaps that connect data capabilities, digital enablement, vendor delivered solutions, and customer journeys.
* Ensure vendor teams correctly understand business, technical, and architectural requirements and incorporate those requirements into their own roadmaps, delivery plans, and solution designs.
* Govern vendor led discovery, solution design, and architectural sessions by ensuring that appropriate internal subject matter experts (SMEs) are engaged and that outputs reflect business and architectural intent.
* Oversee and manage vendor contractual commitments, including SLAs, KPIs, change requests, and adherence to agreed commercial and service terms.
* Act as the primary owner for vendor delivery escalations, driving resolution through structured problem solving, clear accountability, and cross functional coordination.
* Track and govern project intake, delivery commitments, and change requests, ensuring impacts to scope, cost, timelines, and dependencies are clearly understood and managed.
* Analyze and validate vendor billing and invoices, ensuring charges align to contracts, delivered services, and approved consumption models, and identifying opportunities to improve cost efficiency.
* Ensure vendor solutions align with enterprise architecture standards, data governance, security, regulatory, and risk requirements, working closely with lines of defense and risk partners as appropriate.
* Communicate vendor performance, risks, financials, dependencies, and business value realization to senior stakeholders and leadership in a clear, outcome focused manner.
* Provide oversight to ensure legacy coexistence and phased adoption are effectively managed as part of broader modernization and transformation initiatives.
Skills \&amp; Experience
* Proven experience managing strategic technology vendor relationships in complex, regulated environments such as credit cards, retail lending, or broader financial services.
* Strong ability to translate business strategy and architectural intent into clear, actionable expectations for external partners.
* Deep understanding of technology delivery models, vendor contracts, SLAs, and financial governance.
* Demonstrated success leading through influence across product, technology, data, architecture, sourcing, finance, and risk teams.
* Highly structured and analytical, with strong problem solving, communication, and stakeholder management skills.
* Comfortable operating in environments with significant ambiguity, competing priorities, and high visibility.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Responsible for end\-to\-end business and financial results for multi\-faceted, complex products through the selection, design, development and promotion of new and existing products utilizing traditional and emerging capabilities in technology, operations, and data analytics to offer customers a differentiated product experience.
Uses knowledge of emerging technologies to deliver products to customers through all applicable channels. Prioritizes and makes decisions regarding recommendations. Champions business cases, business plan and roll\-out of specific products, product groups or experiences.
Monitors the marketplace to assess product, technology, and markets trends to identify a market need or opportunity. Recommend innovative new products, new experiences or enhancements to existing products and develops and designs the features of a designated new or existing products Manages the end\-to\-end development, production, roll\-out, pricing or promotion of specific products, product groups or experiences and resolves complex operational and process problems that arise .
Partners with key stakeholders including sales, marketing, digital channel delivery, and other internal service partners. Participates and/or leads activities with external stakeholders and clients to ensure all product offerings meet their strategic goals. Develops product\-specific marketing initiatives. Supports risk management, compliance and audit needs as part of the first line of defense.
Drives business, financial and customer experience results of new and existing products and recommends modifications in product features and/or marketing to improve results. Coordinates across groups and leads key contributors.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Business Objectives, Customer Solutions, Marketing, Product Development, Product Management, Sales
Competencies Business Acumen, Collaborating, Competitive Environment, Decision Making and Critical Thinking, Design Thinking, Effective Communications, Emerging Technologies, Innovation, Knowledge Of Product Line, Problem Solving, Producing Results, Solutions Development
Work Experience Roles at this level typically require a university / college degree. Higher level education such as a Masters degree, PhD, or certifications is desirable. Industry relevant experience is typically 8\+ years.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17">
      <c r="A117" t="inlineStr">
        <is>
          <t>in-241cd1c65900b549</t>
        </is>
      </c>
      <c r="B117" t="inlineStr">
        <is>
          <t>Food Program Manager (Auburn, AL)</t>
        </is>
      </c>
      <c r="C117" t="inlineStr">
        <is>
          <t>greenawalt hospitality</t>
        </is>
      </c>
      <c r="D117" t="inlineStr">
        <is>
          <t>indeed</t>
        </is>
      </c>
      <c r="E117">
        <f>HYPERLINK("https://www.indeed.com/viewjob?jk=241cd1c65900b549", "https://www.indeed.com/viewjob?jk=241cd1c65900b549")</f>
        <v/>
      </c>
      <c r="F117">
        <f>HYPERLINK("https://workforcenow.cloud.adp.com/mascsr/default/mdf/recruitment/recruitment.html?cid=9c2362c2-0280-4578-9f09-c8d1281e5863&amp;ccId=19000101_000001&amp;jobId=28580&amp;source=IN&amp;lang=en_US", "https://workforcenow.cloud.adp.com/mascsr/default/mdf/recruitment/recruitment.html?cid=9c2362c2-0280-4578-9f09-c8d1281e5863&amp;ccId=19000101_000001&amp;jobId=28580&amp;source=IN&amp;lang=en_US")</f>
        <v/>
      </c>
      <c r="G117" t="inlineStr">
        <is>
          <t>Columbus, GA, US</t>
        </is>
      </c>
      <c r="H117" s="3" t="n">
        <v>46054</v>
      </c>
      <c r="I117" t="inlineStr">
        <is>
          <t>Greenawalt Hospitality is launching a new Food Department within its Hospitality Division and is seeking a Food Program Manager to lead the initial build\-out of its national food and concessions platform.  
This role is intentionally positioned at the front end of a new Food Department, with a mandate to design, test, and standardize systems before scale. The Food Program Manager is hired ahead of expansion to ensure food operations, standards, and execution models are proven in live tour and event environments prior to departmental growth.  
The Food Program Manager works directly in the field during the early stages, supporting concessions execution, vendor coordination, VIP food service, staffing models, and compliance, while documenting and refining systems that enable long\-term scalability. Over time, this role is expected to evolve into a formal leadership position as volume increases and additional team members are hired.
**Job Type**: Full Time
**Job Location****:** **In\-Person (Auburn) \[Extensive Travel Required]**  
**Key Responsibilities**
* Support and execute food and concessions operations for national tours and events
* Coordinate food vendors, menus, timelines, and on\-site execution
* Assist with VIP food service planning and delivery
* Work hands\-on to test staffing models, workflows, and operational assumptions
* Build SOPs, checklists, and training documentation based on real\-world execution
* Identify operational risks, inefficiencies, and improvement opportunities
* Influence vendor selection, menu strategy, and operational standards through field\-tested recommendations
* Partner cross\-divisionally to ensure alignment across Hospitality, Site Services, Staffing, and CORE teams
* Contribute to long\-term planning for a scalable national concessions model
**Required Qualifications**
---------------------------
* Experience in food service, concessions, hospitality, or event\-based operations with demonstrated management responsibility, including ownership of people, vendors, or operational outcomes
* Strong organizational and problem\-solving skills
* Comfort working in build\-out and evolving operational environments
* Clear, professional communicator who collaborates effectively across teams
* Willingness to travel extensively and work non\-traditional hours during tour seasons
**Additional Clarity**
----------------------
This role is not entry\-level. Prior management experience is required. Early success in this position will be measured by the quality of systems, documentation, and operational clarity created—not by the size of a team managed.  
*U.S. Equal Employment Opportunity laws make it illegal to discriminate* *against a job applicant or an employee because of the person's race, color, religion, sex (including pregnancy, transgender status, and sexual orientation), national origin, age (40 or older), disability or genetic information. All candidates that apply to B\&amp;B will be treated equally and given the same opportunity for the applied position. We ask and follow the same interview questions and procedures to all applicants and do not discriminate. The most qualified candidate will be chosen for the position.*</t>
        </is>
      </c>
    </row>
    <row r="118">
      <c r="A118" t="inlineStr">
        <is>
          <t>in-f3315c43d48bd6a0</t>
        </is>
      </c>
      <c r="B118" t="inlineStr">
        <is>
          <t>Food Program Manager (Auburn, AL)</t>
        </is>
      </c>
      <c r="C118" t="inlineStr">
        <is>
          <t>greenawalt hospitality</t>
        </is>
      </c>
      <c r="D118" t="inlineStr">
        <is>
          <t>indeed</t>
        </is>
      </c>
      <c r="E118">
        <f>HYPERLINK("https://www.indeed.com/viewjob?jk=f3315c43d48bd6a0", "https://www.indeed.com/viewjob?jk=f3315c43d48bd6a0")</f>
        <v/>
      </c>
      <c r="F118">
        <f>HYPERLINK("https://workforcenow.cloud.adp.com/mascsr/default/mdf/recruitment/recruitment.html?cid=9c2362c2-0280-4578-9f09-c8d1281e5863&amp;ccId=19000101_000001&amp;jobId=28580&amp;source=IN&amp;lang=en_US", "https://workforcenow.cloud.adp.com/mascsr/default/mdf/recruitment/recruitment.html?cid=9c2362c2-0280-4578-9f09-c8d1281e5863&amp;ccId=19000101_000001&amp;jobId=28580&amp;source=IN&amp;lang=en_US")</f>
        <v/>
      </c>
      <c r="G118" t="inlineStr">
        <is>
          <t>Auburn, AL, US</t>
        </is>
      </c>
      <c r="H118" s="3" t="n">
        <v>46054</v>
      </c>
      <c r="I118" t="inlineStr">
        <is>
          <t>Greenawalt Hospitality is launching a new Food Department within its Hospitality Division and is seeking a Food Program Manager to lead the initial build\-out of its national food and concessions platform.  
This role is intentionally positioned at the front end of a new Food Department, with a mandate to design, test, and standardize systems before scale. The Food Program Manager is hired ahead of expansion to ensure food operations, standards, and execution models are proven in live tour and event environments prior to departmental growth.  
The Food Program Manager works directly in the field during the early stages, supporting concessions execution, vendor coordination, VIP food service, staffing models, and compliance, while documenting and refining systems that enable long\-term scalability. Over time, this role is expected to evolve into a formal leadership position as volume increases and additional team members are hired.
**Job Type**: Full Time
**Job Location****:** **In\-Person (Auburn) \[Extensive Travel Required]**  
**Key Responsibilities**
* Support and execute food and concessions operations for national tours and events
* Coordinate food vendors, menus, timelines, and on\-site execution
* Assist with VIP food service planning and delivery
* Work hands\-on to test staffing models, workflows, and operational assumptions
* Build SOPs, checklists, and training documentation based on real\-world execution
* Identify operational risks, inefficiencies, and improvement opportunities
* Influence vendor selection, menu strategy, and operational standards through field\-tested recommendations
* Partner cross\-divisionally to ensure alignment across Hospitality, Site Services, Staffing, and CORE teams
* Contribute to long\-term planning for a scalable national concessions model
**Required Qualifications**
---------------------------
* Experience in food service, concessions, hospitality, or event\-based operations with demonstrated management responsibility, including ownership of people, vendors, or operational outcomes
* Strong organizational and problem\-solving skills
* Comfort working in build\-out and evolving operational environments
* Clear, professional communicator who collaborates effectively across teams
* Willingness to travel extensively and work non\-traditional hours during tour seasons
**Additional Clarity**
----------------------
This role is not entry\-level. Prior management experience is required. Early success in this position will be measured by the quality of systems, documentation, and operational clarity created—not by the size of a team managed.  
*U.S. Equal Employment Opportunity laws make it illegal to discriminate* *against a job applicant or an employee because of the person's race, color, religion, sex (including pregnancy, transgender status, and sexual orientation), national origin, age (40 or older), disability or genetic information. All candidates that apply to B\&amp;B will be treated equally and given the same opportunity for the applied position. We ask and follow the same interview questions and procedures to all applicants and do not discriminate. The most qualified candidate will be chosen for the position.*</t>
        </is>
      </c>
    </row>
    <row r="119">
      <c r="A119" t="inlineStr">
        <is>
          <t>in-ff0ec94943072189</t>
        </is>
      </c>
      <c r="B119" t="inlineStr">
        <is>
          <t>Food Program Manager (Auburn, AL)</t>
        </is>
      </c>
      <c r="C119" t="inlineStr">
        <is>
          <t>greenawalt hospitality</t>
        </is>
      </c>
      <c r="D119" t="inlineStr">
        <is>
          <t>indeed</t>
        </is>
      </c>
      <c r="E119">
        <f>HYPERLINK("https://www.indeed.com/viewjob?jk=ff0ec94943072189", "https://www.indeed.com/viewjob?jk=ff0ec94943072189")</f>
        <v/>
      </c>
      <c r="F119">
        <f>HYPERLINK("https://workforcenow.cloud.adp.com/mascsr/default/mdf/recruitment/recruitment.html?cid=9c2362c2-0280-4578-9f09-c8d1281e5863&amp;ccId=19000101_000001&amp;jobId=28580&amp;source=IN&amp;lang=en_US", "https://workforcenow.cloud.adp.com/mascsr/default/mdf/recruitment/recruitment.html?cid=9c2362c2-0280-4578-9f09-c8d1281e5863&amp;ccId=19000101_000001&amp;jobId=28580&amp;source=IN&amp;lang=en_US")</f>
        <v/>
      </c>
      <c r="G119" t="inlineStr">
        <is>
          <t>Phenix City, AL, US</t>
        </is>
      </c>
      <c r="H119" s="3" t="n">
        <v>46054</v>
      </c>
      <c r="I119" t="inlineStr">
        <is>
          <t>Greenawalt Hospitality is launching a new Food Department within its Hospitality Division and is seeking a Food Program Manager to lead the initial build\-out of its national food and concessions platform.  
This role is intentionally positioned at the front end of a new Food Department, with a mandate to design, test, and standardize systems before scale. The Food Program Manager is hired ahead of expansion to ensure food operations, standards, and execution models are proven in live tour and event environments prior to departmental growth.  
The Food Program Manager works directly in the field during the early stages, supporting concessions execution, vendor coordination, VIP food service, staffing models, and compliance, while documenting and refining systems that enable long\-term scalability. Over time, this role is expected to evolve into a formal leadership position as volume increases and additional team members are hired.
**Job Type**: Full Time
**Job Location****:** **In\-Person (Auburn) \[Extensive Travel Required]**  
**Key Responsibilities**
* Support and execute food and concessions operations for national tours and events
* Coordinate food vendors, menus, timelines, and on\-site execution
* Assist with VIP food service planning and delivery
* Work hands\-on to test staffing models, workflows, and operational assumptions
* Build SOPs, checklists, and training documentation based on real\-world execution
* Identify operational risks, inefficiencies, and improvement opportunities
* Influence vendor selection, menu strategy, and operational standards through field\-tested recommendations
* Partner cross\-divisionally to ensure alignment across Hospitality, Site Services, Staffing, and CORE teams
* Contribute to long\-term planning for a scalable national concessions model
**Required Qualifications**
---------------------------
* Experience in food service, concessions, hospitality, or event\-based operations with demonstrated management responsibility, including ownership of people, vendors, or operational outcomes
* Strong organizational and problem\-solving skills
* Comfort working in build\-out and evolving operational environments
* Clear, professional communicator who collaborates effectively across teams
* Willingness to travel extensively and work non\-traditional hours during tour seasons
**Additional Clarity**
----------------------
This role is not entry\-level. Prior management experience is required. Early success in this position will be measured by the quality of systems, documentation, and operational clarity created—not by the size of a team managed.  
*U.S. Equal Employment Opportunity laws make it illegal to discriminate* *against a job applicant or an employee because of the person's race, color, religion, sex (including pregnancy, transgender status, and sexual orientation), national origin, age (40 or older), disability or genetic information. All candidates that apply to B\&amp;B will be treated equally and given the same opportunity for the applied position. We ask and follow the same interview questions and procedures to all applicants and do not discriminate. The most qualified candidate will be chosen for the position.*</t>
        </is>
      </c>
    </row>
    <row r="120">
      <c r="A120" t="inlineStr">
        <is>
          <t>in-8bb1a839139b8cf2</t>
        </is>
      </c>
      <c r="B120" t="inlineStr">
        <is>
          <t>Technical Product Manager, AI</t>
        </is>
      </c>
      <c r="C120" t="inlineStr">
        <is>
          <t>Valence</t>
        </is>
      </c>
      <c r="D120" t="inlineStr">
        <is>
          <t>indeed</t>
        </is>
      </c>
      <c r="E120">
        <f>HYPERLINK("https://www.indeed.com/viewjob?jk=8bb1a839139b8cf2", "https://www.indeed.com/viewjob?jk=8bb1a839139b8cf2")</f>
        <v/>
      </c>
      <c r="F120">
        <f>HYPERLINK("https://jobs.lever.co/valence/0f34e426-7802-4896-abc7-09a78bb40e90?lever-source=Indeed", "https://jobs.lever.co/valence/0f34e426-7802-4896-abc7-09a78bb40e90?lever-source=Indeed")</f>
        <v/>
      </c>
      <c r="G120" t="inlineStr">
        <is>
          <t>San Francisco, CA, US</t>
        </is>
      </c>
      <c r="H120" s="3" t="n">
        <v>46054</v>
      </c>
      <c r="I120"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We’re looking for a **Technical Product Manager, AI Product** to act as a close partner to our **VP of Engineering**, helping drive Valence’s most critical AI and product initiatives. Reporting directly to the VP of Engineering, this role sits at the intersection of **product leadership, AI fluency, and execution**, with broad scope and high impact across the organization.  
You’ll function as a strategic and operational multiplier for engineering leadership — helping translate company priorities into clear product direction, shaping how AI capabilities are built and evaluated, and ensuring our teams are aligned on what matters most. This position operates with **high visibility and influence** across the leadership team and plays a critical role in shaping how our AI product evolves, supporting decision\-making, driving cross\-functional execution, and filling gaps where needed to keep momentum high.  
This role is particularly well\-suited for someone with strong **technical product instincts and AI familiarity**, who can supplement leadership with deeper context on generative AI systems, tradeoffs, and quality considerations. Over time, there is potential for **people management responsibilities**, as the product function continues to grow.  
You’ll operate hands\-on — setting direction, unblocking teams, and driving rapid iteration — while also thinking strategically about how our AI product and platform scale to meet enterprise needs.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
### **What You'll Do**
* Act as a **thought partner and execution lead** for the VP of Engineering across product and AI initiatives
* Lead **strategic product direction and roadmap development** in close partnership with the VP of Engineering, AI leadership, and the wider team
* Own product initiatives end\-to\-end, from **data insights and experimentation** through to shipped features and measurable impact
* Help shape **prioritization, sequencing, and tradeoffs** across engineering, AI, and product workstreams
* Serve as a bridge between **AI, engineering, and product**, ensuring shared context on goals, constraints, and system behavior
* Drive clarity and alignment on **AI product quality, evaluation frameworks, and improvement initiatives**
* Step in as needed to **unblock teams, clarify ownership, or drive cross\-functional initiatives forward**
* Contribute to **organizational planning and process design** that enables teams to move quickly without losing focus
* Support and potentially **manage product team members** as the organization scales
### **What We're Looking For**
* **5\+ years of DevOps / Infrastructure experience**, ideally supporting and scaling B2B SaaS platforms
* Proven experience owning and evolving infrastructure that supports **multiple engineering teams** and production systems
* Strong ability to operate as a **trusted partner to senior engineering leadership**, providing both strategic input and execution support
* Experience acting as a **force multiplier** in complex organizations — comfortable owning ambiguity and driving clarity
* AI/ML product experience or strong intuition for **generative AI systems**, able to reason about quality, tradeoffs, and limitations
* Comfort stepping outside a strict PM role to address organizational or execution gaps when needed
* Interest in **mentoring or managing others** as the team grows (people management experience is a plus, not a requirement)
* Familiarity with enterprise security processes, audits, and procurement workflows
* A **proactive, ownership\-driven mindset** — you see problems before they become incidents and take initiative to fix them
* Ability to collaborate effectively across application, AI, and leadership teams, balancing competing priorities
**What You'll Get** **Ownership \&amp; Rapid Growth*** Outsized missions from day one, with direct responsibility for company\-defining projects
* Work alongside the executive team with transparency into strategy and decision\-making
* Influence on direction through real\-time customer feedback and market insights
 **AI\-First Operator*** Work directly with cutting\-edge AI models and next\-generation platforms
* Build expertise in enterprise AI implementation across Fortune 500 companies and multiple industries
* Establish yourself as a recognized leader among peers in shaping how AI transforms work at a global scale
 **Compensation*** Competitive salary including base \+ bonuses
* Comprehensive health coverage (medical, dental, vision) from day one
* Generous PTO, company\-wide R\&amp;R shutdowns, and paid parental leave
* Retirement plan support for US and global employees
 **Equity*** Meaningful ownership in a venture\-backed company at a growth inflection point
* Financial upside that comes from scaling fast
* Top\-up grants as we scale and you deliver exceptional performance — your compensation grows alongside your impact
 **Top\-Performing Culture*** A culture built for top talent: intensity to win, growth without limits, and a team that solves hard problems and celebrates big wins together
 **Learn more about us and meet our team** **here** **Location and Work Environment**
This role can be either remote or hybrid from our offices in New York or Toronto.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**Employment Verification \&amp; Commitment**
We use third\-party services to verify employment history, education, and other information relevant to your candidacy. Employment is contingent upon the successful completion of these verification checks. This is a full\-time role that requires a high level of focus, availability, and commitment. Employees may not hold concurrent full\-time employment with another organization while employed at Valence. Any outside consulting, advisory, freelance, or other professional work must be disclosed and approved in advance and must not interfere with job responsibilities, availability, performance, or create a conflict of interest \- including risks related to confidentiality, intellectual property, or competition.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in-d16e246eadf98035</t>
        </is>
      </c>
      <c r="B121" t="inlineStr">
        <is>
          <t>Product Owner – Identity &amp; Access Management (IAM)</t>
        </is>
      </c>
      <c r="C121" t="inlineStr">
        <is>
          <t>REPLY</t>
        </is>
      </c>
      <c r="D121" t="inlineStr">
        <is>
          <t>indeed</t>
        </is>
      </c>
      <c r="E121">
        <f>HYPERLINK("https://www.indeed.com/viewjob?jk=d16e246eadf98035", "https://www.indeed.com/viewjob?jk=d16e246eadf98035")</f>
        <v/>
      </c>
      <c r="F121">
        <f>HYPERLINK("https://jobs.lever.co/reply/7c7abe34-84c8-4b6f-967d-78af096dba8d?lever-source=Indeed", "https://jobs.lever.co/reply/7c7abe34-84c8-4b6f-967d-78af096dba8d?lever-source=Indeed")</f>
        <v/>
      </c>
      <c r="G121" t="inlineStr">
        <is>
          <t>Kansas City, MO, US</t>
        </is>
      </c>
      <c r="H121" s="3" t="n">
        <v>46054</v>
      </c>
      <c r="I121"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in-b2148d7c9ef4e031</t>
        </is>
      </c>
      <c r="B122" t="inlineStr">
        <is>
          <t>Product Owner – Identity &amp; Access Management (IAM)</t>
        </is>
      </c>
      <c r="C122" t="inlineStr">
        <is>
          <t>REPLY</t>
        </is>
      </c>
      <c r="D122" t="inlineStr">
        <is>
          <t>indeed</t>
        </is>
      </c>
      <c r="E122">
        <f>HYPERLINK("https://www.indeed.com/viewjob?jk=b2148d7c9ef4e031", "https://www.indeed.com/viewjob?jk=b2148d7c9ef4e031")</f>
        <v/>
      </c>
      <c r="F122">
        <f>HYPERLINK("https://jobs.lever.co/reply/bdad65e2-aadf-44b9-8f63-7948b33e3586?lever-source=Indeed", "https://jobs.lever.co/reply/bdad65e2-aadf-44b9-8f63-7948b33e3586?lever-source=Indeed")</f>
        <v/>
      </c>
      <c r="G122" t="inlineStr">
        <is>
          <t>Seattle, WA, US</t>
        </is>
      </c>
      <c r="H122" s="3" t="n">
        <v>46054</v>
      </c>
      <c r="I122"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$145,000 \- $175,000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in-88a1bd26db6565e1</t>
        </is>
      </c>
      <c r="B123" t="inlineStr">
        <is>
          <t>Product Owner – Identity &amp; Access Management (IAM)</t>
        </is>
      </c>
      <c r="C123" t="inlineStr">
        <is>
          <t>REPLY</t>
        </is>
      </c>
      <c r="D123" t="inlineStr">
        <is>
          <t>indeed</t>
        </is>
      </c>
      <c r="E123">
        <f>HYPERLINK("https://www.indeed.com/viewjob?jk=88a1bd26db6565e1", "https://www.indeed.com/viewjob?jk=88a1bd26db6565e1")</f>
        <v/>
      </c>
      <c r="F123">
        <f>HYPERLINK("https://jobs.lever.co/reply/7c7abe34-84c8-4b6f-967d-78af096dba8d?lever-source=Indeed", "https://jobs.lever.co/reply/7c7abe34-84c8-4b6f-967d-78af096dba8d?lever-source=Indeed")</f>
        <v/>
      </c>
      <c r="G123" t="inlineStr">
        <is>
          <t>Philadelphia, PA, US</t>
        </is>
      </c>
      <c r="H123" s="3" t="n">
        <v>46054</v>
      </c>
      <c r="I123"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in-923b1a05de2e93a9</t>
        </is>
      </c>
      <c r="B124" t="inlineStr">
        <is>
          <t>Product Owner – Identity &amp; Access Management (IAM)</t>
        </is>
      </c>
      <c r="C124" t="inlineStr">
        <is>
          <t>REPLY</t>
        </is>
      </c>
      <c r="D124" t="inlineStr">
        <is>
          <t>indeed</t>
        </is>
      </c>
      <c r="E124">
        <f>HYPERLINK("https://www.indeed.com/viewjob?jk=923b1a05de2e93a9", "https://www.indeed.com/viewjob?jk=923b1a05de2e93a9")</f>
        <v/>
      </c>
      <c r="F124">
        <f>HYPERLINK("https://jobs.lever.co/reply/bdad65e2-aadf-44b9-8f63-7948b33e3586?lever-source=Indeed", "https://jobs.lever.co/reply/bdad65e2-aadf-44b9-8f63-7948b33e3586?lever-source=Indeed")</f>
        <v/>
      </c>
      <c r="G124" t="inlineStr">
        <is>
          <t>Chicago, IL, US</t>
        </is>
      </c>
      <c r="H124" s="3" t="n">
        <v>46054</v>
      </c>
      <c r="I124"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$145,000 \- $175,000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in-95d97e185662ada3</t>
        </is>
      </c>
      <c r="B125" t="inlineStr">
        <is>
          <t>Product Owner – Identity &amp; Access Management (IAM)</t>
        </is>
      </c>
      <c r="C125" t="inlineStr">
        <is>
          <t>REPLY</t>
        </is>
      </c>
      <c r="D125" t="inlineStr">
        <is>
          <t>indeed</t>
        </is>
      </c>
      <c r="E125">
        <f>HYPERLINK("https://www.indeed.com/viewjob?jk=95d97e185662ada3", "https://www.indeed.com/viewjob?jk=95d97e185662ada3")</f>
        <v/>
      </c>
      <c r="F125">
        <f>HYPERLINK("https://jobs.lever.co/reply/bdad65e2-aadf-44b9-8f63-7948b33e3586?lever-source=Indeed", "https://jobs.lever.co/reply/bdad65e2-aadf-44b9-8f63-7948b33e3586?lever-source=Indeed")</f>
        <v/>
      </c>
      <c r="G125" t="inlineStr">
        <is>
          <t>Detroit, MI, US</t>
        </is>
      </c>
      <c r="H125" s="3" t="n">
        <v>46054</v>
      </c>
      <c r="I125"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$145,000 \- $175,000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in-0d3e3f94da0b4103</t>
        </is>
      </c>
      <c r="B126" t="inlineStr">
        <is>
          <t>Product Owner – Identity &amp; Access Management (IAM)</t>
        </is>
      </c>
      <c r="C126" t="inlineStr">
        <is>
          <t>REPLY</t>
        </is>
      </c>
      <c r="D126" t="inlineStr">
        <is>
          <t>indeed</t>
        </is>
      </c>
      <c r="E126">
        <f>HYPERLINK("https://www.indeed.com/viewjob?jk=0d3e3f94da0b4103", "https://www.indeed.com/viewjob?jk=0d3e3f94da0b4103")</f>
        <v/>
      </c>
      <c r="F126">
        <f>HYPERLINK("https://jobs.lever.co/reply/7c7abe34-84c8-4b6f-967d-78af096dba8d?lever-source=Indeed", "https://jobs.lever.co/reply/7c7abe34-84c8-4b6f-967d-78af096dba8d?lever-source=Indeed")</f>
        <v/>
      </c>
      <c r="G126" t="inlineStr">
        <is>
          <t>Atlanta, GA, US</t>
        </is>
      </c>
      <c r="H126" s="3" t="n">
        <v>46054</v>
      </c>
      <c r="I126"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7">
      <c r="A127" t="inlineStr">
        <is>
          <t>in-b39d0e977518d09a</t>
        </is>
      </c>
      <c r="B127" t="inlineStr">
        <is>
          <t>Senior Product Manager, Content Moderation &amp; Processing</t>
        </is>
      </c>
      <c r="C127" t="inlineStr">
        <is>
          <t>Bazaarvoice</t>
        </is>
      </c>
      <c r="D127" t="inlineStr">
        <is>
          <t>indeed</t>
        </is>
      </c>
      <c r="E127">
        <f>HYPERLINK("https://www.indeed.com/viewjob?jk=b39d0e977518d09a", "https://www.indeed.com/viewjob?jk=b39d0e977518d09a")</f>
        <v/>
      </c>
      <c r="F127">
        <f>HYPERLINK("https://jobs.lever.co/bazaarvoice/c8af2c82-f871-41b6-ba0c-8432cd1d807c?lever-source=Indeed", "https://jobs.lever.co/bazaarvoice/c8af2c82-f871-41b6-ba0c-8432cd1d807c?lever-source=Indeed")</f>
        <v/>
      </c>
      <c r="G127" t="inlineStr">
        <is>
          <t>Remote, US</t>
        </is>
      </c>
      <c r="H127" s="3" t="n">
        <v>46054</v>
      </c>
      <c r="I127" t="inlineStr">
        <is>
          <t>**About Bazaarvoice**
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Our brand promise : closing the gap between brands and consumers.
Founded in 2005, Bazaarvoice is headquartered in Austin, Texas with offices in North America, Europe, Asia and Australia.
It’s official: Bazaarvoice is a Great Place to Work in the US , Australia, India, Lithuania, France, Germany and the UK!  
We're seeking a **Senior Product Manager** to own Content Moderation \&amp; Processing, one of Bazaarvoice's most critical capabilities and differentiators. You'll transform our moderation program into a strategic advantage that directly enables client retention, revenue growth, and our centrality to AI\-powered shopping. As a Senior PM, you'll have full ownership of the **strategic roadmap** for how billions of pieces of User Generated Content flow through Bazaarvoice's moderation, validation, and publishing pipelines. You'll modernize legacy systems, leverage advanced ML/AI, and create self\-service capabilities that transform moderation. This is a high\-impact, high\-visibility role where you'll operate with significant autonomy and directly influence strategy.
### **What You'll Do:**
* Drive the transformation from legacy systems to unified, modern moderation platform
* Own the product vision for how Bazaarvoice processes billions of content operations
* Define what "enterprise\-grade moderation" means and how we deliver it at scale
* Set investment priorities across stability, automation, and innovation
* Expand ML capabilities to comprehensive automation across all content types (text, images, video)Partner with Data Science to evolve models that detect AI\-generated content, review bombing, and emerging fraud patterns
* Create AI\-powered feedback loops to coach consumers toward displayable content
* Advanced content quality scoring and author reputation systems
* Build Portal capabilities that empower clients to manage moderation without support tickets
* Enable real\-time actions
* Provide AI\-generated explanations for moderation decisions to reduce support burden
* Create escalation workflows that streamline client issue resolution
* Own publishing pipeline performance, stability, and throughput optimization
* Partner with Content Operations to optimize human moderation workflows
* Evaluate "human\-in\-the\-loop" strategies that supply ML model feedbackDefine optional premium moderation services for clients requiring additional oversight
### **What You'll Need:**
* 4\-7 years product management experience, ideally with at least 3 years in B2B SaaS, enterprise software, or platform products
* Demonstrated ability to own complex, multi\-stakeholder product domains from vision through execution
* Experience driving product strategy for operational systems (moderation, fraud, compliance, content processing, trust \&amp; safety)
* Track record of transforming legacy systems or technical debt into modern, scalable platforms
* Experience working independently with minimal oversight. You set direction and drive outcomes
* Comfort with technical concepts: APIs, database performance, publishing pipelines, batch vs. real\-time processing
* Ability to collaborate effectively with engineers on technical architecture, trade\-offs, and build vs. buy decisions
* Experience defining success metrics and instrumenting products for data\-driven decision\-making
At Bazaarvoice, we carefully consider multiple factors when determining compensation. Since we believe the transparency and integrity builds trust, we want to share that we expect the OTE (on target earnings) for this position to be in the range listed above is based on Bazaarvoice's good faith belief at the time of posting. Actual compensation may vary based on factors such as geographic location, work experience, market conditions, education/training, and skill level. While this is a good faith estimate of the expected OTE range, Bazaarvoice reserves the right to pay outside this range if these assumptions and understandings are modified as we progress through the interview process. Your recruiter can share more about the OTE range and total compensation package during the hiring process. If this compensation is somewhere close to your desired range, we encourage you to apply!**Why join Bazaarvoice?**
**Customer is key**
We see our own success through our customers’ outcomes.
We approach every situation with a customer first mindset.
**Transparency \&amp; Integrity Builds Trust**
We believe in the power of authentic feedback because it’s in our DNA.
We do the right thing when faced with hard choices. Transparency and trust accelerate our collective performance.
**Passionate Pursuit of Performance**
Our energy is contagious, because we hire for passion, drive \&amp; curiosity.
We love what we do, and because we’re laser focused on our mission.
**Innovation over Imitation**
We seek to innovate as we are not content with the status quo.
We embrace agility and experimentation as an advantage.
**Stronger Together**
We bring our whole selves to the mission and find value in diverse perspectives.
We champion what’s best for Bazaarvoice before individuals or teams.
As a stronger company we build a stronger community.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 **The successful candidate will be required to complete a background check. We will provide additional information and obtain your written consent before proceeding.**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in-399df9ab74c68bf8</t>
        </is>
      </c>
      <c r="B128" t="inlineStr">
        <is>
          <t>Digital Advertising Program Manager</t>
        </is>
      </c>
      <c r="C128" t="inlineStr">
        <is>
          <t>Shift Digital</t>
        </is>
      </c>
      <c r="D128" t="inlineStr">
        <is>
          <t>indeed</t>
        </is>
      </c>
      <c r="E128">
        <f>HYPERLINK("https://www.indeed.com/viewjob?jk=399df9ab74c68bf8", "https://www.indeed.com/viewjob?jk=399df9ab74c68bf8")</f>
        <v/>
      </c>
      <c r="F128">
        <f>HYPERLINK("https://app.jobvite.com/CompanyJobs/Job.aspx?j=o1l7ofwB&amp;s=Indeed", "https://app.jobvite.com/CompanyJobs/Job.aspx?j=o1l7ofwB&amp;s=Indeed")</f>
        <v/>
      </c>
      <c r="G128" t="inlineStr">
        <is>
          <t>Laguna Beach, CA, US</t>
        </is>
      </c>
      <c r="H128" s="3" t="n">
        <v>46054</v>
      </c>
      <c r="I128" t="inlineStr">
        <is>
          <t>**Digital Advertising Program Manager**
Shift Digital is the leader in digital marketing program optimization. Established in 2008 and headquartered in Birmingham, Michigan, our comprehensive solutions help national brands and their local retailers measure, manage, and improve the performance of their digital marketing and sales initiatives.
The Program Manager is responsible for owning and maintaining the Digital Advertising program for one of Shift Digital’s clients, managed out of the Laguna Beach, CA office. This person will work to service the client in terms of project management, reporting requests, data analysis, dealer adoption, and identifying opportunities to optimize the success of dealer’s digital advertising campaigns, measured primarily by cost effective lead generation. The Digital Advertising Program Manager will develop, maintain and own the roadmap and project plans, client's requirements gathering, ad\-hoc reporting requests and new feature/functionality development for their assigned projects and programs.
The Program Manager will serve as a liaison between the client, internal teams within Shift Digital (media, dealer support, technology) and external vendors to ensure the best possible value is delivered to the client. He or she will also be responsible for monthly reporting tasks pertaining to program KPIs, dealer billing process, and program P\&amp;L.The Program Manager reports to the Director over this account.
**Job Responsibilities:**
* Manage the Digital Advertising program with client satisfaction and program profitability top of mind
* Own projects from beginning to final delivery to client across all lines of business within the program
* Provide direction to internal Shift Digital teams (media, delivery, and dealer support) based on client needs
* Manage project scope and client expectations and develop contingency plans
* Manage project status including milestone tracking, budget, allocation, and open issues
* Initiate and lead QA activities on program solutions to be delivered to the client
* Provide in\-depth analytical analysis of performance of products and services using tools provided
* Work effectively within the team to prioritize client requests and product requirements including current customer/prospect needs and long\-term product roadmap needs
* Manage requirement gathering, project plans, project development and delivery of new features or functions
* Identify opportunities for growth and/or new programs
* Manage P\&amp;L for managed programs and communicate to account leadership on a monthly basis
* Manage dealer billing, effectively coordinating with billing teams, media team, dealer support, and dealers.
* Effectively lead regular status meetings with client for relevant program topics, including day\-to\-day tactics and longer\-term objectives
**Desired Experience \&amp; Qualifications**
* Proactive self\-starter with effective time management skills
* Project management skills necessary to manage various and numerous projects while tracking costs against budgets and time to completion
* Deep understanding of digital advertising channels with demonstrated experience in management of effective digital strategies
* Understanding of the digital space, associated analytics, and delivery of technology solutions
* Comfortable speaking with/in front of dealers, clients and Regional Reps
* Detail oriented and self\-motivated
* Communication and interpersonal skills necessary to actively promote a cooperative team environment and positive client relationship
* Desire to own success of projects
* Strong analytical and data skills
* Expertise in Microsoft Office Suite (Word, PowerPoint, Excel)
* 4 years of experience in Digital Marketing
* Understanding of Shift Digital product set including Shift Digital\-provided digital advertising is preferred
* Automotive experience is preferred
* A Bachelors Degree is required
*At Shift, many factors are* *taken into account* *when determining a reasonable compensation range for any given role. Some of these factors include, but are not limited* *to:* *skillset, location, years of experience, licenses, certifications, and business/organizational needs. The following compensation range is specific to New York City, Colorado, Nevada, California, and Washington residents* ***only***. *While we do provide an estimated salary range, it is not typical for an individual to be hired near the top range for their role. A reasonable estimate for this role is: $80,000\-100,000\.*</t>
        </is>
      </c>
    </row>
    <row r="129">
      <c r="A129" t="inlineStr">
        <is>
          <t>in-78e19013fa6a0ec7</t>
        </is>
      </c>
      <c r="B129" t="inlineStr">
        <is>
          <t>Senior Program Manager</t>
        </is>
      </c>
      <c r="C129" t="inlineStr">
        <is>
          <t>Nakupuna Companies</t>
        </is>
      </c>
      <c r="D129" t="inlineStr">
        <is>
          <t>indeed</t>
        </is>
      </c>
      <c r="E129">
        <f>HYPERLINK("https://www.indeed.com/viewjob?jk=78e19013fa6a0ec7", "https://www.indeed.com/viewjob?jk=78e19013fa6a0ec7")</f>
        <v/>
      </c>
      <c r="F129">
        <f>HYPERLINK("https://careers-nakupuna.icims.com/jobs/6067/job?utm_source=indeed_integration&amp;iis=Job%20Board&amp;iisn=Indeed&amp;indeed-apply-token=73a2d2b2a8d6d5c0a62696875eaebd669103652d3f0c2cd5445d3e66b1592b0f", "https://careers-nakupuna.icims.com/jobs/6067/job?utm_source=indeed_integration&amp;iis=Job%20Board&amp;iisn=Indeed&amp;indeed-apply-token=73a2d2b2a8d6d5c0a62696875eaebd669103652d3f0c2cd5445d3e66b1592b0f")</f>
        <v/>
      </c>
      <c r="G129" t="inlineStr">
        <is>
          <t>Arlington, VA, US</t>
        </is>
      </c>
      <c r="H129" s="3" t="n">
        <v>46054</v>
      </c>
      <c r="I129" t="inlineStr">
        <is>
          <t>Overview:
Nakupuna is seeking an experienced Program Manager to provide strategic leadership, contract management, and operational oversight for a large IDIQ contract. This role is accountable for end\-to\-end contract performance, including task order execution, financial outcomes, compliance, client satisfaction, and growth. The ideal candidate brings demonstrated experience leading large contract teams, excels in client engagement, and possesses strong personnel management and organizational capabilities.
This position reports to the Nakupuna Arlington Office and regularly visits client sites in Washington, DC.
Responsibilities:
The following reflects management’s definition of essential functions for this job but does not restrict the tasks that may be assigned.
Program and Contract Leadership
* Provide overall management and direction for the IDIQ contract, ensuring all contractual requirements, performance standards, and deliverables are met or exceeded.
* Serve as the primary point of contact with the Government for all programmatic, contractual, and performance matters.
* Lead and oversee all task orders under the IDIQ, from capture and award through execution and closeout.
* Regularly brief senior leadership on program performance, risks, and opportunities.
* Ensure the IDIQ contract is managed as a strategic asset that supports Nakupuna’s long\-term growth and past performance objectives.
Task Order and Project Execution
* Oversee planning, execution, monitoring, and control of all task orders to ensure cost, schedule, and performance objectives are achieved.
* Ensure development and maintenance of task order and project management plans, outlining scope, milestones, staffing, deliverables, and controls.
* Direct Project Managers and Task Leads to ensure consistent, disciplined execution across the task order portfolio.
* Monitor performance metrics and key performance indicators (KPIs) and proactively address issues impacting execution.
Financial, Compliance, and Risk Management
* Maintain accountability for program financial performance, including revenue, profit margin, utilization, cost execution, and forecasting.
* Ensure accurate, timely invoicing and financial reporting in coordination with Nakupuna Shared Services.
* Ensure full compliance with contract terms, FAR/agency regulations, security requirements, and Nakupuna policies and procedures.
* Identify, assess, and mitigate programmatic, financial, and operational risks.
* Ensure quality standards are met across all task orders and that deliverables are produced to a consistently high standard.
* Maintain audit\-ready contract documentation and records.
Client and Stakeholder Engagement
* Build and sustain strong working relationships with the CO, COR, and multiple technical Points of Contact.
* Proactively address client concerns, enhance mission support, and cultivate the contract as a positive past performance reference.
People Leadership and Development
* Lead, mentor, and develop program staff, including Project Managers, Task Leads, and technical team members.
* Ensure appropriate staffing levels and skill mixes to support current and anticipated task orders.
* Execute performance management activities, including goal setting, coaching, feedback, and recommendations for compensation or corrective action.
* Promote Nakupuna’s corporate culture and values across the program.
Business Development and Corporate Contributions
* Support IDIQ\-related business development activities, including task order capture, proposals, pricing reviews, and orals.
* Collaborate with corporate leadership to shape future service offerings and growth strategies tied to the customer.
* Share best practices, lessons learned, and innovations across the company.
* Support continuous improvement of corporate processes related to program management, contracting, and service delivery.
Qualifications:
**Skills/Qualifications: The ideal candidate is familiar and has experience with the following technical knowledge, skills, and abilities.**
* Proven leadership experience managing large, complex government IDIQ programs.
* Strong knowledge of IDIQ contract structures, task order lifecycle management, and federal acquisition regulations.
* Exceptional written and oral communication skills, including executive\-level client engagement.
* Strong financial acumen with experience managing budgets, forecasts, and profitability.
* Ability to operate effectively in fast\-paced, ambiguous, and high\-visibility environments.
* Self\-motivated, detail\-oriented, and capable of managing multiple priorities simultaneously.
* Secret Clearance is required. Must be a U.S. citizen.
**Education and Experience:**
* Bachelor’s degree from an accredited institution required (Business, Project Management, Contracts, or related field preferred).
* Minimum of 10 years of progressively responsible experience managing government contracts, including IDIQ programs.
* Demonstrated experience serving as Program Manager or Deputy Program Manager on federal contracts of similar scope and complexity.
* Advanced degree or equivalent additional experience preferred.
* PMP or similar project/program management certification preferred.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 Ability to walk for extended periods throughout the work day including moving between buildings and covering long distances by foot.</t>
        </is>
      </c>
    </row>
    <row r="130">
      <c r="A130" t="inlineStr">
        <is>
          <t>in-535cde2b67f9fc33</t>
        </is>
      </c>
      <c r="B130" t="inlineStr">
        <is>
          <t>Program Manager COTA - Assisting DOR</t>
        </is>
      </c>
      <c r="C130" t="inlineStr">
        <is>
          <t>Aegis Therapies</t>
        </is>
      </c>
      <c r="D130" t="inlineStr">
        <is>
          <t>indeed</t>
        </is>
      </c>
      <c r="E130">
        <f>HYPERLINK("https://www.indeed.com/viewjob?jk=535cde2b67f9fc33", "https://www.indeed.com/viewjob?jk=535cde2b67f9fc33")</f>
        <v/>
      </c>
      <c r="F130">
        <f>HYPERLINK("https://careers.aegistherapies.com/us/en/job/AETHUSR0044017/Program-Manager-COTA-Assisting-DOR?utm_source=indeed&amp;utm_medium=phenom-feeds", "https://careers.aegistherapies.com/us/en/job/AETHUSR0044017/Program-Manager-COTA-Assisting-DOR?utm_source=indeed&amp;utm_medium=phenom-feeds")</f>
        <v/>
      </c>
      <c r="G130" t="inlineStr">
        <is>
          <t>Washington, IA, US</t>
        </is>
      </c>
      <c r="H130" s="3" t="n">
        <v>46054</v>
      </c>
      <c r="I130" t="inlineStr">
        <is>
          <t>**COTA Rehab Program Manager \- Assist Director of Rehab**
==========================================================
**Entry\-level Leadership \- Occupational Therapy Assistant**
**Treat patients while gaining valuable leadership experience assisting the DOR.**
**Job Type: Full\-time**
------------------------
**Schedule: Flexible, up to 40 hours per week, Monday to Friday**
-----------------------------------------------------------------
**Setting: Continuing Care Retirement Community \&amp; Rehab Center**
-----------------------------------------------------------------
**Location:** **Halcyon House** **\- Washington IA**
----------------------------------------------------
An Award\-Winning WesleyLife Community for Healthy Living
Halcyon House is a Continuing Care Retirement Community with full continuum of care — including independent living, assisted living, memory support, long\-term care, and short\-term rehabilitation.
If you’re brimming with ambition and a desire to learn, a **Program Manager** role with Aegis Therapies is right for you. This position is a steppingstone to management roles, and it allows you to gain management experience without being a direct supervisor.
**Aegis Therapies**, one of the nation’s leading providers of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Graduate from Therapy program
* Current license or ability to obtain as a Therapist in the state of practice
As a lead in the building, you’ll treat patients while getting some experience with administrative tasks, such as scheduling and serving as a liaison for the Director of Rehab.
**If you love to make a difference in people’s lives and have big goals for yourself, apply today.**</t>
        </is>
      </c>
    </row>
    <row r="131">
      <c r="A131" t="inlineStr">
        <is>
          <t>in-15ac396e84522c4c</t>
        </is>
      </c>
      <c r="B131" t="inlineStr">
        <is>
          <t>Product Manager</t>
        </is>
      </c>
      <c r="C131" t="inlineStr">
        <is>
          <t>Independence Blue Cross</t>
        </is>
      </c>
      <c r="D131" t="inlineStr">
        <is>
          <t>indeed</t>
        </is>
      </c>
      <c r="E131">
        <f>HYPERLINK("https://www.indeed.com/viewjob?jk=15ac396e84522c4c", "https://www.indeed.com/viewjob?jk=15ac396e84522c4c")</f>
        <v/>
      </c>
      <c r="F131">
        <f>HYPERLINK("https://ibxhome.referrals.selectminds.com/jobs/product-manager-6732", "https://ibxhome.referrals.selectminds.com/jobs/product-manager-6732")</f>
        <v/>
      </c>
      <c r="G131" t="inlineStr">
        <is>
          <t>Philadelphia, PA, US</t>
        </is>
      </c>
      <c r="H131" s="3" t="n">
        <v>46054</v>
      </c>
      <c r="I131" t="inlineStr">
        <is>
          <t>This **Product Manager** is responsible for the development, implementation and operational effectiveness of Medicare Advantage and Supplemental products. This individual will be responsible for ensuring portfolio intent is implemented as designed across various platforms/materials/reference documentation for readiness purposes. Manager will be versed and building expertise across the following areas: Medicare (MA/OM), industry knowledge/trends, and regulatory guidance.
**Responsibilities**
* Responsible for the development and management of individual Medicare Advantage (MA, \&amp; MA\-PD), Employer Group and Medical Supplement plans.
* Manages vendor/product performance with regard to administration, enrollment, claims, benefit utilization and market acceptance.
* Works collaboratively across Product to ensure portfolio needs and readiness are addressed annually
* Provides coordination with Vendors, Pharmacy, Compliance, Marketing, Enrollment, Claims Coding, Care Management, Provider Contracting, Medical Management, and other external/internal operational areas on benefit administration, implementation, and intent.
* Supports bid submission/filing requirement needs with Product, Legal, Actuarial, Compliance, and Operational areas.
* Responsible for portfolio inquiries regarding benefits
* Supports consultation for marketing/promotional materials \- including Web content and for operations education materials to support products.
* Assists with the development of the annual marketing and training materials projects to support annual readiness.
* Manages assigned products and coordinate with operating areas to build successful deployment and address market opportunities
* Assist with the development and maintenance of departmental DLP and policies and procedures.
* Ensures accuracy for all deliverables.
* Other duties as assigned
**QUALIFICATIONS**
* Bachelor’s degree in business, health care administration, or related field required, or equivalent experience.
* 5 years related experience including vendor management. Product management experience in a health care organization preferred.
* Knowledge of and experience with Medicare program and regulations highly preferred.
* Marketing experience in a health plan setting preferred, but not required.
* Solid planning, organization, and analytical skills required.
* Demonstrated ability to bring complex projects a successful conclusion.
* Ability to work independently with little supervision.
* Ability to communicate effectively with all levels of the organization and external contacts.
* Strong verbal and written communication, presentation and interpersonal skills required.
* Proficient in: Microsoft Office software (Access, Excel, Outlook, PowerPoint, and Word), Tableau, and other competitive tools
Independence has implemented a “Hybrid” model which consists of Associates working ***in the office 3 days a week (Tuesday, Wednesday \&amp; Thursday***) and remotely 2 days a week (Monday \&amp; Friday). This role is designated as a role that fits into the “Hybrid” model. While associates may work remotely on our designated remote days, the ***work must be performed in the Tri\-State Area of Delaware, New Jersey or Pennsylvania***
IBX is an Equal Opportunity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
IBX is an Equal Opportunity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t>
        </is>
      </c>
    </row>
    <row r="132">
      <c r="A132" t="inlineStr">
        <is>
          <t>in-15d50863b3c79a1c</t>
        </is>
      </c>
      <c r="B132" t="inlineStr">
        <is>
          <t>Associate Director, Digital Technology GEC Program Manager</t>
        </is>
      </c>
      <c r="C132" t="inlineStr">
        <is>
          <t>Raytheon</t>
        </is>
      </c>
      <c r="D132" t="inlineStr">
        <is>
          <t>indeed</t>
        </is>
      </c>
      <c r="E132">
        <f>HYPERLINK("https://www.indeed.com/viewjob?jk=15d50863b3c79a1c", "https://www.indeed.com/viewjob?jk=15d50863b3c79a1c")</f>
        <v/>
      </c>
      <c r="F132">
        <f>HYPERLINK("https://jsv3.recruitics.com/redirect?rx_cid=3426&amp;rx_jobId=01817742&amp;rx_url=https%3A%2F%2Fcareers.rtx.com%2Fglobal%2Fen%2Fjob%2F01817742%3Frx_a%3D0%26rx_c%3D%26rx_ch%3Djobp4p%26rx_group%3D122223%26rx_id%3D93b61bd3-0068-11f1-a518-4bc747bc99a2%26rx_job%3D01817742%26rx_medium%3Dcpc%26rx_r%3Dnone%26rx_source%3Dindeed%26rx_ts%3D20260203T000504Z%26rx_vp%3Dcpc", "https://jsv3.recruitics.com/redirect?rx_cid=3426&amp;rx_jobId=01817742&amp;rx_url=https%3A%2F%2Fcareers.rtx.com%2Fglobal%2Fen%2Fjob%2F01817742%3Frx_a%3D0%26rx_c%3D%26rx_ch%3Djobp4p%26rx_group%3D122223%26rx_id%3D93b61bd3-0068-11f1-a518-4bc747bc99a2%26rx_job%3D01817742%26rx_medium%3Dcpc%26rx_r%3Dnone%26rx_source%3Dindeed%26rx_ts%3D20260203T000504Z%26rx_vp%3Dcpc")</f>
        <v/>
      </c>
      <c r="G132" t="inlineStr">
        <is>
          <t>Austin, TX, US</t>
        </is>
      </c>
      <c r="H132" s="3" t="n">
        <v>46054</v>
      </c>
      <c r="I132" t="inlineStr">
        <is>
          <t>**Date Posted:**
2026\-02\-02**Country:**
United States of America**Location:**
US\-TX\-REMOTE**Position Role Type:**
Remote**U.S. Citizen, U.S. Person, or Immigration Status Requirements:**
U.S. citizenship is required, as only U.S. citizens are authorized to access information under this program/contract.**Security Clearance Type:**
None/Not Required**Security Clearance Status:**
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The Global Ethics \&amp; Compliance (GEC) DT Program Manager is an experienced leadership role responsible for overseeing all projects required to meet the objectives of the Global Ethics and Compliance function including any objectives to exit the Deferred Prosecution Agreement. This role leads all RTX project managers (direct reports and not) across GEC projects. This leader is adept at engaging stakeholders to achieve program success. Success requires the ability to balance applying program management standardization and best practices with the flexibility to accommodate operational models across business units. This leader develops an overall program roadmap with critical milestones that fully addresses the technical and business requirements. The role reports to the Exec Dir for Enterprise Applications Compliance Programs and serves as the primary focal for all GEC projects.
**What You Will Do:**
* Develops a comprehensive roadmap aligned with the short term and long\-term objectives
* Communicate the program and vision to stakeholders. Ability to tailor messaging across various audiences, from executives to project teams.
* Define a unified resource management plan ensuring projects are staffed with the appropriate skillsets.
* Establish and communicate a risk management process to assess, evaluate and mitigate potential threats to program budget, schedule and objectives.
* Conduct stakeholder analysis to define and implement an effective communication strategy to ensure stakeholders receive timely and relevant information.
* Ensure the projects operate within the overall Enterprise Services governance structure and comply with internal guidelines.
* Define Key Performance Indicators (KPIs) that align with program objectives and utilize them to track progress.
* Utilize standard Program Management Tools to provide insights into program performance, highlighting accomplishments and areas for improvement.
* Collaborates across legal, digital technology, manufacturing, supply chain and engineering to maintain a culture of compliance, best practice and innovation.
* Partners with and other Enterprise Initiatives including SAP S4 to develop the long\-term roadmap for a comprehensive company\-wide solution for Global Ethics \&amp; Compliance capabilities across RTX.
* Collaborates across legal, digital technology, manufacturing, supply chain and engineering to maintain a culture of compliance, best practice and innovation.
* Lead and inspire a team of up to 3\-5 project managers across the BUs and Corp
**Qualifications You Must Have:**
* Typically, a minimum of 12\+ years’ experience in digital technology or a related role, with a strong focus on application solutions and design; and 10\+ years related work experience.
* 5\+ years of experience supporting aerospace and defense compliance with ITAR, EAR and similar regulatory frameworks.
* Experience leading projects across a variety of technologies, such as ERP, PLM and MES.
* Experience leading projects across in the areas of legal, ethics and compliance.
* Experience leading federated programs efforts across operating units and global regions.
* Excellent communication skills, ability to work collaboratively with cross\-functional teams and influence stakeholders.
**Qualifications We Prefer:**
* Curiosity and Innovation: create a culture of innovation and strive to adopt solutions which allow RTX to grow and utilize new technologies.
* Communication and Collaboration: Excellent interpersonal skills with the ability to effectively communicate complex concepts to both technical and non\-technical stakeholders. Strong teamwork and collaboration skills.
* Problem\-Solving: Demonstrated ability to identify system issues, troubleshoot problems, and propose effective solutions. Strong attention to detail and commitment to quality.
* Adaptability: Comfortable working in a fast\-paced, dynamic environment and quickly adapting to changing business needs and priorities.
* Compliance Mindset: Familiarity with industry regulations, controls, and security measures.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**Work Location:**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3">
      <c r="A133" t="inlineStr">
        <is>
          <t>in-52ec0a754f03cbda</t>
        </is>
      </c>
      <c r="B133" t="inlineStr">
        <is>
          <t>Product Manager, Precision Ag</t>
        </is>
      </c>
      <c r="C133" t="inlineStr">
        <is>
          <t>Nutrien</t>
        </is>
      </c>
      <c r="D133" t="inlineStr">
        <is>
          <t>indeed</t>
        </is>
      </c>
      <c r="E133">
        <f>HYPERLINK("https://www.indeed.com/viewjob?jk=52ec0a754f03cbda", "https://www.indeed.com/viewjob?jk=52ec0a754f03cbda")</f>
        <v/>
      </c>
      <c r="F133">
        <f>HYPERLINK("https://jobs.nutrien.com/North-America/job/Deerfield-Product-Manager%2C-Precision-Ag-IL-60015/599470917/?feedId=350760&amp;utm_source=Indeed", "https://jobs.nutrien.com/North-America/job/Deerfield-Product-Manager%2C-Precision-Ag-IL-60015/599470917/?feedId=350760&amp;utm_source=Indeed")</f>
        <v/>
      </c>
      <c r="G133" t="inlineStr">
        <is>
          <t>Deerfield, IL, US</t>
        </is>
      </c>
      <c r="H133" s="3" t="n">
        <v>46054</v>
      </c>
      <c r="I133" t="inlineStr">
        <is>
          <t>Nutrien is a leading provider of crop inputs and services, and our business results make a positive impact on the world. Our purpose, *Feeding the Future*,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**What You'll Do:**
-------------------
* Define and drive product strategy by setting the vision, roadmap, and priorities for digital precision agronomy solutions, ensuring alignment with organizational goals and the evolving needs of growers and crop consultants.
* Identify and frame market opportunities by engaging with growers, crop consultants, field teams, and regional leaders to surface pain points and opportunities, translating these into clear product direction and measurable objectives.
* Leverage deep knowledge of digital agronomy platforms (such as Nutrien HUB, Telus Agronomy, or comparable tools) and industry integrations to inform product decisions and accelerate time\-to\-impact.
* Accelerate partner integration by using established relationships with equipment and data providers to drive faster collaboration and delivery of integrated features.
* Champion field enablement and change management by leading efforts to support regional teams and crop consultants as they adopt new digital tools and workflows, including in offline or low\-connectivity environments.
* Measure and drive adoption by defining and tracking north\-star metrics (adoption, accuracy, compliance), using data and feedback to iterate and improve product offerings.
* Ensure compliance and usability by balancing regulatory requirements with usability and speed, designing minimal\-friction user experiences, and validating with subject matter experts.
* Communicate and influence by presenting product updates, strategic plans, and key metrics to stakeholders and company leadership, advocating for the customer and the business throughout the product lifecycle.
**What You'll Bring:**
----------------------
* Precision Agronomy Expertise: 10\+ years of deep, hands\-on experience in fertility planning, seeding strategies, nitrogen modeling, crop planning, field trials, and custom application processes.
* Experience in an Ag Retail Environment: Hands\-on exposure to retail operations, working directly with branch employees and growers to understand workflows, pain points, and adoption challenges.
* Field\-Facing Collaboration: Proven ability to engage with crop consultants, branch managers, and growers in real\-world settings to drive adoption and gather actionable feedback.
* Digital Workflow Mastery: Demonstrated proficiency with digital agronomy platforms (such as Nutrien HUB, Telus Agronomy, John Deere Operations Center, Climate FieldView, etc.) and related integrations, enabling faster time\-to\-impact and seamless workflow execution.
* Partner Network: Established relationships with key equipment and data partners relevant to the precision agronomy ecosystem (e.g., John Deere, Climate, or similar), with a proven ability to accelerate collaboration and feature delivery.
* Field Enablement \&amp; Change Management: Demonstrated success in leading field enablement and change management initiatives across diverse regions, supporting adoption of new digital tools and practices.
* Communication \&amp; Documentation: Exceptional ability to produce clear, actionable documentation and communicate effectively with both technical and non\-technical stakeholders.
* Product Management Experience: 10\+ years in product management or agronomy tech leadership, ideally with exposure to precision ag tools (prescription generation, as\-applied data), geospatial data, and equipment integrations.
* Outcome\-First Mindset: Evidence\-based, outcome\-first approach; comfortable with ambiguity and iterative delivery; able to make tight decisions with incomplete data and auditable rationale.
* Collaboration \&amp; Alignment: Strong ability to collaborate across functions, drive team alignment, and simplify complexity for non\-technical users.
 **Compensation \&amp; Benefits:**
The salary range for this role, in Loveland, CO, is between $127,500 \- $218,600, and in Chicago, IL, is between $121,500 \- $208,200\. While we provide this range as general guidance, several factors are taken into consideration when making compensation decisions including, but not limited to, candidate skill set, experience and training, licensure and certifications, work location, and other business and organizational needs.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age, national origin, disability, veteran status, genetic information, and other legally protected categories.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Applicants must meet minimum age requirements, as permitted by law.
Our Recruitment Process: Application \&gt; Resume Review \&gt; Pre\-screen/Interview \&gt; Offer \&gt; Pre\-Employment Conditions \&gt; Welcome to Nutrien
 **To stay connected to us and for the latest job postings and news, follow us on:** LinkedIn, Facebook, Instagram, and X.</t>
        </is>
      </c>
    </row>
    <row r="134">
      <c r="A134" t="inlineStr">
        <is>
          <t>in-22a22e2ac9724b59</t>
        </is>
      </c>
      <c r="B134" t="inlineStr">
        <is>
          <t>Senior Product Manager — Enterprise Content Workflows &amp; Adoption</t>
        </is>
      </c>
      <c r="C134" t="inlineStr">
        <is>
          <t>Adobe</t>
        </is>
      </c>
      <c r="D134" t="inlineStr">
        <is>
          <t>indeed</t>
        </is>
      </c>
      <c r="E134">
        <f>HYPERLINK("https://www.indeed.com/viewjob?jk=22a22e2ac9724b59", "https://www.indeed.com/viewjob?jk=22a22e2ac9724b59")</f>
        <v/>
      </c>
      <c r="F134">
        <f>HYPERLINK("https://careers.adobe.com/us/en/job/ADOBUSR162624EXTERNALENUS/Senior-Product-Manager-Enterprise-Content-Workflows-Adoption?utm_source=indeed&amp;utm_medium=phenom-feeds", "https://careers.adobe.com/us/en/job/ADOBUSR162624EXTERNALENUS/Senior-Product-Manager-Enterprise-Content-Workflows-Adoption?utm_source=indeed&amp;utm_medium=phenom-feeds")</f>
        <v/>
      </c>
      <c r="G134" t="inlineStr">
        <is>
          <t>San Jose, CA, US</t>
        </is>
      </c>
      <c r="H134" s="3" t="n">
        <v>46054</v>
      </c>
      <c r="I13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Adobe
Adobe is changing the world through digital experiences. We build the platforms and tools that creators—and the world’s biggest brands—depend on to deliver exceptional content at global scale. We’re committed to a workplace where everyone is respected, supported, and able to do the best work of their career.
The Rol e
Enterprises don’t need more capability they need repeatable outcomes they can operationalize. This role is focused on turning Adobe’s content automation capabilities into production\-ready enterprise workflows that customers can adopt quickly , scale across teams to drive value faster . You’ll own a portfolio of high\-value content workflows (for example: product content creation and adaptation, retargeting and variant generation, localization, catalogs/circulars, bundles, and campaign/event packs) and drive adoption from first value through production rollout and expansion.
A key part of the portfolio is product\-centric workflows where 3D digital twins act as a source of truth powering consistent, on\-brand asset generation and adaptation across channels.
You’ll partner closely with pre\-sales, customer\-facing delivery teams (including FDE), and customers to make sure what we ship is not just compelling in a demo, but durable in real production environments. This role is for a product leader who enjoys being close to customers and knows how to build an adoption engine , not just a roadmap.
What You’ll Do
Own a portfolio of high\-value enterprise content workflows and translate them into repeatable Workflow Builder templates that customers can deploy and reuse.
**Define what “production\-ready” means for each workflow:** quality bars, controls, governance, observability, and operational readiness.
Drive enterprise adoption and stickiness by owning the full lifecycle:
time\-to\- first\-value
pilot → production conversion
ongoing usage/retention
expansion across teams, workflows, and use cases
Build a tight operating rhythm with pre\-sales and customer\-facing delivery teams to capture real customer needs and turn them into scalable product improvements.
**Separate signal from noise:** identify what becomes a reusable template vs. what represents a platform gap that needs investment , then drive alignment and prioritization with engineering and platform PM partners.
Instrument usage and outcomes so we can see what’s working, where customers get stuck, and what to improve next.
Help shape the go\-to\-market narrative for repeatable workflows: how we position them, package them, and prove value.
What We’re Looking For
8\+ years of product management experience, ideally in enterprise software, workflow products, platforms, or solution packaging.
Strong customer instincts and comfort working directly with enterprise customers and field teams (pre\-sales, solution consultants, delivery/implementation).
Proven experience driving adoption and usage growth (onboarding, enablement, instrumentation, iteration based on real customer signals).
Ability to translate real\-world customer workflows into scalable, repeatable product packages without turning every request into a one\-off build.
Strong communication and influence skills; you can align cross\-functional teams and make smart trade\-offs in ambiguous environments.
Nice to Have
Experience with creative production workflows, marketing operations, DAM/CMS ecosystems, or content supply chain systems.
Familiarity with AI\-assisted content creation workflows, quality measurement, and production guardrails.
Experience with 3D pipelines, product visualization, or digital\-twin\-driven content workflows.
Experience building reusable playbooks/templates with customer\-facing teams.
Why You’ll Love This Role
You’ll own the shift from “capabilities” to repeatable enterprise outcomes and directly influence how customers adopt and scale content workflows.
You’ll work at the intersection of product, customers, and go\-to\-market teams, with clear accountability for real production adoption.
You’ll help build a catalog of workflows that customers can deploy repeatedly ; driving long\-term stickiness and growth.
If you’re excited by building repeatable solutions that enterprises put into production—and you like owning adoption outcomes—we’d love to meet you.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5">
      <c r="A135" t="inlineStr">
        <is>
          <t>in-faf5176f368068c5</t>
        </is>
      </c>
      <c r="B135" t="inlineStr">
        <is>
          <t>Principal Solution Product Owner - Remote</t>
        </is>
      </c>
      <c r="C135" t="inlineStr">
        <is>
          <t>Prime Therapeutics</t>
        </is>
      </c>
      <c r="D135" t="inlineStr">
        <is>
          <t>indeed</t>
        </is>
      </c>
      <c r="E135">
        <f>HYPERLINK("https://www.indeed.com/viewjob?jk=faf5176f368068c5", "https://www.indeed.com/viewjob?jk=faf5176f368068c5")</f>
        <v/>
      </c>
      <c r="F135">
        <f>HYPERLINK("https://primetherapeutics.wd1.myworkdayjobs.com/en-US/PrimeTherapeuticsCareers/job/Home/Principal-Solution-Product-Owner---Remote_R-16153", "https://primetherapeutics.wd1.myworkdayjobs.com/en-US/PrimeTherapeuticsCareers/job/Home/Principal-Solution-Product-Owner---Remote_R-16153")</f>
        <v/>
      </c>
      <c r="G135" t="inlineStr">
        <is>
          <t>Remote, US</t>
        </is>
      </c>
      <c r="H135" s="3" t="n">
        <v>46054</v>
      </c>
      <c r="I135" t="inlineStr">
        <is>
          <t>At Prime Therapeutics (Prime), we are a different kind of PBM, with a purpose beyond profits and a unique ability to connect care for those we serve. Looking for a purpose\-driven career? Come build the future of pharmacy with us.
Job Posting Title
Principal Solution Product Owner \- Remote
Job Description
The Principal Solution Product Owner is responsible for delivering complex solution products that drive value for our customers. This role is part of a product development team and partners with engineering teams to work with customers to understand business problems, refine and prioritize the product backlog containing user stories, elicit and document software Product Discovery/Definition, and develop and validate solutions for development team members on a day\-to\-day basis. The Principal Solution Product Owner possesses knowledge of product and product delivery and acts as the primary interface with the Scrum Teams – leading best practices and innovation across all Product Owners.
Responsibilities* Partner with the product managers and operations teams to manage and align product vision through discovery/definition and convert to actionable items on the backlog; accountable for prioritizing and sequencing the product backlog through feature mapping, user story creation, definition of acceptance criteria and loading into the feature/requirement tracking tool
* Transform the product vision from product management and operations teams into actionable product roadmap and releases; manage the product backlog, coordinating with stakeholders to align on expectations and visualize what items deliver the most value to the customer through the sequencing of the product backlog and release plans; accountable for the planning event as the main point of contact for questions and clarification of user stories
* Participate in: sprint planning to help shape the team's specific objectives for the upcoming sprint; daily stand ups to provide real time clarifications necessary to assist the team; the sprint review to show the working solutions completed; and the retrospective to contribute to improve how the team collaborates and works together
* Participate in program implementation planning to define and drive business value, objectives and outcome for the program increment
* Manage ongoing performance and usage of features and acts as point of contact for questions, concerns and suggestions; provide input on test strategy and test cases, being an advocate of quality solutions that meet or exceed defined customer expectations; perform reviews with key internal teams and commercial customers throughout the product lifecycle to ensure alignment on solution needs and product discovery/definition; ensure full\-stack product ownership, upkeep, maintenance and sustainability for the product
* Accountable for the product team delivering in alignment with business objectives, driving strong relationships with all development, internal groups, and customers in order to ensure timely and effective delivery of software features and defect resolution
* Engage with other product owners to develop and promote best practices and standards
* Accountable for identifying and prioritizing key product documentation as needed by aligning with other team members
* Facilitate long\-term working relationships with product management, technology teams, functional counterparts, third parties, customer service, go to market, and commercial customers
* Other duties as assigned
Minimum Qualifications* Bachelor's degree in IT, Business, Healthcare Administration or related area of study, or equivalent combination of education and/or relevant work experience; High School diploma or GED is required
* 7 years of work experience leading business processes, system changes and/or similar relevant business experience
* Must be eligible to work in the United States without need for work visa or residency sponsorship
Must be eligible to work in the United States without the need for work visa or residency sponsorship
Additional Qualifications* Proven ability to influence at all levels of an organization
* Demonstrated application of strong market awareness and customer focus
* Demonstrated ownership of complex, timely decisions
* Proven ability to communicate technical and business information effectively to both technical and non\-technical people
* Demonstrated ability to create and manage complex development projects in a highly dynamic environment
* Demonstrated ability to pull together diverse teams to solve problems and pursue opportunities
* Skilled at change management and leading change
Preferred Qualifications* Experience working in an agile environment
* Experience with commercial software design concepts, practices, and procedures
* 8 or more years of work experience writing Product Discovery/Definition for software in a Product Owner role
* SAFe Product Owner / Product Manager (POPM) Certification
* Experience with minimum viable product, Scrum, and/or Lean startup
* Experience developing Product Discovery/Definition for commercial software products
* User Experience (UX) Design experience
* Experience delivering on premise and cloud/mobility products
* Experience in Pharmacy Benefit Management (PBM) or related industry
* Strong technical background and experience with any of the following technologies and architectures: service\- oriented architecture, web services, databases, modeling and/or distributed computing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$108,000\.00 \- $184,000\.00 based on experience and skills.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law.**We welcome people of different backgrounds, experiences, abilities, and perspectives including qualified applicants with arrest and conviction records and any qualified applicants requiring reasonable accommodations in accordance with the law.**Prime Therapeutics LLC is a Tobacco\-Free Workplace employer.*
Positions will be posted for a minimum of five consecutive workdays.</t>
        </is>
      </c>
    </row>
    <row r="136">
      <c r="A136" t="inlineStr">
        <is>
          <t>in-321e0fe0a2b85b37</t>
        </is>
      </c>
      <c r="B136" t="inlineStr">
        <is>
          <t>Sr. Product Manager (Sales &amp; Partnerships Growth)</t>
        </is>
      </c>
      <c r="C136" t="inlineStr">
        <is>
          <t>Hertz</t>
        </is>
      </c>
      <c r="D136" t="inlineStr">
        <is>
          <t>indeed</t>
        </is>
      </c>
      <c r="E136">
        <f>HYPERLINK("https://www.indeed.com/viewjob?jk=321e0fe0a2b85b37", "https://www.indeed.com/viewjob?jk=321e0fe0a2b85b37")</f>
        <v/>
      </c>
      <c r="F136">
        <f>HYPERLINK("https://fa-evlf-saasfaprod1.fa.ocs.oraclecloud.com/hcmUI/CandidateExperience/en/sites/CX_1/requisitions/preview/38000", "https://fa-evlf-saasfaprod1.fa.ocs.oraclecloud.com/hcmUI/CandidateExperience/en/sites/CX_1/requisitions/preview/38000")</f>
        <v/>
      </c>
      <c r="G136" t="inlineStr">
        <is>
          <t>GA, US</t>
        </is>
      </c>
      <c r="H136" s="3" t="n">
        <v>46054</v>
      </c>
      <c r="I136" t="inlineStr">
        <is>
          <t>Partner channels are a multi\-billion\-dollar revenue engine for Hertz, spanning travel marketplaces, airlines and hotels, credit card and loyalty partners, corporate distributors, and emerging mobility ecosystems. This role sits at the intersection of Sales, Partnerships, and Product to create differentiated partner experiences that make Hertz the preferred choice for partners and customers.
In this role you will own the strategy and execution for partner\-channel growth: uncovering high\-impact opportunities, building business cases, and working cross\-functionally to launch improved partner experiences (co\-branded booking flows, integrations, loyalty benefits, and operational readiness). You will be accountable for revenue growth, conversion, and partner satisfaction while ensuring changes scale across markets.  
**What You'll Do:**
* Define the partner growth strategy and roadmap, prioritizing opportunities across top distribution partners to drive incremental revenue and share.
* Develop and lead partnership expansion initiatives: identify opportunities, negotiate commercial terms, and drive internal approvals across finance, legal, and risk.
* Partner with product and engineering teams to deliver differentiated partner experiences (APIs and integrations, deep links and embedded booking, loyalty earn and burn, tailored offers) that improve the end\-to\-end customer journey.
* Stand up measurement and reporting (partner funnel metrics, attribution, ROI, and experimentation) and continuously optimize performance.
* Drive cross\-functional launch excellence including go\-to\-market planning, partner enablement, operational readiness, and ongoing partner governance.
**What We're Looking For:**
* Bachelor's degree required; MBA or master's degree preferred.
* 5\+ years of experience in strategic partnerships, business development, partner growth, or a related commercial role.
* Track record building and scaling partnerships with measurable revenue impact; experience with marketplace or distribution channels preferred.
* Strong negotiation and deal structuring skills; comfort with contracts, commercial models, and joint marketing terms.
* Analytical strength: ability to build business cases, financial models, and ROI projections; strong understanding of unit economics.
* Experience working cross\-functionally with product and engineering on technical integrations and roadmaps (APIs, data feeds, reliability).
* Ability to define success metrics and manage performance through dashboards, experimentation, and operational KPIs.
* Excellent verbal and written communication; proven ability to influence stakeholders and senior leaders (VP, C\-level).
* Comfort operating in ambiguity and creating scalable playbooks and processes for partner growth.
* Customer\-obsessed mindset with an eye for experience differentiation, not just distribution reach.
* Experience in travel, mobility, e\-commerce, or fintech is a plus.
* Ability to travel occasionally for partner meetings and key launches is a plus.
The salary range for this position is starting at $125,000\. Posting open until the position is filled.
**What You’ll Get:**
* 40% off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row>
    <row r="137">
      <c r="A137" t="inlineStr">
        <is>
          <t>in-2f3d4c02bd93069a</t>
        </is>
      </c>
      <c r="B137" t="inlineStr">
        <is>
          <t>Small Satellite Program Manager (1/2)</t>
        </is>
      </c>
      <c r="C137" t="inlineStr">
        <is>
          <t>Astro Digital</t>
        </is>
      </c>
      <c r="D137" t="inlineStr">
        <is>
          <t>indeed</t>
        </is>
      </c>
      <c r="E137">
        <f>HYPERLINK("https://www.indeed.com/viewjob?jk=2f3d4c02bd93069a", "https://www.indeed.com/viewjob?jk=2f3d4c02bd93069a")</f>
        <v/>
      </c>
      <c r="F137">
        <f>HYPERLINK("https://astrodigital.odoo.com/jobs/detail/small-satellite-program-manager-1-2-29", "https://astrodigital.odoo.com/jobs/detail/small-satellite-program-manager-1-2-29")</f>
        <v/>
      </c>
      <c r="G137" t="inlineStr">
        <is>
          <t>Littleton, CO, US</t>
        </is>
      </c>
      <c r="H137" s="3" t="n">
        <v>46054</v>
      </c>
      <c r="I137" t="inlineStr">
        <is>
          <t>##### ***Littleton******,*** ***United States***
Job Title: Small Satellite Program Manager
Location: Denver, Colorado
Department: Program Management
Job Summary:
We are seeking an experienced Small Satellite Program Manager to support the development, production, and delivery of small satellite missions. The ideal candidate will possess strong project management skills, technical expertise in satellite systems, software, and a proven track record in managing complex aerospace projects from conception to completion. This role will require collaboration with cross\-functional teams, customers, and vendors to ensure the successful delivery of small satellite missions that meet the company's strategic objectives.
Key Responsibilities:
* Provide leadership and guidance throughout the project lifecycle, from concept design to delivery to the launch service provider.
* Develop and maintain detailed project plans, timelines, milestones, and resource allocation.
* Coordinate project teams, ensuring clear communication and alignment across engineering, production, integration, software and other relevant departments.
* Monitor project progress and performance, implementing corrective actions as necessary to address issues and risks.
* Act as the primary point of contact for customers.
* Communicate project status, updates, and risks to senior management and stakeholders in a clear and timely manner
* Conduct customer meetings and reviews in support of decision\-making processes and alignment, and support for project goals
* Collaborate with hardware and software engineering teams to resolve technical challenges and optimize satellite design and performance.
* Support regulatory agency application processes
* Identify, assess, and manage program risks, developing mitigation strategies to ensure successful project outcomes.
* Support business development efforts with estimated project budgets, schedules, risk assessment and resources predictions.
* Secure necessary resources, including personnel, equipment, and materials, to support project execution.
Education and Experience:
* Bachelor’s degree in aerospace engineering, software engineering, or a related field.
* 5\+ years of experience in satellite program management, with a focus on small satellite missions.
* Proven track record of successfully managing aerospace projects from inception to completion.
Skills and Abilities:
* Strong project management skills, including experience with project management tools and methodologies.
* Technical expertise in satellite systems, including design, integration, testing, and operations.
* Excellent leadership and team management skills, with the ability to motivate and guide cross\-functional teams.
* Strong problem\-solving skills and the ability to make informed decisions under pressure.
* Exceptional communication and interpersonal skills, with the ability to effectively interact with diverse stakeholders.
* Knowledge of industry standards, regulations, and best practices related to satellite systems and space missions.
Certifications:
* Project Management Professional (PMP) certification or equivalent is preferred.
Additional Requirements:
* Ability to travel as needed to support project activities, including meetings with customers, partners, and regulatory agencies.
* Eligibility to work on USG projects and obtain any necessary security clearances.
How to Apply:
Interested candidates should submit their resume, cover letter, and references through the Astro Digital careers page.
About Astro Digital:
Astro Digital is a leading innovator in the small satellite industry, dedicated to advancing space technology and exploration. Our team is committed to delivering cost\-effective satellite solutions that meet the needs of our customers and partners. Join us in pushing the boundaries of what’s possible and shaping the future of space exploration.
This job description outlines the primary duties, responsibilities, and qualifications for the Astro Digital Program Manager role. It is not intended to be an exhaustive list of all duties and responsibilities. The company reserves the right to modify this job description at any time based on business needs.
###### ***Export Statement***
*This position requires access to export\-controlled commodities, technical data, technology, software, and services. U.S. citizenship, U.S. legal permanent resident status, or protected person status under 22 CFR §120\.15 and 8 U.S.C. Â§ 1324b(a)(3\) is required.*</t>
        </is>
      </c>
    </row>
    <row r="138">
      <c r="A138" t="inlineStr">
        <is>
          <t>in-e8a963895b707309</t>
        </is>
      </c>
      <c r="B138" t="inlineStr">
        <is>
          <t>Information Technology Operations and Infrastructure Program Manager III</t>
        </is>
      </c>
      <c r="C138" t="inlineStr">
        <is>
          <t>L.A. Care Health Plan</t>
        </is>
      </c>
      <c r="D138" t="inlineStr">
        <is>
          <t>indeed</t>
        </is>
      </c>
      <c r="E138">
        <f>HYPERLINK("https://www.indeed.com/viewjob?jk=e8a963895b707309", "https://www.indeed.com/viewjob?jk=e8a963895b707309")</f>
        <v/>
      </c>
      <c r="F138">
        <f>HYPERLINK("https://jobs.lacare.org/job/Los-Angeles-Information-Technology-Operations-and-Infrastructure-Program-Manager-III-CA-90017/1361251800/", "https://jobs.lacare.org/job/Los-Angeles-Information-Technology-Operations-and-Infrastructure-Program-Manager-III-CA-90017/1361251800/")</f>
        <v/>
      </c>
      <c r="G138" t="inlineStr">
        <is>
          <t>Los Angeles, CA, US</t>
        </is>
      </c>
      <c r="H138" s="3" t="n">
        <v>46054</v>
      </c>
      <c r="I138" t="inlineStr">
        <is>
          <t>Information Technology Operations and Infrastructure Program Manager III
**Job Category:** Information Technology
**Department:** IT Executive Administration
**Location:**Los Angeles, CA, US, 90017
**Position Type:** Full Time
**Requisition ID:** 12938
**Salary Range:** $121,056\.00 (Min.) \- $160,400\.00 (Mid.) \- $199,742\.00 (Max.)  
Established in 1997, L.A. Care Health Plan is an independent public agency created by the state of California to provide health coverage to low\-income Los Angeles County residents. We are the nation’s largest publicly operated health plan. Serving more than 2 million members,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Information Technology Operations and Infrastructure Program Manager III plays a critical role in executing high\-impact org\-wide initiatives and continuously improving processes to increase the effectiveness of our Infrastructure Operations and Security initiatives. The Program Manager in this role structures and drives large sophisticated cross\-functional team’s technical initiatives in ITOI \&amp; Security platforms. Specifically, the Program Manager drives the problem space, work closely with IT and Business leads to conceptualize solutions, organize/align multiple teams for delivery and drive towards execution demonstrating landmarks/important metrics.
This Program Manager looks for ways to standardize, ensures execution is efficient and consistent, and sets accountability by supervising progress, resolving dependencies, identifying issues, evaluating risks, and communicating with partners. The Program Manager moves fluidly from the big picture end\-to\-end software systems to low\-level details so that the team can deliver complex and strategic multi\-functional software programs, often with tight deadlines and conflicting projects.
The Program Manager leads the team to a better understanding of technical implementation at the architecture level, verifies and addresses questions that clarifies priorities and pushes the team to be highly effective. Develop a broad domain and technical knowledge. Project lead complex and large\-scale cross\-team, multi\-functional initiatives. Track progress, resolve dependencies, evaluate risks, and communicate status to upper management and project partners. Engage and energize the project teams to achieve the goals. Acts as a subject matter expert, serves as a resource and mentor for other staff members.
Duties
Provide program management and guidance to various stakeholders in ensuring the project team has a clear understanding of timelines, risks, escalation path and roles/responsibilities they will undertake within the Infrastructure and other IT teams.
Develop and manage IT Infrastructure programs and manage deliveries from beginning to end, including project scope, timeline, hardware procurement, resource allocation, and project execution coordinating remote work closely with Technical and Functional teams.
Provide on\-site monitoring and enforcement of installation schedules and vendor quality, inspect prospective and completed facilities in accordance with IT infrastructure standards and procedures as needed, and ensure proper follow\-up.
Serve as a liaison between all IT teams (Network Engineers, DBAs, System Administrators, Development teams and Customers) to ensure alignment with project goal(s).
Facilitate formal turn\-over with IT production teams and monitor deliverables until agreed upon launch/deliverable is achieved.
Contribute to development of program management processes and methodologies.
Applies subject expertise in evaluating business operations and processes. Identifies areas where technical solutions would improve business performance. Consults across business operations, providing mentorship, and contributing specialized knowledge. Ensures that the facts and details are correct so that the project’s/program's deliverable meets the needs of the department, organization and legislation's policies, standards, and best practices. Provides training, recommends process improvements, and mentors junior level staff, department interns, etc. as needed.
Perform other duties assigned.
Duties Continued
Education Required
Bachelor's Degree
In lieu of degree, equivalent education and/or experience may be considered.
Education Preferred
Master's Degree
Experience  
**Required:**
At least 6 years of experience in handling IT Projects or programs.
Experience with Process Improvement Methodology including defining and documenting workflow.
Experience with Workflow Tools \- JIRA, Project Server etc.
Technical project experience in large distributed systems, complex competing environments, Microservices Architecture, Cloud computing etc.
Experience resolving effective program critical metrics and using them to measure program success and identify issues.
Experienced in project management tools. Familiar with both Agile and Waterfall methodologies and able to apply those when best suited.
**Preferred:**
At least 3 years of experience in Health Care, Managed Care.
Skills
**Required:**
Proven ability to work closely and skillfully with all stakeholders across the organization.
Strong organizational, analytical and truth\-seeking mentality skills to juggle many tasks without losing sight of the highest priority or roadmap projects.
Excellent in identifying process gaps, measuring progress, efficiency and balancing with process overhead and be exceptional at facilitating discussions.
Proven technical capability and an understanding of technical designs, challenges, and risks.
Ability to influence, motivate, and align people across a broad variety of job functions through your project/program management skills. Basic understanding of IT driven technologies and Architectures.
Working knowledge of MS Office, Visio, Project Server \&amp; Jira Management.
Ability to articulate and communicate effectively and follow the project management and SDLC lifecycles.
Licenses/Certifications Required
Licenses/Certifications Preferred
Certification in Project Management Professional
Required Training
Physical Requirements
Additional Information
**Department Specifics to: I.T. Operations, Infrastucture \&amp; Security**
**Duties and Responsibilities:**
Meet with departments and I.T. Teams to gather and arrange project tasks.
Prepare Project Management documents to effectively track deliverables and resources.
Set\-up and conduct status meetings and brainstorming meetings to create work breakdown structures (WBS).
Create Project Management SOPs to ensure projects are produced and tracked appropriately.
**Education/Major:**
**Required:**
Bachelor's Degree
**Equivalent:**
In lieu of degree, equivalent education and/or experience may be considered.
**Experience:**
**Required:**
At least 6 years of experience as an I.T. Project Manager with at least 3 years of experience in Health Care, Managed Care.
Understanding of I.T. Infrastructure
**Certification:**
**Required:**
Project Management Professional (PMP)
**Salary Range Disclaimer:** The expected pay range is based on many factors such as geography, experience, education, and the market. The range is subject to change.  
**L.A. Care offers a wide range of benefits including**
* Paid Time Off (PTO)
* Tuition Reimbursement
* Retirement Plans
* Medical, Dental and Vision
* Wellness Program
* Volunteer Time Off (VTO)
**Nearest Major Market:** Los Angeles</t>
        </is>
      </c>
    </row>
    <row r="139">
      <c r="A139" t="inlineStr">
        <is>
          <t>in-e96b2b1b76edb861</t>
        </is>
      </c>
      <c r="B139" t="inlineStr">
        <is>
          <t>Technical Program Manager III - Lunar Permanence</t>
        </is>
      </c>
      <c r="C139" t="inlineStr">
        <is>
          <t>Blue Origin</t>
        </is>
      </c>
      <c r="D139" t="inlineStr">
        <is>
          <t>indeed</t>
        </is>
      </c>
      <c r="E139">
        <f>HYPERLINK("https://www.indeed.com/viewjob?jk=e96b2b1b76edb861", "https://www.indeed.com/viewjob?jk=e96b2b1b76edb861")</f>
        <v/>
      </c>
      <c r="F139">
        <f>HYPERLINK("https://blueorigin.wd5.myworkdayjobs.com/en-US/BlueOrigin/job/Greater-Seattle-Area/Technical-Program-Manager-III---Lunar-Permanence_R59627", "https://blueorigin.wd5.myworkdayjobs.com/en-US/BlueOrigin/job/Greater-Seattle-Area/Technical-Program-Manager-III---Lunar-Permanence_R59627")</f>
        <v/>
      </c>
      <c r="G139" t="inlineStr">
        <is>
          <t>Seattle, WA, US</t>
        </is>
      </c>
      <c r="H139" s="3" t="n">
        <v>46054</v>
      </c>
      <c r="I139"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part of a hardworking team of specialists, technicians, and engineers, you will draw upon an engineering foundation and program leadership to deliver complex, hands\-on hardware projects on time and within budget. In this role, you will work directly with Lunar Core Components Mechanical team to drive product development impacting multiple Lunar Permanence vehicles across Blue’s catalog. This high\-impact opportunity is ideal for those hands\-on individuals who love combining applied engineering, technical detail, program management principles and a passion for human spaceflight to pave the road to space.
Responsibilities include but are not limited to:* Lead and manage the full lifecycle of hardware\-based engineering projects: from requirements through design, build, integration, test, and final delivery
* Own technical project planning, scheduling, resource allocation, and budget management with an engineering\-first mindset
* Act as primary technical focal point for assigned projects—driving detail\-oriented coordination across hardware engineering teams
* Partner closely with systems, mechanical, and analysis to develop, review, and validate physical solutions
* Define, monitor, and control technical project scope, goals, and deliverables; proactively manage risk and technical changes
* Prepare and deliver engineering\-focused project status and technical reviews (SRR, PDR, CDR)
* Develop engineering\-driven procurement packages and provide technical guidance for vendor/supplier selection and management of critical hardware
* Develop, document, and evolve program management processes within Blue’s established policies specific to Core Components that integrate across multiple customers
* Lead continuous improvement of engineering project management tools, technical processes, and documentation
* Adapt to evolving engineering requirements in a fast\-paced, hardware\-driven environment
* Champion a detail\-driven, safety\-focused, and data\-oriented culture throughout every physical and technical activity
Minimum Qualifications:* B.S. degree or higher in Mechanical, Aerospace, Electrical, Systems, or other classical engineering discipline
* 5\+ years of project and/or program management experience in an aerospace environment
* Demonstrated history of technical project management applied to multi\-disciplinary engineered systems (schedules, critical path, change management, and after\-action reporting on hardware)
* Proven record of delivering engineered hardware projects on time and under budget, while managing multiple, concurrent technical efforts
* Effective communicator for technical content—able to clearly articulate engineering details and present to cross\-functional technical teams
* Excellent organization and documentation skills; able to decompose engineering challenges into actionable hardware milestones
* Proficiency in Microsoft Office (Excel, PowerPoint, Word, Outlook)
* Proven experience with project planning and execution software (P6, MS Project, Jira)
* Must be able to successfully apply for badging at a government installation
Preferred Qualifications:* M.S. or higher in Engineering discipline; PMP certification
* Demonstrated, hands\-on experience with:
	+ Aerospace flight hardware/component design or test
	+ Mechanical systems to include docking, pressure vessels, and structural systems
* Familiarity with engineering controls tools: Windchill, Tableau, Baserow, or similar
* Understanding of Earned Value Management Systems in a hardware engineering setting
Compensation Range for:
CA applicants is $121,023\.00 \- $169,432\.20
WA applicants is $121,023\.00 \- $169,432\.20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40">
      <c r="A140" t="inlineStr">
        <is>
          <t>in-04f351f8fd4baa84</t>
        </is>
      </c>
      <c r="B140" t="inlineStr">
        <is>
          <t>Corporate Program Manager</t>
        </is>
      </c>
      <c r="C140" t="inlineStr">
        <is>
          <t>Girl Scouts of the USA</t>
        </is>
      </c>
      <c r="D140" t="inlineStr">
        <is>
          <t>indeed</t>
        </is>
      </c>
      <c r="E140">
        <f>HYPERLINK("https://www.indeed.com/viewjob?jk=04f351f8fd4baa84", "https://www.indeed.com/viewjob?jk=04f351f8fd4baa84")</f>
        <v/>
      </c>
      <c r="F140">
        <f>HYPERLINK("https://girlscoutsofcolorado.applytojob.com/apply/rp8Qycmb6N/Corporate-Program-Manager?source=INDE&amp;~", "https://girlscoutsofcolorado.applytojob.com/apply/rp8Qycmb6N/Corporate-Program-Manager?source=INDE&amp;~")</f>
        <v/>
      </c>
      <c r="G140" t="inlineStr">
        <is>
          <t>Denver, CO, US</t>
        </is>
      </c>
      <c r="H140" s="3" t="n">
        <v>46054</v>
      </c>
      <c r="I140" t="inlineStr">
        <is>
          <t>**Corporate Program Manager Job Description**  
**Job Title****:** Corporate Program Manager  
**Region/Location****:** Denver\-Metro  
**Department****:** Fund Development  
**Occupational Job Group****:** Functional Managers  
**Pay Range:** $57,784 \- $62,000 per year  
**Reports To****:** Director of Corporate Programs  
**Date****:** January 2026  
**FLSA Status****:** Exempt  
**Terms:** Regular, Year\-Round, Full\-Time, Hybrid\-Remote  
**Supervisory Responsibility****:** None  
**GENERAL PURPOSE:** Girl Scouts of Colorado is looking for a highly skilled Corporate Program Manager to provide program development, project management, communications and logistical support for funded Girl Scout programs and events. This position will function as a member of the fund development team under the Director of Corporate Programs to ensure that Girl Scouts of Colorado activates upon its corporate partnerships to provide maximum benefit to our members and value to our partners. By working closely with the broader Mission Delivery, with primary focus on the Program Delivery and Community Programs teams, and Fund Development teams, they will support the delivery of program events and programming made available through corporate partnerships.  
**ESSENTIAL DUTIES \&amp; RESPONSIBILITIES**  
The Corporate Program Manager leads the development, execution, and evaluation of programs and events funded by corporate and foundation partners, in alignment with organizational goals. This role ensures all programming delivers value to Girl Scouts while meeting the objectives of funders and partners, working closely with the Director of Corporate Programs.  
**Program Development \&amp; Strategy*** Lead the development of funded program curriculum and events for corporate and foundation partners, including participating in cultivation meetings as needed, designing curriculum and/or program content, and setting success metrics with the Director of Corporate Programs.
* Develop and adapt Girl Scout programming for diverse audiences (youth and adults) delivered both in\-person and virtually, including creating materials such as videos, activity guides, and presentations.
* Ensure programming aligns with partner goals and Girl Scout mission; tap the Director of Corporate Programs for guidance or collaboration as needed.
**Program Execution \&amp; Event Management*** Serve as the primary point of contact for corporate program partners before, during, and after events, coordinating with the Director of Corporate Programs and other team members as necessary.
* Lead all aspects of program execution including:
	+ Venue selection and logistics management.
	+ Attendee recruitment, working cross\-departmentally to ensure broad and appropriate outreach.
	+ Registration creation and communication in partnership with Registration Specialists.
	+ Day\-of event support (both virtual and in\-person), including facilitation and troubleshooting.
	+ Content development for event materials and collaboration with Marketing \&amp; Communications for production.
	+ Track expenses and revenue related to corporate\-funded programs and events, coordinating with the Director of Corporate Programs on budget considerations.
* Collaborate with internal teams to creatively address challenges, improve program delivery, and ensure quality.
* Monitor and evaluate program success metrics; establish systems for collecting and analyzing feedback and data.
* Support reporting needs for corporate sponsor recognition and compliance with partnership agreements.
* Other duties as assigned.
**PRIMARY CROSS\-FUNCTIONAL RESPONSIBILITIES*** Collaborate with Director of Corporate Programs and greater Mission Delivery Department, as needed, to coordinate a unified approach to all Girl Scouts of Colorado programming through integration and implementation of long\- and short\-term goals, objectives, and action plans.
* Support the greater fund development team in annual fundraising galas and other fundraising efforts as needed.
* Collaborate with statewide teams on program opportunities.
* Support the efforts and commitments of Girl Scouts of Colorado in pluralism and diversity throughout the organization and within each community served.
* Work cross functionally with other departments to support membership and the council’s priorities.
* Embrace diversity and inclusiveness by contributing to positive relationships between diverse racial, ethnic, and social groups in the Council as a whole and between employees and volunteers.
**JOB QUALIFICATIONS**  
EDUCATION/FORMAL TRAINING* Bachelor’s degree; or related experience and/or training; or equivalent combination of education and experience, preferred.
EXPERIENCE* Three years’ experience in event management and/or program delivery or in a related field such as project management or community relations.
* Three years of customer service experience is desirable.
* Proven development and implementation of collaborations, partnerships, and cross\-functional teams.
KNOWLEDGE, SKILL AND ABILITY* Knowledge of Girl Scout program and philosophy, or willingness to learn.
* Ability to manage priorities effectively while remaining flexible.
* Ability to communicate effectively with employees, customers and vendors.
* Ability to manage multiple priorities and deadlines.
* Excellent skills planning and leading cross\-functional projects, including proven success in event planning or event coordination.
* Experience working with colleagues in graphic design, sales, marketing, and communication specialties.
* Strong written, oral, and interpersonal communication skills, including public speaking and networking skills required.
* Ability to create and deliver presentations tailored to audience needs.
* Excellent independent decision\-making skills and strong resourcefulness.
* Must be flexible, adaptable, and willing to thrive in an ever\-changing/fast\-paced environment.
* Ability to work independently and as part of a team.
* Ability to manage details and make decisions.
* Strong organizational skills.
* Must pass a criminal background check.
* Night and weekend availability is required.
* Embrace diversity and inclusiveness by contributing to positive relationships between diverse racial, ethnic, and social groups in the Council as a whole and between employees and volunteers.
* Work successfully in a team environment.
* Respect the confidential nature of all information pertaining to staff, volunteers, and Girl Scouts.
* Bilingual and bicultural skills are desired yet not required.
MATERIAL AND EQUIPMENT DIRECTLY USED* Computer and related software, telephone, e\-mail, fax machines, copiers and equipment commonly found in an office environment.
* Proficiency with Microsoft Office Suite programs is required.
WORKING ENVIRONMENT/PHYSICAL ACTIVITIES* Variable working schedule including evenings, weekends and some overnight stays.
* Access to transportation with insurance at required state levels to conduct business statewide.
* Valid driver’s license, proof of insurance, and access to reliable transportation.
* May be required to transport Girl Scout materials weighing up to 30 pounds from a vehicle to a building as well as preparing facilities for meetings, with or without assistance.
* Able to work from home or remote location with secure internet access.
This job description is not designed to cover or contain a comprehensive listing of activities, duties or responsibilities that are required of the employee.  
rp8Qycmb6N</t>
        </is>
      </c>
    </row>
    <row r="141">
      <c r="A141" t="inlineStr">
        <is>
          <t>in-9923fa2c3a36f920</t>
        </is>
      </c>
      <c r="B141" t="inlineStr">
        <is>
          <t>Sr. Tax Product Manager - Order to Cash (O2C)</t>
        </is>
      </c>
      <c r="C141" t="inlineStr">
        <is>
          <t>Inabia Software &amp; Consulting Inc.</t>
        </is>
      </c>
      <c r="D141" t="inlineStr">
        <is>
          <t>indeed</t>
        </is>
      </c>
      <c r="E141">
        <f>HYPERLINK("https://www.indeed.com/viewjob?jk=9923fa2c3a36f920", "https://www.indeed.com/viewjob?jk=9923fa2c3a36f920")</f>
        <v/>
      </c>
      <c r="F141">
        <f>HYPERLINK("https://inabia.applytojob.com/apply/LPEEZeJ0wo/Sr-Tax-Product-Manager-Order-To-Cash-O2C?source=INDE&amp;~", "https://inabia.applytojob.com/apply/LPEEZeJ0wo/Sr-Tax-Product-Manager-Order-To-Cash-O2C?source=INDE&amp;~")</f>
        <v/>
      </c>
      <c r="G141" t="inlineStr">
        <is>
          <t>Redmond, WA, US</t>
        </is>
      </c>
      <c r="H141" s="3" t="n">
        <v>46054</v>
      </c>
      <c r="I141" t="inlineStr">
        <is>
          <t>**Senior Tax Product Manager – Order to Cash (O2C)**
----------------------------------------------------
**Location: Seattle, WA (Onsite preferred)**
**Work Authorization: U.S. Citizen or Green Card ONLY**
**Employment Type: Full\-Time or Contract (W2\)**
**Overview**
**Inabia Solutions \&amp; Consulting is seeking a Senior Tax Product Manager to support the Amazon Kuiper program, owning tax\-related capabilities across Order\-to\-Cash (O2C) platforms. This role is responsible for driving tax determination, calculation, invoicing, reporting, and compliance within large\-scale, subscription\-based and transaction\-heavy systems.**
**This is a senior, hands\-on product leadership role operating at Amazon scale, requiring close partnership with Tax, Finance, Accounting, Legal, Compliance, and Engineering to ensure accurate tax outcomes, audit readiness, and customer trust across global markets.**
**Key Responsibilities**
--------------------------------------------------------------------------------------------------------------------------------------------------------------------------------------------------------------------------------------------------------------------------------------------------------------------------------------------------------------------------------------------------------------------------------------------------------------------------------------------------------------------------------------------------------------------------------------------------------------------------------------------------------------------------------------------------------------------------------------------------------------------------------------------------------------------------------------------------------
* Own and lead tax\-related product workstreams across the Order\-to\-Cash lifecycle, including tax calculation, invoicing, reporting, and reconciliation
* Partner closely with Tax, Finance, Accounting, Legal, and Compliance teams to translate regulatory and policy requirements into scalable product and technical solutions
* Define and document business and technical requirements, user stories, and acceptance criteria in Jira
* Ensure accurate handling of sales tax, VAT, GST, digital taxes, exemptions, credits, and adjustments
* Collaborate with engineering teams on event\-driven architecture and downstream financial/tax integrations
* Drive execution through build, integration testing, UAT, and release readiness, with a focus on revenue and tax accuracy
* Support UAT strategy and tax validation, including scenario coverage for edge cases and regulatory exceptions
* Facilitate working sessions and decision forums with large, cross\-functional stakeholder groups
* Operate effectively in fast\-paced, ambiguous environments with high visibility, tight dependencies, and regulatory scrutiny
**Required Qualifications*** 10\+ years of experience as a Product Manager or Technical Product Manager, with a strong focus on tax and financial systems
* Hands\-on experience owning tax functionality within Order\-to\-Cash platforms (billing, invoicing, pricing, subscriptions)
* Strong understanding of tax determination, calculation, reporting, and compliance in large\-scale systems
* Proven ability to write clear, testable product and business requirements (PRDs, BRDs, Jira user stories)
* Experience partnering with Tax and Finance stakeholders on revenue\- and compliance\-critical platforms
* Solid understanding of product build, integration testing, and UAT cycles
* Strong facilitation, communication, and senior stakeholder management skills
**Preferred Qualifications*** Experience supporting Amazon, Kuiper, telecom, or large\-scale subscription platforms
* Background in telecommunications, high\-tech, or regulated industries
* Experience with global tax considerations (multi\-region, multi\-jurisdiction)
* Familiarity with audit readiness, SOX controls, and compliance workflows
* Experience working with event\-driven financial and tax data services
**Why Inabia**
**At Inabia, we partner with global technology leaders to deliver mission\-critical product and platform solutions. You’ll work at the intersection of tax, finance, engineering, and compliance, helping ensure accurate financial outcomes and customer trust at massive scale.**
--------------------------------------------------------------------------------------------------------------------------------------------------------------------------------------------------------------------------------------------------------------------------------------------------
LPEEZeJ0wo</t>
        </is>
      </c>
    </row>
    <row r="142">
      <c r="A142" t="inlineStr">
        <is>
          <t>in-be621804cd4b3ab9</t>
        </is>
      </c>
      <c r="B142" t="inlineStr">
        <is>
          <t>Dodge Product Manager</t>
        </is>
      </c>
      <c r="C142" t="inlineStr">
        <is>
          <t>Stellantis</t>
        </is>
      </c>
      <c r="D142" t="inlineStr">
        <is>
          <t>indeed</t>
        </is>
      </c>
      <c r="E142">
        <f>HYPERLINK("https://www.indeed.com/viewjob?jk=be621804cd4b3ab9", "https://www.indeed.com/viewjob?jk=be621804cd4b3ab9")</f>
        <v/>
      </c>
      <c r="F142">
        <f>HYPERLINK("https://recruiting.adp.com/srccsh/public/RTI.home?r=5001176687906&amp;c=2183219&amp;d=ExternalCareerSite&amp;rb=INDEED&amp;idUnique=5001176687906", "https://recruiting.adp.com/srccsh/public/RTI.home?r=5001176687906&amp;c=2183219&amp;d=ExternalCareerSite&amp;rb=INDEED&amp;idUnique=5001176687906")</f>
        <v/>
      </c>
      <c r="G142" t="inlineStr">
        <is>
          <t>Auburn Hills, MI, US</t>
        </is>
      </c>
      <c r="H142" s="3" t="n">
        <v>46054</v>
      </c>
      <c r="I142" t="inlineStr">
        <is>
          <t>The Dodge Brand team is looking for a strong and passionate candidate to help us build upon our successes and future opportunities. The Dodge Product Manager will be responsible for leading the product planning and management of a Dodge nameplate, with a specific focus on the future portfolio.
This role is:
* Highly autonomous, strategic, fast‑paced, and highly visible to senior leadership
* Responsible for leading and influencing cross‑functional teams including Engineering, Research, Design, Sales, Marketing, Finance, and Procurement
* Expected to develop customer‑centric products and technology strategies that succeed in the marketplace
* Required to present brand initiatives and materials to senior leadership stakeholders
Key responsibilities include:
* Defining market opportunities, industry trends and competitive landscape
* Analyzing customer data such as demographics and purchase/rejection reasons
* Setting product attribute priorities and defining compelling value propositions
* Creating the product plan, price positioning, vehicle segmentation, volume forecasting, marketing messaging and go‑to‑market plan for vehicle nameplate
* Understanding market trends and Stellantis's multi\-brand showroom dynamic
* Using analytical data to identify opportunities and make recommendations that grow revenue, margin, market share, and brand value
* Demonstrating an entrepreneurial mindset and strong product, sales, marketing, presentation, and communication skills—often at executive levels
The Dodge Brand Product team:
* Defines and manages current vehicle planning and the future strategic direction of the portfolio
* Builds forward‑thinking product visions informed by evolving marketplace dynamics, research, and analytics
* Focuses on understanding customer motivations, including:
	+ What drives their purchase decisions
	+ Perceptions of the brand and its products
	+ Views of competing brands
	+ Emerging trends (focus on performance)
Team member expectations:
* Build strong working relationships grounded in trust and transparency with internal and external partners
* Demonstrate sound judgment and excellent communication skills
* Drive decisions through consensus and influence
* Lead and influence organizational change effectively
Requirements:
**Basic Qualifications:**  
* Bachelor's degree
* 5 years of experience in one or more of the following: product planning, brand management, product/marketing strategy, product finance or engineering roles
* Experience building product and technology strategies
* Passion for the automotive market; automotive product knowledge
* Comfortable mining and analyzing data to identify market trends to make recommendations to generate demand and grow revenue, margin, market share and brand value
* Ability to manage and prioritize multiple projects concurrently and meet aggressive and shifting deadlines
* Able to lead multiple cross functional teams and influence in a matrix organization
* Strong analytical and presentation skills are necessary and an aptitude to utilize those skills to communicate effectively with vehicle engineering, design, manufacturing, logistics, sales, marketing, and finance teams
* Strong strategic and critical\-thinking skills
* Ability to be a change leader
* Highly proficient in Microsoft Office, especially PowerPoint \&amp; Excel
**Preferred Qualifications:**  
* MBA or Master's degree in: Management, Marketing, Finance, Engineering/Engineering Management
* Professional experience in vehicle\-related industries:
* Automotive
* Motorcycles
* Boating / Watersports
* Powersports
* Motorsports / Racing</t>
        </is>
      </c>
    </row>
    <row r="143">
      <c r="A143" t="inlineStr">
        <is>
          <t>in-6fa1cca529895bd3</t>
        </is>
      </c>
      <c r="B143" t="inlineStr">
        <is>
          <t>Senior Product Manager</t>
        </is>
      </c>
      <c r="C143" t="inlineStr">
        <is>
          <t>Circle K</t>
        </is>
      </c>
      <c r="D143" t="inlineStr">
        <is>
          <t>indeed</t>
        </is>
      </c>
      <c r="E143">
        <f>HYPERLINK("https://www.indeed.com/viewjob?jk=6fa1cca529895bd3", "https://www.indeed.com/viewjob?jk=6fa1cca529895bd3")</f>
        <v/>
      </c>
      <c r="F143">
        <f>HYPERLINK("https://workwithus.circlek.com/global/en/job/CIKCGLOBALR561137EXTERNALENGLOBAL/Senior-Product-Manager?utm_source=indeed&amp;utm_medium=phenom-feeds", "https://workwithus.circlek.com/global/en/job/CIKCGLOBALR561137EXTERNALENGLOBAL/Senior-Product-Manager?utm_source=indeed&amp;utm_medium=phenom-feeds")</f>
        <v/>
      </c>
      <c r="G143" t="inlineStr">
        <is>
          <t>Charlotte, NC, US</t>
        </is>
      </c>
      <c r="H143" s="3" t="n">
        <v>46054</v>
      </c>
      <c r="I143" t="inlineStr">
        <is>
          <t>**Senior Product Manager**
**Location:** Any Circle K Business Unit location  
**Team:** Global Digital Retail Experience
Be a key part of Circle K’s journey as we create the future of our customer experience through an exciting digital transformation. We are dedicated to fostering a dynamic and innovative product and UX culture, where your work will directly contribute to making life easier for millions of our customers worldwide. This is a fantastic chance to leverage your skills to influence a major global enterprise, drive significant improvements, and explore international opportunities within a company committed to growth and winning in the market.
Circle K is redefining how customers experience fresh food in our stores and are growing our product organization with a Senior Product Manager who will own and scale our next‑generation **In\-Store Ordering \&amp; Checkout** experience — spanning in‑store kiosks, integrated ordering flows, backend orchestration, merchandising alignment, and seamless payment. This is an opportunity to build a net‑new product area inside a global enterprise, influence the future of digital convenience retail, and directly impact millions of customers.
**What You’ll Do**
As Senior Product Manager for In\-Store Ordering \&amp; Checkout, you will lead the full product lifecycle and strategy for digital food ordering and supporting systems.
You will:
**Product Strategy \&amp; Vision**
* Define and articulate the long‑term vision and strategy for Circle K’s food ordering and kiosk experience, grounded in customer insights, store operations realities, and our broader digital ecosystem.
* Develop and maintain a multi‑year product roadmap aligned to value drivers for food, merchandising, loyalty, and digital engagement.
* Drive clarity in an ambiguous and emerging space, transforming early concepts into structured plans, pilots, and scaled rollouts.
**End\-to\-End Product Ownership**
* Own the complete product lifecycle — discovery, service design, requirements, delivery, launch, optimization, and expansion.
* Coordinate across **frontend UX**, **backend ordering systems**, **POS**, **payments**, and **menu management** teams to deliver a cohesive, stable, and scalable platform.
* Define KPIs for product success (conversion, attach rate, throughput, menu configuration time, etc.) and use analytics to continuously improve.
**Cross\-Functional Leadership**
* Partner closely with the Food team to represent customer needs and store associate needs, translating into experiences that drive our food business.
* Work closely with cross\-product partners across Loyalty, Merchandising, Retail Media, Global Payments, and Store Operations to ensure food promotions, bundles, rewards, and personalized offers work seamlessly on kiosks.
* Partner with engineering, UX/UI, data science, finance, and operational leaders to ensure alignment and strong execution.
* Serve as the connective tissue across multiple business units, ensuring awareness, alignment, and advocacy for the food ordering experience.
**Customer \&amp; Service Design Focus**
* Lead customer‑centric discovery, mapping end‑to‑end service experiences including ordering, prep, fulfillment, and payment.
* Work with UX to conduct user research in stores to understand customer needs, friction points, and operational workflows.
* Ensure kiosk experiences are intuitive, fast, and optimized for real\-world retail environments.
**What You Bring**
**Required Qualifications**
* **7\+ years** of product management experience, including owning complex digital or omnichannel products end‑to‑end.
* Experience launching or scaling **self‑service, ordering, or checkout** solutions (kiosks, mobile ordering, POS\-integrated systems, or similar).
* Demonstrated ability to lead in **matrixed enterprise environments** with high ambiguity, driving alignment across many stakeholders.
* Strong strategic thinking, problem\-solving, and storytelling skills; able to influence at senior levels.
* Strong technical fluency with modern digital retail systems, including POS, payments, ordering orchestration, menu or item management, and APIs.
* Experience collaborating closely with UX, engineering, and data teams on complex digital journeys.
* Bachelor’s degree in Business, Engineering, Computer Science, HCI, or related field.
**Preferred Qualifications**
* Experience in **convenience retail, QSR, grocery, or food service technology**.
* Service design or design thinking certification/experience.
**Who You Are**
You will succeed in this role if you:
* Thrive in ambiguity and see opportunity where others see complexity.
* Are energized by building a product from the ground up inside a large enterprise.
* Bridge strategy and execution seamlessly — from high\-level vision to detailed requirements.
* Are deeply customer‑obsessed and equally attuned to store operational realities.
* Love working cross\-functionally and bringing diverse teams together around a common goal.
* Communicate clearly and persuasively to stakeholders at all levels.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
Click below to review information about our company's use of the federal E\-Verify program to check work eligibility:
In English
In Spanish</t>
        </is>
      </c>
    </row>
    <row r="144">
      <c r="A144" t="inlineStr">
        <is>
          <t>in-b61e37e4374c1511</t>
        </is>
      </c>
      <c r="B144" t="inlineStr">
        <is>
          <t>Shopify Product Owner</t>
        </is>
      </c>
      <c r="C144" t="inlineStr">
        <is>
          <t>Gymreapers</t>
        </is>
      </c>
      <c r="D144" t="inlineStr">
        <is>
          <t>indeed</t>
        </is>
      </c>
      <c r="E144">
        <f>HYPERLINK("https://www.indeed.com/viewjob?jk=b61e37e4374c1511", "https://www.indeed.com/viewjob?jk=b61e37e4374c1511")</f>
        <v/>
      </c>
      <c r="F144">
        <f>HYPERLINK("https://gymreapers.applytojob.com/apply/7Exu3rsQOY/Shopify-Product-Owner?source=INDE&amp;~", "https://gymreapers.applytojob.com/apply/7Exu3rsQOY/Shopify-Product-Owner?source=INDE&amp;~")</f>
        <v/>
      </c>
      <c r="G144" t="inlineStr">
        <is>
          <t>Nampa, ID, US</t>
        </is>
      </c>
      <c r="H144" s="3" t="n">
        <v>46054</v>
      </c>
      <c r="I144" t="inlineStr">
        <is>
          <t>Shopify Product Owner
**Employment Status:** Full\-Time, Benefits Eligible
**Location:** On\-Site at NEW Gymreapers HQ in Nampa, ID (20 mins outside of Boise, ID)
**Schedule:** Monday \- Friday, 8AM \- 5PM (flex according to business needs)
**Reports To:** Director of Ecommerce
**Job Summary:**
Gymreapers is looking for a **Shopify Product Owner** to own the performance, roadmap, and continuous optimization of our DTC storefront. This role sits at the intersection of **UX, CRO, engineering, merchandising, and growth**.
You will be responsible for turning business goals into high\-impact Shopify initiatives—driving conversion rate, AOV, LTV, and site speed while maintaining brand integrity and operational excellence.
This is a **hands\-on ownership role**, not a passive project manager.
**About Gymreapers:**
At Gymreapers, we make gear with a purpose and focus on material integrity. You get high\-quality lifting gear that’s made to outlast cheap look\-a\-likes.
We’re reengineering people’s workouts and improving the support needed to lift better, longer, and stronger. Improve performance, relieve pain, and add stability to your workout program with premium lifting belts, knee sleeves, wrist wraps, and more.
With our mantra, "NOTHING IS GIVEN," we embody a relentless pursuit of excellence, innovation, and community\-building.
**Our Core Values:**
* Grow or Die
* Customer Obsession
* Extreme Ownership
* Nothing is Given // Everything is Earned
* Be Humble
* 1% Better Everyday
* Live with Integrity
* Sacrifice
**Key Responsibilities:**
### **Product Ownership \&amp; Roadmap**
* Own the **Shopify product roadmap**, backlog, and prioritization
* Translate business goals (revenue, margin, CX) into clear product requirements
* Define success metrics and KPIs for every initiative
* Balance speed, scalability, and technical debt
### **CRO \&amp; Revenue Optimization**
* Lead **conversion rate optimization** across PDPs, PLPs, cart, and checkout
* Run structured **A/B tests** (offers, layouts, bundles, pricing presentation)
* Optimize upsells, cross\-sells, bundles, subscriptions, and post\-purchase flows
* Partner with Growth \&amp; Email teams to maximize LTV
### **UX, Performance \&amp; Site Health**
* Own site UX across mobile and desktop
* Monitor and improve **site speed, Core Web Vitals, and checkout performance**
* Ensure Shopify app stack is lean, performant, and ROI\-positive
* QA releases and ensure high\-quality deployments
### **Performance, Stability \&amp; QA**
* Own **site speed, uptime, and Core Web Vitals**
* Identify and resolve performance bottlenecks (apps, scripts, assets)
* Lead QA processes for releases, deployments, and theme updates
* Maintain rollback and incident response procedures
### **Integrations \&amp; Systems**
* Own integrations with:
	+ ERP / Inventory systems
	+ 3PLs and fulfillment partners
	+ Subscription platforms (e.g., Recharge)
	+ Marketing and analytics tools (Klaviyo, GA4, Meta, Google)
* Ensure data integrity across systems (orders, customers, inventory)
### **Development Process \&amp; Execution**
* Run sprint planning, backlog grooming, and release cycles
* Manage internal developers and/or external agencies
* Enforce coding standards, documentation, and testing discipline
* Coordinate releases to minimize revenue and CX risk
 **Benefits/Perks:**
* Competitive Pay
* Company paid holidays
* Paid Time Off (PTO)
* Gymreapers on\-site gym!
* Newly renovated HQ!
* 401(k) with up to a 4% employer match
* Life Flight Program, Voluntary
* Employee Assistance Program
* 50% Employee Discount
* 100% Employer Paid: Medical, Dental and Vision
* 100% Employer Paid: Short\-term and Long\-term disability \- life insurance for both employee and spouse/dependents
* Health Savings Account (HSA) employee option
*Gymreapers LLC is an equal opportunity employer. All qualified applicants will receive consideration for employment without regard to race, color, religion, sex, age, national or ethnic origin, disability, as well as any other characteristic protected by federal, provincial, or local law.*
7Exu3rsQOY</t>
        </is>
      </c>
    </row>
    <row r="145">
      <c r="A145" t="inlineStr">
        <is>
          <t>in-cda6b9276992f568</t>
        </is>
      </c>
      <c r="B145" t="inlineStr">
        <is>
          <t>Program Manager, Digital Manufacturing</t>
        </is>
      </c>
      <c r="C145" t="inlineStr">
        <is>
          <t>Celanese</t>
        </is>
      </c>
      <c r="D145" t="inlineStr">
        <is>
          <t>indeed</t>
        </is>
      </c>
      <c r="E145">
        <f>HYPERLINK("https://www.indeed.com/viewjob?jk=cda6b9276992f568", "https://www.indeed.com/viewjob?jk=cda6b9276992f568")</f>
        <v/>
      </c>
      <c r="F145">
        <f>HYPERLINK("https://celanese.applytojob.com/apply/lMcFAIeEAO/Program-Manager-Digital-Manufacturing?source=INDE&amp;~", "https://celanese.applytojob.com/apply/lMcFAIeEAO/Program-Manager-Digital-Manufacturing?source=INDE&amp;~")</f>
        <v/>
      </c>
      <c r="G145" t="inlineStr">
        <is>
          <t>Pasadena, TX, US</t>
        </is>
      </c>
      <c r="H145" s="3" t="n">
        <v>46054</v>
      </c>
      <c r="I145" t="inlineStr">
        <is>
          <t>We are seeking an experienced **Program Manager, Digital Manufacturing** with a strong manufacturing background—preferably in the chemicals or process industries—to drive the global deployment of advanced digital solutions across our operations. This role is ideal for a seasoned manufacturing professional who combines deep operational expertise with a passion for Industry 4\.0, innovation, and value creation. Experience in Continuous Improvement (Lean, Six Sigma, OpEx) is strongly preferred.  
Responsibilities:  
Program Leadership \&amp; Strategy* Serve as the primary point of contact for global and site leaders, ensuring alignment between enterprise digital manufacturing strategy and site level execution.
* Define and execute program goals that accelerate digital maturity, operational efficiency, and measurable value across multiple chemical manufacturing sites.
* Build a strong Digital Manufacturing brand through clear communication, change leadership, and cross plant engagement.
* Manage program budgets, commercial contracts, and vendor relationships to ensure efficient, value driven delivery.
* Track financial performance, cost efficiency, and program KPIs to support transparent decision\-making.
* Ensure all digital deployments meet relevant safety, cybersecurity, regulatory, and process safety standards.
* Lead, coach, and develop a global digital manufacturing team, including direct reports and cross functional contributors; build capabilities and enable high performance across regions.
Roadmap Development \&amp; Execution* Develop and support site\-specific digital roadmaps tailored to chemical and process manufacturing environments.
* Lead cross functional deployment teams to scale digital transformation initiatives, ensuring repeatable and sustainable outcomes.
* Collaborate closely with digital product owners, engineers, site leaders, and analysts to deploy MES, IIoT, advanced analytics, automation, and AI enabled solutions.
* Leverage continuous improvement methodologies to prioritize opportunities, optimize processes, and enhance adoption and impact.
Stakeholder Engagement \&amp; Communication* Facilitate workshops, digital capability training, and engagement sessions to drive user adoption and culture change.
* Provide structured and transparent updates on program progress, risks, and impact to executive leadership and operations teams.
* Promote best practice sharing, replication of high value use cases, and global collaboration across plants.
Commercial Partner Collaboration* Build and maintain strong partnerships with technology vendors, integrators, and service providers supporting digital manufacturing initiatives.
* Co\-develop scalable digital capabilities tailored to chemical manufacturing conditions and requirements.
* Monitor vendor performance, solution quality, and service levels to ensure commitments are met.
* Lead joint planning, roadmap reviews, and continuous improvement cycles with partner organizations
Requirements:* Bachelor’s degree in Engineering or related technical field; advanced degree is a plus.
* 10\+ years of manufacturing experience, ideally in chemical, petrochemical, or processindustry operations.
* Demonstrated experience leading digital manufacturing or Industry 4\.0 transformation initiatives.
* Strong Continuous Improvement background (Lean, Six Sigma, OpEx)—strongly preferred.
* Experience leading or developing teams (direct or matrix), with proven capability in coaching and capability building.
* Proven track record managing large programs, budgets, commercial contracts, and crosssite deployments.
* Excellent communication and stakeholderengagement skills; capable of influencing senior leadership.
* Experience facilitating global workshops and training (virtual and in person).
* Strong familiarity with digital manufacturing tools such as MES, historians, IIoT platforms, digital twins, analytics, or automation systems.
* Deep understanding of process operations, EHS, process safety, maintenance, reliability, and production systems.
* Passion for digital innovation and building sustainable digital capabilities in manufacturing environments.
* Location: at a Celanese Manufacturing Site in the US or the Dallas Headquarters office. (Periodic travel to manufacturing sites required; U.S. location strongly preferred)
Celanese is a global leader in chemistry, producing specialty material solutions used across most major industries and consumer applications. Our businesses use our chemistry, technology and commercial expertise to create value for our customers, employees and shareholders. We support sustainability by responsibly managing the materials we create and growing our portfolio of sustainable products to meet customer and societal demand. We strive to make a positive impact in our communities and to foster inclusivity across our teams. Celanese Corporation employs more than 11,000 employees worldwide with 2024 net sales of $10\.3 billion. For more information about Celanese Corporation and its product offerings, visit www.celanese.com.  
Celanese is an Equal Opportunity Employer. Celanese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lMcFAIeEAO</t>
        </is>
      </c>
    </row>
    <row r="146">
      <c r="A146" t="inlineStr">
        <is>
          <t>in-6d0504a5e73b1753</t>
        </is>
      </c>
      <c r="B146" t="inlineStr">
        <is>
          <t>Product Owner</t>
        </is>
      </c>
      <c r="C146" t="inlineStr">
        <is>
          <t>World Wide Technology</t>
        </is>
      </c>
      <c r="D146" t="inlineStr">
        <is>
          <t>indeed</t>
        </is>
      </c>
      <c r="E146">
        <f>HYPERLINK("https://www.indeed.com/viewjob?jk=6d0504a5e73b1753", "https://www.indeed.com/viewjob?jk=6d0504a5e73b1753")</f>
        <v/>
      </c>
      <c r="F146">
        <f>HYPERLINK("https://recruiting.adp.com/srccsh/public/RTI.home?r=5001176980300&amp;c=2166501&amp;d=WWTExternalCareerSite&amp;rb=INDEED&amp;idUnique=5001176980300", "https://recruiting.adp.com/srccsh/public/RTI.home?r=5001176980300&amp;c=2166501&amp;d=WWTExternalCareerSite&amp;rb=INDEED&amp;idUnique=5001176980300")</f>
        <v/>
      </c>
      <c r="G146" t="inlineStr">
        <is>
          <t>Remote, US</t>
        </is>
      </c>
      <c r="H146" s="3" t="n">
        <v>46054</v>
      </c>
      <c r="I146" t="inlineStr">
        <is>
          <t>**Education Qualifications**
Bachelor's Degree (or equivalent work experience)
**Work Experience**
A minimum of 5 years' progressive experience in a related field required
**Other Work Experience**
* 3\+ years' experience as a member of an agile software development team.
* 3\+ years' experience working as a Product Owner of Product Manager.
* 3\+ years' experience working directly with business stakeholders.
**Travel Requirements**
Up to 5% of the time Domestic and International Travel
**Knowledge, Skills, and Abilities**
* Experience working with driving the value of a product in support of Human Resources or Compensation Planning processes.
* Experience as a Business Analyst or Product Owner/Manager.
* Exposure to Product Management responsibilities.
* Experience collaborating with other Product Owners and teams to prioritize and align dependencies.
* Practical experience creating and communicating product visions.
* Proven ability to translate a product vision into an action.
* Proven ability to oversee product implementation.
* Demonstrates techniques for quickly and effectively understanding business partner's needs.
* Demonstrates experience in helping stakeholders identify business value/objectives and uses this to prioritize work.
* Demonstrates ability to effectively negotiate between competing stakeholders to ensure the highest value objectives are met.
* Demonstrates knowledge of product analytics by creating and using delivery metrics, predictability, and forecasting; given appropriate data, can create (and draw conclusions from) a forecast and communicate that information to stakeholders with progress updates and metrics.
* Proficient at researching, analyzing, and identifying requirements.
* Demonstrates ability to clearly identify and explain what business value is.
* Proficient at breaking down and organizing requirements and the relationship between business goals, product vision, and Epics/Capabilities/Features/Stories; must be clearly visible and aligned.
**Is this role an individual contributor or does it have direct reports?**
Individual Contributor
**Level of Autonomy**
Work is accomplished without considerable direction. Exercises judgment in selecting methods, techniques, and evaluation criteria in obtaining results. Exerts significant latitude in determining objectives of assignment. Takes calculated risks with consultation from the expert.
Certain states and localities require employers to post a reasonable estimate of salary range. A reasonable estimate of the current base pay range for this position is $100,000\.00 to $130,000\.00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Equal Opportunity Employer Minorities/Women/Veterans/Individuals with disabilities
Requirements: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14,000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**A Brief Overview**
The Product Owner plays a critical role within the HR \&amp; Incentive Compensation team, owning the agile product delivery process from intake through execution. This role is responsible for translating enterprise and business objectives into clear, prioritized features and backlog items that development teams can deliver effectively.
Serving as the primary liaison between business stakeholders, technology partners, and one or more development teams, the Product Owner leads backlog prioritization, roadmap planning, and scope management for assigned products and platforms. This role ensures delivery is aligned to business value, architectural direction, and operational priorities, while balancing near\-term execution with longer\-term product outcomes.
**Job Responsibilities**
* Owns and evolves the product vision in partnership with business stakeholders, ensuring the right product capabilities are defined and delivered to meet enterprise and domain needs.
* Clearly communicates product vision, priorities, and context to delivery teams; works closely with the team on a daily basis to answer questions and review and approve user stories.
* Builds and maintains strong working relationships with business partners, stakeholders, peers, and development teams; influences direction and fosters a collaborative, outcome\-focused team environment.
* Manages changing priorities and escalations by balancing business needs, technical constraints, and delivery capacity; adjusts team backlog and sequencing as necessary.
* Partners with stakeholders to understand how assigned products support business objectives and translates those objectives into prioritized product capabilities and backlog items.
* Identifies and drives process improvements, automation opportunities, and service enhancements to improve product delivery, quality, and operational efficiency.
* Participate in third\-party vendor relationships related to assigned products, including license oversight, contract inputs, and coordination with procurement and legal partners as needed.
* Develops and maintains a deep understanding of the product user base and ecosystem, including upstream and downstream system dependencies, to inform product decisions and stakeholder discussions.
* Leads backlog prioritization by negotiating trade\-offs with stakeholders and delivery teams to maximize business value and delivery outcomes.
* Collaborates with other Product Owners to identify, manage, and prioritize cross\-team dependencies and shared initiatives.
* Authors, refines, and maintains clear, actionable user stories and acceptance criteria in partnership with the delivery team.
* Ensures delivery teams have sufficient business context, requirements clarity, and acceptance criteria to execute effectively.
* Stays informed of relevant industry trends, vendor capabilities, and competitive practices to inform product strategy and recommendations.
* Develops, maintains, and communicates product roadmaps (short\- and long\-term) to stakeholders and delivery teams, aligning priorities with business outcomes and architectural direction.
* Ensures regular product demos and reviews are conducted with stakeholders to validate delivered functionality and gather feedback.
* Serves as a confident communicator who can clearly explain technical concepts and product decisions to non\-technical audiences.
* Applies strong understanding of business rules and logic to support high\-quality story development and product outcomes.</t>
        </is>
      </c>
    </row>
    <row r="147">
      <c r="A147" t="inlineStr">
        <is>
          <t>in-7306d7bcec8c09c7</t>
        </is>
      </c>
      <c r="B147" t="inlineStr">
        <is>
          <t>Program Manager - gBETA at Marshall's iCenter</t>
        </is>
      </c>
      <c r="C147" t="inlineStr">
        <is>
          <t>gener8tor Management</t>
        </is>
      </c>
      <c r="D147" t="inlineStr">
        <is>
          <t>indeed</t>
        </is>
      </c>
      <c r="E147">
        <f>HYPERLINK("https://www.indeed.com/viewjob?jk=7306d7bcec8c09c7", "https://www.indeed.com/viewjob?jk=7306d7bcec8c09c7")</f>
        <v/>
      </c>
      <c r="F147">
        <f>HYPERLINK("http://www.gener8tor.com/careers?gh_jid=5789882004", "http://www.gener8tor.com/careers?gh_jid=5789882004")</f>
        <v/>
      </c>
      <c r="G147" t="inlineStr">
        <is>
          <t>Huntington, WV, US</t>
        </is>
      </c>
      <c r="H147" s="3" t="n">
        <v>46054</v>
      </c>
      <c r="I147" t="inlineStr">
        <is>
          <t>**Program Manager \- gBETA at Marshall's iCenter**
Location: Huntington, WV area (or willing to relocate)
Salary: $60,000\-$70,000
Reports to: gBETA Managing Director
**Description**
Are you ready to find and work with the best and brightest entrepreneurs? Do you get excited about supporting startups so they can bring new innovations to life? Are you passionate about supporting the startup ecosystem in West Virginia? If so, this position is for you.
gener8tor fosters innovation ecosystems through its accelerator programs, venture capital funds, and skills\-based workforce initiatives. With a strong track record of supporting high\-growth companies, gener8tor has expanded across the U.S. and internationally, building partnerships with governments, corporations, universities, and economic development organizations to drive entrepreneurship and economic impact. gener8tor operates accelerators across 45 cities, 25 states and 3 countries, working with more than 300 startups per year. To date, gener8tor has worked with more than 1,500 startups that have cumulatively gone on to raise more than $2B in financing and employ more than 11,000 people.
The Program Manager (PM) will lead the gALPHA and gBETA at Marshall’s iCenter accelerator programs. The PM recruits and selects companies and executes programming tailored to researchers and entrepreneurs solving problems across all industries. The PM will coach startups and create networks and introductions for three annual accelerator cohorts. The gALPHA program is four weeks and will take place in Huntington, WV with most program components delivered in person. The gBETA program is seven weeks and will be delivered via a hybrid format with primarily virtual programming and in\-person kick\-off and showcase events in Huntington, WV. Outside of the formal accelerator program, the PM will continue to work with accelerator alumni, recruit and hold office hours with startups and actively participate in the West Virginia startup community, building relationships with stakeholders, mentors and investors.
As a member of the gener8tor team, you will be an essential part of our overall global platform. The full gener8tor platform connects startup founders, musicians, researchers, artists, investors, universities and corporations Your support as our gBETA at Marshall’s iCenter PM will impact startups in West Virginia through working specifically with startup founders in collaboration with a network of partners, mentors and investors.
Success for the Program Manager means fully owning the day\-to\-day logistics and operations of the gBETA program end\-to\-end. This includes managing the operational components of founder recruitment, interview and selection; sourcing and engaging mentors and investors; and coordinating weekly programming such as 1:1 startup meetings, Lunch \&amp; Learns, cohort community\-building events, and mentor/investor networking. The PM also leads planning and execution for major milestones, including program kickoff and the end\-of\-program showcase.
A successful PM will also be an effective coach and connector for the community and startups they interact with. This looks like network\-building, finding, evaluating and convincing the most high\-potential startups to join the program, serving as the lead coach in the program for the selected startups and helping them with their business, network and growth needs, and effectively supporting the startups in achieving their goals such as customer growth and fundraising.
The PM leads program execution under the guidance of the Managing Director and collaborates closely with gener8tor’s centralized support teams to deliver a consistent, high\-quality experience across all program components.
**At gener8tor we…**
* **See genius in every community.** We believe the company has a chance to accomplish a generational challenge in bridging genius with opportunity.
* **Never self\-defeat** and have a “play to win” mentality. We revolve everything we do around helping the entrepreneurs in our programs.
* **Are curious.** We work hard to find hidden gems others overlook.
* **Believe no job is beneath us.** We wipe down the tables and load up the U\-Hauls with enthusiasm. Work as a team to get $\#!^ done!
* **Strive for “that guy emailed me.”** Based on a story from our founders, we share a commitment to take a bottom\-up approach to building strong, personal, 1\-1 relationships. We believe that the best way to quality is through quantity.
*Our values* ***are core to how we work****. If they don’t resonate with you, this role might not be the right fit.*
**Responsibilities**
**Recruitment and base building:**
* + Recruit startup applicants and lead the selection process for three cohorts annually.
	+ Capture 40\+ eligible applications per cohort, executing gener8tor’s established recruitment strategies.
	+ Find and develop relationships with 30\+ mentors, 25\+ investors and other industry/ecosystem partners who can help support the programs and participating companies.
	+ Lead base building efforts, attending meetings with key investors and mentors to ensure consistent support of our gBETA at Marshall’s iCenter partners.
	+ Schedule and attend office hours with startups
**Program execution and founder support (three accelerator programs per year: one gALPHA and two gBETAs):**
* + Manage logistics and ensure the operational success of all aspects of gBETA at Marshall’s iCenter.
	+ Ensure all program KPIs are met.
	+ Actively plan and participate in all aspects of the gener8tor accelerator program including, but not limited to recruitment, team meetings, Mentor Swarms, Investor Swarms, Lunch \&amp; Learns and networking events.
	+ Serve as the primary point of contact and day\-to\-day coach for participating startups, helping founders set goals, maintain momentum, and make progress against key milestones.
	+ Provide structured 1:1 guidance and accountability to founders on topics such as customer discovery, traction and pitching/storytelling, business model refinement, and fundraising readiness.  
	Connect founders to the right mentors, investors, customers, and ecosystem resources based on their specific needs, and ensure follow\-through on introductions and next steps.
	+ Continuously support gener8tor and gBETA at Marshall’s iCenter alumni.
	+ Be the \#1 cheerleader for the startup ecosystems and the startups and entrepreneurs we work with.
**Measure and Report Program Metrics and Operations:**
* + Work with cohort participants and alumni to gather and track data and metrics related to the progress and outcomes of the startups.
	+ Gather and track data and metrics related to the progress and outcomes of the program.
	+ Analyze and report data and metrics to the Managing Director, and in turn our partners and gener8tor broadly.
**Stakeholder Engagement:**
* + Manage relationships with our gBETA at Marshall’s iCenter partners.
	+ Attend regular meetings with our partners.
	+ Provide weekly update reporting.
**Community Involvement:**
* + Represent gener8tor, Marshall’s iCenter and the West Virginia startup community; actively participate in the startup ecosystem by attending events and building relationships.
**gener8tor Support:**
* + Contribute to the gener8tor team’s broader initiatives, including supporting other accelerator programs, engaging in ecosystem\-building efforts, and assisting with strategic projects as needed.
**Requirements**
* Demonstrated ability to own complex programs end\-to\-end, including recruitment, logistics, stakeholder coordination, and delivery.
* Strong organizational and execution skills with a track record of getting things done in fast\-moving environments.
* Excellent written and verbal communication skills; able to represent the program professionally to founders, partners, mentors, and investors.
* Ability to recruit, persuade, and retain high\-quality founders into a competitive accelerator program.
* Deep curiosity about startups, innovation, and the realities of building companies outside of major venture hubs.
* Willingness to become deeply embedded in and be a visible champion of the West Virginia startup ecosystem.
* Relationship\-driven: you enjoy 1:1 outreach, follow\-up, and long\-term relationship building.
* Comfortable being both strategic and scrappy \- equally willing to wipe down tables, run events, and have hard conversations with founders.
* Willingness to work some nights and weekends and travel up to 25% as required by program needs.
* Past experience as a founder, program/project manager or supporting an accelerator, incubator or venture fund is recommended.
**Apply**  
To apply, please fill out the form below.</t>
        </is>
      </c>
    </row>
    <row r="148">
      <c r="A148" t="inlineStr">
        <is>
          <t>in-f5e3a44a9ae81899</t>
        </is>
      </c>
      <c r="B148" t="inlineStr">
        <is>
          <t>Program Manager - UW-Green Bay Pre-Accelerator</t>
        </is>
      </c>
      <c r="C148" t="inlineStr">
        <is>
          <t>gener8tor Management</t>
        </is>
      </c>
      <c r="D148" t="inlineStr">
        <is>
          <t>indeed</t>
        </is>
      </c>
      <c r="E148">
        <f>HYPERLINK("https://www.indeed.com/viewjob?jk=f5e3a44a9ae81899", "https://www.indeed.com/viewjob?jk=f5e3a44a9ae81899")</f>
        <v/>
      </c>
      <c r="F148">
        <f>HYPERLINK("http://www.gener8tor.com/careers?gh_jid=5789912004", "http://www.gener8tor.com/careers?gh_jid=5789912004")</f>
        <v/>
      </c>
      <c r="G148" t="inlineStr">
        <is>
          <t>Green Bay, WI, US</t>
        </is>
      </c>
      <c r="H148" s="3" t="n">
        <v>46054</v>
      </c>
      <c r="I148" t="inlineStr">
        <is>
          <t>**Program Manager \- UW\-Green Bay Pre\-Accelerator**  
Location: Green Bay, WI
Salary: $60,000\-$70,000
Reports to: gBETA Program Managing Director
**Description**
Are you ready to find and work with the best and brightest entrepreneurs? Do you get excited about supporting startups so they can bring new innovations to life? Are you passionate about supporting the startup ecosystem in Wisconsin? If so, this position is for you.
gener8tor fosters innovation ecosystems through its accelerator programs, venture capital funds, and skills\-based workforce initiatives. With a strong track record of supporting high\-growth companies, gener8tor has expanded across the U.S. and internationally, building partnerships with governments, corporations, universities, and economic development organizations to drive entrepreneurship and economic impact. gener8tor operates accelerators across 45 cities, 25 states and 3 countries, working with more than 300 startups per year. To date, gener8tor has worked with more than 1,500 startups that have cumulatively gone on to raise more than $2B in financing and employ more than 11,000 people.
The Program Manager (PM) will lead the UW\-Green Bay Pre\-Accelerator program in addition to other Wisconsin\-centric responsibilities including but not limited to leading or supporting other gBETA programs in Wisconsin. The PM recruits and selects companies and executes programming tailored to researchers and entrepreneurs solving problems across all industries. The PM will coach startups and create networks and introductions for accelerator cohorts. The gBETA program is seven weeks and will be delivered in\-person in Green Bay, WI. Outside of the formal accelerator program, the PM will continue to work with accelerator alumni, recruit and hold office hours with startups and actively participate in the Wisconsin startup community, building relationships with stakeholders, mentors and investors.
As a member of the gener8tor team, you will be an essential part of our overall global platform. The full gener8tor platform connects startup founders, musicians, researchers, artists, investors, universities and corporations. Your support as our UW\-Green Bay Pre\-Accelerator PM will impact startups in Wisconsin through working specifically with startup founders in collaboration with a network of partners, mentors and investors.
Success for the Program Manager means fully owning the day\-to\-day logistics and operations of the gBETA program end\-to\-end. This includes managing the operational components of founder recruitment, interview and selection; sourcing and engaging mentors and investors; and coordinating weekly programming such as 1:1 startup meetings, Lunch \&amp; Learns, cohort community\-building events, and mentor/investor networking. The PM also leads planning and execution for major milestones, including program kickoff and the end\-of\-program showcase.
A successful PM will also be an effective coach and connector for the community and startups they interact with. This looks like network\-building, finding, evaluating and convincing the most high\-potential startups to join the program, serving as the lead coach in the program for the selected startups and helping them with their business, network and growth needs, and effectively supporting the startups in achieving their goals such as customer growth and fundraising.
The PM leads program execution under the guidance of the Managing Director and collaborates closely with gener8tor’s centralized support teams to deliver a consistent, high\-quality experience across all program components.
**At gener8tor we…**
* **See genius in every community.** We believe the company has a chance to accomplish a generational challenge in bridging genius with opportunity.
* **Never self\-defeat** and have a “play to win” mentality. We revolve everything we do around helping the entrepreneurs in our programs.
* **Are curious.** We work hard to find hidden gems others overlook.
* **Believe no job is beneath us.** We wipe down the tables and load up the U\-Hauls with enthusiasm. Work as a team to get $\#!^ done!
* **Strive for “that guy emailed me.”** Based on a story from our founders, we share a commitment to take a bottom\-up approach to building strong, personal, 1\-1 relationships. We believe that the best way to quality is through quantity.
*Our values* ***are core to how we work****. If they don’t resonate with you, this role might not be the right fit.*
**Responsibilities**
**Recruitment and base building:**
* + Recruit startup applicants and lead the selection process for UW\-Green Bay Pre\-Accelerator cohorts.
	+ Capture 40\+ eligible applications per cohort, executing gener8tor’s established recruitment strategies.
	+ Find and develop relationships with 30\+ mentors, 25\+ investors and other industry/ecosystem partners who can help support the programs and participating companies.
	+ Lead base building efforts, attending meetings with key investors and mentors to ensure consistent support of our gBETA participants and partners.
	+ Schedule and attend office hours with startups.
**Program execution and founder support** **Manage logistics and ensure the operational success of all aspects of UW\-Green Bay Pre\-Accelerator.**
* + Ensure all program KPIs are met.
	+ Actively plan and participate in all aspects of the programs including, but not limited to recruitment, team meetings, Mentor Swarms, Investor Swarms, Lunch \&amp; Learns and networking events.
	+ Serve as the primary point of contact and day\-to\-day coach for participating startups, helping founders set goals, maintain momentum, and make progress against key milestones.
	+ Provide structured 1:1 guidance and accountability to founders on topics such as customer discovery, traction and pitching/storytelling, business model refinement, and fundraising readiness.
	+ Connect founders to the right mentors, investors, customers, and ecosystem resources based on their specific needs, and ensure follow\-through on introductions and next steps.
	+ Continuously support gener8tor and UW\-Green Bay Pre\-Accelerator alumni.
	+ Be the \#1 cheerleader for the startup ecosystems and the startups and entrepreneurs we work with.
**Measure and Report Program Metrics and Operations:**
* + Work with cohort participants and alumni to gather and track data and metrics related to the progress and outcomes of the startups.
	+ Gather and track data and metrics related to the progress and outcomes of the program.
	+ Analyze and report data and metrics to the Managing Director, and in turn our partners and gener8tor broadly.
**Stakeholder Engagement:**
* + Manage relationships with our UW\-Green Bay Pre\-Accelerator partners.
	+ Attend regular meetings with our partners.
	+ Provide weekly update reporting.
**Community Involvement:**
* + Represent gener8tor, and the UW\-Green Bay startup community; actively participate in the startup ecosystem by attending events and building relationships.
**gener8tor Support:**
* + Contribute to the gener8tor team’s broader initiatives, including supporting other accelerator programs, engaging in ecosystem\-building efforts, and assisting with strategic projects as needed.
**Requirements**
* Demonstrated ability to own complex programs end\-to\-end, including recruitment, logistics, stakeholder coordination, and delivery.
* Strong organizational and execution skills with a track record of getting things done in fast\-moving environments.
* Excellent written and verbal communication skills; able to represent the program professionally to founders, partners, mentors, and investors.
* Ability to recruit, persuade, and retain high\-quality founders into a competitive accelerator program.
* Deep curiosity about startups, innovation, and the realities of building companies outside of major venture hubs.
* Willingness to become deeply embedded in, and a visible champion of the Wisconsin startup ecosystem.
* Relationship\-driven: you enjoy 1:1 outreach, follow\-up, and long\-term relationship building.
* Comfortable being both strategic and scrappy. Equally willing to wipe down tables, run events, and have hard conversations with founders.
* Willingness to work some nights and weekends and travel up to 25% as required by program needs.
* Past experience as a founder, program/project manager or supporting an accelerator, incubator or venture fund is recommended.
**Apply**  
To apply, please fill out the form below.</t>
        </is>
      </c>
    </row>
    <row r="149">
      <c r="A149" t="inlineStr">
        <is>
          <t>in-e505dfee77be124e</t>
        </is>
      </c>
      <c r="B149" t="inlineStr">
        <is>
          <t>Digital Senior Product Manager - Retail Banking Products</t>
        </is>
      </c>
      <c r="C149" t="inlineStr">
        <is>
          <t>FIS</t>
        </is>
      </c>
      <c r="D149" t="inlineStr">
        <is>
          <t>indeed</t>
        </is>
      </c>
      <c r="E149">
        <f>HYPERLINK("https://www.indeed.com/viewjob?jk=e505dfee77be124e", "https://www.indeed.com/viewjob?jk=e505dfee77be124e")</f>
        <v/>
      </c>
      <c r="F149">
        <f>HYPERLINK("https://careers.fisglobal.com/us/en/job/FIGLUSJR0302883EXTERNAL/Digital-Senior-Product-Manager-Retail-Banking-Products?utm_source=indeed&amp;utm_medium=phenom-feeds", "https://careers.fisglobal.com/us/en/job/FIGLUSJR0302883EXTERNAL/Digital-Senior-Product-Manager-Retail-Banking-Products?utm_source=indeed&amp;utm_medium=phenom-feeds")</f>
        <v/>
      </c>
      <c r="G149" t="inlineStr">
        <is>
          <t>Jacksonville, FL, US</t>
        </is>
      </c>
      <c r="H149" s="3" t="n">
        <v>46054</v>
      </c>
      <c r="I149" t="inlineStr">
        <is>
          <t>**Position Type :**
Full time**Type Of Hire :**
Experienced (relevant combo of work and education)**Education Desired :**
Bachelor of Commerce/Business**Job Description**
**About FIS and Digital Retail Banking****:**
As the world works and lives faster, FIS is guiding the future of how people pay, bank, and interact with financial institutions. Within our Digital Retail Banking segment, we build modern, scalable solutions that help banks of all sizes serve their customers with simple, intuitive, and secure digital experiences. From consumer onboarding to everyday money movement, we deliver capabilities that power the core of how financial institutions engage their communities.
**About the Assisted Channel**:
Even as digital adoption grows, assisted channels remain essential to how financial institutions serve their customers. Branch associates and contact center agents handle complex, high‑trust interactions that require clarity, empathy, and expertise whether opening accounts, resolving servicing issues, or guiding customers through moments that technology alone can’t solve.
At FIS, we invest deeply in the assisted experience across both the branch and the contact center. Our goal is to give bankers and agents modern tools that reduce friction, eliminate swivel\-chair processes, and provide a unified view of customer information. The Digital One Banker application sits at the core of this strategy, enabling consistent, efficient, and compliant workflows no matter where the customer reaches out. From the lobby to the phone channel, we’re elevating the associate experience so institutions can deliver fast, confident, and human\-centered service.
**About the Role****:**
We are seeking a **Product Manager** to shape the next generation of the Digital One Banker application, spanning both **account opening** and **servicing** solutions used by thousands of bankers across the country. In this role, you will drive product strategy, collaborate closely with engineering, UX, Site Reliability Engineering, and work directly with bank clients to understand evolving needs and turn them into industry‑leading capabilities.
This is a highly cross‑functional and visible position ideal for someone who loves building products, solving real customer problems, and influencing the future of retail banking.
**About the Team****:**
You’ll join a tight‑knit, high‑impact product team focused on elevating the banker experience and modernizing branch technology. We partner deeply with UX, engineering, SRE, product marketing, client engagement, and other product lines across Digital Retail Banking. The team values clarity, accountability, learning, and building products that bankers actually enjoy using, not technology for technology’s sake.
We work collaboratively, iterate quickly, and prioritize solving meaningful customer problems with simplicity and excellence.
**What You Will Be Doing**:
* **Define and own the product vision and roadmap** for Digital One Banker, ensuring the banker experience is fast, intuitive, and scalable across account opening and servicing workflows.
* **Partner with clients** including major regional and national banks —to understand their operational needs, regulatory requirements, and branch strategies, translating them into actionable product capabilities.
* **Collaborate with UX researchers and designers** to create experiences that reduce banker effort, streamline workflows, and resolve friction in complex in‑branch interactions.
* **Work closely with engineering and SRE** to ensure features are technically feasible, built for scale, and supported with reliability, performance, and resilience in mind.
* **Translate requirements into clear user stories**, prioritize backlog items, and guide features through agile development cycles.
* **Monitor product performance and adoption**, using data to improve workflow efficiency, reduce handle time, and enhance overall banker satisfaction.
* **Stay ahead of industry trends** in onboarding, identity, branch technology, and customer/associate experience to inform product strategies and innovation opportunities.
* **Represent the product externally**, participating in client discussions, roadmap reviews, release briefings, and RFP responses.
**What You Will Need**:
* 7\+ years of product management experience in SaaS, fintech, banking, or other enterprise software environments.
* Understanding of retail banking, account opening, KYC/identity, servicing workflows, or similar domains or a strong desire to learn.
* Ability to break down complex operational processes and convert them into intuitive, elegant digital workflows.
* Experience working with UX, engineering, and SRE teams in agile environments.
* Strong communication and storytelling skills, especially when translating client needs into product direction.
* Analytical mindset with comfort using data to drive decisions and measure impact.
**Added Bonus** **If You Have****:**
* Background in Digital or Retail Banking
* Familiarity with compliance, identity verification, or onboarding solutions
* Experience building products that operate at scale across multiple bank cores or environments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FIS is committed to providing its employees with an exciting career opportunity and competitive compensation. The pay range for this full\-time position is $119,560\.00 \- $200,840\.00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50">
      <c r="A150" t="inlineStr">
        <is>
          <t>in-405545079309c525</t>
        </is>
      </c>
      <c r="B150" t="inlineStr">
        <is>
          <t>Program Manager with Google Cloud Legal</t>
        </is>
      </c>
      <c r="C150" t="inlineStr"/>
      <c r="D150" t="inlineStr">
        <is>
          <t>indeed</t>
        </is>
      </c>
      <c r="E150">
        <f>HYPERLINK("https://www.indeed.com/viewjob?jk=405545079309c525", "https://www.indeed.com/viewjob?jk=405545079309c525")</f>
        <v/>
      </c>
      <c r="F150">
        <f>HYPERLINK("https://joinnetchannelsteam.applytojob.com/apply/q0vftIbLQF/Program-Manager-With-Google-Cloud-Legal?source=INDE&amp;~", "https://joinnetchannelsteam.applytojob.com/apply/q0vftIbLQF/Program-Manager-With-Google-Cloud-Legal?source=INDE&amp;~")</f>
        <v/>
      </c>
      <c r="G150" t="inlineStr">
        <is>
          <t>Mountain View, CA, US</t>
        </is>
      </c>
      <c r="H150" s="3" t="n">
        <v>46054</v>
      </c>
      <c r="I150" t="inlineStr">
        <is>
          <t>Netchannels is looking for a Program Manager with product management experience and some technical skills for our client: Google Cloud \- Legal. This is an exciting role for a someone with experience in Product Marketing, Operations, and a passion for AI. This position is FTE W2 of Netchannels, on\-going and long\-term rendering services for our client Google Cloud. This position can be from multiple states in the USA.  
**Program Manager**  
We are looking for a talent to support the Cloud Legal team through supporting or leading a variety of projects and initiatives, including compliance review, contract management and processing, internal knowledge management systems, and dashboard creation/management. This position reports to the Legal department.  
The ideal candidate will blend strategic thinking with tactical execution, understand Go To Market activities, and leverage some coding skills to develop tools for the extended team. The role is focused on improving processes, and providing visibility into projects for the stakeholders.  
**Responsibilities:**
* **Program manage** projects with all inter\-departments and keep the ball rolling. This is the number one skill required for this role
* **Go to Market**: understand the process involved in bringing a service or tools to market where the audience is the legal department. This includes user interviews, gathering feedback, developing specifications document. Develop a communication plan for launching the tools to the stakeholders.
* **Technical knowledge**: Must be comfortable writing some code to create and/or update a web application; writing HTML; and writing robust AI prompts. The objective is to turn unstructured data into structured data that are easily digestible such as dashboards that are easy to view and read.
**Desired Skills \&amp; Experience:*** Program Management experience understanding Cloud/Enterprise software technology
* Comfortable using AI to assist in coding
* Product Management knowledge
* Strong knowledge of spreadsheets
* Experience in the Google suite of products is highly desirable.
* Proven ability to execute cross\-functional programs by collaboratively working with business teams and legal teams
* Strong communication and business writing skills, ability to work effectively with senior executives as well as junior team members
* Strong project management skills with the ability to break ambiguous tasks
* Show initiative
* Creative problem solver with strong analytical skills and a strong bias toward action. Ability to assess a situation, quickly evaluate the pros and cons, and make decisions.
* Thrives in an ambiguous work environment, able to manage tight deadlines and work autonomously.
At Netchannels, we value differences. We believe that success is achieved by pulling together all talents from all sources. We also believe that each and every single one of us can change the World. We're dedicated to matching our talents with the best opportunity for them and for our clients.  
We offer the following benefits to our employees:* Healthcare coverage
* 401k
* We help our employees pay down their student debt
* Holidays, sick days and non\-cap PTO
Netchannels is proud to be an equal\-opportunity workplace.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**Our Core Values**
* Uncompromising integrity and professionalism
* Excellence in all we do, never compromising quality
* Transparency so we all understand how to work together
* Corporate Responsibilities: Security, Privacy, Environmental Sustainability
 **Grow Your Career in a Dynamic, Supportive Environment**
Working for Netchannels offers flexibility and opportunities for growth, with a focus on a positive and supportive company culture. Employees benefit from a collaborative environment, creative challenges, and the chance to work with diverse clients on impactful projects.
q0vftIbLQF</t>
        </is>
      </c>
    </row>
    <row r="151">
      <c r="A151" t="inlineStr">
        <is>
          <t>in-f63779c126428c8a</t>
        </is>
      </c>
      <c r="B151" t="inlineStr">
        <is>
          <t>Product Manager Metal Detection</t>
        </is>
      </c>
      <c r="C151" t="inlineStr">
        <is>
          <t>Mettler-Toledo</t>
        </is>
      </c>
      <c r="D151" t="inlineStr">
        <is>
          <t>indeed</t>
        </is>
      </c>
      <c r="E151">
        <f>HYPERLINK("https://www.indeed.com/viewjob?jk=f63779c126428c8a", "https://www.indeed.com/viewjob?jk=f63779c126428c8a")</f>
        <v/>
      </c>
      <c r="F151">
        <f>HYPERLINK("https://jobs.mt.com/en/job/lutz/product-manager-metal-detection/36870/91314082208", "https://jobs.mt.com/en/job/lutz/product-manager-metal-detection/36870/91314082208")</f>
        <v/>
      </c>
      <c r="G151" t="inlineStr">
        <is>
          <t>Lutz, FL, US</t>
        </is>
      </c>
      <c r="H151" s="3" t="n">
        <v>46054</v>
      </c>
      <c r="I151" t="inlineStr">
        <is>
          <t>Product Manager Metal Detection
Location Lutz, Florida, United States
Date posted February 02, 2026
Job ID 21199
Our Opening and Your Responsibilities
Role/Purpose:
The Product Manager Metal Detection is responsible for leading the management of the Metal Detection Inspection Systems within the PIUS Producing Organization (PIUS\-PO). As the Product Owner, the role is the primary advocate for the Metal Detection product line and its customers within the organization. Further the individual is the authority and resource within PIUS\-PO for that product and its application. The Metal Detection Product Manager must have a complete understanding of production processes \&amp; capabilities of PIUS\-PO in order to effectively manage present and future product portfolio. The Product Manager is responsible for the profitability of the product line actively monitoring margins and proactively identifying areas for improvement, formulating measures and executing plans to realize the benefit.
Essential Duties and Responsibilities:
* Collaborates with counterparts within PIUS\-PO, the Metal Detection Strategic Business Unit (SBU) and the Marketing Organizations (MOs) served by PIUS\-PO to identify strategies, market requirements, applications and product capabilities within the PLM framework.
* Product Owner for all PIUS\-PO locally developed and maintained Metal Detection products leading Product Life Cycle Management (PLM) and Product Compliance programs, initiatives and deliverables.
* Leads industrialization efforts and is the local Product Owner for the deployment of any SBU / globally developed products for Metal Detection within PIUS\-PO to efficiently and cost effectively bring those products to market on time, on budget, compliant to required standards with minimal disruptions utilizing PLM and AQP processes.
* Ensures profitability of the products produced within the PIUS\-PO through active monitoring of margins, proactively identifying areas for improvement, formulating measures and executing plans to realize the benefit.
* Champions product definition, compliance and standardization through effective creation and management of Variant Configurators (VC), Offline Configurators (OLC), Technical Product Guides (TPG), Technical Construction Files (TCF) and other means needed for the efficient and profitable system creation with the minimal amount of effort and disruption to the organization.
* Works with Operations, Planning, Scheduling and Supply Chain Management on forecasts for critical components and assemblies along with manufacturing processes.
* Leads the cross discipline Metal Detection Value Stream Management Team to increase customer satisfaction through reduced problem machines and warranty events.
* Works with other disciplines within the MO and PO on service issues, special applications, custom offerings and options. Supports those organizations as required with channel partners and end user customers.
What You Need to Succeed
Required Knowledge, Skills and Abilities:
* Sound writing, communication, and listening skills.
* Must be well organized and have good project management skills.
* Ability to influence cross\-functional teams without formal authority.
* Self motivated, has initiative, ability to deliver high quality work on\-time.
* Ability to work and achieve results in a collaborative team environment.
* Good problem\-solving skills, ability to quickly assess situations, formulate and articulate required plans and actions.
This position is considered safety sensitive and is subject to drug testing as permitted by law.
Minimum Education / Experience Required:
* Bachelor's degree in Business or Engineering and minimum of two years direct work experience in Engineering, Project or Product Management. In lieu of a degree, a minimum of 8 years direct work experience in an IT, Engineering, Project or Product Mgmt role is required.
* Sound product knowledge, experience in product inspection and/or the packaging industry preferred.
* Working knowledge of Product Life Cycle Management (PLM), Advanced Product Quality Planning (AQP), Corrective and Preventive Action (CAPA), Engineering Change Management (ECM) and International Organization for Standarization (ISO) based processes.
* Proficient at Microsoft Office (Word, Excel, PowerPoint, Outlook) and SAP.
Travel Requirements:
This position has a travel requirement of 10\-20%. Travel could include both domestic and international travel (by commercial or personal means, including economy class air travel).
Our Offer to You
* Medical, dental and vision care coverage and a 401(k) savings plan with company matching – all starting on date of hire
* Tuition reimbursement, employee wellness programs, plus other perks and discounts
* Parental and caregiver leave policies
* All the usual benefits such as paid time off, flexible spending, short\-and long\-term disability, basic life insurance, business travel insurance, Employee Assistance Program, and domestic partner benefits
* Global market strength and worldwide leadership in weighing
* A brand name that is identified worldwide with precision, quality, and innovation
* Thousands of patents, design and innovation awards
* A commitment to extraordinary service on our state\-of\-the\-art equipment
About Mettler Toledo
METTLER TOLEDO is a global leader in precision instruments and services. We are renowned for innovation and quality across laboratory, process analytics, industrial, product inspection, and retailing applications. Our sales and service network is one of the most extensive in the industry. Our products are sold in more than 140 countries, and we have a direct presence in approximately 40 countries. For more information, please visit www.mt.com.
Equal Opportunity Employment
We are an equal opportunity employer and value diversity at our company. We give consideration for employment without regard to race, color, religion, sex, age, national origin, disability, sexual orientation, gender identity, genetic information, protected veteran status, or any other protected classification. You can find more details in our Equal Employment Opportunity Policy.</t>
        </is>
      </c>
    </row>
    <row r="152">
      <c r="A152" t="inlineStr">
        <is>
          <t>in-13c4f73bf80189c9</t>
        </is>
      </c>
      <c r="B152" t="inlineStr">
        <is>
          <t>CPST Program Manager</t>
        </is>
      </c>
      <c r="C152" t="inlineStr">
        <is>
          <t>Virginia Commonwealth University</t>
        </is>
      </c>
      <c r="D152" t="inlineStr">
        <is>
          <t>indeed</t>
        </is>
      </c>
      <c r="E152">
        <f>HYPERLINK("https://www.indeed.com/viewjob?jk=13c4f73bf80189c9", "https://www.indeed.com/viewjob?jk=13c4f73bf80189c9")</f>
        <v/>
      </c>
      <c r="F152">
        <f>HYPERLINK("https://www.jobs.virginia.gov/jobs/cpst-program-manager-vcu-main-campus-virginia-united-states", "https://www.jobs.virginia.gov/jobs/cpst-program-manager-vcu-main-campus-virginia-united-states")</f>
        <v/>
      </c>
      <c r="G152" t="inlineStr">
        <is>
          <t>VA, US</t>
        </is>
      </c>
      <c r="H152" s="3" t="n">
        <v>46054</v>
      </c>
      <c r="I152" t="inlineStr">
        <is>
          <t>* 45001049
* 907 Floyd Avenue, VCU Main Campus, Virginia, United States, 23284
* VP Academic Affairs SML
* General Administration
* Staff
* Virginia Commonwealth University
**Unit:** College of Humanities and Sciences MBU
**Department:** Psychology
**Duties \&amp; Responsibilities:**
We invite applications for a Project Administrator position in the Psychology Department at Virginia Commonwealth University, working with Drs. Michael Southam\-Gerow and Gary Cuddeback. The position would hold the title of CPST Program Manager working within the Center for Evidence\-based Partnerships in Virginia (https://www.cep\-va.org). The position is funded by state contracts.
The focus of the position is to work with a team to develop, maintain, and update a curriculum for workers across the state for a new Medicaid service called Community Psychiatric Support and Treatment (CPST) for adults and youth. CPST for adults is based on a cognitive\-behavioral model, and CPST for youth is based on a program called Managing and Adapting Practice (MAP). The CPST Program Manager will be involved in several key roles including: (a) working with Dr. Michael Southam\-Gerow and Dean Gary Cuddeback and others at VCU along with partners at state agencies to develop the training curriculum for CPST adult and CPST youth; (b) maintenance of the curriculum on a state\-based learning management system (TRAIN); (c) interaction with workers accessing the curriculum across Virginia; (d) updating of the CPST curriculum, as needed; and (e) coordination with other CEP\-Va team members to ensure data about workers training status is up to date. Duties will require knowledge of multiple evidence\-based programs, strong teamwork orientation, attention to detail, commitment to completion of assigned tasks in a timely manner, and ability to communicate data\-based findings to a broad audience. The position may involve some travel (reimbursable) around the state of Virginia for events and meetings with partners.
The VCU job series for this position is Program Manager in the General Administration job family. For more information, please see VCU Human Resources’ Job Family and Salary Ranges here.  
The position will be until 06/30/2026 or beyond if the contract is renewed; the ideal candidate will be interested in two or more years in the role. The CEP\-Va team includes faculty, doctoral\-, masters\-, and bachelors\-level staff, graduate and undergraduate student students, and other collaborators.
Note: This position is restricted, and continuation is dependent upon grant funding. The position will be for one year with the possibility of renewal.
The best candidates will be those with (a) knowledge of evidence\-based programs like cognitive\-behavioral therapy or Managing and Adapting Practice; (b) strong communication skills with a variety of audiences, (d) leadership skills; (e) careful attention to details; (f) skills with learning management systems; and (g) team orientation.
**Qualifications:**
Minimum Qualifications
* Master’s (or doctoral degree) in social work, psychology, or behavioral health related field, or equivalent experience.
* Past experience with evidence\-based treatment approaches.
* Strong organizational skills and fastidious attention to detail.
* Strong interpersonal and communication skills.
* Openness and willingness to engage in team discussions related to social justice.
* Demonstrated ability to work in and foster an environment of respect, professionalism and civility with a population of faculty, staff, and students from all backgrounds and experiences, or a commitment to do so as a staff member at VCU.
Preferred Qualifications
* Knowledge of and/or experience with cognitive behavioral therapy for psychosis (CBT\-P), Managing and Adapting Practice (MAP), or other variations of CBT for adult or youth populations.
* Familiarity with learning management systems, especially TRAIN.
* Learning related to implementation science within medical or behavioral health services.
* Interest and appreciation for innovative online tools and digital workspaces (e.g., Qualtrics, Slack, Hive).
**Application process:** Interested candidates should complete the online application along with (a) a CV, (b) a brief letter of interest/cover letter, and (c) a document with names and contact information for at least two professional references.
**Salary Range:** $65,000 \- $85,000
**Benefits:** All full\-time university staff are eligible for VCU’s robust benefits package that includes comprehensive health benefits, paid annual and holiday leave granted up front, generous tuition benefits, retirement planning and savings options, tax\-deferred annuity and cash match programs, employee discounts, well\-being resources, abundant opportunities for career development and advancement, and more.
**FLSA Exemption Status:** Exempt  
**Hours per Week:** 40
**Restricted Position:** Yes
**ORP Eligible:** Yes
**Flexible Work Arrangement:** Hybrid
**Contact Information:**  
**Contact Name: Dr. Michael Southam\-Gerow**  
**Contact Email: masouthamger@vcu.edu**</t>
        </is>
      </c>
    </row>
    <row r="153">
      <c r="A153" t="inlineStr">
        <is>
          <t>in-1d49a09fb11a05fa</t>
        </is>
      </c>
      <c r="B153" t="inlineStr">
        <is>
          <t>DMV Program Manager- Position #03966 (Online Programs)</t>
        </is>
      </c>
      <c r="C153" t="inlineStr">
        <is>
          <t>Virginia Department of Motor Vehicles</t>
        </is>
      </c>
      <c r="D153" t="inlineStr">
        <is>
          <t>indeed</t>
        </is>
      </c>
      <c r="E153">
        <f>HYPERLINK("https://www.indeed.com/viewjob?jk=1d49a09fb11a05fa", "https://www.indeed.com/viewjob?jk=1d49a09fb11a05fa")</f>
        <v/>
      </c>
      <c r="F153">
        <f>HYPERLINK("https://www.jobs.virginia.gov/jobs/dmv-program-manager-position-03966-online-programs-richmond-virginia-united-states", "https://www.jobs.virginia.gov/jobs/dmv-program-manager-position-03966-online-programs-richmond-virginia-united-states")</f>
        <v/>
      </c>
      <c r="G153" t="inlineStr">
        <is>
          <t>Richmond, VA, US</t>
        </is>
      </c>
      <c r="H153" s="3" t="n">
        <v>46054</v>
      </c>
      <c r="I153" t="inlineStr">
        <is>
          <t>* 5098364
* Richmond, Virginia, United States
* Department of Motor Vehicles
* Administrative Services
* Full\-Time (Salaried)
* Closing at: Feb 11 2026 \- 23:55 EST
* Department of Motor Vehicles
**Title:** DMV Program Manager\- Position \#03966 (Online Programs)
**State Role Title:** Prog Admin Specialist II
**Hiring Range:** $65,200\.00 \- $ 74,980\.00
**Pay Band:** 5
**Agency:** Department of Motor Vehicles
**Location:** VEHICLE SERVICES ADMIN
**Agency Website:** www.dmv.virginia.gov
**Recruitment Type:** Agency Employee Only \- A
**Job Duties**
This technical position operates within a high‑volume DMV regulatory environment and serves as the program manager responsible for directing, developing, and implementing evaluation and compliance measures for the Agency’s online programs and internal support functions. The role ensures that online program operations meet regulatory, security, and performance standards while supporting continuous improvement across multiple systems.  
The Program Manager acts as the primary point of contact for internal and external audit and reconciliation activities related to Agency assets administered through online programs. This position also serves as a key liaison with software vendors, IT, IT Security, Legal, and Process Efficiency teams to strengthen automation and ensure adherence to Agency security guidelines.  
The Virginia Department of Motor Vehicles (DMV), headquartered in Richmond, Virginia, serves approximately 6\.2 million licensed drivers and ID card holders with over 8\.4 million registered vehicles. In addition, DMV serves a wide array of businesses, including dealers, fuels tax customers, rental companies, driving schools, other state agencies, local governments, and non\-profit organizations. DMV operates upon five fundamental core values: Trustworthiness, Respect, Accountability, Integrity, and Teamwork (TRAIT). We don’t just talk about our core values, we live them!
**Minimum Qualifications**
* Advanced technical and business writing.
* Proven project and cross\-functional leadership.
* Strong analytical capability to assess and recommend organizational, process, and system improvements and present findings.
* Expertise in interpreting statutes and regulations to implement complex programs and policy changes.
* Ability to design dashboards to monitor, measure, and enforce third\-party vendor performance..
**Additional Considerations**
* Experience with DMV systems and titling/registration processes.
* Proficiency in managing vendor relationships and implementing technical solutions.
* Experience in DMV operations or online program management, including legislative implementation.
* Background Check: Must pass a fingerprint\-based background check.
* Licensure: Must possess a valid driver’s license with no less than 6 demerit points and no major convictions.
**Special Instructions**
You will be provided a confirmation of receipt when your application and/or résumé is submitted successfully. Please refer to “Your Application” in your account to check the status of your application for this position.
Selected candidate(s) will need to complete the I\-9 Employment Eligibility Verification Form. DMV participates in E\-Verify
All applicants for employment must consent to a driver history and criminal background check. A fingerprint\-based criminal history check will be required on selected applicant(s).
As a condition of employment, DMV will be alerted of any moving violation convictions, including suspension of license.  
Submission of an online application is required. DMV does not accept applications, resumes, cover letters, etc. in any other format. When applying for jobs, please ensure your online application or resume is complete with duties and skills associated with your work experience as well as years of experience in order to properly assess your skills in the screening process. Candidates are evaluated based on information provided in the application materials. Missing information cannot be assumed.
Reasonable accommodations are available to persons with disabilities during application and/or interview processes per the Americans with Disability Act. Contact 804\-367\-9728 for assistance.
Minorities, individuals with disabilities, Veterans, and people with National Service experience are encouraged to apply. EEO/AA/TT.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
**Contact Information**
Name: DMV employment
Phone: 804 367\-0528
Email: employmenty@dmv.virginia.gov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is>
      </c>
    </row>
    <row r="154">
      <c r="A154" t="inlineStr">
        <is>
          <t>in-e8c6a851424c11b3</t>
        </is>
      </c>
      <c r="B154" t="inlineStr">
        <is>
          <t>Safety Program Manager</t>
        </is>
      </c>
      <c r="C154" t="inlineStr">
        <is>
          <t>GBA Companies</t>
        </is>
      </c>
      <c r="D154" t="inlineStr">
        <is>
          <t>indeed</t>
        </is>
      </c>
      <c r="E154">
        <f>HYPERLINK("https://www.indeed.com/viewjob?jk=e8c6a851424c11b3", "https://www.indeed.com/viewjob?jk=e8c6a851424c11b3")</f>
        <v/>
      </c>
      <c r="F154">
        <f>HYPERLINK("https://gbateam.hrmdirect.com/employment/view.php?req=3629450&amp;jbsrc=1014&amp;location=f1f86179-67a3-cab6-be83-1d6af2b12720", "https://gbateam.hrmdirect.com/employment/view.php?req=3629450&amp;jbsrc=1014&amp;location=f1f86179-67a3-cab6-be83-1d6af2b12720")</f>
        <v/>
      </c>
      <c r="G154" t="inlineStr">
        <is>
          <t>Lenexa, KS, US</t>
        </is>
      </c>
      <c r="H154" s="3" t="n">
        <v>46054</v>
      </c>
      <c r="I154" t="inlineStr">
        <is>
          <t>**Job: Safety Program Manager**
**Location: Lenexa, KS**
**Build Your Future with GBA**
==============================
At GBA, we bring vision to life through collaboration, craftsmanship, and commitment. Our teams are driven by a shared passion for delivering high\-quality, safe, and efficient projects that make a positive impact in the communities we serve.
**Scope of Responsibility:**
The Safety Program Manager is responsible for supporting, managing and providing oversight to the Safety team and their assigned projects, ensuring field staff have the resources and training needed to perform effectively. This role leads the development, implementation, and continuous improvement of quality control procedures, specifications, building codes, and safety regulations. The Safety Program Manager also advises the Director of Field Operations on site policies and strategic initiatives, while supporting training, performance management, staffing, and resource and budget planning to drive excellence across field operations.
**What You’ll Do**
==================
* Provide leadership and oversight to assigned safety team members.
* Serve as a subject matter resource by leveraging deep knowledge of GBA Builders’ safety program to support training, resolve complex issues, and uphold company standards.
* Ensure Safety programs remain compliant with applicable codes, standards, and regulations, and advise leadership on emerging requirements.
* Manage staff communication and planning by clearly communicating job expectations, aligning on performance, and assisting field teams with project setup, logistics, and planning.
* Partner with preconstruction teams to develop and integrate project\-specific Safety, and Environmental plans, ensuring early alignment with company standards and client expectations through execution.
* Review project specifications and plans to identify Safety and Environmental risks, ensuring issues are addressed prior to project execution.
* Oversee field staff by forecasting needs, maintaining SOPs, and aligning assignments with project requirements, and providing ongoing support throughout the project lifecycle.
* Support the Director of Field Operations by overseeing talent\-related responsibilities and monitoring projects at a high level to ensure cross\-functional alignment and keep senior leadership informed.
* Coordinate training and professional development opportunities for field staff and conduct bi\-annual Building Your Career (BYC) reviews with assigned team members.
* Other duties as assigned.
**Technical Skills \&amp; Abilities:**
* Proven ability to provide program\-level oversight and guidance across multiple projects, ensuring consistent application of Safety standards.
* Expertise in construction processes, plans/specifications, and contracts.
* Excellent problem\-solving, communication, and conflict\-resolution skills.
* Proficiency in construction technology platforms, field documentation tools, and data\-driven reporting to monitor quality and safety performance at the program level.
* Demonstrated leadership in fostering a culture of quality, safety, and inclusion, while driving continuous improvement across field operations.
* Proficiency with Microsoft Office and Bluebeam.
* Anticipates emotional dynamics in teams and adapts communication style to maintain collaboration and trust.
* Models emotionally intelligent behavior and mentors others in managing interpersonal challenges and team morale.
* Actively participates in Immersive EQ program to improve lowest domain.
**What You Bring**
==================
* Bachelor’s degree in construction management, occupational safety, engineering, or a related field AND 15\+ years of relevant experience OR an equivalent combination of education and experience.
* Experience directly or indirectly supervising staff with increasing responsibility.
* Progressive construction experience in a leadership capacity on large or complex projects.
* USACE CQM certification preferred.
* OSHA 500 required.
* OSHA\-30 certification required.
* Experience in ProjectSight, preferred.
**Physical Requirements \&amp; Work Environment:**
* Ability to work on a computer for extended periods of time.
* Ability to sit and/or stand for extended periods of time.
* Must be able to lift up to 25 pounds at times.
* Ability to climb ladders, scaffolds, and stairs.
* Exposure to all outdoor weather conditions, including heat, cold, precipitation, and wind.
* Use of safety equipment and personal protective equipment (PPE) as required.
* Exposure to confined spaces as part of job site conditions.
* Exposure to high noise levels typical of job sites.
**Travel**
==========
* Travel to job sites required across the U.S., approximately 40\-50% of the time.
**Why You’ll Love Working Here**
================================
At GBA Builders, you’ll be part of a team that values integrity, safety, and innovation. We offer a comprehensive benefits package designed to support you and your family, including:
* Medical, dental, and vision insurance
* Life, accident, and disability coverage
* 401(k) with company match
* Employee Assistance Program (EAP) and wellness initiatives
* Paid company holidays, floating holidays, and flexible time off
* Opportunities for training, professional growth, and advancement
**Join Our Team**
=================
If you’re a motivated electrical professional who takes pride in delivering safe, high\-quality work, we’d love to hear from you.
**Apply today and build your future with GBA.**
*At GBA, we are an Equal Employment Opportunity Employer promoting diversity in our workforce by including all individuals regardless of age, race, religion, color, sex, national origin, marital status, genetic information, sexual orientation, gender identity, gender expression, disability, veteran status, pregnancy status, or any other status protected by law.*</t>
        </is>
      </c>
    </row>
    <row r="155">
      <c r="A155" t="inlineStr">
        <is>
          <t>in-46b558264c1e8928</t>
        </is>
      </c>
      <c r="B155" t="inlineStr">
        <is>
          <t>Program Manager II</t>
        </is>
      </c>
      <c r="C155" t="inlineStr">
        <is>
          <t>SNC</t>
        </is>
      </c>
      <c r="D155" t="inlineStr">
        <is>
          <t>indeed</t>
        </is>
      </c>
      <c r="E155">
        <f>HYPERLINK("https://www.indeed.com/viewjob?jk=46b558264c1e8928", "https://www.indeed.com/viewjob?jk=46b558264c1e8928")</f>
        <v/>
      </c>
      <c r="F155">
        <f>HYPERLINK("https://snc.wd1.myworkdayjobs.com/en-US/SNC_External_Career_Site/job/Hagerstown-MD/Program-Manager-II_R0029234-1", "https://snc.wd1.myworkdayjobs.com/en-US/SNC_External_Career_Site/job/Hagerstown-MD/Program-Manager-II_R0029234-1")</f>
        <v/>
      </c>
      <c r="G155" t="inlineStr">
        <is>
          <t>Hagerstown, MD, US</t>
        </is>
      </c>
      <c r="H155" s="3" t="n">
        <v>46054</v>
      </c>
      <c r="I155" t="inlineStr">
        <is>
          <t>Are you looking to advance your career and flex your leadership and program management skills in a fast\-paced and rewarding organization? Join us! As a Program Manager II, you will support the business objectives at SNC. You will be responsible for total Program Integration Management of multiple complex projects, major systems and subcontractors with specifically focused responsibility for customer relationship, cost, schedule and technical planning, tracking and reporting, technical execution, and ensuring overall program performance objectives are achieved. You will typically manage programs of $20M or greater with varying development scope, greater than medium complexity and requiring high customer interaction. Cost and Schedule considerations are of higher risk to the company. You will supervise the work of program and project staff and be responsible for add\-on work and proposal tasks from first customer interaction, defining requirements, basis of estimates, negotiation and contract award. You will participate in business resource planning/tracking in coordination with other corporate entities and responsible to formulate a team that can fulfill program requirements. You will be responsible for ensuring program issues and problems are identified, tracked, and resolved; and for program risk management and ensuring risks are identified, mitigated, tracked, and managed. You'll be responsible for conducting routine meetings, interfacing on project/program status, developing proposals, researching/fact\-finding, coordinating audits, and negotiating with project/program stakeholders to ensure enterprise initiatives meet cost, budget, and schedule constraints. You'll support the Program Director and Business Operations in fulfilling their responsibilities for the Business Area.
The Mission Solutions and Technologies (MST) business area provides affordable, turn\-key command/control, communications, integrated ISR, force protection and security solutions worldwide. The MST team has a long legacy of supporting the Department of Defense, Department of Homeland Security, commercial and international customers with years of experience in platform operations, engineering and full lifecycle management across domains – air, land, sea, space and cyber.
**Qualifications You Must Have:**
* Bachelor's degree in Business, Finance, Project Management, Management, Engineering or related field
* Typically 8\+ years of progressive experience in project or program management
* Typically 3\+ years leading medium scale project scope spanning 1\-2 years, while leading teams made up of 5\+ cross functional team members
* Experience with the evaluation of requests for proposals and/or quotes. Experience with preparing, reviewing, and submitting proposals and/or quotes.
* Experience with managing a complex project or larger program.
* Experience in team building, time management, conflict resolution, communication, briefing, presentation, strategic thinking, marketing, and literacy in the program management disciplines.
* Demonstrated financial acumen to ensure decisions are fiscally sound and responsible.
* Requires ability to execute coordination of all elements of a program, i.e., Program integration management. Perform task coordination, resource development, stakeholder identification, etc.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Requires ability to manage complex situations, delegate authority, lead and inspire your team, drive innovative thinking, instill collaboration, drive for success, challenge status quo, and demonstrate the ability to adapt to dynamic situations
* Ability to Obtain / Maintain Secret Clearance
**Qualifications We Prefer:**
* Experience managing international programs, such as: d irect involvement with U.S. Export Controls (ITAR/EAR), foreign certification authorities.
* Experience managing programs involving aircraft modification.
* Experience in Airborne Intelligence, Surveillance, and Reconnaissance (A\-ISR)
* Experience in presenting or briefing to executive leadership
* Project Management Professional (PMP) Certification (will not be considered in lieu of required experience)
* Advanced degree in Business, Management, Engineering or related field (may be considered in lieu of 1 year of required project/program management experience)
* Understanding of Federal Acquisition Regulations (FAR) and Defense Federal Acquisition Regulations (DFARS)
* Working knowledge of Program Management Institute Program Body of Knowledge (PMBOK)
* Managing projects using Capability Maturity Model Integration (CMMI), agile and or spiral development models
* Managing projects requiring Earned Value Management
* Understanding with application tools and data architectures
* Ability to reinforce the usage \&amp; application of Corporate PM tools.
* Ability to participate in PM process \&amp; tool improvement initiatives for the Business Area.
* Ability to keep program management informed of function \&amp; process changes within project controls.
* Ability to enhance program management expertise in the staff
* Ability to establish new \&amp; further refining existing templates, tools, \&amp; guidelines for program documentation \&amp; execution
* Experience with ensuring compliance with approved Corporate and ISO 9001:2000 Policies and Processes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Estimated Starting Salary Range: $130,442\.85 \- $179,358\.93\. Compensation varies depending on a wide array of factors, such as candidates' key skills, relevant work experience, and education/training/certifications. The disclosed range estimate may be adjusted for any applicable geographic differential associated with the location at which the position may be filled.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156">
      <c r="A156" t="inlineStr">
        <is>
          <t>in-6d9e02f8de974384</t>
        </is>
      </c>
      <c r="B156" t="inlineStr">
        <is>
          <t>Program Manager</t>
        </is>
      </c>
      <c r="C156" t="inlineStr">
        <is>
          <t>Ellumen, Inc</t>
        </is>
      </c>
      <c r="D156" t="inlineStr">
        <is>
          <t>indeed</t>
        </is>
      </c>
      <c r="E156">
        <f>HYPERLINK("https://www.indeed.com/viewjob?jk=6d9e02f8de974384", "https://www.indeed.com/viewjob?jk=6d9e02f8de974384")</f>
        <v/>
      </c>
      <c r="F156">
        <f>HYPERLINK("https://www.ellumen.com/careers#current-jobs", "https://www.ellumen.com/careers#current-jobs")</f>
        <v/>
      </c>
      <c r="G156" t="inlineStr">
        <is>
          <t>New Orleans, LA, US</t>
        </is>
      </c>
      <c r="H156" s="3" t="n">
        <v>46054</v>
      </c>
      <c r="I156" t="inlineStr">
        <is>
          <t>**Program Manager** \- New Orleans, LA
Ellumen is a dynamic IT business headquartered in Silver Spring, MD. We are a three\-time Top Workplace honoree by the Washington Post, specializing in providing a broad range of information technology and related services to both government and commercial customers.
Ellumen is seeking a highly motivated and detail\-oriented Program Manager to support the Navy’s MyNavy Human Resources (HR) enterprise. Services include the sustainment, modernization, enhancement, cybersecurity, and operational support of mission\-critical HR, manpower, and personnel systems.
The Program Manager shall ensure these systems remain secure, reliable, and responsive to evolving Navy requirements, while improving system performance, user experience, data quality, and compliance with DoD and Navy policies.
**Role Summary:**  
Serves as the single point of accountability for overall task order execution, ensuring delivery of MyNavy HR IT Solutions in accordance with the PWS, cost, schedule, and performance requirements.
Key Responsibilities:
• Provide day\-to\-day program leadership and serve as primary interface with the Government COR and stakeholders.
• Manage cost, schedule, performance, and risk across all labor categories and task areas.
• Oversee staffing, resource allocation, and subcontractor performance.
• Ensure compliance with SeaPort\-NxG, FAR, security, and reporting requirements.
• Lead planning, status reporting, and CDRL delivery.
Qualifications:
• US Citizenship with ability to obtain federal clearance (active clearance preferred)
• Bachelor’s degree (Master’s preferred) in IT, Management, or related field.
• 10\+ years managing complex DoD or Federal IT programs.
• PMP or equivalent certification preferred.
• Experience supporting HR, manpower, or personnel systems.
We are committed to fostering an inclusive and professional work environment. As an equal opportunity employer, we consider all qualified applicants for employment without regard to legally protected characteristics. We offer comprehensive healthcare benefits, which will be discussed in detail prior to your first interview.</t>
        </is>
      </c>
    </row>
    <row r="157">
      <c r="A157" t="inlineStr">
        <is>
          <t>in-78fb05f12ea23b81</t>
        </is>
      </c>
      <c r="B157" t="inlineStr">
        <is>
          <t>Lead Program Manager</t>
        </is>
      </c>
      <c r="C157" t="inlineStr">
        <is>
          <t>Ellumen, Inc</t>
        </is>
      </c>
      <c r="D157" t="inlineStr">
        <is>
          <t>indeed</t>
        </is>
      </c>
      <c r="E157">
        <f>HYPERLINK("https://www.indeed.com/viewjob?jk=78fb05f12ea23b81", "https://www.indeed.com/viewjob?jk=78fb05f12ea23b81")</f>
        <v/>
      </c>
      <c r="F157">
        <f>HYPERLINK("https://www.ellumen.com/careers#current-jobs", "https://www.ellumen.com/careers#current-jobs")</f>
        <v/>
      </c>
      <c r="G157" t="inlineStr">
        <is>
          <t>Washington, DC, US</t>
        </is>
      </c>
      <c r="H157" s="3" t="n">
        <v>46054</v>
      </c>
      <c r="I157" t="inlineStr">
        <is>
          <t>**Lead Program Manager** \- Washington DC
Ellumen, named a Top Workplace by the Washington Post, is a small business headquartered in Silver Spring, MD. We provide a broad spectrum of information technology and ancillary services to government and commercial customers.
Ellumen is looking for an experienced Lead Program Manager for an upcoming cybersecurity project. This person will provide management, direction, administration, quality assurance, and leadership of a talented Agile team.
**This position requires US citizenship and active Secret federal clearance.**  
The Lead Program Manager (PM) provides overall management, direction, quality assurance, and leadership for the execution of a federal Task Order. Serving as the primary point of contact with the Government, the PM ensures all technical, cybersecurity, schedule, cost, and performance objectives are met in alignment with Department of Transportation (DOT) strategies, federal cybersecurity mandates, and contractual requirements.
This role requires a strong background in federal program management, Agile delivery, cybersecurity governance, and stakeholder engagement, with the ability to oversee complex initiatives spanning information assurance, enterprise architecture, privacy, and emerging federal technology initiatives.
**Key Responsibilities**  
**Program \&amp; Project Leadership*** Provide day\-to\-day leadership and oversight for all Task Order activities.
* Plan, schedule, coordinate, and manage project tasks, resources, budgets, and deliverables.
* Monitor costs, schedules, risks, and performance to ensure compliance with contract requirements.
* Establish and manage Agile continuous delivery and continuous improvement environments.
* Implement and maintain quality assurance processes throughout the project lifecycle.
**Federal Cybersecurity \&amp; Compliance Oversight*** Provide program leadership informed by a strong understanding of information assurance, cybersecurity, and privacy disciplines.
* Ensure alignment with federal cybersecurity frameworks and requirements, including:
	+ Federal Information Security Modernization Act (FISMA) of 2014
	+ NIST Risk Management Framework (RMF)
	+ NIST Cybersecurity Framework (CSF)
	+ Identity, Credential, and Access Management (ICAM)
* Maintain awareness of federal initiatives related to artificial intelligence, Zero Trust, quantum encryption, and cybersecurity supply chain risk management.
* Oversee compliance with Department of Justice CSAM application reporting and controls management (Common, Hybrid, and System\-Specific).
**Stakeholder Engagement \&amp; Communication*** Serve as the primary liaison between the Contractor, Contracting Officer (CO), Contracting Officer’s Representative (COR), and Government stakeholders.
* Work closely with customers to assess needs, resolve issues, and ensure expectations are met.
* Facilitate workshops that drive business buy\-in and align solutions with DOT strategies.
* Communicate program status, risks, and recommendations through clear written reports and executive briefings.
**Data, Analysis \&amp; Decision Support*** Present analytic findings and program performance metrics to Government stakeholders.
* Oversee data extraction, validation, and analysis from multiple sources.
* Support root cause analysis for program, technical, and operational issues.
**Enterprise Architecture \&amp; Strategic Alignment*** Provide oversight and coordination related to enterprise architecture initiatives.
* Ensure alignment across project implementation, infrastructure, cybersecurity, privacy, and records management.
**Key Personnel Responsibilities*** Serve as designated Key Personnel under the Task Order.
* Provide written notification to the CO and COR at least thirty (30\) days prior to any proposed Key Personnel change.
* Ensure replacement personnel are fully qualified, approved in writing, and adequately cross\-trained to prevent service disruption.
* Ensure Key Personnel do not begin work without written CO/COR approval of resumes.
**Required Qualifications*** Industry\-recognized Project Management certification (PMP or equivalent).
* Experience managing federal contract projects, including Agile delivery environments.
* Strong understanding of project management principles, methods, and tools.
* Demonstrated ability to communicate effectively with technical and non\-technical stakeholders.
* Working knowledge of federal cybersecurity and compliance frameworks, including FISMA, NIST RMF, NIST CSF, and ICAM.
* Familiarity with the NICE Cybersecurity Workforce Framework and the Federal Cybersecurity Workforce Assessment Act of 2015\.
* Ability to assess customer needs, resolve issues, and deliver high\-quality services.
* Experience extracting, validating, and analyzing data from multiple sources.
* Proficiency with Microsoft Word, Excel, Project, PowerPoint, and Visio.
**Preferred Qualifications*** Experience supporting DOT or other federal civilian agencies.
* Knowledge of AI, Zero Trust architecture, quantum encryption, and cybersecurity supply chain risk management initiatives.
* Experience facilitating executive\-level or cross\-functional workshops.
* Background in enterprise architecture, cybersecurity governance, or IT modernization programs.
We are committed to fostering an inclusive and professional work environment. As an equal opportunity employer, we consider all qualified applicants for employment without regard to legally protected characteristics. We offer comprehensive healthcare benefits, which will be discussed in detail prior to your first interview.</t>
        </is>
      </c>
    </row>
    <row r="158">
      <c r="A158" t="inlineStr">
        <is>
          <t>in-3386b5bc2a364ca4</t>
        </is>
      </c>
      <c r="B158" t="inlineStr">
        <is>
          <t>Technical Program Manager, MSL Infra</t>
        </is>
      </c>
      <c r="C158" t="inlineStr">
        <is>
          <t>Meta</t>
        </is>
      </c>
      <c r="D158" t="inlineStr">
        <is>
          <t>indeed</t>
        </is>
      </c>
      <c r="E158">
        <f>HYPERLINK("https://www.indeed.com/viewjob?jk=3386b5bc2a364ca4", "https://www.indeed.com/viewjob?jk=3386b5bc2a364ca4")</f>
        <v/>
      </c>
      <c r="F158">
        <f>HYPERLINK("https://jsv3.recruitics.com/redirect?rx_cid=3239&amp;rx_jobId=a1KDp00000CZLagMAH&amp;rx_url=https%3A%2F%2Fwww.metacareers.com%2Fjobs%2F1834716287228208%2F%3Frx_campaign%3Dindeed0%26rx_ch%3Dvp%26rx_group%3D187943%26rx_id%3Dfa5b90e1-0059-11f1-af6d-2ba78be26644%26rx_job%3Da1KDp00000CZLagMAH%26rx_medium%3Dcpc%26rx_r%3Dnone%26rx_source%3Dindeed%26rx_ts%3D20260203T001202Z%26rx_vp%3Dcpc%26utm_campaign%3DJob%252Bboard%26utm_medium%3Djobs%26utm_source%3Dindeedorganic", "https://jsv3.recruitics.com/redirect?rx_cid=3239&amp;rx_jobId=a1KDp00000CZLagMAH&amp;rx_url=https%3A%2F%2Fwww.metacareers.com%2Fjobs%2F1834716287228208%2F%3Frx_campaign%3Dindeed0%26rx_ch%3Dvp%26rx_group%3D187943%26rx_id%3Dfa5b90e1-0059-11f1-af6d-2ba78be26644%26rx_job%3Da1KDp00000CZLagMAH%26rx_medium%3Dcpc%26rx_r%3Dnone%26rx_source%3Dindeed%26rx_ts%3D20260203T001202Z%26rx_vp%3Dcpc%26utm_campaign%3DJob%252Bboard%26utm_medium%3Djobs%26utm_source%3Dindeedorganic")</f>
        <v/>
      </c>
      <c r="G158" t="inlineStr">
        <is>
          <t>Bellevue, WA, US</t>
        </is>
      </c>
      <c r="H158" s="3" t="n">
        <v>46052</v>
      </c>
      <c r="I158"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 **Technical Program Manager, MSL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Effectively communicate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Operate with ownership and a focus on execution
* Establish shared goals with product teams across the company to build alignment across multiple cross\-functional teams and to build and scale products for Meta
### **Minimum Qualifications:**
* 4\+ years of software engineering, systems engineering, hardware engineering, technical product/program management experience (or other relevant experience)
* Experience operating across multiple teams and functions, demonstrated critical thinking, and thought leadership
* Organizational, coordination and multi\-tasking experience
*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 **Preferred Qualifications:**
* Experience with shipping AI systems and infrastructure
* Experience working across modeling and product teams
* Experience driving and delivering complex AI/ ML tech programs or products from inception to delivery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in-bca3d9edd7978a5c</t>
        </is>
      </c>
      <c r="B159" t="inlineStr">
        <is>
          <t>Technical Program Manager, MSL Infra</t>
        </is>
      </c>
      <c r="C159" t="inlineStr">
        <is>
          <t>Meta</t>
        </is>
      </c>
      <c r="D159" t="inlineStr">
        <is>
          <t>indeed</t>
        </is>
      </c>
      <c r="E159">
        <f>HYPERLINK("https://www.indeed.com/viewjob?jk=bca3d9edd7978a5c", "https://www.indeed.com/viewjob?jk=bca3d9edd7978a5c")</f>
        <v/>
      </c>
      <c r="F159">
        <f>HYPERLINK("https://jsv3.recruitics.com/redirect?rx_cid=3239&amp;rx_jobId=a1KDp00000CZLagMAH_1002&amp;rx_url=https%3A%2F%2Fwww.metacareers.com%2Fjobs%2F1834716287228208%2F%3Frx_campaign%3Dindeed0%26rx_ch%3Dvp%26rx_group%3D187943%26rx_id%3Df7bddae4-0059-11f1-af6d-9d8b5511e871%26rx_job%3Da1KDp00000CZLagMAH_1002%26rx_medium%3Dcpc%26rx_r%3Dnone%26rx_source%3Dindeed%26rx_ts%3D20260203T001202Z%26rx_vp%3Dcpc%26utm_campaign%3DJob%252Bboard%26utm_medium%3Djobs%26utm_source%3Dindeedorganic", "https://jsv3.recruitics.com/redirect?rx_cid=3239&amp;rx_jobId=a1KDp00000CZLagMAH_1002&amp;rx_url=https%3A%2F%2Fwww.metacareers.com%2Fjobs%2F1834716287228208%2F%3Frx_campaign%3Dindeed0%26rx_ch%3Dvp%26rx_group%3D187943%26rx_id%3Df7bddae4-0059-11f1-af6d-9d8b5511e871%26rx_job%3Da1KDp00000CZLagMAH_1002%26rx_medium%3Dcpc%26rx_r%3Dnone%26rx_source%3Dindeed%26rx_ts%3D20260203T001202Z%26rx_vp%3Dcpc%26utm_campaign%3DJob%252Bboard%26utm_medium%3Djobs%26utm_source%3Dindeedorganic")</f>
        <v/>
      </c>
      <c r="G159" t="inlineStr">
        <is>
          <t>New York, NY, US</t>
        </is>
      </c>
      <c r="H159" s="3" t="n">
        <v>46052</v>
      </c>
      <c r="I159"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 **Technical Program Manager, MSL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Effectively communicate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Operate with ownership and a focus on execution
* Establish shared goals with product teams across the company to build alignment across multiple cross\-functional teams and to build and scale products for Meta
### **Minimum Qualifications:**
* Bachelors in Computer Science or a related technical discipline, or equivalent experience
* 4\+ years of software engineering, systems engineering, hardware engineering, technical product/program management experience (or other relevant experience)
* Experience operating across multiple teams and functions, demonstrated critical thinking, and thought leadership
* Organizational, coordination and multi\-tasking experience
*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 **Preferred Qualifications:**
* Experience with shipping AI systems and infrastructure
* Experience working across modeling and product teams
* Experience driving and delivering complex AI/ ML tech programs or products from inception to delivery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0">
      <c r="A160" t="inlineStr">
        <is>
          <t>in-69596d446334ff48</t>
        </is>
      </c>
      <c r="B160" t="inlineStr">
        <is>
          <t>Technical Program Manager, MSL Infra</t>
        </is>
      </c>
      <c r="C160" t="inlineStr">
        <is>
          <t>Meta</t>
        </is>
      </c>
      <c r="D160" t="inlineStr">
        <is>
          <t>indeed</t>
        </is>
      </c>
      <c r="E160">
        <f>HYPERLINK("https://www.indeed.com/viewjob?jk=69596d446334ff48", "https://www.indeed.com/viewjob?jk=69596d446334ff48")</f>
        <v/>
      </c>
      <c r="F160">
        <f>HYPERLINK("https://jsv3.recruitics.com/redirect?rx_cid=3239&amp;rx_jobId=a1KDp00000CZLagMAH_1001&amp;rx_url=https%3A%2F%2Fwww.metacareers.com%2Fjobs%2F1834716287228208%2F%3Frx_campaign%3Dindeed0%26rx_ch%3Dvp%26rx_group%3D187943%26rx_id%3Df2920094-0059-11f1-af6d-23ecd011a61e%26rx_job%3Da1KDp00000CZLagMAH_1001%26rx_medium%3Dcpc%26rx_r%3Dnone%26rx_source%3Dindeed%26rx_ts%3D20260203T001202Z%26rx_vp%3Dcpc%26utm_campaign%3DJob%252Bboard%26utm_medium%3Djobs%26utm_source%3Dindeedorganic", "https://jsv3.recruitics.com/redirect?rx_cid=3239&amp;rx_jobId=a1KDp00000CZLagMAH_1001&amp;rx_url=https%3A%2F%2Fwww.metacareers.com%2Fjobs%2F1834716287228208%2F%3Frx_campaign%3Dindeed0%26rx_ch%3Dvp%26rx_group%3D187943%26rx_id%3Df2920094-0059-11f1-af6d-23ecd011a61e%26rx_job%3Da1KDp00000CZLagMAH_1001%26rx_medium%3Dcpc%26rx_r%3Dnone%26rx_source%3Dindeed%26rx_ts%3D20260203T001202Z%26rx_vp%3Dcpc%26utm_campaign%3DJob%252Bboard%26utm_medium%3Djobs%26utm_source%3Dindeedorganic")</f>
        <v/>
      </c>
      <c r="G160" t="inlineStr">
        <is>
          <t>Menlo Park, CA, US</t>
        </is>
      </c>
      <c r="H160" s="3" t="n">
        <v>46052</v>
      </c>
      <c r="I160"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 **Technical Program Manager, MSL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Effectively communicate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Operate with ownership and a focus on execution
* Establish shared goals with product teams across the company to build alignment across multiple cross\-functional teams and to build and scale products for Meta
### **Minimum Qualifications:**
* 4\+ years of software engineering, systems engineering, hardware engineering, technical product/program management experience (or other relevant experience)
* Experience operating across multiple teams and functions, demonstrated critical thinking, and thought leadership
* Organizational, coordination and multi\-tasking experience
*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 **Preferred Qualifications:**
* Experience with shipping AI systems and infrastructure
* Experience working across modeling and product teams
* Experience driving and delivering complex AI/ ML tech programs or products from inception to delivery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1">
      <c r="A161" t="inlineStr">
        <is>
          <t>in-073a027fafb8c976</t>
        </is>
      </c>
      <c r="B161" t="inlineStr">
        <is>
          <t>Program Manager</t>
        </is>
      </c>
      <c r="C161" t="inlineStr">
        <is>
          <t>Delaware Technical Community College</t>
        </is>
      </c>
      <c r="D161" t="inlineStr">
        <is>
          <t>indeed</t>
        </is>
      </c>
      <c r="E161">
        <f>HYPERLINK("https://www.indeed.com/viewjob?jk=073a027fafb8c976", "https://www.indeed.com/viewjob?jk=073a027fafb8c976")</f>
        <v/>
      </c>
      <c r="F161">
        <f>HYPERLINK("https://dtcc.peopleadmin.com/postings/16202", "https://dtcc.peopleadmin.com/postings/16202")</f>
        <v/>
      </c>
      <c r="G161" t="inlineStr">
        <is>
          <t>Dover, DE, US</t>
        </is>
      </c>
      <c r="H161" s="3" t="n">
        <v>45930</v>
      </c>
      <c r="I161" t="inlineStr">
        <is>
          <t>**Position Details**
--------------------
Position Information
**Position Title** Program Manager
**Position Number** 64163
**Position Type** Temporary Full\-Time \&lt; 9 Months
**Hiring Location** Terry Campus\-Dover, DE
**Contact Phone Number** 302\-857\-1290
**Contact Email Address** terry\-jobs@dtcc.edu
**Work Location** Terry Campus\-Dover, DE
**Position Specific Details**
**The incumbent in this position will provide oversight of the Upward Bound Program.**
**Salary** $59,804
Classification Information
**Classification Title** Program Manager
**Job Code** 3020 (FT), 3520 (PT)
**FLSA** Exempt
**Position Pay Grade** B/C 16
**Position Type** Full\-Time
**Summary Statement**
An incumbent is responsible for managing, developing, and coordinating activities and events relative to a specific program(s). These programs may be implemented as a result of federal grants, State special funds, or upon initiative of the College.
**Nature and Scope**
An incumbent in this class typically reports to an administrative supervisor and may supervise student/participants along with professional and support staff. The incumbent plans and directs the day\-to\-day operation of the program to ensure the achievement of the prescribed program goals and objectives.
**Principal Accountabilities**
An incumbent may perform any combination of the below listed accountabilities:
1\. Researches and develops program curriculum and activities in accordance with the prescribed program goals and objectives.
2\. Determines eligibility of participants/students for the program based on State, Federal and College regulations, rules and policies. Makes decision to terminate participants from program when needed.
3\. Coordinates and facilitates research and development of program materials and information.
4\. Research, develops and writes funding proposals for identified funding sources and performs relevant reconciliations.
5\. Recommends applicants for hiring.
6\. Trains, supervises, and evaluates subordinates.
7\. Coordinates program activities and events with other personnel.
8\. Coordinates and participates in the development of various marketing tools for the program (i.e. fact sheets, brochures, flyers, presentations, radio station advertisement, press releases, and staff meetings, etc.).
9\. Prepares and/or coordinates the budget and financial accounting for the program and/or grant. Authorizes expenditures and purchasing relevant to the program. Performs certification of funding is correct.
10\. Collects, interprets, analyzes, and processes information and data, and prepares relevant reports regarding the program.
11\. Handles designated specialized program assignments such as negotiating contracts, etc.
12\. Creates community partnerships and relationships as they relate to funding resources. Coordinate and interact with community service groups, College staff, and State and federal agencies.
13\. Provides for staff development and training in the program.
14\. May assist students by providing information and/or advice, coordinating tutoring sessions, presenting workshops, etc.
15\. Performs related work as required.
**Knowledge Skills and Abilities**
Knowledge of College operations, policies, practices, and procedures.  
Knowledge of relevant State and federal program policies, procedures, and regulations.  
Knowledge of fiscal and budgetary policies and procedures.  
Knowledge of database software and spreadsheet software (e.g. Microsoft Office).  
Skill in program development and management.  
Skill in effective communications.  
Strong writing and interpersonal skills.  
Strong organizational and analytical skills.  
Ability to organize, analyze, and systematically utilize complex information and data.  
Ability to effectively communicate and relate to a diverse population in a multicultural environment.
**Minimum Qualifications**
Bachelor’s degree in a relevant field.  
Four (4\) years of relevant experience, including supervision, or equivalent additional years of education.
**Posting Details**
-------------------
Posting Details
**Posting Number** REG4803PO
**Number of Vacancies** 1
**Desired Start Date** 10/20/2025
**Position End Date (if temporary)**
**Open Date** 10/01/2025
**Close Date**
**Open Until Filled** Yes
**Special Applicant Instructions**
**Supplemental Questions**
--------------------------
Required fields are indicated with an asterisk (\*).
**Required Documents**
----------------------
**Required Documents**
* Resume
* Unofficial Transcripts
**Optional Documents**
* Cover Letter/Letter of Application
* Teaching Philosophy
* Writing Sample
* Curriculum Vitae
* Other Document
* Multi Media
* First Letter of Reference</t>
        </is>
      </c>
    </row>
    <row r="162">
      <c r="A162" t="inlineStr">
        <is>
          <t>in-0f6e7b28493de7f0</t>
        </is>
      </c>
      <c r="B162" t="inlineStr">
        <is>
          <t>Technical Program Manager</t>
        </is>
      </c>
      <c r="C162" t="inlineStr">
        <is>
          <t>NexonIT</t>
        </is>
      </c>
      <c r="D162" t="inlineStr">
        <is>
          <t>indeed</t>
        </is>
      </c>
      <c r="E162">
        <f>HYPERLINK("https://www.indeed.com/viewjob?jk=0f6e7b28493de7f0", "https://www.indeed.com/viewjob?jk=0f6e7b28493de7f0")</f>
        <v/>
      </c>
      <c r="F162">
        <f>HYPERLINK("http://www.indeed.com/job/technical-program-manager-0f6e7b28493de7f0", "http://www.indeed.com/job/technical-program-manager-0f6e7b28493de7f0")</f>
        <v/>
      </c>
      <c r="G162" t="inlineStr">
        <is>
          <t>Paramus, NJ, US</t>
        </is>
      </c>
      <c r="H162" s="3" t="n">
        <v>46055</v>
      </c>
      <c r="I162" t="inlineStr">
        <is>
          <t>**About the Role:** We are seeking an experienced Technical Program Manager / Project Manager to lead and deliver complex data projects using both Waterfall and Agile methodologies.
**Key Responsibilities:**
· Lead end\-to\-end delivery of data projects from initiation through completion
· Manage project scope, timelines, budgets, and resources effectively
· Facilitate Agile ceremonies (sprint planning, standups, retrospectives) and manage Waterfall project phases
· Coordinate cross\-functional teams including data engineers, analysts, and stakeholders
· Identify and mitigate project risks and dependencies
· Communicate project status, metrics, and outcomes to leadership and stakeholders
· Drive continuous improvement in project delivery processes
**Required Qualifications:**
· Overall 15 year experience; 5\+ years of experience in technical program/project management
· Proven experience managing data projects (data warehousing, analytics, ETL, or similar)
· Strong knowledge of both Waterfall and Agile/Scrum methodologies
· Experience with project management tools (Jira, MS Project, or similar)
· Excellent communication and stakeholder management skills
· PMP, Scrum Master, or equivalent certification preferred
Bachelor's degree in Computer Science, Engineering, or related field
Job Type: Full\-time
Pay: $100\.00 \- $120\.00 per year
Work Location: On the road</t>
        </is>
      </c>
    </row>
    <row r="163">
      <c r="A163" t="inlineStr">
        <is>
          <t>in-8fe95188f9be9fa6</t>
        </is>
      </c>
      <c r="B163" t="inlineStr">
        <is>
          <t>EDW Data &amp; Analytics BI Product Manager</t>
        </is>
      </c>
      <c r="C163" t="inlineStr">
        <is>
          <t>Fidium</t>
        </is>
      </c>
      <c r="D163" t="inlineStr">
        <is>
          <t>indeed</t>
        </is>
      </c>
      <c r="E163">
        <f>HYPERLINK("https://www.indeed.com/viewjob?jk=8fe95188f9be9fa6", "https://www.indeed.com/viewjob?jk=8fe95188f9be9fa6")</f>
        <v/>
      </c>
      <c r="F163">
        <f>HYPERLINK("https://careers.consolidated.com/psc/CAREERS/EMPLOYEE/HRMS/c/HRS_HRAM_FL.HRS_CG_SEARCH_FL.GBL?Page=HRS_APP_JBPST_FL&amp;Action=U&amp;FOCUS=Applicant&amp;JobOpeningId=8578&amp;SiteId=1&amp;PostingSeq=1", "https://careers.consolidated.com/psc/CAREERS/EMPLOYEE/HRMS/c/HRS_HRAM_FL.HRS_CG_SEARCH_FL.GBL?Page=HRS_APP_JBPST_FL&amp;Action=U&amp;FOCUS=Applicant&amp;JobOpeningId=8578&amp;SiteId=1&amp;PostingSeq=1")</f>
        <v/>
      </c>
      <c r="G163" t="inlineStr">
        <is>
          <t>Remote, US</t>
        </is>
      </c>
      <c r="H163" s="3" t="n">
        <v>46054</v>
      </c>
      <c r="I163" t="inlineStr">
        <is>
          <t>**Major Duties**
----------------
Classification: Exempt / Non\-Bargaining
Position may be located remote. \#LI\-Remote
Fidium is where next\-generation fiber meets next\-level opportunity. With a vision to be America’s favorite fiber internet and network services provider, we deliver lightning\-fast and reliable connections to families, businesses, and communities.
Backed by one of the nation’s top 10 fiber networks, Fidium is driven by a team of 2,500 employees. We champion innovation, integrity, and continuous improvement—empowering every team member to make a meaningful impact.
We are seeking a dynamic and technically skilled **EDW Data \&amp; Analytics BI Product Manager** to drive delivery and enhancement of data and analytics capabilities within our **Telecom Enterprise Data Warehouse (EDW)**. This role bridges business and technical teams—translating business needs into data and reporting solutions that deliver actionable insights.
The ideal candidate will possess strong knowledge of **telecom business processes and KPIs**, combined with hands\-on understanding of **data modeling, BI development, and analytics platforms** across the **FiveTran, Snowflake, Matillion, Tableau, and Secoda** technology stack.
**Responsibilities**
--------------------
**Product \&amp; Delivery Management**
* Serve as the **product owner** for Telecom EDW and BI capabilities—defining, prioritizing, and delivering a roadmap aligned with business objectives.
* Lead **requirement gathering and elaboration** for data, reporting, and analytics use cases across functions such as network, customer, billing, sales, and operations.
* Manage backlog, sprint planning, and delivery milestones for EDW and BI initiatives.
* Coordinate with **data engineers, data modelers, and BI developers** to ensure on\-time, high\-quality delivery of solutions.
**Stakeholder \&amp; Business Engagement**
* Act as the primary liaison between **business stakeholders and technical teams**, ensuring clarity, alignment, and value realization.
* Partner with business units to **define key metrics, KPIs, and reporting standards**.
* Conduct **data\-driven discussions** to validate requirements, interpret analytics outputs, and communicate insights.
* Translate complex data concepts into business\-friendly language for executive and operational stakeholders.
**Analytics, Reporting \&amp; Visualization**
* Oversee design, development, and deployment of **dashboards and reports in Tableau**, ensuring accuracy, usability, and consistency across the organization.
* Define and maintain **data definitions, hierarchies, and governance standards** in collaboration with data management teams.
* Partner with business analysts to **enhance self\-service analytics capabilities**.
* Drive adoption of standardized BI assets to promote a single source of truth.
**Technical \&amp; Data Understanding**
* Collaborate with engineering teams on **data ingestion and transformation pipelines** (FiveTran, Matillion, Snowflake).
* Understand and guide **data modeling principles** (staging, core, and presentation layers) to support analytical and reporting needs.
* Leverage **Secoda** for data cataloging, lineage documentation, and metadata management.
* Contribute to **data quality initiatives**, ensuring trust in analytics outputs.
**Governance \&amp; Continuous Improvement**
* Partner with the **data governance** function to ensure alignment with enterprise data standards and compliance policies.
* Identify opportunities for automation, data reuse, and operational efficiency.
* Monitor BI system performance and user adoption; propose enhancements where needed.
* Maintain awareness of **industry trends and emerging technologies** in data and analytics.
**Qualifications**
------------------
* Bachelor’s degree in **Information Systems, Data Analytics, Computer Science, or related field**.
* 8\+ years of experience in **Data Analytics, BI Product Management, or Data Product Ownership**—preferably within the **Telecom sector**.
* Proven experience with:
	+ **Tableau** (dashboard design, visualization best practices)
	+ **Snowflake** (understanding of schema, performance, and data organization)
	+ **FiveTran** and **Matillion** (familiarity with ETL/ELT workflows and data pipelines)
	+ **Secoda** (data catalog and documentation management) or similar tool
* Strong understanding of **data modeling concepts** (star/snowflake schemas, fact/dimension tables).
* Experience defining and tracking **Telecom KPIs** (subscriber metrics, churn, ARPU, network utilization, etc.).
* Solid grasp of **SQL** and ability to interpret or validate analytical queries.
* Demonstrated ability to manage complex stakeholder relationships and prioritize competing business needs.
**Preferred Qualifications:**
* Experience with **Agile/Scrum** delivery frameworks and tools (e.g., Jira, Azure DevOps).
* Familiarity with **data governance frameworks** and **metadata management practices**.
* Previous experience supporting a **Telecom EDW or analytics transformation program**.
* Exposure to **data observability**, **dbt**, or **data quality frameworks** is a plus.
**Soft Skills:**
* Excellent communication and stakeholder management abilities.
* Strong analytical mindset with attention to detail.
* Strategic thinker who can connect technical capabilities with business value.
* Comfortable working cross\-functionally in fast\-paced, evolving environments.
* Passionate about data\-driven decision\-making and business intelligence excellence.
**Benefits Offered**
--------------------
We are proud to offer a comprehensive and competitive benefits package:
* 401(k) matching
* Medical, Rx, Dental and Vision insurance
* Disability insurance
* Flexible spending account
* Health savings account
* Life insurance
* Tuition reimbursement
* Paid vacation and personal days
* Paid holidays
* Employee Assistance Program
* Annual bonus program to eligible employee's based upon organization performance
**Salary**
----------
Pay range (commensurate with skills and experience): $105,000 \- $120,000 Annual Salary
**Equal Opportunity Employer**
------------------------------
All qualified applicants will receive consideration for employment without regard to race, color, religion, sex, gender identity or expression, sexual orientation, national origin, marital status, familial status, genetics, disability, age, veteran status or any other characteristic protected by law.</t>
        </is>
      </c>
    </row>
    <row r="164">
      <c r="A164" t="inlineStr">
        <is>
          <t>in-20f3607b472e8fa1</t>
        </is>
      </c>
      <c r="B164" t="inlineStr">
        <is>
          <t>Data Product Manager</t>
        </is>
      </c>
      <c r="C164" t="inlineStr">
        <is>
          <t>Qode</t>
        </is>
      </c>
      <c r="D164" t="inlineStr">
        <is>
          <t>indeed</t>
        </is>
      </c>
      <c r="E164">
        <f>HYPERLINK("https://www.indeed.com/viewjob?jk=20f3607b472e8fa1", "https://www.indeed.com/viewjob?jk=20f3607b472e8fa1")</f>
        <v/>
      </c>
      <c r="F164">
        <f>HYPERLINK("https://apply.workable.com/j/7C2CAA0AA8", "https://apply.workable.com/j/7C2CAA0AA8")</f>
        <v/>
      </c>
      <c r="G164" t="inlineStr">
        <is>
          <t>Dallas, TX, US</t>
        </is>
      </c>
      <c r="H164" s="3" t="n">
        <v>46054</v>
      </c>
      <c r="I164" t="inlineStr">
        <is>
          <t>About the RoleWe are seeking a Data Product Manager to lead and manage a portfolio of 3–5 enterprise data products. This role is ideal for someone with deep experience in data technologies, data governance, and analytics, combined with a strong understanding of core banking processes. You will serve as the strategic owner of data products, ensuring they meet business needs, drive insights, and support compliance and operational excellence.As a senior leader, you will work closely with business stakeholders, data engineers, data architects, and analytics teams to deliver high\-quality, governed, and scalable data products. You will also help define the vision, roadmap, and lifecycle management of these products in alignment with the bank’s enterprise data strategy.
Key ResponsibilitiesProduct Ownership \&amp; Strategy· Own end\-to\-end lifecycle of assigned data products, including vision, strategy, roadmap, and delivery.· Collaborate with business units, analytics teams, and technology partners to prioritize features and enhancements.· Define and track key product success metrics and adoption KPIs.· Advocate for data products across the organization, ensuring alignment with enterprise data governance and cloud/data strategy initiatives. Stakeholder Engagement· Act as the primary liaison between business stakeholders and data engineering/analytics teams.· Gather and translate business requirements into actionable data product specifications.· Facilitate cross\-functional collaboration to resolve trade\-offs and dependencies.Data Governance \&amp; Quality· Ensure data products comply with regulatory, security, and privacy requirements.· Define and enforce data quality standards, lineage, and observability metrics.· Collaborate with Data Governance, Risk, and IT Security teams to maintain compliance and audit readiness. Technical Leadership· Understand and leverage modern data technologies (e.g., relational databases, data warehouses, data lakes, ETL pipelines, cloud platforms, APIs, BI tools).· Collaborate with data engineering teams on architecture, modeling, and platform decisions.· Evaluate emerging technologies and recommend innovations to improve data products and processes.Execution \&amp; Delivery· Drive delivery of data products using agile methodologies.· Prioritize backlog, manage sprints, and ensure timely delivery of features.· Monitor and measure product performance, adoption, and business impact. Thought Leadership· Contribute to the overall data product management framework and best practices within the bank.· Promote a culture of data\-driven decision\-making and product\-centric thinking.
Required Qualifications· 8\+ years of experience in data product management, data strategy, or analytics roles; experience in banking/financial services preferred.· Strong understanding of core banking products (e.g., deposits, loans, payments) and associated operational data flows.· Solid knowledge of data architecture, warehousing, BI, analytics, and cloud platforms.· Proven ability to manage multiple data products simultaneously.· Excellent communication, stakeholder management, and leadership skills.· Experience with Agile/Scrum methodologies and data governance frameworks.· Bachelor’s degree in Computer Science, Information Systems, Finance, or related field; advanced degree preferred. Preferred Qualifications· Hands\-on experience with HiveQL, SQL, Tableau· Understanding of regulatory reporting requirements (e.g., CCAR, FR Y\-14, Basel).· Exposure to semantic layers, or enterprise data product management frameworks.</t>
        </is>
      </c>
    </row>
    <row r="165">
      <c r="A165" t="inlineStr">
        <is>
          <t>in-07f538aec78c8073</t>
        </is>
      </c>
      <c r="B165" t="inlineStr">
        <is>
          <t>Data Product Manager</t>
        </is>
      </c>
      <c r="C165" t="inlineStr">
        <is>
          <t>Qode</t>
        </is>
      </c>
      <c r="D165" t="inlineStr">
        <is>
          <t>indeed</t>
        </is>
      </c>
      <c r="E165">
        <f>HYPERLINK("https://www.indeed.com/viewjob?jk=07f538aec78c8073", "https://www.indeed.com/viewjob?jk=07f538aec78c8073")</f>
        <v/>
      </c>
      <c r="F165">
        <f>HYPERLINK("https://apply.workable.com/j/6CF29F9845", "https://apply.workable.com/j/6CF29F9845")</f>
        <v/>
      </c>
      <c r="G165" t="inlineStr">
        <is>
          <t>Pittsburgh, PA, US</t>
        </is>
      </c>
      <c r="H165" s="3" t="n">
        <v>46054</v>
      </c>
      <c r="I165" t="inlineStr">
        <is>
          <t>About the RoleWe are seeking a Data Product Manager to lead and manage a portfolio of 3–5 enterprise data products. This role is ideal for someone with deep experience in data technologies, data governance, and analytics, combined with a strong understanding of core banking processes. You will serve as the strategic owner of data products, ensuring they meet business needs, drive insights, and support compliance and operational excellence.As a senior leader, you will work closely with business stakeholders, data engineers, data architects, and analytics teams to deliver high\-quality, governed, and scalable data products. You will also help define the vision, roadmap, and lifecycle management of these products in alignment with the bank’s enterprise data strategy.
Key ResponsibilitiesProduct Ownership \&amp; Strategy· Own end\-to\-end lifecycle of assigned data products, including vision, strategy, roadmap, and delivery.· Collaborate with business units, analytics teams, and technology partners to prioritize features and enhancements.· Define and track key product success metrics and adoption KPIs.· Advocate for data products across the organization, ensuring alignment with enterprise data governance and cloud/data strategy initiatives. Stakeholder Engagement· Act as the primary liaison between business stakeholders and data engineering/analytics teams.· Gather and translate business requirements into actionable data product specifications.· Facilitate cross\-functional collaboration to resolve trade\-offs and dependencies.Data Governance \&amp; Quality· Ensure data products comply with regulatory, security, and privacy requirements.· Define and enforce data quality standards, lineage, and observability metrics.· Collaborate with Data Governance, Risk, and IT Security teams to maintain compliance and audit readiness. Technical Leadership· Understand and leverage modern data technologies (e.g., relational databases, data warehouses, data lakes, ETL pipelines, cloud platforms, APIs, BI tools).· Collaborate with data engineering teams on architecture, modeling, and platform decisions.· Evaluate emerging technologies and recommend innovations to improve data products and processes.Execution \&amp; Delivery· Drive delivery of data products using agile methodologies.· Prioritize backlog, manage sprints, and ensure timely delivery of features.· Monitor and measure product performance, adoption, and business impact. Thought Leadership· Contribute to the overall data product management framework and best practices within the bank.· Promote a culture of data\-driven decision\-making and product\-centric thinking.
Required Qualifications· 8\+ years of experience in data product management, data strategy, or analytics roles; experience in banking/financial services preferred.· Strong understanding of core banking products (e.g., deposits, loans, payments) and associated operational data flows.· Solid knowledge of data architecture, warehousing, BI, analytics, and cloud platforms.· Proven ability to manage multiple data products simultaneously.· Excellent communication, stakeholder management, and leadership skills.· Experience with Agile/Scrum methodologies and data governance frameworks.· Bachelor’s degree in Computer Science, Information Systems, Finance, or related field; advanced degree preferred. Preferred Qualifications· Hands\-on experience with HiveQL, SQL, Tableau· Understanding of regulatory reporting requirements (e.g., CCAR, FR Y\-14, Basel).· Exposure to semantic layers, or enterprise data product management frameworks.</t>
        </is>
      </c>
    </row>
    <row r="166">
      <c r="A166" t="inlineStr">
        <is>
          <t>in-42cfadcbb732bc86</t>
        </is>
      </c>
      <c r="B166" t="inlineStr">
        <is>
          <t>Data Product Manager</t>
        </is>
      </c>
      <c r="C166" t="inlineStr">
        <is>
          <t>Qode</t>
        </is>
      </c>
      <c r="D166" t="inlineStr">
        <is>
          <t>indeed</t>
        </is>
      </c>
      <c r="E166">
        <f>HYPERLINK("https://www.indeed.com/viewjob?jk=42cfadcbb732bc86", "https://www.indeed.com/viewjob?jk=42cfadcbb732bc86")</f>
        <v/>
      </c>
      <c r="F166">
        <f>HYPERLINK("https://apply.workable.com/j/7A8AD8E909", "https://apply.workable.com/j/7A8AD8E909")</f>
        <v/>
      </c>
      <c r="G166" t="inlineStr">
        <is>
          <t>Cleveland, OH, US</t>
        </is>
      </c>
      <c r="H166" s="3" t="n">
        <v>46054</v>
      </c>
      <c r="I166" t="inlineStr">
        <is>
          <t>About the RoleWe are seeking a Data Product Manager to lead and manage a portfolio of 3–5 enterprise data products. This role is ideal for someone with deep experience in data technologies, data governance, and analytics, combined with a strong understanding of core banking processes. You will serve as the strategic owner of data products, ensuring they meet business needs, drive insights, and support compliance and operational excellence.As a senior leader, you will work closely with business stakeholders, data engineers, data architects, and analytics teams to deliver high\-quality, governed, and scalable data products. You will also help define the vision, roadmap, and lifecycle management of these products in alignment with the bank’s enterprise data strategy.
Key ResponsibilitiesProduct Ownership \&amp; Strategy· Own end\-to\-end lifecycle of assigned data products, including vision, strategy, roadmap, and delivery.· Collaborate with business units, analytics teams, and technology partners to prioritize features and enhancements.· Define and track key product success metrics and adoption KPIs.· Advocate for data products across the organization, ensuring alignment with enterprise data governance and cloud/data strategy initiatives. Stakeholder Engagement· Act as the primary liaison between business stakeholders and data engineering/analytics teams.· Gather and translate business requirements into actionable data product specifications.· Facilitate cross\-functional collaboration to resolve trade\-offs and dependencies.Data Governance \&amp; Quality· Ensure data products comply with regulatory, security, and privacy requirements.· Define and enforce data quality standards, lineage, and observability metrics.· Collaborate with Data Governance, Risk, and IT Security teams to maintain compliance and audit readiness. Technical Leadership· Understand and leverage modern data technologies (e.g., relational databases, data warehouses, data lakes, ETL pipelines, cloud platforms, APIs, BI tools).· Collaborate with data engineering teams on architecture, modeling, and platform decisions.· Evaluate emerging technologies and recommend innovations to improve data products and processes.Execution \&amp; Delivery· Drive delivery of data products using agile methodologies.· Prioritize backlog, manage sprints, and ensure timely delivery of features.· Monitor and measure product performance, adoption, and business impact. Thought Leadership· Contribute to the overall data product management framework and best practices within the bank.· Promote a culture of data\-driven decision\-making and product\-centric thinking.
Required Qualifications· 8\+ years of experience in data product management, data strategy, or analytics roles; experience in banking/financial services preferred.· Strong understanding of core banking products (e.g., deposits, loans, payments) and associated operational data flows.· Solid knowledge of data architecture, warehousing, BI, analytics, and cloud platforms.· Proven ability to manage multiple data products simultaneously.· Excellent communication, stakeholder management, and leadership skills.· Experience with Agile/Scrum methodologies and data governance frameworks.· Bachelor’s degree in Computer Science, Information Systems, Finance, or related field; advanced degree preferred. Preferred Qualifications· Hands\-on experience with HiveQL, SQL, Tableau· Understanding of regulatory reporting requirements (e.g., CCAR, FR Y\-14, Basel).· Exposure to semantic layers, or enterprise data product management frameworks.</t>
        </is>
      </c>
    </row>
    <row r="167">
      <c r="A167" t="inlineStr">
        <is>
          <t>in-de4efd6548515ef6</t>
        </is>
      </c>
      <c r="B167" t="inlineStr">
        <is>
          <t>Senior Product Manager - Core Query Engine</t>
        </is>
      </c>
      <c r="C167" t="inlineStr">
        <is>
          <t>Snowflake</t>
        </is>
      </c>
      <c r="D167" t="inlineStr">
        <is>
          <t>indeed</t>
        </is>
      </c>
      <c r="E167">
        <f>HYPERLINK("https://www.indeed.com/viewjob?jk=de4efd6548515ef6", "https://www.indeed.com/viewjob?jk=de4efd6548515ef6")</f>
        <v/>
      </c>
      <c r="F167">
        <f>HYPERLINK("https://careers.snowflake.com/us/en/job/SNCOUS230629EEF9D447769E5B216783E6513BEXTERNALENUS1176C9F2D02047CB9AE199E8BB349DCB/", "https://careers.snowflake.com/us/en/job/SNCOUS230629EEF9D447769E5B216783E6513BEXTERNALENUS1176C9F2D02047CB9AE199E8BB349DCB/")</f>
        <v/>
      </c>
      <c r="G167" t="inlineStr">
        <is>
          <t>Menlo Park, CA, US</t>
        </is>
      </c>
      <c r="H167" s="3" t="n">
        <v>46049</v>
      </c>
      <c r="I167"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There is only one Data Cloud. Snowflake’s founders started from scratch and designed a data platform built for the cloud that is effective, affordable, and accessible to all data users. They engineered Snowflake to power the Data Cloud, where thousands of organizations unlock the value of their data with near\-unlimited scale, concurrency, and performance.
We are looking for a **Senior Product Manager (**IC3**)** to join Snowflake’s **Core Analytics Platform** team, focusing on the **query compiler, optimizer, and execution engine**. This role operates at the technical core of Snowflake, where database theory meets real\-world production workloads.
This is a high\-impact role for a deeply technical PM who wants to work on some of the hardest problems in data systems—performance, efficiency, predictability, and scale—while partnering closely with senior product and engineering leaders who own the end\-to\-end query engine strategy.
As a Senior Product Manager on the Core Query Engine team, you will **own and drive major problem areas** within Snowflake’s query compiler, optimizer, and execution engine. You will work in close partnership with product and senior engineering leaders, taking clear ownership of scoped areas while contributing meaningfully to broader strategy and direction.
This role requires strong technical judgment, high agency, and the ability to independently drive execution in a complex, cross\-functional environment. You will be trusted to lead initiatives end\-to\-end within your scope, from problem framing through delivery and iteration.
WHAT YOU WILL DO
As a Senior Product Manager at Snowflake, you will:
* Own and drive key product areas within core query planning, optimization, and execution, from problem definition through launch and iteration.
* Partner closely with senior product and engineering leaders to shape roadmap priorities,cross\-functional initiatives, sequencing, and trade\-offs for the broader query engine.
* Work hand\-in\-hand with engineering to make principled decisions across performance, cost, complexity, and operability in a large\-scale distributed system.
* Translate deep engine capabilities into clear, compelling customer value—especially around workload performance, predictability, and ease of optimization.
* Engage directly with customers, the field, and internal stakeholders to understand real\-world workload patterns and performance pain points.
* Contribute to Snowflake’s application of GenAI techniques for areas such as performance analysis, query understanding, and automated optimization.
* Communicate plans, progress, and outcomes clearly to stakeholders and leadership.
WHO YOU ARE
Our ideal Senior Product Manager brings strong technical foundations, sound judgment, and a bias toward execution:
* 3\-5 years of product management experience, or equivalent experience as a senior engineer working on databases, compilers, or distributed systems.
* Solid understanding of database internals, including query planning, optimization techniques, execution models, and performance trade\-offs.
* Experience working on large\-scale data platforms, cloud infrastructure, or developer\-facing systems.
* A product mindset grounded in customer outcomes, with the technical depth to engage credibly with senior engineers.
* A strong sense of ownership and urgency; comfortable operating autonomously within a larger strategy.
* Resilient, low\-ego, and comfortable with constructive conflict and “disagree and commit.”
* Actively uses GenAI tools and has experience applying them to product development or delivery workflows.
A bachelor’s degree in Computer Science, Engineering, or a related field is required.
BONUS POINTS* Hands\-on experience with query optimizers, execution engines, compilers, or runtimes.
* Familiarity with workload management, cost\-based optimization, or adaptive execution techniques.
* Experience with cloud data platforms across AWS, Azure, or GCP.
* Background as a heavy SQL user, data engineer, or database architect.
This role directly shapes one of Snowflake’s most important customer promises: **“it just works.”** As customer workloads grow more complex and cost\-sensitive, Snowflake’s ability to deliver fast, predictable performance—without requiring deep manual tuning—becomes a defining competitive advantage.
You will work at the center of this challenge, contributing to foundational engine capabilities while having clear ownership, strong mentorship, and high visibility across the organization.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68">
      <c r="A168" t="inlineStr">
        <is>
          <t>in-550353f11575231a</t>
        </is>
      </c>
      <c r="B168" t="inlineStr">
        <is>
          <t>Sr. Product Manager Technical, Deal Tooling &amp; Insights, Strategic Customer Engagements</t>
        </is>
      </c>
      <c r="C168" t="inlineStr">
        <is>
          <t>Amazon Web Services</t>
        </is>
      </c>
      <c r="D168" t="inlineStr">
        <is>
          <t>indeed</t>
        </is>
      </c>
      <c r="E168">
        <f>HYPERLINK("https://www.indeed.com/viewjob?jk=550353f11575231a", "https://www.indeed.com/viewjob?jk=550353f11575231a")</f>
        <v/>
      </c>
      <c r="F168">
        <f>HYPERLINK("https://www.amazon.jobs/jobs/3138889/sr-product-manager-technical-deal-tooling--insights-strategic-customer-engagements?cmpid=DA_INAD200785B", "https://www.amazon.jobs/jobs/3138889/sr-product-manager-technical-deal-tooling--insights-strategic-customer-engagements?cmpid=DA_INAD200785B")</f>
        <v/>
      </c>
      <c r="G168" t="inlineStr">
        <is>
          <t>Herndon, VA, US</t>
        </is>
      </c>
      <c r="H168" s="3" t="n">
        <v>45994</v>
      </c>
      <c r="I1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9">
      <c r="A169" t="inlineStr">
        <is>
          <t>in-5771170e14039692</t>
        </is>
      </c>
      <c r="B169" t="inlineStr">
        <is>
          <t>Sr. Product Manager Technical, Deal Tooling &amp; Insights, Strategic Customer Engagements</t>
        </is>
      </c>
      <c r="C169" t="inlineStr">
        <is>
          <t>Amazon Web Services</t>
        </is>
      </c>
      <c r="D169" t="inlineStr">
        <is>
          <t>indeed</t>
        </is>
      </c>
      <c r="E169">
        <f>HYPERLINK("https://www.indeed.com/viewjob?jk=5771170e14039692", "https://www.indeed.com/viewjob?jk=5771170e14039692")</f>
        <v/>
      </c>
      <c r="F169">
        <f>HYPERLINK("https://www.amazon.jobs/jobs/3138889/sr-product-manager-technical-deal-tooling--insights-strategic-customer-engagements?cmpid=DA_INAD200785B", "https://www.amazon.jobs/jobs/3138889/sr-product-manager-technical-deal-tooling--insights-strategic-customer-engagements?cmpid=DA_INAD200785B")</f>
        <v/>
      </c>
      <c r="G169" t="inlineStr">
        <is>
          <t>New York, NY, US</t>
        </is>
      </c>
      <c r="H169" s="3" t="n">
        <v>45994</v>
      </c>
      <c r="I1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0">
      <c r="A170" t="inlineStr">
        <is>
          <t>in-a3188a79c8a76277</t>
        </is>
      </c>
      <c r="B170" t="inlineStr">
        <is>
          <t>Sr. Product Manager Technical, Deal Tooling &amp; Insights, Strategic Customer Engagements</t>
        </is>
      </c>
      <c r="C170" t="inlineStr">
        <is>
          <t>Amazon Web Services</t>
        </is>
      </c>
      <c r="D170" t="inlineStr">
        <is>
          <t>indeed</t>
        </is>
      </c>
      <c r="E170">
        <f>HYPERLINK("https://www.indeed.com/viewjob?jk=a3188a79c8a76277", "https://www.indeed.com/viewjob?jk=a3188a79c8a76277")</f>
        <v/>
      </c>
      <c r="F170">
        <f>HYPERLINK("https://www.amazon.jobs/jobs/3138889/sr-product-manager-technical-deal-tooling--insights-strategic-customer-engagements?cmpid=DA_INAD200785B", "https://www.amazon.jobs/jobs/3138889/sr-product-manager-technical-deal-tooling--insights-strategic-customer-engagements?cmpid=DA_INAD200785B")</f>
        <v/>
      </c>
      <c r="G170" t="inlineStr">
        <is>
          <t>Dallas, TX, US</t>
        </is>
      </c>
      <c r="H170" s="3" t="n">
        <v>45994</v>
      </c>
      <c r="I1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1">
      <c r="A171" t="inlineStr">
        <is>
          <t>in-d80657470c4646b2</t>
        </is>
      </c>
      <c r="B171" t="inlineStr">
        <is>
          <t>Sr. Product Manager Technical, Deal Tooling &amp; Insights, Strategic Customer Engagements</t>
        </is>
      </c>
      <c r="C171" t="inlineStr">
        <is>
          <t>Amazon Web Services</t>
        </is>
      </c>
      <c r="D171" t="inlineStr">
        <is>
          <t>indeed</t>
        </is>
      </c>
      <c r="E171">
        <f>HYPERLINK("https://www.indeed.com/viewjob?jk=d80657470c4646b2", "https://www.indeed.com/viewjob?jk=d80657470c4646b2")</f>
        <v/>
      </c>
      <c r="F171">
        <f>HYPERLINK("https://www.amazon.jobs/jobs/3138889/sr-product-manager-technical-deal-tooling--insights-strategic-customer-engagements?cmpid=DA_INAD200785B", "https://www.amazon.jobs/jobs/3138889/sr-product-manager-technical-deal-tooling--insights-strategic-customer-engagements?cmpid=DA_INAD200785B")</f>
        <v/>
      </c>
      <c r="G171" t="inlineStr">
        <is>
          <t>Seattle, WA, US</t>
        </is>
      </c>
      <c r="H171" s="3" t="n">
        <v>45994</v>
      </c>
      <c r="I1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2">
      <c r="A172" t="inlineStr">
        <is>
          <t>in-f9390e030df69f1e</t>
        </is>
      </c>
      <c r="B172" t="inlineStr">
        <is>
          <t>Sr. Product Manager Technical, Deal Tooling &amp; Insights, Strategic Customer Engagements</t>
        </is>
      </c>
      <c r="C172" t="inlineStr">
        <is>
          <t>Amazon Web Services</t>
        </is>
      </c>
      <c r="D172" t="inlineStr">
        <is>
          <t>indeed</t>
        </is>
      </c>
      <c r="E172">
        <f>HYPERLINK("https://www.indeed.com/viewjob?jk=f9390e030df69f1e", "https://www.indeed.com/viewjob?jk=f9390e030df69f1e")</f>
        <v/>
      </c>
      <c r="F172">
        <f>HYPERLINK("https://www.amazon.jobs/jobs/3138889/sr-product-manager-technical-deal-tooling--insights-strategic-customer-engagements?cmpid=DA_INAD200785B", "https://www.amazon.jobs/jobs/3138889/sr-product-manager-technical-deal-tooling--insights-strategic-customer-engagements?cmpid=DA_INAD200785B")</f>
        <v/>
      </c>
      <c r="G172" t="inlineStr">
        <is>
          <t>Arlington, VA, US</t>
        </is>
      </c>
      <c r="H172" s="3" t="n">
        <v>45994</v>
      </c>
      <c r="I1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3">
      <c r="A173" t="inlineStr">
        <is>
          <t>in-ba45e4b2c62201fb</t>
        </is>
      </c>
      <c r="B173" t="inlineStr">
        <is>
          <t>Sr. Product Manager Technical, Deal Tooling &amp; Insights, Strategic Customer Engagements</t>
        </is>
      </c>
      <c r="C173" t="inlineStr">
        <is>
          <t>Amazon Web Services</t>
        </is>
      </c>
      <c r="D173" t="inlineStr">
        <is>
          <t>indeed</t>
        </is>
      </c>
      <c r="E173">
        <f>HYPERLINK("https://www.indeed.com/viewjob?jk=ba45e4b2c62201fb", "https://www.indeed.com/viewjob?jk=ba45e4b2c62201fb")</f>
        <v/>
      </c>
      <c r="F173">
        <f>HYPERLINK("https://www.amazon.jobs/jobs/3138889/sr-product-manager-technical-deal-tooling--insights-strategic-customer-engagements?cmpid=DA_INAD200785B", "https://www.amazon.jobs/jobs/3138889/sr-product-manager-technical-deal-tooling--insights-strategic-customer-engagements?cmpid=DA_INAD200785B")</f>
        <v/>
      </c>
      <c r="G173" t="inlineStr">
        <is>
          <t>Austin, TX, US</t>
        </is>
      </c>
      <c r="H173" s="3" t="n">
        <v>45994</v>
      </c>
      <c r="I1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4">
      <c r="A174" t="inlineStr">
        <is>
          <t>in-6a7434eef8e86ddc</t>
        </is>
      </c>
      <c r="B174" t="inlineStr">
        <is>
          <t>Sr. Product Manager - Tech, WHS Data-Tech</t>
        </is>
      </c>
      <c r="C174" t="inlineStr">
        <is>
          <t>Amazon.com</t>
        </is>
      </c>
      <c r="D174" t="inlineStr">
        <is>
          <t>indeed</t>
        </is>
      </c>
      <c r="E174">
        <f>HYPERLINK("https://www.indeed.com/viewjob?jk=6a7434eef8e86ddc", "https://www.indeed.com/viewjob?jk=6a7434eef8e86ddc")</f>
        <v/>
      </c>
      <c r="F174">
        <f>HYPERLINK("https://www.amazon.jobs/jobs/3156736/sr-product-manager--tech-whs-datatech?cmpid=DA_INAD200785B", "https://www.amazon.jobs/jobs/3156736/sr-product-manager--tech-whs-datatech?cmpid=DA_INAD200785B")</f>
        <v/>
      </c>
      <c r="G174" t="inlineStr">
        <is>
          <t>Nashville, TN, US</t>
        </is>
      </c>
      <c r="H174" s="3" t="n">
        <v>45836</v>
      </c>
      <c r="I17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5">
      <c r="A175" t="inlineStr">
        <is>
          <t>in-39fd98e715a8b55c</t>
        </is>
      </c>
      <c r="B175" t="inlineStr">
        <is>
          <t>Sr. Product Manager - Tech, WHS Data-Tech</t>
        </is>
      </c>
      <c r="C175" t="inlineStr">
        <is>
          <t>Amazon.com</t>
        </is>
      </c>
      <c r="D175" t="inlineStr">
        <is>
          <t>indeed</t>
        </is>
      </c>
      <c r="E175">
        <f>HYPERLINK("https://www.indeed.com/viewjob?jk=39fd98e715a8b55c", "https://www.indeed.com/viewjob?jk=39fd98e715a8b55c")</f>
        <v/>
      </c>
      <c r="F175">
        <f>HYPERLINK("https://www.amazon.jobs/jobs/3156736/sr-product-manager--tech-whs-datatech?cmpid=DA_INAD200785B", "https://www.amazon.jobs/jobs/3156736/sr-product-manager--tech-whs-datatech?cmpid=DA_INAD200785B")</f>
        <v/>
      </c>
      <c r="G175" t="inlineStr">
        <is>
          <t>Bellevue, WA, US</t>
        </is>
      </c>
      <c r="H175" s="3" t="n">
        <v>45836</v>
      </c>
      <c r="I17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6">
      <c r="A176" t="inlineStr">
        <is>
          <t>in-5330d534a738ab0b</t>
        </is>
      </c>
      <c r="B176" t="inlineStr">
        <is>
          <t>Sr. Product Manager - Tech, WHS Data-Tech</t>
        </is>
      </c>
      <c r="C176" t="inlineStr">
        <is>
          <t>Amazon.com</t>
        </is>
      </c>
      <c r="D176" t="inlineStr">
        <is>
          <t>indeed</t>
        </is>
      </c>
      <c r="E176">
        <f>HYPERLINK("https://www.indeed.com/viewjob?jk=5330d534a738ab0b", "https://www.indeed.com/viewjob?jk=5330d534a738ab0b")</f>
        <v/>
      </c>
      <c r="F176">
        <f>HYPERLINK("https://www.amazon.jobs/jobs/3156736/sr-product-manager--tech-whs-datatech?cmpid=DA_INAD200785B", "https://www.amazon.jobs/jobs/3156736/sr-product-manager--tech-whs-datatech?cmpid=DA_INAD200785B")</f>
        <v/>
      </c>
      <c r="G176" t="inlineStr">
        <is>
          <t>Arlington, VA, US</t>
        </is>
      </c>
      <c r="H176" s="3" t="n">
        <v>45836</v>
      </c>
      <c r="I17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7">
      <c r="A177" t="inlineStr">
        <is>
          <t>in-9efa38bb57986bc9</t>
        </is>
      </c>
      <c r="B177" t="inlineStr">
        <is>
          <t>Principal Product Manager - Tech, Recommender Systems, Prime Video Personalization &amp; Discovery</t>
        </is>
      </c>
      <c r="C177" t="inlineStr">
        <is>
          <t>Amazon.com</t>
        </is>
      </c>
      <c r="D177" t="inlineStr">
        <is>
          <t>indeed</t>
        </is>
      </c>
      <c r="E177">
        <f>HYPERLINK("https://www.indeed.com/viewjob?jk=9efa38bb57986bc9", "https://www.indeed.com/viewjob?jk=9efa38bb57986bc9")</f>
        <v/>
      </c>
      <c r="F177">
        <f>HYPERLINK("https://www.amazon.jobs/jobs/2956622/principal-product-manager--tech-recommender-systems-prime-video-personalization--discovery-?cmpid=DA_INAD200785B", "https://www.amazon.jobs/jobs/2956622/principal-product-manager--tech-recommender-systems-prime-video-personalization--discovery-?cmpid=DA_INAD200785B")</f>
        <v/>
      </c>
      <c r="G177" t="inlineStr">
        <is>
          <t>Washington, DC, US</t>
        </is>
      </c>
      <c r="H177" s="3" t="n">
        <v>45753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in-f839976e2a51b015</t>
        </is>
      </c>
      <c r="B178" t="inlineStr">
        <is>
          <t>Principal Product Manager - Tech, Recommender Systems, Prime Video Personalization &amp; Discovery</t>
        </is>
      </c>
      <c r="C178" t="inlineStr">
        <is>
          <t>Amazon.com</t>
        </is>
      </c>
      <c r="D178" t="inlineStr">
        <is>
          <t>indeed</t>
        </is>
      </c>
      <c r="E178">
        <f>HYPERLINK("https://www.indeed.com/viewjob?jk=f839976e2a51b015", "https://www.indeed.com/viewjob?jk=f839976e2a51b015")</f>
        <v/>
      </c>
      <c r="F178">
        <f>HYPERLINK("https://www.amazon.jobs/jobs/2956622/principal-product-manager--tech-recommender-systems-prime-video-personalization--discovery-?cmpid=DA_INAD200785B", "https://www.amazon.jobs/jobs/2956622/principal-product-manager--tech-recommender-systems-prime-video-personalization--discovery-?cmpid=DA_INAD200785B")</f>
        <v/>
      </c>
      <c r="G178" t="inlineStr">
        <is>
          <t>Seattle, WA, US</t>
        </is>
      </c>
      <c r="H178" s="3" t="n">
        <v>45753</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in-d6303d3ff211508d</t>
        </is>
      </c>
      <c r="B179" t="inlineStr">
        <is>
          <t>Sr Product Manager, Oracle Finance</t>
        </is>
      </c>
      <c r="C179" t="inlineStr">
        <is>
          <t>Natera</t>
        </is>
      </c>
      <c r="D179" t="inlineStr">
        <is>
          <t>indeed</t>
        </is>
      </c>
      <c r="E179">
        <f>HYPERLINK("https://www.indeed.com/viewjob?jk=d6303d3ff211508d", "https://www.indeed.com/viewjob?jk=d6303d3ff211508d")</f>
        <v/>
      </c>
      <c r="F179">
        <f>HYPERLINK("https://grnh.se/9kew77qh4us", "https://grnh.se/9kew77qh4us")</f>
        <v/>
      </c>
      <c r="G179" t="inlineStr">
        <is>
          <t>Austin, TX, US</t>
        </is>
      </c>
      <c r="H179" s="3" t="n">
        <v>46054</v>
      </c>
      <c r="I179" t="inlineStr">
        <is>
          <t>Natera is seeking a hands\-on **Sr Product Manager, Oracle Finance** within IS\&amp;T org to own Oracle Fusion Financials end\-to\-end, from roadmap and backlog to hands\-on configuration, delivery, and adoption. This role is a single\-threaded owner who deeply understands finance processes, Oracle Finance capabilities \&amp; core data structures, and who can directly execute system changes while partnering closely with Finance stakeholders to deliver scalable, compliant, and insight\-driven finance solutions.
This role owns product outcomes, roadmap prioritization, automation impact, and audit readiness, not just requirements gathering or ticket execution.
**Key Responsibilities:**
* Product ownership: Own the product vision, roadmap, sprint planning, and backlog for Oracle Fusion Financials, including GL, AP, AR, FA, Cash Management, Intercompany, Expenses, Billing, Revenue, Tax, Treasury, Cost Accounting, and FP\&amp;A enablement.
* Solution Delivery: Perform hands\-on functional configuration and system changes within Oracle Fusion Financials, including setups, controls, and process improvements. Lead end\-to\-end delivery including testing, training, documentation, quarterly upgrades, release readiness and production stability.
* Active Business Partnership: Serve as the primary, hands\-on IS\&amp;T partner and active escalation point for Finance, FP\&amp;A, Tax, Treasury, and Audit.
* Intelligent Automation Delivery: Design, implement, and drive AI and intelligent automation across close, billing, reconciliations, T\&amp;E, tax, and treasury processes, utilizing tools like Oracle AI and other automation frameworks.
* Integrations: Collaborate with integration and engineering teams on extensions and integration of adjacent Finance applications (e.g., Concur, Payroll, Blackline, Workiva, Adaptive), providing functional leadership, validation, and business context.
* Trusted Reporting: Understand Finance reporting \&amp; analytical requirements and provide strong financial and analytical expertise to define dashboards, KPIs, metrics, and insights using Oracle tools (BIP/OTBI) or by partnering with BI/Analytics teams.
* Ensure SOX compliance, controls and audit readiness.
**Required Qualifications:**
* 10\+ years of hands\-on experience owning/supporting Finance ERP platforms within IS\&amp;T/IT and with prior Oracle Fusion cloud implementation expertise.
* Demonstrated hands\-on experience with Oracle Fusion Financials, including functional configuration, data analysis \&amp; reporting (BIP/OTBI), testing, and production support.
* Deep, practical knowledge of core finance and accounting processes including Record\-to\-Report, Close, Billing, Revenue, Cost Accounting, Tax, Treasury, and FP\&amp;A.
* Experience utilizing AI capabilities in transforming Finance operations
* Direct experience integrating and governing best\-of\-breed Finance applications.
* Strong financial and analytical expertise with deep knowledge of Oracle Finance core data structures to enable accurate financial reporting
* Strong SOX, audit, and regulated\-environment experience.
**Preferred Qualifications:**
* Experience working at a Big 4 or Tier\-1 consulting firms (e.g., Deloitte, Accenture, EY, PwC) delivering Oracle Fusion Finance or enterprise ERP solutions.
* Oracle Fusion ERP/Financials certifications.
* CPA, CMA, or equivalent finance credentials.
* Experience supporting Finance platforms through M\&amp;A, integrations, or rapid business scale.
* Life sciences, diagnostics, or medical device industry experience.
**Leadership \&amp; Execution Capabilities:**
* Credible, trusted hands\-on partner to Finance, Tax, Treasury, and Accounting leadership, working side\-by\-side to deliver solutions.
* Strong written and verbal communication skills with executive presence.
* Comfortable managing changing priorities in a fast\-moving environment.
* Proactive, solutions\-oriented and business outcomes mindset.
* Strong project/program management skills and experience in Agile/iterative delivery models.
* Commitment to clear documentation, governance, and operational rigor.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li-4368320052</t>
        </is>
      </c>
      <c r="B2" t="inlineStr">
        <is>
          <t>Senior Product Manager</t>
        </is>
      </c>
      <c r="C2" t="inlineStr">
        <is>
          <t>Hypersonix Inc.</t>
        </is>
      </c>
      <c r="D2" t="inlineStr">
        <is>
          <t>linkedin</t>
        </is>
      </c>
      <c r="E2" t="inlineStr"/>
      <c r="F2" t="inlineStr"/>
      <c r="G2" t="inlineStr">
        <is>
          <t>San Jose, CA</t>
        </is>
      </c>
      <c r="H2" t="inlineStr"/>
      <c r="I2"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
 fzrOIfWkNN</t>
        </is>
      </c>
    </row>
    <row r="3">
      <c r="A3" t="inlineStr">
        <is>
          <t>li-4368179326</t>
        </is>
      </c>
      <c r="B3" t="inlineStr">
        <is>
          <t>AI Product Manager - Banking</t>
        </is>
      </c>
      <c r="C3" t="inlineStr">
        <is>
          <t>Tiger Analytics</t>
        </is>
      </c>
      <c r="D3" t="inlineStr">
        <is>
          <t>linkedin</t>
        </is>
      </c>
      <c r="E3" t="inlineStr"/>
      <c r="F3" t="inlineStr"/>
      <c r="G3" t="inlineStr">
        <is>
          <t>Dallas, TX</t>
        </is>
      </c>
      <c r="H3" t="inlineStr"/>
      <c r="I3" t="inlineStr">
        <is>
          <t>Tiger Analytics is an advanced analytics consulting firm recognized for our deep expertise in Data Science, Machine Learning, and AI. Our partnerships with Fortune 100 companies enable us to tackle complex business challenges and drive value through innovative analytical solutions.
 We are looking for an experienced AI Product Manager to lead the strategy, development, and go\-to\-market execution of AI\-driven products within the BFS domain. This role requires strong product ownership, stakeholder management, and hands\-on collaboration with engineering and analytics teams.
**Responsibilities** 
 \-
* Own and execute the product vision, strategy, and roadmap for AI\-enabled solutions.
* Define ‘what' and ‘why' the platform should build, and what business and user problems it will solve
* Define and track product OKRs and KPIs, and drive the team to achieve them
* Drive GTM (go to market) excitement and awareness of our platform across all enterprise teams at RBC
* Collaborate closely with engineering and data science teams to build, validate, and showcase POCs and demos.
* Translate business problems into clear product requirements and user stories.
* Communicate product strategy, progress, and outcomes to senior leadership and key stakeholders.
* Ensure products align with BFS regulatory, compliance, and risk considerations
**Requirements**
* 10\+ years of product management experience in a top\-tier technology company, with a focus on AI or machine learning products;
* Proven experience working in the Banking \&amp; Financial Services (BFS) domain.
* Demonstrated technical depth with solutions leveraging generative AI, ML, LLMs, or cloud services architecture through shipped products or solutions;
* Experience presenting and explaining product and technology topics in\-depth to executive and technical audiences;
* Strong communicator (written, verbal) and collaborator, and can influence both technical and business stakeholders
* Ability to work in a fast\-paced, enterprise environment and drive outcomes end\-to\-end
* MBA or equivalent advanced degree is a plus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4">
      <c r="A4" t="inlineStr">
        <is>
          <t>li-4368008629</t>
        </is>
      </c>
      <c r="B4" t="inlineStr">
        <is>
          <t>Associate Product Manager</t>
        </is>
      </c>
      <c r="C4" t="inlineStr">
        <is>
          <t>DraftKings Inc.</t>
        </is>
      </c>
      <c r="D4" t="inlineStr">
        <is>
          <t>linkedin</t>
        </is>
      </c>
      <c r="E4" t="inlineStr"/>
      <c r="F4" t="inlineStr"/>
      <c r="G4" t="inlineStr">
        <is>
          <t>Massachusetts, United States</t>
        </is>
      </c>
      <c r="H4" t="inlineStr"/>
      <c r="I4"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an Associate Product Manager, Platform, you’ll help deliver scalable platform capabilities that support how our teams build for our players. Sitting within the Platform Product Management team in our Mobile Platform group, you’ll work closely with Engineering and product partners to turn platform and developer needs into clear requirements and reliable solutions across mobile and web. This is a fast\-paced opportunity to grow your product management skillset while making impact from day one.
**What You’ll Do**
* Own and maintain the platform product roadmap and backlog, aligned with business and technical goals.
* Translate platform and stakeholder needs into clear product specs, user stories, and acceptance criteria.
* Partner closely with Engineering and product teams to deliver scalable, reliable platform features.
* Drive initiatives that improve web platform stability, shared capabilities, and developer experience.
* Help define and evolve APIs, frameworks, and tooling used across mobile and web teams.
* Gather feedback and track platform success through metrics such as adoption, reliability, and performance.
* Communicate priorities, progress, and tradeoffs clearly with product, engineering, and leadership partners.
**What You’ll Bring**
* Bachelor’s degree or equivalent experience.
* 1–3 years of experience in product management, technical program management, or a related role.
* Comfort working with technical concepts such as APIs, web frameworks, and cross\-platform systems.
* Strong collaboration and communication skills in fast\-paced, cross\-functional environments.
* A data\-informed mindset with a bias toward execution and learning.
* Interest in sports, entertainment, or gaming is a plus, but not required.
 LI\-EN\#1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81,100\.00 USD \- 101,400\.00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5">
      <c r="A5" t="inlineStr">
        <is>
          <t>li-4330173966</t>
        </is>
      </c>
      <c r="B5" t="inlineStr">
        <is>
          <t>Product Manager -Trading Platform</t>
        </is>
      </c>
      <c r="C5" t="inlineStr">
        <is>
          <t>Longbridge</t>
        </is>
      </c>
      <c r="D5" t="inlineStr">
        <is>
          <t>linkedin</t>
        </is>
      </c>
      <c r="E5" t="inlineStr"/>
      <c r="F5" t="inlineStr"/>
      <c r="G5" t="inlineStr">
        <is>
          <t>New York, United States</t>
        </is>
      </c>
      <c r="H5" t="inlineStr"/>
      <c r="I5" t="inlineStr">
        <is>
          <t>**About Us** 
 Longbridge is a fast\-growing online brokerage platform on a mission to make investing smarter, simpler, and more accessible for everyone.
**About the Role** 
 Shape Longbridge’s experience for U.S. retail investors. Your north star is to bring U.S. market insights and customer habits into product decisions and represent U.S. user perspectives in day\-to\-day design. This is a high\-impact role where you’ll partner closely with GTM/engineering/design and other teams across the globe.
**Key Responsibilities:** 
* Design core U.S. investing experiences across quotes/market data, news \&amp; community, and trading, delivering simple and reliable flows.
* Turn U.S. retail market trends, competitive signals, and user behaviors into a clear product strategy and roadmap; be the voice of U.S. customers in design reviews.
* Partner with Engineering/Design/Data to frame problems and use metrics and experimentation to solve complex fintech challenges.
* Collaborate with Marketing/Growth and Customer Support to craft product messaging, analyze feedback, and drive acquisition and retention.
* Track the SEC/FINRA landscape and work with Compliance to bake requirements and controls into product early.
**Requirements:** 
* 3\-5 years of product management experience in fintech; or strategic \&amp; business analysis experience in financial services; knowledge in brokerage/trading/ crypto is a plus.
* Knowledge of client onboarding features , specializing in
 **US Tax (W\-9/W\-8, FATCA) and AML/KYC** 
 regulations is strongly preferred.
* Strong grasp of the U.S. retail securities market (users, platforms, habits) with the ability to turn insights into product decisions.
* Data fluency and structured communication; capable of writing clear, actionable PRDs.
* Excellent cross\-functional collaboration and strong execution.
* Personal investing experience and genuine interest in the markets.
**Nice to have:** 
* Hands\-on with LLM\-powered AI tools, with experience applying them to complex workflows (e.g., data extraction, content generation, workflow automation).
* Ability to maintain some time\-zone overlap with Asia\-based teams.</t>
        </is>
      </c>
    </row>
    <row r="6">
      <c r="A6" t="inlineStr">
        <is>
          <t>li-4357462453</t>
        </is>
      </c>
      <c r="B6" t="inlineStr">
        <is>
          <t>Product Manager</t>
        </is>
      </c>
      <c r="C6" t="inlineStr">
        <is>
          <t>SoTalent</t>
        </is>
      </c>
      <c r="D6" t="inlineStr">
        <is>
          <t>linkedin</t>
        </is>
      </c>
      <c r="E6" t="inlineStr"/>
      <c r="F6" t="inlineStr"/>
      <c r="G6" t="inlineStr">
        <is>
          <t>San Francisco, CA</t>
        </is>
      </c>
      <c r="H6" t="inlineStr"/>
      <c r="I6" t="inlineStr">
        <is>
          <t>**Job Title: Product Manager** 
**Location: San Francisco, California, United States** 
**Type: Full Time** 
 Our Client is hiring an experienced Product Manager to lead the vision, strategy, and execution of a next‑generation Generative AI platform built for risk, compliance, and cybersecurity applications.
**What You’ll Do** 
* Drive the product vision and roadmap for GenAI capabilities centered on risk, compliance, and cyber use cases.
* Collaborate with engineering, research, and risk teams to identify high‑impact AI opportunities.
* Develop robust evaluation frameworks to measure output quality, accuracy, and regulatory alignment of generative models.
* Define key metrics to assess hallucinations, safety issues, output acceptance, and compliance effectiveness.
* Translate insights into clear, actionable communication for both technical and non‑technical stakeholders.
* Break long‑term product strategies into MVPs and iterative releases that deliver measurable value.
* Manage end‑to‑end product lifecycle—from user research and requirements gathering to launch and enablement.
* Identify and mitigate operational and regulatory risks throughout development.
* Build onboarding, training, and adoption plans for internal risk and compliance teams.
* Continually prioritize the roadmap to ensure meaningful, value‑driven delivery each sprint.
**What You Bring** 
**Required** 
* Bachelor’s degree.
* 7–10\+ years of experience in IT or product development.
* 5\+ years in product management roles.
* 3\+ years partnering closely with software engineering teams.
* Strong working knowledge of Generative AI technologies (LLMs, RAG, prompting, agentic workflows, etc.).
* Hands‑on experience building or using GenAI solutions, ideally within risk, compliance, or cybersecurity domains.
**Preferred** 
* Advanced degree (MBA, JD, CS, or related).
* Experience in engineering, data science, risk management, or compliance.
* Background creating agent‑orchestrated workflows using modern AI tooling.
* Exceptional communication and stakeholder‑influence skills.
* Familiarity with regulatory environments, particularly in highly governed industries.
* Proven ability to solve complex problems, anticipate failure modes, and guide strategic decisions.
* Passion for user research, rapid experimentation, and continuous improvement.
* Highly organized, self‑driven, and comfortable in a fast‑paced environment.
* Strong track record of high performance and ongoing learning in emerging AI capabilities.
* This role also includes eligibility for performance‑based incentives.</t>
        </is>
      </c>
    </row>
    <row r="7">
      <c r="A7" t="inlineStr">
        <is>
          <t>li-4368314358</t>
        </is>
      </c>
      <c r="B7" t="inlineStr">
        <is>
          <t>AI Product Manager</t>
        </is>
      </c>
      <c r="C7" t="inlineStr">
        <is>
          <t>Jobgether</t>
        </is>
      </c>
      <c r="D7" t="inlineStr">
        <is>
          <t>linkedin</t>
        </is>
      </c>
      <c r="E7" t="inlineStr"/>
      <c r="F7" t="inlineStr"/>
      <c r="G7" t="inlineStr"/>
      <c r="H7" t="inlineStr"/>
      <c r="I7" t="inlineStr">
        <is>
          <t>**This position is posted by Jobgether on behalf of a partner company. We are currently looking for an AI Product Manager in United States.**
 This role offers the unique opportunity to build an AI Center of Excellence from the ground up, defining the strategy, playbook, and product execution for AI initiatives that enhance member experiences and drive business outcomes. You will work cross\-functionally with executives, data scientists, engineers, and business stakeholders to identify high\-impact AI use cases and deliver production\-ready AI products. The position requires a mix of strategic thinking, technical fluency, and hands\-on execution, with responsibility for establishing governance, measurement frameworks, and adoption across the organization. You will influence AI priorities, build internal literacy, and demonstrate tangible ROI from AI initiatives. This is a high\-visibility role designed for someone who thrives in ambiguity, moves fast, and can turn AI potential into real\-world impact.
**Accountabilities**
* Define the AI vision, strategy, and governance frameworks, ensuring responsible, ethical, and compliant AI development.
* Build the AI product playbook, creating standardized processes for ideation, experimentation, evaluation, and deployment.
* Identify, prioritize, and manage AI use cases across member engagement, operational efficiency, care coordination, and business intelligence.
* Own end\-to\-end AI product lifecycle, partnering with engineering and data science to design, build, launch, and iterate AI features.
* Establish measurement frameworks, KPIs, dashboards, and reporting cadences to track performance, adoption, ROI, and business impact.
* Evangelize AI across the organization, educate stakeholders, and drive adoption through workshops, storytelling, and internal communication.
* Stay current on AI trends, tools, and best practices, introducing innovative solutions and continuously improving processes.
**Requirements**
* 3–5\+ years of product management experience, ideally with exposure to AI/ML, data products, or emerging technologies.
* Proven track record of shipping 0→1 products or building new solutions from scratch.
* Technical fluency with AI/ML concepts (predictive models, generative AI, LLMs, APIs, training data) and ability to engage with data science and engineering teams credibly.
* Strong strategic thinking, prioritization, and business case development skills.
* Experience defining KPIs, building dashboards, analyzing metrics, and reporting insights to executives.
* Comfort with ambiguity, bias for action, and ability to navigate unstructured environments.
* Excellent communication, storytelling, and executive presence skills to influence stakeholders.
* Healthcare or regulated industry experience is preferred, including knowledge of HIPAA or compliance considerations.
**Benefits**
* Competitive US\-based salary: $130,000–$160,000, dependent on experience and skills.
* Robust benefits package including medical, dental, vision, and 401(k) with company match.
* Generous paid time off and company holidays.
* Company bonus potential.
* Access to 13,000\+ free gym locations across the US.
* Opportunities for career growth and leadership within a newly established AI Center of Excellence.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li-4368001594</t>
        </is>
      </c>
      <c r="B8" t="inlineStr">
        <is>
          <t>Product Owner</t>
        </is>
      </c>
      <c r="C8" t="inlineStr">
        <is>
          <t>Mphasis</t>
        </is>
      </c>
      <c r="D8" t="inlineStr">
        <is>
          <t>linkedin</t>
        </is>
      </c>
      <c r="E8" t="inlineStr"/>
      <c r="F8" t="inlineStr"/>
      <c r="G8" t="inlineStr"/>
      <c r="H8" t="inlineStr"/>
      <c r="I8" t="inlineStr">
        <is>
          <t>**Overview** 
 This role is for a Junior Product Owner / Product Analyst who supports the development and enhancement of digital products that power our client\-facing web platforms. This role partners closely with business stakeholders, UX/design, and engineering teams to deliver high\-quality digital experiences for clients across the firm’s asset management business.
**Key Responsibilities** 
* Work with business and digital stakeholders to gather, document, and refine requirements for client\-facing web platforms and digital tools
* Translate business and user needs into clear user stories, acceptance criteria, and functional requirements with a strong focus on user experience
* Collaborate with engineering and UX teams during backlog grooming, sprint planning, and prioritization
* Serve as a key liaison between business, design, and engineering to ensure alignment on scope, functionality, and user outcomes
* Support testing efforts, including defining test scenarios, coordinating user acceptance testing (UAT), validating functionality, and tracking defects
* Assist with release planning, feature rollouts, and post\-launch validation for digital products
* Communicate progress, risks, and dependencies clearly to stakeholders across business and technology teams
**Qualifications** 
* Prior experience working as a Product Owner, Product Analyst, Business Analyst, or similar role supporting digital products
* Hands\-on experience delivering or supporting web\-based platforms or client\-facing digital experiences
* Familiarity with agile delivery methodologies and working closely with engineering teams
* Strong written and verbal communication skills, with the ability to translate between technical and non\-technical audiences
* Experience in asset management, financial services, or another regulated environment preferred
**Skills** 
* Digital product requirements gathering and documentation
* User story writing with a focus on client experience and usability
* Agile backlog management and sprint ceremonies
* Stakeholder management across business, design, and engineering
* Web platform testing, UAT coordination, and defect tracking</t>
        </is>
      </c>
    </row>
    <row r="9">
      <c r="A9" t="inlineStr">
        <is>
          <t>li-4368307493</t>
        </is>
      </c>
      <c r="B9" t="inlineStr">
        <is>
          <t>Principal Product Manager - Technical</t>
        </is>
      </c>
      <c r="C9" t="inlineStr">
        <is>
          <t>Jobgether</t>
        </is>
      </c>
      <c r="D9" t="inlineStr">
        <is>
          <t>linkedin</t>
        </is>
      </c>
      <c r="E9" t="inlineStr"/>
      <c r="F9" t="inlineStr"/>
      <c r="G9" t="inlineStr"/>
      <c r="H9" t="inlineStr"/>
      <c r="I9" t="inlineStr">
        <is>
          <t>**This position is posted by Jobgether on behalf of a partner company. We are currently looking for a Principal Product Manager \- Technical in United States.**
 This role offers a unique opportunity to shape the strategy and architecture of a next\-generation, AI\-powered platform from the ground up. You will act as the single\-threaded owner for a critical domain, collaborating closely with engineering, AI/ML, design, and research teams to deliver scalable, intelligent, and context\-aware product experiences. Your work will define technical architecture, data models, APIs, and integration points while ensuring alignment with business objectives and customer needs. You will engage directly with stakeholders to validate pain points and refine solutions, guiding the platform from zero to fully realized capabilities. This position combines technical leadership, product strategy, and hands\-on execution in a fast\-paced, high\-impact environment.
**Accountabilities**
* Own the product vision, strategy, and roadmap for a foundational capability within a next\-generation AI platform.
* Define technical architecture, data models, APIs, and system components to enable scalable, context\-aware product experiences.
* Collaborate with AI/ML teams to integrate semantic search, LLM\-powered assistants, personalization, and classification systems.
* Write technical narratives, PRFAQs, and documentation to align senior leadership and cross\-functional teams.
* Engage directly with customers, analysts, and partners to validate requirements and iterate toward product\-market fit.
* Define success metrics, implement telemetry, and use experimentation to drive continuous learning and optimization.
* Serve as the single\-threaded owner for your domain, mentoring peers and elevating standards across the organization.
**Requirements**
* 7\+ years of product management experience, with 4\+ years in a technical or platform\-focused role.
* Bachelor’s degree in Computer Science, Engineering, or equivalent technical experience.
* Proven track record of shipping zero\-to\-two products or scaling platform capabilities in ambiguous, high\-accountability environments.
* Deep technical fluency, with the ability to influence architecture, API design, and system trade\-offs.
* Exceptional written and verbal communication skills, capable of influencing VP\- and SVP\-level stakeholders.
* Demonstrated ability to lead cross\-functional initiatives spanning engineering, data science, design, and research.
* Strong customer orientation and experience driving adoption, engagement, and measurable business outcomes.
* Preferred: experience building AI/ML\-powered products, knowledge graph design, semantic modeling, or enterprise data platforms.
**Benefits**
* Competitive total annual compensation of USD 200,000–240,000, including base salary and variable incentives.
* Flexible fully remote work from within the United States.
* 15 vacation days (prorated), 12 company\-paid holidays, 6 paid sick days, 2 floating holidays, and 1 volunteer day.
* Comprehensive medical, dental, and vision coverage.
* 401(k) with company match, short\-term disability, and parental leave.
* Opportunity to lead high\-impact, AI\-driven platform initiatives and collaborate with top\-tier technical and research teams.
* Professional growth in a fast\-paced, high\-accountability environment with mentorship and cross\-functional exposure.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li-4275206485</t>
        </is>
      </c>
      <c r="B10" t="inlineStr">
        <is>
          <t>Product Manager, Gemini App for Devices</t>
        </is>
      </c>
      <c r="C10" t="inlineStr">
        <is>
          <t>Google DeepMind</t>
        </is>
      </c>
      <c r="D10" t="inlineStr">
        <is>
          <t>linkedin</t>
        </is>
      </c>
      <c r="E10" t="inlineStr"/>
      <c r="F10" t="inlineStr"/>
      <c r="G10" t="inlineStr">
        <is>
          <t>Mountain View, CA</t>
        </is>
      </c>
      <c r="H10" t="inlineStr"/>
      <c r="I10"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the
 **Gemini App team for devices** 
 , bringing Gemini to experiences on
 **XR glasses, smartwatches, cars, headphones, and more!** 
 . You'll define and lead the product vision for how users interact with AI across a diverse and rapidly expanding ecosystem of hardware, strategically integrating cutting\-edge AI capabilities directly into users' daily lives.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on the go.
 We're already seeing the profound impact Gemini is having on device experiences, with recent launches and announcements including:
* "Gemini on the Galaxy Watch 8 Made Me a Believer": https://www.cnet.com/videos/gemini\-on\-the\-galaxy\-watch\-8\-made\-me\-a\-believer/
* "Gemini in cars might be the most impressive AI integration yet": https://9to5google.com/2025/05/28/gemini\-in\-cars/
* "I just tried Google’s smart glasses built on Android XR — and Gemini is the killer feature": https://www.tomsguide.com/computing/smart\-glasses/i\-just\-tried\-googles\-smart\-glasses\-built\-on\-android\-xr\-and\-gemini\-is\-the\-killer\-feature
 This role offers the opportunity to make a profound impact by creating an AI experience that deeply understands and supports individual user needs and ambitions, moving beyond traditional screens to deliver contextual and seamless interactions. This is especially critical as product\-market fit for novel LLM\-powered experiences on devices is still emerging, requiring keen insight to translate subtle user needs into intuitive, hands\-free, and integrated AI solutions. You will work with a talented team passionate about pushing the boundaries of what's possible in conversational AI. If you're excited about shaping the future of human\-AI interaction and developing innovative products that seamlessly integrate into users' daily lives across a multitude of devices,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$183,000 \- $271,000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t>
        </is>
      </c>
    </row>
    <row r="11">
      <c r="A11" t="inlineStr">
        <is>
          <t>li-4367899466</t>
        </is>
      </c>
      <c r="B11" t="inlineStr">
        <is>
          <t>AI Product Manager - Remote</t>
        </is>
      </c>
      <c r="C11" t="inlineStr">
        <is>
          <t>RemoteHunter</t>
        </is>
      </c>
      <c r="D11" t="inlineStr">
        <is>
          <t>linkedin</t>
        </is>
      </c>
      <c r="E11" t="inlineStr"/>
      <c r="F11" t="inlineStr"/>
      <c r="G11" t="inlineStr"/>
      <c r="H11" t="inlineStr"/>
      <c r="I11"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li-4368180093</t>
        </is>
      </c>
      <c r="B12" t="inlineStr">
        <is>
          <t>Product Manager II, Partner Identity</t>
        </is>
      </c>
      <c r="C12" t="inlineStr">
        <is>
          <t>Uber</t>
        </is>
      </c>
      <c r="D12" t="inlineStr">
        <is>
          <t>linkedin</t>
        </is>
      </c>
      <c r="E12" t="inlineStr"/>
      <c r="F12" t="inlineStr"/>
      <c r="G12" t="inlineStr">
        <is>
          <t>San Francisco, CA</t>
        </is>
      </c>
      <c r="H12" t="inlineStr"/>
      <c r="I12" t="inlineStr">
        <is>
          <t>**About The Role**
 Uber actively partners with third parties to enhance the user experience. The Partner Identity team enables these experiences by connecting an Uber identity and a 3rd party identity in a seamless and secure way. We help enable embedded Uber experiences on a third party, loyalty program integrations, M\&amp;A integrations, social signup \&amp; login and other use cases.
 From a user perspective, we will make interaction with third parties as seamless as possible, giving them more value simply by being an Uber user. From an Uber perspective, we will drastically reduce our time to market with third parties from weeks to hours, enabling more third party engagements, creating a flywheel that will drive user engagement higher and higher.
* Note this role will require working from our San Francisco headquarters.
**What The Candidate Will Do**
* Create platform features to enable seamless and secure linking of a third party identity and Uber
* Manage complex stakeholder groups across multiple products and geographies
* Built superb documentation \+ easy to use products that any team at Uber can use
**Basic Qualifications**
* 3\+ years of experience as a technical product manager working on consumer facing products
* Bachelors degree in Computer Science or similar
* Experience working with cross functional and external stakeholders
* Aptitude and excitement to constantly learn about new partnerships / products within Uber
**Preferred Qualifications**
* Experience with Identity domain
* Experience with consumer growth and A/B testing
* Technical background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13">
      <c r="A13" t="inlineStr">
        <is>
          <t>li-4368010481</t>
        </is>
      </c>
      <c r="B13" t="inlineStr">
        <is>
          <t>Principal, Product Owner</t>
        </is>
      </c>
      <c r="C13" t="inlineStr">
        <is>
          <t>SoTalent</t>
        </is>
      </c>
      <c r="D13" t="inlineStr">
        <is>
          <t>linkedin</t>
        </is>
      </c>
      <c r="E13" t="inlineStr"/>
      <c r="F13" t="inlineStr"/>
      <c r="G13" t="inlineStr">
        <is>
          <t>Frisco, TX</t>
        </is>
      </c>
      <c r="H13" t="inlineStr"/>
      <c r="I13" t="inlineStr">
        <is>
          <t>**Job Title : principal, Product Owner** 
**Location : Frisco, Texas, United States** 
**Type : Full Type** 
**Job Summary** 
 Our client is seeking a senior data and platform leader to drive the delivery of enterprise\-scale data capabilities that enable advanced analytics and AI initiatives. This role focuses on transforming complex business requirements into scalable, governed data solutions while partnering closely with technical and business stakeholders across the organization.
 The ideal candidate brings a strong execution mindset, deep experience in data platforms, and a passion for enabling AI\-ready data ecosystems.
**Key Responsibilities** 
 Enterprise Data Platform Delivery
* Lead the delivery of platform features that support large\-scale data ingestion, profiling, and domain\-oriented data ownership
* Implement layered data architectures to enable scalable, governed, and reusable data pipelines
* Convert business objectives into prioritized roadmaps, backlogs, and sprint plans that accelerate analytics and AI adoption
 Intelligent DataOps Enablement
* Drive the implementation of AI\-enabled DataOps capabilities such as automated governance, data quality monitoring, and intelligent metadata discovery
* Partner with engineering and architecture teams to deliver robust ingestion pipelines and domain\-aligned data products
 Domain Enablement \&amp; Data Marketplace Collaboration
* Empower data owners and stewards with tools to manage, curate, and activate their data assets
* Collaborate with enterprise data marketplace teams to ensure discoverability and usability of trusted data products
 Stakeholder \&amp; Cross\-Functional Collaboration
* Engage business leaders, data stewards, and technical teams to align on data access, governance, and platform priorities
* Facilitate cross\-functional delivery of high\-value data products while maintaining strong stakeholder satisfaction
 Governance \&amp; Compliance
* Ensure strong metadata management, lineage visibility, and policy enforcement across enterprise data domains
* Partner with data governance leadership to align platform capabilities with regulatory and organizational standards
**Required Qualifications** 
* Bachelor’s degree in Computer Science, Information Technology, Business Administration, or equivalent professional experience
* 7\+ years of experience in data engineering, data platform delivery, product management, or related roles
* Proven background working across business, technology, and operational teams in complex environments
* Strong expertise in Agile delivery, backlog prioritization, and user\-centered product development
* Experience with modern data platforms and governance tools such as Snowflake, Databricks, Informatica, Alation, or Collibra
**Compensation \&amp; Benefits** 
* Salary range: $130,000 – $180,000, depending on experience and qualifications
* Comprehensive benefits package including medical, dental, vision, disability coverage, paid time off, parental leave, 401(k) with company match, tuition reimbursement, and mileage reimbursement
* Annual performance\-based bonus eligibility</t>
        </is>
      </c>
    </row>
    <row r="14">
      <c r="A14" t="inlineStr">
        <is>
          <t>li-4357492282</t>
        </is>
      </c>
      <c r="B14" t="inlineStr">
        <is>
          <t>Senior Product Manager</t>
        </is>
      </c>
      <c r="C14" t="inlineStr">
        <is>
          <t>Aura Recruit Ltd.</t>
        </is>
      </c>
      <c r="D14" t="inlineStr">
        <is>
          <t>linkedin</t>
        </is>
      </c>
      <c r="E14" t="inlineStr"/>
      <c r="F14" t="inlineStr"/>
      <c r="G14" t="inlineStr"/>
      <c r="H14" t="inlineStr"/>
      <c r="I14" t="inlineStr">
        <is>
          <t>🚀
 **Senior Product Manager \| Cloud\-Native \&amp; Testing \| USA / Remote** 
 I’m working with a
 **rapidly scaling cloud\-native testing platform** 
 that’s redefining how engineering teams orchestrate and execute tests directly within
 **Kubernetes** 
 environments.
 The product unifies testing workflows, integrates seamlessly with any
 **CI/CD tool or framework** 
 , and enables engineering teams to ship faster with greater confidence, visibility, and control. It’s solving real bottlenecks in modern software delivery and quality workflows.
 They’re now looking for a
 **Senior Product Manager** 
 with
 **7–14 years of experience** 
 building and scaling
 **SaaS products** 
 , ideally with strong domain expertise in
 **cloud\-native technologies, developer tooling, and testing ecosystems** 
 .
**This is a high\-impact role where you’ll:** 
* Own product strategy from discovery through delivery
* Partner closely with engineering on a deeply technical platform
* Influence how modern teams test, release, and scale software
* Thrive in a fast\-moving startup or scale\-up environment
**The ideal background includes:** 
* Strong SaaS product management experience
* Deep understanding of DevOps and developer workflows, Kubernetes, and testing tools
* Experience operating in high\-growth, technical environments
**Bonus:** 
* A strong technical background and/or a Computer Science degree</t>
        </is>
      </c>
    </row>
    <row r="15">
      <c r="A15" t="inlineStr">
        <is>
          <t>li-4321571353</t>
        </is>
      </c>
      <c r="B15" t="inlineStr">
        <is>
          <t>Product Manager</t>
        </is>
      </c>
      <c r="C15" t="inlineStr">
        <is>
          <t>Unlearn.AI</t>
        </is>
      </c>
      <c r="D15" t="inlineStr">
        <is>
          <t>linkedin</t>
        </is>
      </c>
      <c r="E15" t="inlineStr"/>
      <c r="F15" t="inlineStr"/>
      <c r="G15" t="inlineStr">
        <is>
          <t>San Francisco, CA</t>
        </is>
      </c>
      <c r="H15" t="inlineStr"/>
      <c r="I15"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**About The Role**
 We are looking for an effective product manager who wants to help build new products on a computationally\-focused, data\-driven, AI\-powered platform to solve top pain points in the pharmaceutical industry. The Product Manager will have a track record of impactful product development, a broad knowledge base of data products and cutting edge AI technologies, and a proven track record of collaboration with different types of teams including design, engineering, marketing, and business development. They will also be capable of developing a deep understanding of the problems our customers and users at biopharma companies encounter while running clinical trials. The ideal candidate must also have demonstrated experience with the techniques and methods of modern product discovery and product delivery.
**Responsibilities**
* Translate product strategy into detailed requirements, user stories, and acceptance criteria
* Contribute to quarterly roadmap planning by shaping scope, estimating effort, and aligning cross functional partners
* Track development and delivery progress against timelines, flag risks early, and keep stakeholders aligned
* Run product discovery for well defined problems to validate scope and user needs
* Run lightweight experiments, prototypes, and user tests to de\-risk early concepts
* Coordinate with design to ensure clear specs and efficient handoff
* Partner with QA to define test plans and ensure smooth releases
* Monitor feature usage and quality metrics to drive incremental improvements
* Communicate status updates to leadership and cross functional teams
* Support launch activities and operations with documentation and internal enablement
**Requirements**
* At least 3 years of product management delivering software and AI\-powered products
* Bachelor’s degree or equivalent practical experience with working knowledge of clinical drug development
* Proven track record shipping impactful features quickly and with quality
* Strong problem solving skills and the ability to make sound, data informed judgments under constraints to shape product direction
* Effective cross functional collaborator across engineering, design, science and business development who can make decisions when needed and drive alignment
* Solid technical literacy and ability to engage with engineering on architecture and implementation details
* Ownership mindset and willingness to handle complex or ambiguous work
* Passion for our mission
**Nice to Haves**
* Experience in biopharma industry or in clinical development
* Experience in fast moving or early stage environments
* Experience building and pricing platform applications and tools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16">
      <c r="A16" t="inlineStr">
        <is>
          <t>li-4367872665</t>
        </is>
      </c>
      <c r="B16" t="inlineStr">
        <is>
          <t>Product Manager II, Google Cloud</t>
        </is>
      </c>
      <c r="C16" t="inlineStr">
        <is>
          <t>Google</t>
        </is>
      </c>
      <c r="D16" t="inlineStr">
        <is>
          <t>linkedin</t>
        </is>
      </c>
      <c r="E16" t="inlineStr"/>
      <c r="F16" t="inlineStr"/>
      <c r="G16" t="inlineStr">
        <is>
          <t>Sunnyvale, CA</t>
        </is>
      </c>
      <c r="H16" t="inlineStr"/>
      <c r="I1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
      <c r="A17" t="inlineStr">
        <is>
          <t>li-4216458137</t>
        </is>
      </c>
      <c r="B17" t="inlineStr">
        <is>
          <t>Product Manager - Developer Workflows</t>
        </is>
      </c>
      <c r="C17" t="inlineStr">
        <is>
          <t>Tecton</t>
        </is>
      </c>
      <c r="D17" t="inlineStr">
        <is>
          <t>linkedin</t>
        </is>
      </c>
      <c r="E17" t="inlineStr"/>
      <c r="F17" t="inlineStr"/>
      <c r="G17" t="inlineStr"/>
      <c r="H17" t="inlineStr"/>
      <c r="I17"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Drive excellence and product fit for Tecton’s primary user personas, the ML Engineer and the Data Scientist. Perform research with Tecton users and the broader market to understand and support these personas. Through both dedicated engineering resources and cross\-team collaboration, build and refine the product workflows for exploring, developing, testing, and productionizing features across Tecton’s framework, CLI, SDK, API surface and GUI. Champion the Data Scientist and MLE personas at Tecton. Work with Product Marketing and DevRel to describe, promote, and evangelize Tecton as an ideal solution for feature engineering.
**Responsibilities**
* Drive product\-market fit with ML Engineers and Data Scientists. Ensure Tecton is the best available tool for developing and productionizing features for predictive machine learning. Partner extensively with Tecton internal experts and other PMs to ensure our capabilities are accessible and effective for users.
* Represent the user perspective. Maintains extensive direct customer and user contact through regular calls, implementation reviews, and support escalations. Develops customer intuition through first\-hand data collection and direct observation, not filtered reports. Regularly reviews customer call recordings and documentation to spot patterns and opportunities. Cites specific customer examples when writing requirements.
* Shape product strategy and direction. Strong business acumen that extends beyond functional expertise. Contributes meaningfully to company\-wide strategy and decision\-making. Understands market dynamics and helps guide prioritization and requirements development. Operates as an SME for Data Scientist and ML Engineer personas and workloads.
* Support Go\-to\-Market. Brings expertise in target personas and workloads when supporting the development of marketing communications. Participates in demos, webinars, and content creation, adding deep insights and mature skills, representing the user and their workflows. Partner with PMM and Sales on new business activities and OKRs.
**Qualifications**
* 3\-5 years in Product Management on highly\-technical products
* Demonstrable experience writing PRDs and requirements for technical products and working cross\-functionally with both GTM and Engineering teams
* 2\+ years in Product Management at early\-stage (50\-150 employee) startups
* Demonstrated competency participating in webinars, briefings, customer presentations and demos
* Excellent skills in user research, outbound discovery, and connection\-building. Experience prospecting on LinkedIn, etc for research partners who are not customers
* Operator\-level experience with SQL, Python, Notebook environments, and Git. Can demonstrate working knowledge of these skills
* Familiarity with streaming and batch data engineering patterns and technologies
*The estimated US base salary range for this position is $162,000 \- $222,000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18">
      <c r="A18" t="inlineStr">
        <is>
          <t>li-4368319678</t>
        </is>
      </c>
      <c r="B18" t="inlineStr">
        <is>
          <t>Product Manager</t>
        </is>
      </c>
      <c r="C18" t="inlineStr">
        <is>
          <t>RegScale</t>
        </is>
      </c>
      <c r="D18" t="inlineStr">
        <is>
          <t>linkedin</t>
        </is>
      </c>
      <c r="E18" t="inlineStr"/>
      <c r="F18" t="inlineStr"/>
      <c r="G18" t="inlineStr"/>
      <c r="H18" t="inlineStr"/>
      <c r="I18" t="inlineStr">
        <is>
          <t>RegScale is a purpose\-built cyber GRC platform designed to enable the CISO to track and monitor security controls. We help organizations break out of the slow and expensive realities that plague legacy GRC tools by bridging security, risk, and compliance through controls lifecycle management. By leveraging RegScale’s Continuous Control Monitoring (CCM) instrumentation, organizations experience massive compliance process improvements like 90% faster certification times, and 60% less audit prep time. Today's expansive security and compliance requirements can only be met with a modern, CCM\-based approach, and RegScale is the market leader in that space.
**The Role**
 RegScale is seeking a
 **Product Manager** 
 who will be accountable for
 **what the product team builds** 
 . This is not a feature factory coordinator role—this is about evaluating opportunities, determining what's worth building, and providing the evidence to support those decisions.
 You will be responsible for ensuring that what goes on the product backlog is truly worth building. This means working alongside engineering and design to validate ideas through rigorous product discovery before committing resources to delivery. You'll need to earn the confidence of your engineering and design partners by demonstrating—with evidence—that the problems you're asking them to solve are the right ones.
 This is a hands\-on, high\-impact role for a high\-output PM who thrives in ambiguity, takes ownership end\-to\-end, and has a proven track record of shipping products that customers love and that drive business results.
**Core Accountabilities** 
* Deep Knowledge of the Customer
+ You are the acknowledged expert on our users and customers—their issues, pains, desires, how they think, work, and buy. You spend significant time with customers and translate those insights into compelling, evidence\-based product opportunities that earn the trust of engineering and design teams.
* Deep Knowledge of the Data
+ You are comfortable with both quantitative and qualitative analysis. You use analytics tools, sales data, and A/B testing to understand patterns and validate hypotheses, combining hard data with customer insights to make informed decisions.
* Deep Knowledge of Your Market and Industry
+ You understand the competitive landscape, track key technology and customer trends, follow industry analysts, and stay current on cybersecurity, risk management, and compliance developments. You bring market intelligence to product strategy discussions.
* Product Discovery and Risk Mitigation
+ You systematically address value risk, usability risk, feasibility risk, and business viability risk before building. You validate ideas using the fastest, cheapest methods possible—through discovery framing, prototyping, testing, and experimentation—to provide evidence, not opinions, about what's worth building.
**Responsibilities**
* Own product backlog management, prioritization, and sprint planning in alignment with company and product strategy
* Translate customer needs, market insights, and validated opportunities into clear user stories, acceptance criteria, and product requirements
* Partner closely with Engineering to guide solution design, clarify tradeoffs, and ensure timely, high\-quality delivery
* Accept completed product work by validating functionality, usability, and alignment with requirements
* Serve as the connective tissue between Product, Engineering, Customer Support, Sales, and Marketing
* Work with Customer Support and Customer Success to prioritize bugs, enhancements, and technical debt based on customer impact
* Collaborate with Marketing to articulate product value, differentiated capabilities, and new feature releases
* Maintain and improve product documentation and release communications
* Train internal teams—including Sales, Marketing, and new employees—on product functionality and use cases
* Continuously improve product processes, tooling, and operating rhythms to help the team scale effectively
**Required Experience And Skills**
* 5–8\+ years of experience in Product Management roles with demonstrated success in customer discovery, data analysis, and product delivery
* Proven ability to determine what's worth building through rigorous product discovery and validation
* Evidence of developing deep customer knowledge and using it to drive product decisions
* Strong analytical skills with experience using analytics tools, conducting A/B tests, and interpreting both quantitative and qualitative data
* Track record of staying current on market trends, competitive landscape, and industry developments
* Experience addressing value, usability, feasibility, and business viability risks through discovery techniques
* Demonstrated ability to deliver intuitive, high\-quality user experiences that customers love
* Strong product judgment—able to balance customer needs, technical constraints, and business priorities
* Experience translating complex requirements into clear, actionable user stories and specifications
* Strong written and verbal communication skills, including comfort presenting evidence\-based recommendations to customers and executive stakeholders
* Experience working cross\-functionally with engineering, design, marketing, and customer\-facing teams
* Comfortable reviewing technical designs, APIs, and system workflows without needing to be an engineer
**Strongly Preferred**
* Familiarity with cybersecurity, risk management, compliance, or regulated industries
* Experience working with compliance or security frameworks (e.g., NIST, ISO, SOC 2, PCI, HIPAA)
* Background working in GRC, CCM, automation, or continuous compliance domains
**Bonus Points For**
* Prior experience at a high\-growth startup or scaling SaaS company
* Background in technical writing, enablement, or product marketing
* Formal training in product discovery methodologies
* Scrum, Agile, or Product Management certifications
**What Makes You Exceptional**
 You are smart, creative, and persistent. You have a genuine passion for products and for solving customer problems. You don't just take requirements and execute—you challenge assumptions, ask hard questions, and dig until you find the truth. You earn the respect of engineers and designers by showing up with evidence, not just opinions. You're excited by ambiguity and see it as an opportunity to discover something valuable rather than a problem to avoid.
 RegScale is an equal opportunity employer. We celebrate diversity and are committed to creating an inclusive environment for all employees.</t>
        </is>
      </c>
    </row>
    <row r="19">
      <c r="A19" t="inlineStr">
        <is>
          <t>li-4279924487</t>
        </is>
      </c>
      <c r="B19" t="inlineStr">
        <is>
          <t>Product Manager, AI Agents</t>
        </is>
      </c>
      <c r="C19" t="inlineStr">
        <is>
          <t>Hippocratic AI</t>
        </is>
      </c>
      <c r="D19" t="inlineStr">
        <is>
          <t>linkedin</t>
        </is>
      </c>
      <c r="E19" t="inlineStr"/>
      <c r="F19" t="inlineStr"/>
      <c r="G19" t="inlineStr">
        <is>
          <t>Palo Alto, CA</t>
        </is>
      </c>
      <c r="H19" t="inlineStr"/>
      <c r="I19"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 Product Manager for AI Agents at Hippocratic AI, you will shape and optimize the behavior of intelligent healthcare agents built atop cutting\-edge language models. You'll work closely with engineering, design, and clinical stakeholders to define agentic workflows, success metrics, and areas for continuous improvement.
 What You'll Do
* Design, spec, and prioritize AI agent functionalities tailored to healthcare workflows.
* Collaborate with engineers on prompt engineering, tool calling, and real\-time LLM behavior.
* Monitor deployed agents for quality, safety, and performance issues.
* Define success criteria and evaluation strategies for agentic features.
* Drive iterative improvements based on user feedback and internal benchmarks.
**What You Bring**
* 4\+ years in product management with at least 2\+ years in LLM\-focused or agentic AI applications.
* Deep understanding of LLM engineering concepts including prompt engineering, RAG, tool usage, and real\-time decisioning.
* Proven ability to define product requirements and success metrics in ambiguous environments.
* Experience launching ML/AI\-powered products in production.
*Please be aware of recruitment scams impersonating Hippocratic AI. All recruiting communication will come from @* 
*hippocraticai.com* 
*email addresses. We will never request payment or sensitive personal information during the hiring process.*</t>
        </is>
      </c>
    </row>
    <row r="20">
      <c r="A20" t="inlineStr">
        <is>
          <t>li-4320280992</t>
        </is>
      </c>
      <c r="B20" t="inlineStr">
        <is>
          <t>Product Manager</t>
        </is>
      </c>
      <c r="C20" t="inlineStr">
        <is>
          <t>Piper Maddox</t>
        </is>
      </c>
      <c r="D20" t="inlineStr">
        <is>
          <t>linkedin</t>
        </is>
      </c>
      <c r="E20" t="inlineStr"/>
      <c r="F20" t="inlineStr"/>
      <c r="G20" t="inlineStr">
        <is>
          <t>North Carolina, United States</t>
        </is>
      </c>
      <c r="H20" t="inlineStr"/>
      <c r="I20" t="inlineStr">
        <is>
          <t>**Role:** 
 Product Manager
**Industry:** 
 EV Charging
**Location: North Carolina (Onsite)** 
**Salary:** 
 Competitive
 We're exclusively partnered with a market leader in the charging infrastructure space who have had immense success in the US and are growing rapidly!
 As part of this next phase of their growth, they're adding a Product Manager to their team who will bridge the gap between sales and the customer. You will have in depth technical knowledge of their product, supporting the sales team with new product launches.
**\* This role is fully onsite in North Carolina.** 
 \*Visa sponsorships/transfers can be provided for this role
**Key Responsibilities 🔨:** 
* Interface between sales and technical product development
* Help define their charging product portflio by prioritizing use cases of customers and product requirements.
* Creating and editing data sheets
* Support the end\-to\-end proposal process by incorporating strategic priorities, shaping both technical and commercial approaches, and collaborating on customer sales strategies
**Qualifications \&amp; Experience 📑:** 
* Bachelors degree in Computer Science, Physics or equivalent (business combined with engineering is ideal)
* 4\+ years experience in a product manager role
* **MIN 2 years professional experience in the Charging/Energy Storage/EV space (non\-negotiable, please do not apply if you do not have this)**
* Strong ability to market technical products
* Strong written communication skills
* Strong attention to detail skills
**Why apply🎉?** 
* Chance to join rapidly scaling startup in the EV Charging space
* Opportunity to wear multiple hats and career growth opportunities
 Hit the "apply now" for further details should you meet the criteria above or send your resume directly to a.michaels@pipermaddox.com.</t>
        </is>
      </c>
    </row>
    <row r="21">
      <c r="A21" t="inlineStr">
        <is>
          <t>li-4328585636</t>
        </is>
      </c>
      <c r="B21" t="inlineStr">
        <is>
          <t>Product Manager, AI Agents</t>
        </is>
      </c>
      <c r="C21" t="inlineStr">
        <is>
          <t>Assort Health</t>
        </is>
      </c>
      <c r="D21" t="inlineStr">
        <is>
          <t>linkedin</t>
        </is>
      </c>
      <c r="E21" t="inlineStr"/>
      <c r="F21" t="inlineStr"/>
      <c r="G21" t="inlineStr">
        <is>
          <t>San Francisco, CA</t>
        </is>
      </c>
      <c r="H21" t="inlineStr"/>
      <c r="I21" t="inlineStr">
        <is>
          <t>**Our mission is to make exceptional healthcare accessible anytime, anywhere, for everyone.**
 At Assort Health, we believe healthcare should feel effortless and connected — quick answers, clear communication, and seamless access to care. That’s why we’re building a new foundation for how patients and providers connect, driven by AI, built to embrace the complexities of healthcare, and tailored to each provider’s unique needs.
 Assort is the most comprehensive patient experience platform powered by specialty\-specific agentic AI. Assort’s omnichannel AI agents seamlessly integrate with EHR/PMS and complicated provider preferences to eliminate lengthy hold times and inefficiencies that stand in the way of patients getting the care they need.
 Since launching in 2023, Assort has managed
 **over 90M\+ patient interactions** 
 , slashing average hold times from
 **11 minutes to 1 minute** 
 . Our platform now handles calls for
 **thousands of providers** 
 with
 **98%\+ resolution rates** 
 and
 **99% scheduling accuracy** 
 . Patient satisfaction averages
 **4\.5/5 over 52K reviews** 
 , and we’ve achieved
 **20× revenue growth in 2025** 
 . We’re scaling rapidly and expanding adoption across the entire healthcare industry.
**Please note:** 
 the Assort Health Talent Team will only email you from an assorthealth.com email address.
**About Us**
 At
 **Assort Health** 
 , we build AI\-powered systems that help healthcare organizations deliver faster, clearer, and more human patient experiences. Our AI agents operate directly within real clinical workflows, reducing operational burden and improving access to care at scale.
 We focus on solving high\-impact problems in healthcare operations—designing production\-grade AI that clinicians and patients rely on every day. You’ll work closely with engineering, design, sales, and operations to lead new AI products from concept to launch, shaping how intelligent agents reason, act, and collaborate in complex healthcare environments.
 What You’ll Do
 Lead Development of High\-Performance AI Agents
 As a Product Manager for AI Agents, you’ll partner with engineering, design, and customers to build production\-grade AI systems that manage high\-volume, high\-complexity interactions. You’ll be responsible for taking agents from concept to launch and continuously improving them as new business needs emerge. You will scope out new products and surface area end to end, leading the charge on new product workstreams 0→1\. You’ll work directly with the CEO on a small yet quickly growing product team. Your work will directly improve healthcare access and the lives of both patients and providers.
 Work Directly With Customers
 You will engage deeply with customers: across technical, operational, and executive teams, to:
* Understand workflows, requirements, and bottlenecks
* Design and present demos that showcase our capabilities
* Collaborate with technical stakeholders to solve integration challenges
* Tailor and refine agents so they align with real business processes
* Serve as a strategic advisor, helping customers shape long\-term AI strategies
* Build strong, trusted relationships across customer organizations
 Influence the Product Roadmap
 You’ll work with cross\-functional partners to define requirements, prioritize features, and translate customer needs into actionable engineering work. You’ll help ensure we’re building the right capabilities at the right time to support our next phase of product growth: moving beyond just answering the phone.
 We are launching proactive, agentic campaigns to close care gaps—reaching out to patients to schedule things like annual physicals and flu shots rather than waiting for them to react to health needs. We are also deploying Agent Memory to ensure every conversation feels personal. Our system uses past interactions to predict a patient’s needs: remembering if they prefer Spanish, adjusting speaking speed, or modulating voice tone to be more empathetic based on context.
 But modern patient access isn’t just about voice. We are meeting patients where they are by expanding into chatbots and two\-way texting. We are also fixing hidden friction in the background with our new referral orchestration and document processing platforms, ensuring that critical data is ingested automatically so patients get the care they need faster.
 What You Bring
* 3\+ years developing and shipping technical products
* Previous experience as a Product Manager or equivalent role
* Ability to craft compelling narratives for customers, including executives
* Strong communication skills with both technical and non\-technical audiences
* Familiarity with modern AI technologies and how they apply to real\-world problems
* Bachelor’s degree in a technical field (or equivalent practical experience)
 Bonus Skills
* Experience building or deploying AI agents or LLM\-powered systems
* Ability to write or read code: especially Python and Typescript
* Ability to prototype and build demos and prototypes using AI coding tools
* MBA or comparable business experience
* Background in customer\-facing or consulting\-style roles influencing product decisions
**Benefits \&amp; Perks For Assorties**
* 💸 Competitive Compensation – Including salary and employee stock options so you share in our success.
* 📚 Lifelong Learning – Annual budget for professional development, plus training opportunities to help you grow.
* 💻 Office Setup Stipend – We’ll outfit your in\-office workspace so comfy as it's productive.
* 🩺 Top\-Tier Health Coverage – Medical, dental, and vision insurance, because your health comes first.
* 🏖 Unlimited PTO – We trust you to take the time you need to recharge and come back ready to crush it.
* 🥗 Meals \&amp; Snacks – Lunch, dinner, and snack breaks that fuel great ideas.
* 💪 Fitness Stipend – Your wellness matters. We reimburse monthly membership costs to support your health.
* 🚆 Commuter Benefits – We cover eligible transportation costs to make your trip to work easier.
* 👵 401(k) – Let us help you plan for the future. We’ve got you covered.
**How We Work \&amp; What We Value**
 Our team at Assort Health moves fast, stays focused, and is fueled by a desire to serve our customers and patients. Our company values guide
 *how* 
 we work—they are present in how we show up, make decisions and work together to move our mission forward. We bring a
 **Day One Drive** 
 , relentlessly striving to improve, keep a
 **5\-Star Focus** 
 , as our customers are our lifeblood, always
 **Answer the Call** 
 , remembering that ownership and accountability are paramount, and show up with
 **One Pulse** 
 , because we are one team, with one rhythm and one result. Our team is growing and we are looking for motivated, hardworking, and passionate talent. If you want to make healthcare accessible for everyone, we’d love to hear from you!
**Please note:** 
 the Assort Health Talent Team will only email you from an assorthealth.com email address.
 Compensation Range: $175K \- $245K</t>
        </is>
      </c>
    </row>
    <row r="22">
      <c r="A22" t="inlineStr">
        <is>
          <t>li-4367838174</t>
        </is>
      </c>
      <c r="B22" t="inlineStr">
        <is>
          <t>Product Manager</t>
        </is>
      </c>
      <c r="C22" t="inlineStr">
        <is>
          <t>ADP WFN Test Company</t>
        </is>
      </c>
      <c r="D22" t="inlineStr">
        <is>
          <t>linkedin</t>
        </is>
      </c>
      <c r="E22" t="inlineStr"/>
      <c r="F22" t="inlineStr"/>
      <c r="G22" t="inlineStr">
        <is>
          <t>Anchorage, AK</t>
        </is>
      </c>
      <c r="H22" t="inlineStr"/>
      <c r="I22" t="inlineStr">
        <is>
          <t>**À propos du rôle:** 
 En tant que chef de produit, vous serez la force motrice derrière le développement et le lancement réussis de produits innovants qui répondent aux demandes du marché et dépassent les attentes des clients. Vous dirigerez des équipes interfonctionnelles pour définir la vision, la stratégie et la feuille de route du produit, en assurant l’alignement avec les objectifs commerciaux et le positionnement concurrentiel. Votre rôle implique une analyse approfondie du marché et des insights clients pour identifier les opportunités et guider la gestion du cycle de vie du produit, de la conception au lancement et au\-delà. Vous collaborerez étroitement avec les équipes de marketing, de vente, d’ingénierie et de design pour livrer des produits qui créent de la valeur et stimulent la croissance. En fin de compte, votre leadership garantira que les produits sont livrés à temps, dans le périmètre défini, et qu’ils atteignent un succès mesurable sur le marché.
**Exigences minimales:** 
* Baccalauréat en commerce, marketing, génie ou dans un domaine connexe.
* Plus de 3 ans d’expérience en gestion de produit ou dans un rôle connexe.
* Antécédents éprouvés dans la gestion des lancements de produits et le développement de feuilles de route produit.
* Solides compétences analytiques avec expérience en analyse concurrentielle et en recherche de marché.
* Excellentes compétences en communication et en leadership pour travailler efficacement avec des équipes diversifiées.
**Compétences privilégiées:** 
* Maîtrise en administration des affaires ou dans une discipline connexe.
* Expérience dans l'industrie de la technologie ou des logiciels.
* Familiarité avec les méthodologies Agile et les outils de gestion de produit tels que JIRA ou Aha!.
* Capacité démontrée à stimuler l'innovation et à gérer des cycles de vie de produits complexes.
* Certification en gestion de produit (par exemple, Pragmatic Institute, AIPMM).
**Responsabilités:** 
* Développer et maintenir des feuilles de route produit complètes qui s’alignent sur la stratégie de l’entreprise et les besoins du marché.
* Diriger les initiatives de lancement de produit, en coordonnant avec les équipes de marketing et de vente pour assurer une entrée réussie sur le marché et une adoption efficace.
* Réaliser des analyses concurrentielles et des études de marché pour orienter le positionnement du produit et identifier des opportunités d'innovation.
* Gérer l’ensemble du cycle de vie du produit, y compris la planification, le développement, la mise en marché et l’évaluation des performances après le lancement.
* Collaborer avec des équipes interfonctionnelles pour définir les exigences du produit, prioriser les fonctionnalités et favoriser l'amélioration continue.
**Compétences:** 
 Dans ce rôle, votre expertise en lancement de produit et en marketing produit sera essentielle pour réussir à introduire de nouveaux produits sur le marché et stimuler l’engagement des clients. Votre capacité à développer et exécuter des feuilles de route et des plans produits détaillés guidera les efforts de l’équipe et garantira l’alignement avec les objectifs stratégiques. En utilisant des compétences analytiques concurrentielles, vous évaluerez continuellement les tendances du marché et les activités des concurrents afin de positionner efficacement les produits et d’identifier des opportunités d’innovation. La gestion du cycle de vie du produit nécessite de solides compétences organisationnelles et décisionnelles pour équilibrer les priorités et obtenir des résultats. Les compétences en collaboration et en communication seront cruciales, car vous travaillerez avec des équipes interfonctionnelles pour traduire les informations du marché en stratégies produit concrètes.</t>
        </is>
      </c>
    </row>
    <row r="23">
      <c r="A23" t="inlineStr">
        <is>
          <t>li-4368320392</t>
        </is>
      </c>
      <c r="B23" t="inlineStr">
        <is>
          <t>Development Product Owner With IAM</t>
        </is>
      </c>
      <c r="C23" t="inlineStr">
        <is>
          <t>NuStar Technologies</t>
        </is>
      </c>
      <c r="D23" t="inlineStr">
        <is>
          <t>linkedin</t>
        </is>
      </c>
      <c r="E23" t="inlineStr"/>
      <c r="F23" t="inlineStr"/>
      <c r="G23" t="inlineStr">
        <is>
          <t>Plano, TX</t>
        </is>
      </c>
      <c r="H23" t="inlineStr"/>
      <c r="I23" t="inlineStr">
        <is>
          <t>Job Title : IAM DPO
 Experience Required \- 7\+ Years
 Must Have Technical/Functional Skills
 IAM domain knowledge (authentication)
 Technical skills for writing API and UX stories
 Roles \&amp; Responsibilities
* Stakeholder Engagement and Requirements Gathering
* Facilitate discussions with stakeholders to define clear, actionable acceptance criteria for all platform deliverables and document
* Act as primary form of contact for MIAM development team ensuring alignment between technical capabilities and business objectives.
* Document and communicate project timelines, updates, and dependencies to stakeholders through Jira and other collaboration tools.
* Lead, manage or orchestrate activities for completion and proper documentation of business requirements and validating metrics as appropriate for methodology and Enterprise controls
* Own and maintain a prioritized work backlog for agile teams. Product backlog includes complete user stories with acceptance criteria so that they are consumable and testable by the Agile team or program.
 Prepare the business for the change and arms them with tactics and metrics for benefits, adoption, and risk.
* Scrum and Agile Leadership:
* Serve as proxy Scrum lead during stand\-up meetings when the lead is unavailable, ensuring continuity of Agile processes
* Drive agile best practices, including sprint planning, backlog refinement, story and feature demos, and retrospectives, to optimize team performance.
* Have at least 2 sprints worth of stories refined for healthy backlog
* Review and accept or decline output of development to ensure specified acceptance criteria have been completed.
* Collaborate with MIAM DPOs to share efforts for efficient practices of business delivery.
* Escalate delivery risks and blockers as they arise
* Platform Compliance and Security: Ensure Authentication and Identity platform adheres to industry standards, regulatory requirements, and USAA's security policies.
* Performance Monitoring and Optimization:
* Monitor platform performances metrics and user feedback to identify areas for improvement
* Work with the business process owners to develop metrics to manage and track benefits, adoption and risks to operations
 Drive initiatives in prioritization process to mature Identity and Authentication capabilities reduce latency, and enhance user satisfaction.
 Risk and Dependency Management: Identify and mitigate risks related to platform dependencies, technical debt, and resource constraints
 Deliverable timelines are based on prioritized assignments and due dates managed per project plans.
 Salary Range \- $90000 to $130000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24">
      <c r="A24" t="inlineStr">
        <is>
          <t>li-4362991966</t>
        </is>
      </c>
      <c r="B24" t="inlineStr">
        <is>
          <t>Product Manager</t>
        </is>
      </c>
      <c r="C24" t="inlineStr">
        <is>
          <t>U.S. Bank</t>
        </is>
      </c>
      <c r="D24" t="inlineStr">
        <is>
          <t>linkedin</t>
        </is>
      </c>
      <c r="E24" t="inlineStr"/>
      <c r="F24" t="inlineStr"/>
      <c r="G24" t="inlineStr">
        <is>
          <t>Englewood, CO</t>
        </is>
      </c>
      <c r="H24" t="inlineStr"/>
      <c r="I24"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**Minimum Qualifications:**
* Product management experience.
**Additional detail:**
* Have working knowledge or familiarity with Open Systems Interconnection (OSI) technologies, including middleware, Application Programming Interfaces (APIs) and financial services software.
* Some knowledge of digital marketing \&amp; MarTech would be valuable (personalized recommendations, advertising networks, Adobe Analytics)
* Should be comfortable reviewing program performance data and making data\-driven decision for optimization
* Will be expected to work\-cross functionally to discuss Payments products/services with PMs and assess their viability for inclusion in the product recommendations program)
* Will be expected to review creative content, including partnering with Marketing and compliance
* Will be expected to partner with CX team on research and experience design.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5">
      <c r="A25" t="inlineStr">
        <is>
          <t>li-4352220077</t>
        </is>
      </c>
      <c r="B25" t="inlineStr">
        <is>
          <t>Lead Product Manager, Consumer Cards</t>
        </is>
      </c>
      <c r="C25" t="inlineStr">
        <is>
          <t>Trustly</t>
        </is>
      </c>
      <c r="D25" t="inlineStr">
        <is>
          <t>linkedin</t>
        </is>
      </c>
      <c r="E25" t="inlineStr"/>
      <c r="F25" t="inlineStr"/>
      <c r="G25" t="inlineStr"/>
      <c r="H25" t="inlineStr"/>
      <c r="I25" t="inlineStr">
        <is>
          <t>**WHO WE ARE** 
 At Trustly, we're building a smarter, faster, and more secure financial future by revolutionizing the world of payments. As a global leader in Open Banking Payments, we are establishing Pay by Bank as the new standard at checkout, providing unparalleled freedom, speed, and ease to millions of consumers and merchants worldwide.
 Our Ambition: To build the world’s most disruptive payment network and redefine what the payment experience should feel like.
 Trustly is a global team of innovators, collaborators, and doers.  If you are driven by a strong sense of purpose and thrive in a dynamic, entrepreneurial, and high\-growth environment, join us and be part of a team that’s transforming the way the world pays.
 ABOUT THE ROLE
 Trustly is seeking a high\-energy Lead Product Manager, Consumer Card, who will own the product strategy and delivery for Trustly's new open banking\-powered consumer card. You’ll play in a greenfield space for Trustly and set our direction for bringing our market\-leading pay\-by\-bank capabilities directly to consumers via card.  Take ownership and drive this 0\-1 product initiative by defining the initial market segments, identifying key customer problems we can uniquely solve, and driving the product success from design, launch, and data\-driven roadmap definition.. With a focus on consumer fintech payments, you will leverage your extensive experience to deliver a lovable, referable, mobile\-first experience.
 We are actively searching for individuals who possess exceptional problem\-solving skills and thrive on innovative thinking, enabling us to maintain our competitive edge in an industry that is continuously evolving.
 WHO YOU'LL WORK WITH
 On the Product team, our mission is to provide our customers with cutting\-edge payment technologies with best\-in\-class user experience that meet the highest security and compliance standards. Our team is made up of skilled and experienced professionals who are passionate about our customers, payments, tech and committed to technical excellence.
**WHAT YOU'LL DO** 
* Lead a cross\-functional team to develop a new consumer payment option, from strategy to execution, including product planning, roadmap development, and GTM strategy
* Apply a deep understanding of consumer psychology and behavioral science to understand customer needs and inform product decisions
* Define the product economics, balancing customer value with business objectives, and aligning the cost structure across rails and bank integrations
* Create key product metrics, monitor performance over time and promote hypothesis\-driven experiments to prove causality of any impact claimed
* Work with designers to create exceptional mobile\-first user experiences
* Work with engineers to test feasibility and drive end\-to\-end feature development with a focus on speed whilst maintaining high quality and security standards
* Collaborate with key functional stakeholders, including marketing, operations, risk and compliance to bring the product smoothly from concept to launch
* Help maintain the product strategy by staying current with the latest trends in payments and UX design with a keen eye on competition
* Use known product frameworks to justify prioritization of key problem statements
* Promote a writing culture with concise PRDs detailing the WHY in everything we do, justifying decisions with strong customer insight and data
* Be an evangelist for product\-led thinking in our company by working collaboratively with the rest of the product design team to shape the culture
**WHO YOU ARE** 
* 6\+ years of product management experience working with consumer payment infrastructure providers, including wallet partners, bank partners, BaaS platforms, Apple Pay, Android Pay, issuer processors and non\-card networks
* Deep understanding of the card issuance ecosystem, including working with issuer processors, sponsor banks, and card networks
* Experience navigating and optimizing card product economics (interchange, authorization flows, funding models)
* A proven track record of building 0\-1 financial products, ideally combining traditional card solutions with alternative payment methods
* Proven ability to protect the customer at all costs while working collaboratively with risk and compliance to meet required standards
* A firm understanding of the capabilities available to product developers on the top mobile \&amp; web platforms especially concerning wallets, identity and payments
* Demonstrated experience in driving innovative thinking and problem\-solving within a competitive and regulated space
* Comfortable with ambiguity and able to navigate complex business problems with a strategic mindset
* Experience working with product discovery frameworks (e.g. JTBD)
 Applications for this role are accepted on an ongoing basis.
**SALARY RANGES IN US\-BASED ROLE POSTING**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Recruiters can share more information with applicants about the specific salary range for preferred locations during the hiring process. Please note that the compensation details listed in US role postings reflect the base salary only, and do not include bonus, equity, and other perks and benefits.
**WHAT WE OFFER** 
 At Trustly, you will have the chance to solve meaningful challenges alongside some of the brightest minds in FinTech. Together, we are shaping the future of payments in an environment that celebrates curiosity, collaboration, and innovation. You will be challenged and empowered to grow, making a real impact every step of the way.
 Our team is as diverse as the global footprint we serve, with colleagues across Silicon Valley, the U.S., Canada, Brazil, Europe, and beyond. We embrace a remote\-first culture that empowers you to balance your career ambitions with personal fulfillment. At Trustly, we foster a workplace where everyone feels they belong—a place where teamwork thrives, ideas flourish, and we never forget to have fun along the way.
 The total compensation packages include competitive salaries, bonus plans, and stock options. We offer innovative perks and benefits packages that include:
 \- Flexible paid time off \&amp; generous PTO accrual plans
 \- Comprehensive medical, dental, vision, and other insurances
 \- FSA \&amp; HSA plans for medical and dependent care
 \- Home office set\-up allowance
 \- Internet stipend
 \- Retirement plan match for 401k and RRSP
 \- Gender\-neutral paid parental leave, and more!
*(The benefits and total compensation packages outlined above are for full\-time employees; some exclusions apply for temporary positions.)*
 At Trustly, we embrace and celebrate diversity of all forms and the value it brings to our employees and customers. We are proud and committed to being an Equal Opportunity Employer and believe an open and inclusive environment enables people to do their best work.  All decisions regarding hiring, advancement, and any other aspects of employment are made solely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
      <c r="A26" t="inlineStr">
        <is>
          <t>li-4362181755</t>
        </is>
      </c>
      <c r="B26" t="inlineStr">
        <is>
          <t>Product Manager - Shared Branching</t>
        </is>
      </c>
      <c r="C26" t="inlineStr">
        <is>
          <t>Velera</t>
        </is>
      </c>
      <c r="D26" t="inlineStr">
        <is>
          <t>linkedin</t>
        </is>
      </c>
      <c r="E26" t="inlineStr"/>
      <c r="F26" t="inlineStr"/>
      <c r="G26" t="inlineStr"/>
      <c r="H26" t="inlineStr"/>
      <c r="I26"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We are seeking a talented
 **Product Manager** 
 who is responsible for the tactical product management effort for various Velera products and services. The incumbent will serve as a liaison and subject matter expert to internal and external customers on Velera’s products and services. Product manager will handle efficiencies, monitor product compliance and mandates, analyze product penetration, define the market release process, and bridge the gaps between different functions within the company and aligning the strategic teams.
**Day In The Life**
* Lead the analysis and review product enhancement requests from various sources and oversee the creation of business requirements for these enhancements.
* Serve as an escalation point, both internally and externally, related to assigned products and applications.
* Collaborate with appropriate functional areas (e.g., Training, Operations, Information Technology, Administration, and Finance) to develop and provide comprehensive product definitions, objectives, and goals that are responsive to the needs of the end user.
* Work closely with Velera’s departments in executing product strategies on assigned products and services.
* Identify risks throughout feasibility studies and development process and communicate issues to senior product management and leadership for evaluation; develop market test scenarios and ensure approval from the end\-user for product rollout.
* Development of product documentation, procedures, and training in all pertinent platforms.
* Report and routinely update product and solution performance information to the strategic product manager.
* Lead research efforts, analyze and ascertain required modifications and impacts to existing products and services. Communicate to affected areas.
* Assist in the coordination and presentation of seminars and training for Velera personnel, prospective clients, trade associations, current members and other entities as assigned.
* Conduct and lead meetings to support the development process and track and communicate progress.
* Attend and participate in various Velera sponsored events and industry events, as needed.
* Serve as the primary liaison to Operational Support departments for assigned products.
* Maintain proficiency in departmental operations to assist as a backup for other products and services.
* Work as a member and/or leader of a cross\-functional team that addresses the development and implementation of new and/or enhanced products and services within determined deadlines.
* Oversee and review mandate and industry product impacts. Partner with marketing to communicate internally and externally on pertinent bulletins.
* Direct and oversee maintenance, mandate, industry requirement, or vendor replacement product commercialization duties in conjunction with internal teams. Use commercialization process to execute on system readiness with partners both internal and external.
* Maintain, lead and respond to product\-focused servicing ticket inquiries through the defined channel.
* Perform other duties as assigned.
**Qualifications**
* Bachelor’s degree in Business, Marketing, Technology, or related field or equivalent combination of education and experience required.
* Combined four (4\) years of product management, technical product implementations, and/or business systems analysis supporting technical products experience required.
* Experience with the financial, credit union industry and core or account processing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$84,900\.00 \- $108,200\.00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27">
      <c r="A27" t="inlineStr">
        <is>
          <t>li-4321299819</t>
        </is>
      </c>
      <c r="B27" t="inlineStr">
        <is>
          <t>Sr Product Owner</t>
        </is>
      </c>
      <c r="C27" t="inlineStr">
        <is>
          <t>HealthEquity</t>
        </is>
      </c>
      <c r="D27" t="inlineStr">
        <is>
          <t>linkedin</t>
        </is>
      </c>
      <c r="E27" t="inlineStr"/>
      <c r="F27" t="inlineStr"/>
      <c r="G27" t="inlineStr"/>
      <c r="H27" t="inlineStr"/>
      <c r="I27" t="inlineStr">
        <is>
          <t>**Our Mission**
**Our mission is to SAVE AND IMPROVE LIVES BY EMPOWERING HEALTHCARE CONSUMERS.** 
**Come be part of remarkable.**
**Overview**
**How you can make a difference**
 Join the Card Product team here at HealthEquity! A growing strategic segment for the company, the Product Owner will join a dynamic and growing group of payment professionals. With general direction and considerable latitude for independent judgment and discretion, this position will collect business information and mold it into useful decisions for Product. As a Sr Product Owner this position works cross functionally with technology, operations, engineering, and product development on road\-mapping and launching strategies. This position plays a key role in defining product capabilities and how to satisfy real\-world customer needs and delivering value to our external users. This focus on service delivery extends to finding ways to build self\-service capabilities into our applications and solutions. The Sr Product Owner is the primary connection between strategic product leaders and product capabilities needed to achieve outcomes. Passion for understanding market drivers and proactively aligning them to user scenarios and product capabilities.
**What You’ll Be Doing**
* Collaborate with Product Managers to understand the roadmaps, priorities, and overall product strategy
* Work with one or more engineering teams to deliver timely, quality releases that provide high business value and exceed customer expectations
* Work closely with the Product Managers and cross\-functional partners to define, prune and prioritize the product backlog to ensure alignment with changing business needs
* Collaborate with technical engineering leadership to ensure key architectural roadmap items are represented in the product backlog
* Become the primary source for user story details and priorities for your team and partners
* Work with your team and Product Managers to build, document, and accept user stories based on well\-defined acceptance criteria
* Participate in all phases of product planning and development
* Assist in the management of our Agile Processes
* Partner with internal partners to define and implement comprehensive plans for customer Beta programs
* Support efforts in acquiring and breaking down feature requirements into product results
* Collaborates with the team(s) to define release scope, overall design approach, and delivery plan
* Serves as the product SME and liaison between engineering and other departments
**What You Will Need To Be Successful**
* High School Diploma or Bachelors Degree in Computer or Business equivalent field preferred
* Knowledge of creation of software products or equivalent experience
* 3\+ years experience in business requirements of agile Product Ownership. Experience should include flow modeling, extracting and sharing knowledge from SMEs.
* Experience in user stories process flow is preferred
* Formal writing experience is highly desired
* Certified Scrum Product Owner (CSPO) credentials a plus
* Business insight that enables decision making around problem\-solving and prioritization
* Strong technical understanding and attention to detail
* Ability to support and lead teams
* Outstanding listening, written, presentation and verbal communication skills
* Knowledge of agile and SAFE is also required
* A strong customer service orientation
* Demonstrated ability to adapt to the changing demands of business
* Proficiency with business and communications software (preferably Word, Excel, PowerPoint, Visio common Windows operating systems, and Outlook) is required
* Strong, hands\-on knowledge of data base structures
* Knowledge of Aha! tools and Team Foundation Server (TFS) a Plus
* Ability to articulate and explain the value of middleware
* Knowledge and experience with Identify Access Management (IAM) technologies
 This is a remote position.
**Salary Range**
 $109500\.00 To $140,000\.00 / year
**Benefits \&amp; Perks**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of benefits including:
* Medical, dental, and vision
* HSA contribution and match
* Dependent c are FSA match
* Uncapped p aid t ime o ff
* Paid p arental l eave
* 401(k) match
* Personal and healthcare financial literacy programs
* Ongoing e ducation \&amp; t uition a ssistance
* Gym and f itness r eimbursement
*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 .</t>
        </is>
      </c>
    </row>
    <row r="28">
      <c r="A28" t="inlineStr">
        <is>
          <t>li-4368008126</t>
        </is>
      </c>
      <c r="B28" t="inlineStr">
        <is>
          <t>Technical Product Manager, Data Platform</t>
        </is>
      </c>
      <c r="C28" t="inlineStr">
        <is>
          <t>RemoteHunter</t>
        </is>
      </c>
      <c r="D28" t="inlineStr">
        <is>
          <t>linkedin</t>
        </is>
      </c>
      <c r="E28" t="inlineStr"/>
      <c r="F28" t="inlineStr"/>
      <c r="G28" t="inlineStr"/>
      <c r="H28" t="inlineStr"/>
      <c r="I28"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li-4315778027</t>
        </is>
      </c>
      <c r="B29" t="inlineStr">
        <is>
          <t>Product Owner - Clinical AI</t>
        </is>
      </c>
      <c r="C29" t="inlineStr">
        <is>
          <t>IMO Health</t>
        </is>
      </c>
      <c r="D29" t="inlineStr">
        <is>
          <t>linkedin</t>
        </is>
      </c>
      <c r="E29" t="inlineStr"/>
      <c r="F29" t="inlineStr"/>
      <c r="G29" t="inlineStr"/>
      <c r="H29" t="inlineStr"/>
      <c r="I29" t="inlineStr">
        <is>
          <t>As a
 **Product Owner** 
 at IMO Health, you will play a critical role in driving the development and delivery of innovative insights and analytics products. You will collaborate closely with cross\-functional teams, including development and engineering, to ensure that product features align with business objectives and user needs. In this role, you will provide vision, prioritize backlogs, and deliver user stories that define the direction of our innovative products. Working with multiple stakeholders, including UX experts, content SMEs, software developers, and program management, you will own the end\-to\-end lifecycle of the product, from concept through delivery.
**What You’ll Do With Agile Scrum Teams**
* Own and manage the product backlog, ensuring alignment with the broader product strategy and roadmap.
* Represent the project stakeholders throughout the development process. Translate business needs into well\-defined product requirements, epics, and user stories. Confirm completion of acceptance criteria.
* Prioritize features and functionality based on business value, user needs, and technical feasibility.
* Work closely with engineering teams to deliver new features, resolve defects, and ensure high\-quality product releases.
* Ensure accurate and comprehensive documentation in collaboration with technical writers.
* Stay updated on Agile/Scrum/SAFe best practices and incorporate them into daily workflows.
**WHAT YOU’LL DO WITH THE UX TEAM AND CUSTOMER FOCUS:**
* Collaborate with the User Experience team to ensure usability testing is integrated into the development process, ensuring customer\-centric design and functionality.
* Troubleshoot escalated product issues and support technical service teams in identifying solutions.
* Provide training and product updates to internal teams and support customer training when necessary.
* Stay informed about industry trends and advancements in healthcare and artificial intelligence technologies.
**What You’ll Need**
* Bachelor’s or advanced degree in Biomedical Engineering, Informatics, Computer Science, AI/ML, or a related f ield.
* Hands\-on experience working with AI/NLP technologies (e.g., applied projects, internships, research, or professional experience).
* Experience contributing to or owning product requirements, feature definition, or backlog prioritization in collaboration with engineering and data science teams
* Ability to translate complex technical concepts into clear, actionable requirements
* Strong communication, organization, and problem\-solving skills with a proactive, execution\-oriented mindset
* Passion for building AI\-driven solutions that solve complex problems in healthcare.
**Preferred / Nice To Have**
* Formal experience as a Product Owner or in a product management role within a SaaS environment.
* Experience with Agile/Scrum practices and working with cross\-functional teams.
* Healthcare industry experience, including exposure to healthcare data, clinical workflows, or clinical code sets.
 $70,000 \- $115,000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
      <c r="A30" t="inlineStr">
        <is>
          <t>li-4367886830</t>
        </is>
      </c>
      <c r="B30" t="inlineStr">
        <is>
          <t>Lead Group Product Manager, Streaming Analytics</t>
        </is>
      </c>
      <c r="C30" t="inlineStr">
        <is>
          <t>Google</t>
        </is>
      </c>
      <c r="D30" t="inlineStr">
        <is>
          <t>linkedin</t>
        </is>
      </c>
      <c r="E30" t="inlineStr"/>
      <c r="F30" t="inlineStr"/>
      <c r="G30" t="inlineStr">
        <is>
          <t>Sunnyvale, CA</t>
        </is>
      </c>
      <c r="H30" t="inlineStr"/>
      <c r="I30" t="inlineStr">
        <is>
          <t>**Minimum qualifications:**
* Bachelor's degree or equivalent practical experience.
* 10 years of experience in product management or related technical role.
* 5 years of experience developing or launching products or technologies within databases, analytics, big data, or a related area.
* 5 years of experience in people management, with technical leadership.
**Preferred qualifications:**
* Master's degree in a technology or business related field.
* 10 years of experience in product management in the data analytics space.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Google Cloud Platform Data Analytics’ stream data processing portfolio.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PRDs by overseeing collaboration with partner teams (e.g., engineers, program managers, UX) during product design.
* Own and oversee definition of product roadmaps.
* Own development and secure buy\-in for a product idea that identifies, defines, and supports the overall product narrative and direction, achieving an outcome that is greater than the sum of its parts.
* Oversee validation of market size and opportunity (e.g., user\-based, strategic opportunity, business growth).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li-4337985641</t>
        </is>
      </c>
      <c r="B31" t="inlineStr">
        <is>
          <t>Senior Product Manager (Containers)</t>
        </is>
      </c>
      <c r="C31" t="inlineStr">
        <is>
          <t>Chainguard</t>
        </is>
      </c>
      <c r="D31" t="inlineStr">
        <is>
          <t>linkedin</t>
        </is>
      </c>
      <c r="E31" t="inlineStr"/>
      <c r="F31" t="inlineStr"/>
      <c r="G31" t="inlineStr"/>
      <c r="H31" t="inlineStr"/>
      <c r="I31" t="inlineStr">
        <is>
          <t>**The Role, In a Nutshell**
 Chainguard created the category of vulnerability\-free Container Images, now trusted by hundreds of the world’s most important enterprises and startups. We simplify developer workflows by providing a safe open source foundation for applications. This trusted foundation keeps security teams happy, and developers productive so they can spend their time building not patching.
 We are seeking a Senior Product Manager to work closely with our developer customers and their security stakeholders to define and build the future of our Containers product. To succeed you must be highly technical and sweat the details alongside your engineering partners, delivering capabilities iteratively and frequently to unlock customer growth. You should also have an extreme sense of ownership and urgency that puts customers above all else, ruthlessly prioritizing and marshalling whatever resources are needed to solve their problems.
**What You’ll Do**
* Drive the strategy, roadmap and—most importantly—ship great products that streamline how developers adopt and build with Chainguard Container Images.
* Lead projects from ideation through launch and beyond, iteratively unlocking new customers and improving the product while overseeing maintenance and support.
* Gather and respond to quantitative and qualitative data and feedback, measuring the effectiveness of your team’s efforts and changing direction when required.
* Work collaboratively with Engineering, Product Marketing, UX, and other cross\-functional teams, ensuring that
* Represent the company externally wherever needed, including meetings with customers and prospects, partners, and industry analysts.
**What We're Looking For**
* Technical depth is a must, as you’ll need to quickly establish credibility with developers and speak their language. Either prior experience as a developer, or proven success working in systems, networks, or an adjacent highly technical area.
* Excellent written and verbal communication skills, with a proven track record engaging deeply with customers and owning outcomes with hands\-on execution and delivery.
* Ability to adapt and work in a demanding, fast\-paced environment.
**Bonus Criteria**
* Linux software packaging and/or container image building experience.
* Experience with compliance and regulatory frameworks and standards such as FedRAMP, STIGs, FIPS, etc.
 Base Salary Range
 $156,000—$195,000 USD
**About Us**
 Chainguard is the secure foundation for software development and deployment. By providing guarded open source software, built from source and updated continuously, Chainguard helps organizations eliminate threats in their software supply chains.
 Founded by the industry's leading experts on open source software, security and cloud native development, Chainguard has built the largest library of open source software that is secure by default.
 Chainguard’s mission is to be the safe source for open source.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 Flexible \&amp; Remote\-First Culture: Work remotely with team meetup opportunities, bi\-annual destination summits, and a monthly stipend for coworking spaces, phone and internet costs.
* Our Approach to Equity: Receive stock options upon hire and promotion. Plus, you can participate in secondary offerings and have 10 years to exercise your options (yes, you read that correctly: 10 years!).
* 100% Covered Health Insurance: We cover 100% of your health, vision and dental insurance premiums for you and your dependents. Nothing comes out of your paycheck.
* ∞ Flexible Time Off: Take the time you need – to do our best work, we need to recharge and reset.
*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Privacy Policy.
 ©2025 Chainguard. All Rights Reserved.</t>
        </is>
      </c>
    </row>
    <row r="32">
      <c r="A32" t="inlineStr">
        <is>
          <t>li-4316320668</t>
        </is>
      </c>
      <c r="B32" t="inlineStr">
        <is>
          <t>Senior Product Manager, Data Products</t>
        </is>
      </c>
      <c r="C32" t="inlineStr">
        <is>
          <t>A Place for Mom</t>
        </is>
      </c>
      <c r="D32" t="inlineStr">
        <is>
          <t>linkedin</t>
        </is>
      </c>
      <c r="E32" t="inlineStr"/>
      <c r="F32" t="inlineStr"/>
      <c r="G32" t="inlineStr">
        <is>
          <t>New York, NY</t>
        </is>
      </c>
      <c r="H32" t="inlineStr"/>
      <c r="I32" t="inlineStr">
        <is>
          <t>A Place for Mom is seeking a Senior Product Manager, Data Products to help build the future of our senior care data ecosystem. As a member of our growing Data Product team, this role will define and drive how we systematically collect, organize, and package our internal proprietary data to maximize value for the families we serve and our partners within the senior care space.
**What You Will Do**
 In this role, you will oversee the next evolution of A Place for Mom’s data capabilities, developing the vision for an updated foundation of data capable of powering a diverse and growing set of internal\- and external\-facing use cases. You will partner closely with a wide range of key stakeholders \- from senior leadership, to marketing and sales domain owners, to product and technical vertical owners \- to define and execute on an ambitious roadmap to democratize insights and unlock new sources of value for our clients and customers.
**Specific Responsibilities Include**
* Articulation of the vision and practical execution plan for a robust and easy\-to\-use semantic layer to serve as the underpinning of company\-wide analytics
* Collaboration with stakeholders to scope and develop net\-new curated datasets optimized for key internal use cases (e.g. forecasting, user profiles, targeted outreach, etc.)
* Providing clear, well\-scoped requirements to data engineering and platform teams to enable timely delivery of updated functionality
* Partnership with analysts and MLEs to identify opportunities to optimize data organization for cost\-effectiveness, accuracy, and time\-to\-insight
* Evangelization of self\-service data tools \- including AI\-powered solutions \- to a variety of technical and non\-technical stakeholders
* Proactive communication to senior leadership of progress and identified value\-add of data investments
* Work with business unit teams to identify, evaluate, and productize data monetization opportunities
**Qualifications**
* Bachelor’s degree (Master’s preferred) in quantitative/statistics\-intensive field such as Statistics, Economics, Mathematics, or Computer Science
* 5\+ years of experience in platform product management, with preference for candidates with past data product roles and/or prior background as a data scientist or data engineer
* Demonstrated track record of taking products from ideation through successful implementation (especially internal tools or data\-intensive B2B solutions)
* Expertise with SQL and data modeling strongly preferred
* Aptitude for defining relevant, actionable KPIs for assessing the health and utility of foundational/infrastructure products
* Excellence in communicating technical information and quantitative insights to leadership audiences
* Comfort operating in high\-pace environment and with evangelizing new processes to stakeholders of varying technical skill levels
**Compensation**
* Base Salary: $140,000 to $175,000 \+ 10% Bonus
* Benefits:
+ 401(k) plus match
+ Dental insurance
+ Health insurance
+ Vision Insurance
+ Paid Time Off
**About A Place For Mom**
 A Place for Mom is the leading platform guiding families through every stage of the aging journey. Together, we simplify the senior care search with free, personalized support — connecting caregivers and their loved ones to vetted providers from our network of 15,000\+ senior living communities and home care agencies.
 Since 2000, our teams have helped millions of families find care that fits their needs. Behind every referral and resource is a shared goal: to help families focus on what matters most — their love for each other.
 We’re proud to be a mission\-driven company where every role contributes to improving lives. Caring isn’t just a core value — it’s who we are. Whether you’re supporting families directly or driving innovation behind the scenes, your work at A Place for Mom makes a real difference.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**Additional Information**
*A Place for Mom has recently become aware of the fraudulent use of our name on job postings and via recruiting emails that are illegitimate and not in any way associated with us. APFM will never ask you to provide sensitive personal information as part of the recruiting process, such as your social security number; send you any unsolicited job offers or employment contracts; require any fees, payments, or access to financial accounts; and/or extend an offer without conducting an interview.*
*If you suspect you are being scammed or have been scammed online, you may report the crime to the Federal Bureau of Investigation and obtain more information regarding online scams at the Federal Trade Commission.*
 All your information will be kept confidential according to EEO guidelines.
 A Place for Mom
 **uses E\-Verify** 
 to confirm the employment eligibility of all newly hired employees. To learn more about E\-Verify, including your rights and responsibilities, please visit
 **www.dhs.gov/E\-Verify** 
**.**</t>
        </is>
      </c>
    </row>
    <row r="33">
      <c r="A33" t="inlineStr">
        <is>
          <t>li-4338155800</t>
        </is>
      </c>
      <c r="B33" t="inlineStr">
        <is>
          <t>Product Manager for Data Science</t>
        </is>
      </c>
      <c r="C33" t="inlineStr">
        <is>
          <t>impact.com</t>
        </is>
      </c>
      <c r="D33" t="inlineStr">
        <is>
          <t>linkedin</t>
        </is>
      </c>
      <c r="E33" t="inlineStr"/>
      <c r="F33" t="inlineStr"/>
      <c r="G33" t="inlineStr">
        <is>
          <t>Seattle, WA</t>
        </is>
      </c>
      <c r="H33" t="inlineStr"/>
      <c r="I33"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products—Performance (affiliate), Creator (influencer), and Advocate (customer referral)—unify every type of partner into one integrated platform. As consumers increasingly rely on recommendations from people and communities they trust, impact.com helps brands show up where it matters most. Today, over 5,000 global brands, including Walmart, Uber, Shopify, Lenovo, L’Oréal, and Fanatics, rely on impact.com to power more than 225,000 partnerships that deliver measurable business results.
**Your Role at** 
**impact.com** 
**:**
 We are looking for a Senior Product Manager (PM) to drive strategy and execution across our data science and AI ecosystem — from the machine learning platform and data foundations to applied ML and AI\-powered products that deliver measurable business impact.
 This is a pivotal role at the intersection of data science, machine learning engineering, and product strategy. You’ll partner with data scientists, ML engineers, data engineers, and business leaders to define and deliver the capabilities that enable our teams to develop, deploy, and scale AI\-driven insights and automation across the company
**What You'll Do:**
**ML Platform \&amp; Infrastructure**
* Own the product vision and roadmap for our ML Platform, ensuring teams can easily experiment, train, deploy, and monitor models at scale.
* Partner with MLOps and Data Engineering to deliver shared components such as model registry, feature store, experiment tracking, and evaluation frameworks.
* Drive adoption of modern AI tooling (e.g., vector stores, LLM orchestration frameworks, GPU\-based training environments).
* Define SLAs, performance metrics, and developer experience standards for the platform.
**Data Strategy \&amp; Insights Enablement**
* Lead the strategy for transforming raw data into structured, high\-quality, and meaningful assets that power insight\-driven product features such as competitive benchmarking, performance diagnostics, and opportunity identification.
* Define and evolve the data models, taxonomies, and semantic layers that make data consistent, interpretable, and ready for analysis.
* Partner with data science and engineering teams to ensure insights are accurate, contextual, and actionable, enabling teams and clients to make data\-informed decisions confidently.
**Applied ML \&amp; AI Use Cases**
* Identify and prioritize high\-value machine learning applications — such as recommendation systems, search relevance, anomaly detection, forecasting, and LLM\-powered insights.
* Translate complex data science opportunities into productizable features with measurable outcomes.
* Collaborate with business and engineering teams to bring ML models into production — ensuring performance, interpretability, and ethical AI practices.
* Own success metrics (e.g., model ROI, adoption, latency, accuracy) and establish iteration loops with DS teams.
**Strategy \&amp; Leadership**
* Define the long\-term strategy for AI/ML as a product capability — balancing foundational investments with applied innovation.
* Partner with senior leadership to align the ML roadmap with company priorities and data maturity.
* Champion best practices for experimentation, responsible AI, and data\-driven decision making.
* Influence executive stakeholders through clear storytelling, value framing, and impact
**What You Bring:**
* 6–10\+ years of product management experience, including at least 3 years focused on data, ML, or AI products.
* Strong understanding of machine learning lifecycle, from experimentation to deployment and monitoring.
* Proven success managing technical platform products (ML infrastructure, data pipelines, or developer tools).
* Familiarity with cloud ML ecosystems (Vertex AI, Databricks, or similar).
* Ability to communicate fluently across data science, engineering, and business teams — translating complexity into clear priorities.
* Demonstrated ability to manage cross\-functional roadmaps, prioritize tradeoffs, and measure product success through adoption and business impact.
**Salary Range:** 
 $130,000 \- $150,000 per year, plus an additional 5% variable annual bonus contingent on Company performance with eligibility to receive Restricted Stock Unit (RSU) grant.
* This is the pay range the Company believes is equitable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t>
        </is>
      </c>
    </row>
    <row r="34">
      <c r="A34" t="inlineStr">
        <is>
          <t>li-4368192036</t>
        </is>
      </c>
      <c r="B34" t="inlineStr">
        <is>
          <t>Product Manager Hardware</t>
        </is>
      </c>
      <c r="C34" t="inlineStr">
        <is>
          <t>Edison Smart®</t>
        </is>
      </c>
      <c r="D34" t="inlineStr">
        <is>
          <t>linkedin</t>
        </is>
      </c>
      <c r="E34" t="inlineStr"/>
      <c r="F34" t="inlineStr"/>
      <c r="G34" t="inlineStr"/>
      <c r="H34" t="inlineStr"/>
      <c r="I34" t="inlineStr">
        <is>
          <t>Edison Smart are partnered with a global electrical power monitoring leader. I am looking for a Product Manager working within their EPMS/Electrical Engineering department. This role is remote with Travel to Ashburn VA. You will hold an electrical manufacturing or data center background.
***Details***
* Remote with travel 25%
* Live near an international airport
* **Salary of $120,000\-$160,000**
* Great benefit packages
***Preferred Qualifications:***
* Experienced in working within the power monitoring, power quality, EPMS automation systems.
* Data center or industrial facility applications.
* Experience working with hardware products across their lifecycle.
* Experience working with global engineering teams.
* Solid understanding of U.S. electrical standards and certification processes.
* Prior experience in a hardware\-focused Product Manager or Technical Product Owner.
* Degree in Electrical Engineering
 If you would be interested in this position please apply directly or on our Edison Smart website.</t>
        </is>
      </c>
    </row>
    <row r="35">
      <c r="A35" t="inlineStr">
        <is>
          <t>li-4305688038</t>
        </is>
      </c>
      <c r="B35" t="inlineStr">
        <is>
          <t>Product Manager II, Underwriting</t>
        </is>
      </c>
      <c r="C35" t="inlineStr">
        <is>
          <t>Root Inc.</t>
        </is>
      </c>
      <c r="D35" t="inlineStr">
        <is>
          <t>linkedin</t>
        </is>
      </c>
      <c r="E35" t="inlineStr"/>
      <c r="F35" t="inlineStr"/>
      <c r="G35" t="inlineStr"/>
      <c r="H35" t="inlineStr"/>
      <c r="I35" t="inlineStr">
        <is>
          <t>At Root, we’re on a mission to improve the lives of our customers by offering better insurance solutions. We challenge ourselves to think differently in order to reimagine insurance to make it smarter, more equitable, and a better experience for all.
 We strive to “unbreak” the archaic insurance industry by using data and technology in innovative new ways. We believe we must be steadfast in our commitments to research, experimentation, and disciplined data\-driven decision making in order to build products our customers love.
****The Opportunity****
 We are seeking a Product Manager to lead underwriting initiatives that drive smarter, more dynamic risk decisions while supporting growth through Root’s direct, partner, and agent channels. You’ll own a portfolio of initiatives that enable tailored risk interventions and scale classification accuracy—all while maintaining profitability.
 You’ll work cross\-functionally with Data Science, Engineering, State Management, Legal, and Insurance Ops to evolve Root’s underwriting domain.
****Salary Range****
 : $114,000 \- $136,000 (Eligible for competitive bonus and equity offerings)
 Root is a “work where it works best” company. This means we will support you working in whatever location that works best for you across the US.
**How You Will Make An Impact**
* Own the 2025 Underwriting roadmap and define the vision for 2026 and beyond
* Partner with Data Science to design and implement machine learning model based underwriting strategies
* Lead experiments (A/B tests, causal modeling) to test risk mitigation strategies and measure their impact on profitability, conversion, and retention
* Support Root’s nationwide expansion by adapting underwriting capabilities to meet the specific regulatory and operational needs of new states
* Create seamless underwriting experiences that drive profitable growth
* Lead a team of engineers through the full product lifecycle, from ideation to implementation and iteration
* Write clear product requirement documentation (PRDs) that align business strategy with engineering plans
* Cultivate a prioritized product backlog using robust product frameworks and data\-driven decision making
* Measure and analyze the performance of your product area, using insights to drive continuous improvement
* Facilitate team delivery events using agile practices to ensure consistent, high\-quality outputs
**What You Will Need To Succeed**
* 3–6 years of product management experience, ideally in fintech, insurtech, or another data\-intensive regulated environment.; insurance industry experience highly valued
* Strong systems thinking and comfort with technical concepts like predictive modeling, APIs, and workflow orchestration
* Data\-driven mindset; experience designing A/B tests, working with analysts, working with data scientists
* Excellent communication skills with the ability to translate complex concepts into simple user experiences
* Experience in agile development methodologies
* Customer\-centric mindset with demonstrated success in improving user experiences
* Detail\-oriented with the ability to multitask and prioritize effectively
* Adaptable approach to scope and responsibilities in a growing organization
* Collaborative work style with the ability to influence without direct authority
* Roll\-up\-the\-sleeves work ethic and "do\-what\-it\-takes" attitude to drive results in a fast\-paced environment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t>
        </is>
      </c>
    </row>
    <row r="36">
      <c r="A36" t="inlineStr">
        <is>
          <t>li-4368308379</t>
        </is>
      </c>
      <c r="B36" t="inlineStr">
        <is>
          <t>Product Manager</t>
        </is>
      </c>
      <c r="C36" t="inlineStr">
        <is>
          <t>Systemair NA</t>
        </is>
      </c>
      <c r="D36" t="inlineStr">
        <is>
          <t>linkedin</t>
        </is>
      </c>
      <c r="E36" t="inlineStr"/>
      <c r="F36" t="inlineStr"/>
      <c r="G36" t="inlineStr">
        <is>
          <t>Lenexa, KS</t>
        </is>
      </c>
      <c r="H36" t="inlineStr"/>
      <c r="I36" t="inlineStr">
        <is>
          <t>**Description**
 At Systemair, we have a passion for indoor air quality. We are constantly striving to provide ventilation solutions that improve health and productivity in an energy\-efficient and sustainable manner. Entrepreneurship is in our DNA, and we continue to grow in terms of capabilities, product range, size, sales volume, and market share. We employ and empower people to take initiative and make decisions with the best interests of our customers and team at heart by achieving our goals to be an Employer, Brand, Investment, and Neighbor of Choice. Simply put, we prioritize, simplify, and trust, while committing to accountable behavior and personal responsibility at work and with our neighbors.
 Under the direction of the Regional Director of Product Strategy \&amp; Market Development, you will play a critical role in defining and executing our product strategy, driving innovation, and delivering world\-class products to our customers. You will serve as the product champion, ensuring that the operational and sales efforts are aligned to the business strategy. As a part of our Product Management team, you will effectively communicate and collaborate closely with sales, engineering, marketing, and group Product Area Directors (PADs) to deliver on customers’ expectations according to our North American strategy.
 With our continued growth, we are searching for a motivated individual who is aligned with our culture and has the essential skills and experience described below to take on this career opportunity.
**Essential Duties And Responsibilities**
* Define and communicate product vision, strategy, and roadmaps aligned with company goals.
* Conduct market research, competitive analysis, and gather customer insights.
* Manage pricing strategies using market, cost, and sales data.
* Build business cases for new products, redesigns, cost reductions, and obsolescence.
* Collaborate with engineering, design, marketing, and sales for successful development and launches.
* Define product requirements, user stories, and acceptance criteria.
* Adhere to safety protocols and guidelines to prevent accidents or injuries and report any safety concerns or incidents immediately.
* Champion user\-focused design through testing, feedback, and iteration.
* Track KPIs to measure success and drive data\-based decisions.
* Lead product launches, including marketing and sales enablement.
* Manage full product lifecycle to maintain competitiveness and relevance.
**Product Manager Education \&amp; Experience**
* Education in Engineering, Business, Project management, Marketing or Statistical Analysis, or related field preferred.
* Previous experience in a product management or similar role preferred.
* Familiarity with product launches, promotions, and profit analysis, HVAC industry preferred.
* Familiarity with product management tools, systems, and methodologies.
* Analytical, problem\-solving, and decision\-making skills required.
* Negotiation, communication, and interpersonal skills required.
* Organizational and time management skills required.
* Previous experience with quality control and process improvement preferred.
* Technical skills required for computers and tablets.
* Able to work proficiently in a team\-oriented setting, as well as independently.
* Familiarity with Health and Safety guidelines.
**Job Conditions**
**Physical Demands:**
* Light physical effort – able to lift between 20lbs.
* Sitting, lifting, squatting, pushing, pulling, or reaching for intermittent or extended periods.
* Prolonged periods of sitting as a desk and looking at a computer.
* Must be able to travel a minimum of 25% to meet to meet regional needs.
**Work Environment**
* Factory, Warehouse, Distribution Center, Office
* May be exposed to loud, repetitive sounds from machinery or equipment
* May use chemicals or other in accordance with MSDS
* May operate machinery in close proximity or with objects exposed to eyes or face</t>
        </is>
      </c>
    </row>
    <row r="37">
      <c r="A37" t="inlineStr">
        <is>
          <t>li-4341825591</t>
        </is>
      </c>
      <c r="B37" t="inlineStr">
        <is>
          <t>Staff Product Manager</t>
        </is>
      </c>
      <c r="C37" t="inlineStr">
        <is>
          <t>Trustly</t>
        </is>
      </c>
      <c r="D37" t="inlineStr">
        <is>
          <t>linkedin</t>
        </is>
      </c>
      <c r="E37" t="inlineStr"/>
      <c r="F37" t="inlineStr"/>
      <c r="G37" t="inlineStr">
        <is>
          <t>New York, NY</t>
        </is>
      </c>
      <c r="H37" t="inlineStr"/>
      <c r="I37" t="inlineStr">
        <is>
          <t>**WHO WE ARE** 
 At Trustly, we're building a smarter, faster, and more secure financial future by revolutionizing the world of payments. As a global leader in Open Banking Payments, we are establishing Pay by Bank as the new standard at checkout, providing unparalleled freedom, speed, and ease to millions of consumers and merchants worldwide.
 Our Ambition: To build the world’s most disruptive payment network and redefine what the payment experience should feel like.
 Trustly is a global team of innovators, collaborators, and doers.  If you are driven by a strong sense of purpose and thrive in a dynamic, entrepreneurial, and high\-growth environment, join us and be part of a team that’s transforming the way the world pays.
**ABOUT THE ROLE
 As Trustly’s Staff Product Manager for our next\-generation consumer product (GoConsumer), you will define and drive the vision for a financial experience powered by intelligent automation, personalised coaching, and rewarding engagement systems. This role blends product strategy, AI\-driven personalisation, behavioural design, and hands\-on execution with engineering. 
**You will own the evolution of our AI financial coach and our gamified engagement layer—two core pillars of how we help everyday earners improve their financial health and reduce their anxiety. Your work will shape how users interact with their money, build habits, and stay engaged over time.
**WHO YOU’LL WORK WITH
 You’ll work closely with engineers, data scientists, behavioural scientists, designers, product marketers, and leadership. This is a highly cross\-functional role where you’ll translate deep technical capabilities (open banking, data pipelines, ML models, LLMs) into intuitive, emotionally resonant user experiences that drive meaningful outcomes.
**WHAT YOU’LL DO** 
* Lead the next phase of our AI financial coach, evolving it into a fully personalised, adaptive, conversational system that guides consumers towards their goals.
* Partner with AI/LLM engineers to shape and refine the conversational and predictive behaviours of the coach — from how it reasons about money to how it guides users through budgeting, avoiding fees, and planning ahead
* Define and continuously improve evaluation approaches — both quantitative and qualitative — to monitor accuracy, tone, clarity, safety, and how well the coach completes real financial\-coaching tasks
* Define the coaching logic, personalisation rules, and “reasoning framework” of the coach — when to nudge, when to step in, when to stay quiet.
* Own the AI × human interaction design: tone, empathy, trust, explainability, safety, and compliance ensuring it hits the desired brand tone of voice.
* Measure outcomes not only through engagement but visible improvements in financial health (savings, fewer overdrafts, more stability) from a consumer’s open banking data
* Design and iterate on engagement systems that make progress towards positive financial habits rewarding (streaks, milestones, progress bars, missions, challenges).
* Own motivational loops built on behavioural science — turning short\-term actions into long\-term habits without manipulation or compliance risk.
* Partner with UX researchers and behavioural scientists to define user psychology frameworks that demonstrate real behavior change
* Collaborate with data teams to personalise challenges and goals based on each user’s behaviour, needs, and risk profile.
* Define and track key behavioural engagement metrics such as DAU/MAU, streak completion, task participation, and retention as well as the key financial metrics \- unit product economics and overall financial viability of the GoConsumer service
* Work with Product Marketing to position these gamified experiences as a core part of our narrative and differentiation in a crowded market
* Leverage technical understanding (CS, AI, ML, modern architecture) to work seamlessly with engineering, make smart trade\-offs, and maintain scalability and security
* Present product strategy, learnings, and performance to executive leadership
* Partner tightly with Compliance, Risk, Data, and Operations to ensure everything meets regulatory and safety standards
* Drive us toward product\-market fit by identifying the highest\-value user problems, validating what truly moves financial outcomes, and rapidly iterating the coach’s behaviours, features, and engagement loops based on real user data, experiments, and feedback
**WHO YOU ARE** 
* 7\+ years of Product Management experience in consumer fintech, high\-quality mobile UX products, or engagement\-driven apps (e.g., habit\-forming or game\-inspired systems), ideally with exposure to AI\-powered experiences vs pure if\-then\-else
* Experience working directly with machine learning teams, large language models, or personalisation systems.
* Proven experience designing or operating gamification, motivation mechanics, loyalty loops, or habit\-building features
* Experience growing a consumer fintech productA good understanding of financial concepts such as lending, financial management, and cards
* Strong technical fluency — you can discuss architecture, data flows, and model behaviour with engineers and data scientists and can quickly vibe code high quality fully functioning prototypes using the latest tools e.g. Claude code / CodexYou thrive in ambiguity, move quickly, and enjoy building 0→1 products.
* You’re deeply user\-centric, combining empathy, behavioural insight, and quantitative reasoning.
* You can translate complex user needs and technical capabilities into a clear roadmap and crisp execution.
* Excellent communicator with the ability to influence across leadership, engineering, and design
* Preferably a technical degree like Computer Science, Software Engineering or Machine Learning
* You are collaborative, open, and able to work seamlessly with cross\-functional teams while keeping momentum and alignment
* Comfortable with the financial metrics of product management \- predicting long term financial viability through monitoring unit economics
* Comfortable navigating evolving requirements and shifting constraints, bringing clarity, structure, and steady decision\-making as the product develops at speed
* Skilled at managing senior stakeholders with confidence and clarity, balancing perspectives, negotiating trade\-offs, and ensuring decisions support both the product vision and organisational goals
 Applications for this role are accepted on an ongoing basis.
**SALARY RANGES IN US\-BASED ROLE POSTING**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Recruiters can share more information with applicants about the specific salary range for preferred locations during the hiring process. Please note that the compensation details listed in US role postings reflect the base salary only, and do not include bonus, equity, and other perks and benefits.
**WHAT WE OFFER** 
 At Trustly, you will have the chance to solve meaningful challenges alongside some of the brightest minds in FinTech. Together, we are shaping the future of payments in an environment that celebrates curiosity, collaboration, and innovation. You will be challenged and empowered to grow, making a real impact every step of the way.
 Our team is as diverse as the global footprint we serve, with colleagues across Silicon Valley, the U.S., Canada, Brazil, Europe, and beyond. We embrace a remote\-first culture that empowers you to balance your career ambitions with personal fulfillment. At Trustly, we foster a workplace where everyone feels they belong—a place where teamwork thrives, ideas flourish, and we never forget to have fun along the way.
 The total compensation packages include competitive salaries, bonus plans, and stock options. We offer innovative perks and benefits packages that include:
 \- Flexible paid time off \&amp; generous PTO accrual plans
 \- Comprehensive medical, dental, vision, and other insurances
 \- FSA \&amp; HSA plans for medical and dependent care
 \- Home office set\-up allowance
 \- Internet stipend
 \- Retirement plan match for 401k and RRSP
 \- Gender\-neutral paid parental leave, and more!
*(The benefits and total compensation packages outlined above are for full\-time employees; some exclusions apply for temporary positions.)*
 At Trustly, we embrace and celebrate diversity of all forms and the value it brings to our employees and customers. We are proud and committed to being an Equal Opportunity Employer and believe an open and inclusive environment enables people to do their best work.  All decisions regarding hiring, advancement, and any other aspects of employment are made solely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li-4303497651</t>
        </is>
      </c>
      <c r="B38" t="inlineStr">
        <is>
          <t>Principal Product Manager, Cloud</t>
        </is>
      </c>
      <c r="C38" t="inlineStr">
        <is>
          <t>Pure Storage</t>
        </is>
      </c>
      <c r="D38" t="inlineStr">
        <is>
          <t>linkedin</t>
        </is>
      </c>
      <c r="E38" t="inlineStr"/>
      <c r="F38" t="inlineStr"/>
      <c r="G38" t="inlineStr">
        <is>
          <t>Santa Clara, CA</t>
        </is>
      </c>
      <c r="H38" t="inlineStr"/>
      <c r="I38"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Join a world\-class team and lead the vision for our next\-generation cloud as\-a\-service storage offerings. As a Product Manager, you will be the driving force behind a new category of storage services built specifically for the hyperscaler clouds. You'll work cross\-functionally to identify market opportunities, define product strategy, and deliver innovative solutions that solve our customers' most complex data challenges.
**What You'll Do**
* Define and articulate the product vision, strategy, and roadmap for Pure's public cloud as\-a\-service storage portfolio, ensuring alignment with our business goals and market needs.
* Lead the entire product lifecycle from ideation to launch, collaborating with engineering, sales, marketing, and finance to develop and execute a winning go\-to\-market strategy.
* Conduct in\-depth market and business analysis to identify trends, uncover new opportunities, and inform strategic decisions that will drive high growth and market share.
* Work directly with customers, partners, and field teams to gather feedback, understand key use cases, and validate product requirements that ensure our solutions meet real\-world needs.
* Act as a key evangelist and subject matter expert for Pure's public cloud offerings, delivering compelling presentations to internal and external audiences.
**What You Bring**
* Demonstrated experience in a product management or similar role, with a focus on SaaS, cloud, or core infrastructure technologies.
* A strong blend of technical and business acumen, with the ability to translate complex technical concepts into clear, market\-facing value propositions.
* Proven ability to work collaboratively across various teams, including engineering, sales, and marketing, to drive alignment and successful product delivery.
* A bias for action and execution, with a data\-driven approach to decision\-making and a history of achieving aggressive business goals.
* Deep understanding of public cloud technologies, especially block and file\-based offerings, and familiarity with cloud marketplace dynamics.
*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$181,000—$299,000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39">
      <c r="A39" t="inlineStr">
        <is>
          <t>li-4354688453</t>
        </is>
      </c>
      <c r="B39" t="inlineStr">
        <is>
          <t>Associate Product Manager</t>
        </is>
      </c>
      <c r="C39" t="inlineStr">
        <is>
          <t>John B. Sanfilippo &amp; Son, Inc.</t>
        </is>
      </c>
      <c r="D39" t="inlineStr">
        <is>
          <t>linkedin</t>
        </is>
      </c>
      <c r="E39" t="inlineStr"/>
      <c r="F39" t="inlineStr"/>
      <c r="G39" t="inlineStr">
        <is>
          <t>Elgin, IL</t>
        </is>
      </c>
      <c r="H39" t="inlineStr"/>
      <c r="I39" t="inlineStr">
        <is>
          <t>**Summary of Position** 
 The Associate Product Manager plays a hands\-on leadership role in delivering private brand strategies and initiatives that drive JBSS volume and profit growth. This position is a key contributor to product commercialization and pricing execution. The role is critical in enabling strategic priorities that diversify our portfolio and support profitable growth.
***\*This position is 4 days a week on\-site in Elgin, IL. \****
**Functions of the Position** 
* Collaborates with sales and marketing teams to lead the commercialization process.
* Oversees new product and SKU development by managing artwork workflows, coordinating RFPs, handling sample requests, and ensuring timely follow\-up.
* Facilitates cross\-functional teams and project\-related meetings.
* Works closely with marketing and pricing teams on new and existing product pricing to maintain or improve JBSS margins.
* Manages packaging changes, including discontinuations or transitions related to structure, graphics, or ingredient updates, in partnership with relevant functions.
* Partners with sales and marketing to leverage consumer insights and category data to inform customer strategies, including optimal assortment, new product ideas, pricing, and retail merchandising.
**Education, Experience, and Knowledge** 
* Bachelor’s degree in a business discipline preferred
* 1–2 years of prior work experience, preferably in private brands and ideally with a CPG/food company
* Basic knowledge of new product launches and commercialization
**Skills and Competencies** 
* Strong project management skills
* Solid financial acumen
* Demonstrated team leadership, agility, and ability to work cross\-functionally
* Ability to prioritize tasks and manage time effectively
* Proficiency in Microsoft Office applications
* Strong attention to detail, math aptitude, and ability to manage multiple responsibilities simultaneously
* Excellent written and verbal communication skills
 Additionally, we provide a comprehensive benefits package that reflects our commitment to support the wellness of our colleagues and their families. This includes health benefits, professional growth support, generous paid time off benefits to support work/life balance, retirement benefits and other programs to support financial wellness. A full listing of our extensive benefits package can be found on our Company website, located here:
 https://jbssinc.com/careers/
***JBSS is an Equal Opportunity Employer:***
*All qualified applicants will receive consideration for employment without regard to race, color, religion, sex, sexual orientation, gender identity, national origin, disability, or status as a protected veteran.*</t>
        </is>
      </c>
    </row>
    <row r="40">
      <c r="A40" t="inlineStr">
        <is>
          <t>li-4285929706</t>
        </is>
      </c>
      <c r="B40" t="inlineStr">
        <is>
          <t>Senior Product Manager - Customer Digital Profile &amp; Consent Platform</t>
        </is>
      </c>
      <c r="C40" t="inlineStr">
        <is>
          <t>Ford Motor Company</t>
        </is>
      </c>
      <c r="D40" t="inlineStr">
        <is>
          <t>linkedin</t>
        </is>
      </c>
      <c r="E40" t="inlineStr"/>
      <c r="F40" t="inlineStr"/>
      <c r="G40" t="inlineStr">
        <is>
          <t>Dearborn, MI</t>
        </is>
      </c>
      <c r="H40" t="inlineStr"/>
      <c r="I40" t="inlineStr">
        <is>
          <t>**Job Description**
 Senior Product Manager \- Customer Digital Profile \&amp; Consent Platform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The Customer Digital Profile and Consent Product line is led out of Ford's Global Data, Insights and Analytics (GDIA) skill team. This product line develops and manages a set of customer\-facing products that are real\-time, high\-throughput, and global in nature. These products provide key functionality for customer facing applications such as Ford Pass/Lincoln Way and eCommerce. The products enable the use of connected vehicle information for insights creation, enhanced customer experiences, and compliance with regulations pertaining to customer data privacy and consent.
 Our key products include:
* Digital Account Platform (CAP Global \&amp; CAP China): An Enterprise account management ecosystem providing a best\-in\-class consumer experience by managing online profile, vehicle, and address book information in real\-time for both authenticated and guest experiences.
* CLIMES (Central Legal Information Management System): The master system for consumer\-facing legal language text, as well as purposes of use for both customer consent and internal data usage.
* Consent Platform: The master system of record for all consumer consent globally, encompassing multiple transactional and data products.
**In this position...**
 As a key leader within the Integrated Services Product Group at GDIA, you will own the strategic direction and operational success of the Customer Digital Profile \&amp; Consent Platform Product Line. This mission\-critical platform powers connected vehicle functionality, enhances customer experiences across digital touchpoints, and ensures compliance with evolving regulatory requirements. You will drive product innovation, technical excellence, and operational integrity, collaborating with diverse cross\-functional teams to deliver trusted, data\-driven, customer\-centric digital experiences globally.
**Responsibilities**
**What you’ll do...**
* Product Management
* Define and execute the product vision and strategy for the Customer Digital Profile and Consent Platform, ensuring alignment with Ford's overall business objectives and customer\-centric goals.
* Lead the end\-to\-end product lifecycle, from ideation and roadmap development to feature prioritization, delivery, and continuous improvement, leveraging data\-driven insights and fostering cross\-functional collaboration.
* Utilize data\-driven approaches, including product experiments, user interviews, and metrics analysis, to gather customer feedback, validate assumptions, and continuously improve the product experience.
* Champion innovation by spearheading automation, process improvements, and lifecycle management initiatives that optimize product delivery and foster a culture of reuse and deprecation.
* Site Reliability Engineering \&amp; Technical Excellence
* Drive technical excellence and site reliability for high\-throughput, real\-time, global platforms, championing scalable architectures, cloud technologies (GCP), automation, and robust operational practices to ensure performance, security, and compliance.
* Guide the engineering of highly scalable, maintainable, and performant software platforms utilizing Test\-Driven Development (TDD) and evolutionary architecture principles.
* Measure and optimize system performance proactively, anticipating customer needs and pushing enterprise capabilities forward with innovative resilience strategies and by reducing operational toil via automation.
* Lead root cause analysis of production incidents, implement preventive measures, and conduct blameless postmortems to continuously improve system reliability and design.
* People Management \&amp; Stakeholder Management
* Cultivate a high\-performing team culture through mentorship, clear communication, and effective stakeholder management, ensuring seamless coordination and alignment across diverse internal and external partners.
* Mentor and guide team members through technical and operational challenges, driving continuous growth and fostering a culture of collaboration and high\-performance.
* Effectively communicate product vision, strategy, and progress to executive leadership and stakeholders, securing alignment and support for strategic initiatives.
* Seamlessly manage escalations and influence appropriately across diverse stakeholder groups, acting as a champion of change and fostering effective collaboration..
**Qualifications**
**You’ll have…**
* Bachelor’s degree in Computer Science, Engineering, Business, or equivalent experience.
* 5\+ years experience managing large\-scale distributed systems and complex platform products, including cloud (GCP, AWS, Azure) deployments and architectural leadership.
* 5\+ years of product management experience with a proven track record in agile environments (Scrum, Kanban) and using tools like Jira.
* Strong technical foundation including Test\-Driven Development (TDD), API design, microservices, and cloud\-based architecture.
* Proven ability to drive product vision, strategy, and roadmap development aligned with business priorities and regulatory compliance.
* Data\-driven with strong analytical skills, adept at using customer insights, experiments, and metrics to inform product decisions.
* Excellent communication and stakeholder management skills, experienced in working across global, matrixed teams.
**Even better, you may have…**
* 3\+ years leading multi\-functional, multi\-team projects or large engineering teams.
* Experience in platform/product scalability, reliability engineering, and operational excellence, including defining/monitoring SLOs/SLAs.
* Familiarity with cloud orchestration, infrastructure as code (Terraform, Docker, CI/CD pipelines), and automation.
* Expertise in Customer Digital Profile, Consent \&amp; Privacy management, data governance, AI/ML integration, or embedded software.
* Experience in fast\-paced, dynamic environments with shifting priorities and matrixed reporting structures.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For more information on salary and benefits, click here: https://fordcareers.co/LL6SP2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**About Us**
 At Ford Motor Company, we believe freedom of movement drives human progress. With our incredible plans for the future of mobility, we have a wide variety of opportunities for you to accelerate your career and help us define tomorrow’s transportation.
**About The Team**
 We believe that freedom of movement drives human progress. Ford Information Technology (IT) is shaping the future of mobility by redefining the transportation landscape, enhancing the customer experience and improving people’s lives. Join the Ford family as we change the way the world moves.</t>
        </is>
      </c>
    </row>
    <row r="41">
      <c r="A41" t="inlineStr">
        <is>
          <t>li-4368194269</t>
        </is>
      </c>
      <c r="B41" t="inlineStr">
        <is>
          <t>Digital Product Owner</t>
        </is>
      </c>
      <c r="C41" t="inlineStr">
        <is>
          <t>Western Alliance Bank</t>
        </is>
      </c>
      <c r="D41" t="inlineStr">
        <is>
          <t>linkedin</t>
        </is>
      </c>
      <c r="E41" t="inlineStr"/>
      <c r="F41" t="inlineStr"/>
      <c r="G41" t="inlineStr">
        <is>
          <t>Phoenix, AZ</t>
        </is>
      </c>
      <c r="H41" t="inlineStr"/>
      <c r="I41" t="inlineStr">
        <is>
          <t>**Job Title**
 Digital Product Owner
**Location:**
 CityScape
**What You'll Do**
 As a Digital Product Owner you'll translate vendor road maps into applicability and impact to the business from a feature functionality perspective. You'll ensure the vendor understands and correctly documents the bank requirements for the requested functionality being developed specifically for the bank. In this role you'll assist the Development and QA team in reviews and make sure all requirements are addressed and updated. You'll define functional and non\-functional product requirements and ensure appropriate testing frameworks for product features based on the environments available and limitations of vendors. You'll own and maintain a prioritized work backlog for Agile teams or programs In addition, you'll review and accept output of vendor and/or business development to ensure specified acceptance criteria have been completed
* Responsible for working with product manager, business and subject matter experts to refine, accept, and prioritize stories, features or epics to support effective and compliant solutions while balancing investment and business value.
* Own and maintains a prioritized work backlog for a single or multiple Agile teams or programs. Reviews and accepts output of vendor and/or business development to ensure specified acceptance criteria have been completed. Manage dependencies with other team's functions while identifying, building, and managing strategic partnership across different product teams.
* Review and accept output of vendor and/or business development to ensure specified acceptance criteria have been completed. Ensure product development efforts comply with the bank's Software Development Life Cycle (SDLC) process including approvals and documentation for audit, requirements for IT Change Control.
* Build a culture of accountability and ownership by empowering the product management team to make decisions as close to the work as possible. Collaborate with product managers to define product requirements and prioritize features based on customer feedback and market analysis. And oversee the product development lifecycle, from concept to launch.
**What You'll Need**
* 4\+ years of related experience in Product Management or similar field.
* Bachelor's degree in related field required; Masters or MBA in related field preferred.
* Intermediate to advanced knowledge of general banking operations, including deposit operations, loan administration, treasury management and/or other commercial banking products and services.
* Intermediate to advanced knowledge of applicable regulatory and legal compliance obligations, rules and regulations, industry standards and practices.
* Intermediate to advanced experience with the Agile develoopment process and a clear understanding of the digital product development lifecycle. Intermediate to advanced knowledge of product development, quality assurance, risk assessment methodologies, and relevant regulations.
* Intermediate to advanced knowledge of product development, quality assurance, risk assessment methodologies, and relevant regulations. Intermediate to advanced knowledge of data analytics to analyze data and idetnify trends related to product risks.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42">
      <c r="A42" t="inlineStr">
        <is>
          <t>li-4296663669</t>
        </is>
      </c>
      <c r="B42" t="inlineStr">
        <is>
          <t>Sr. Product Owner (Hybrid)</t>
        </is>
      </c>
      <c r="C42" t="inlineStr">
        <is>
          <t>Selective Insurance</t>
        </is>
      </c>
      <c r="D42" t="inlineStr">
        <is>
          <t>linkedin</t>
        </is>
      </c>
      <c r="E42" t="inlineStr"/>
      <c r="F42" t="inlineStr"/>
      <c r="G42" t="inlineStr">
        <is>
          <t>Hartford, CT</t>
        </is>
      </c>
      <c r="H42" t="inlineStr"/>
      <c r="I42"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2024 and certification as a Great Place to Work® in 2024 for the fifth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Note: (For NJ candidates) This role will be located at our future headquarters in Short Hills, N.J. Until the new headquarters is operational, the successful candidate will be offered the ability to work in our Branchville, N.J. location during this interim period.
 The Senior Product Owner is a product champion and key leader accountable for business value and outcomes, building a product mindset, and driving end\-to\-end delivery of complex, strategic imperatives across agile development teams. A strategic thinker with a knack for execution, this individual distills product vision and strategy into actionable plans and ensures ongoing delivery of measurable value. The Senior Product Owner is a passionate user advocate and proxy, engaging with internal and external customers to understand needs and experiences and represent these in the shaping and evolution of products. As a true business partner, the Senior Product Owner collaborates with team members, product and program leaders, end users, customers, and other stakeholders in prioritizing and refining content, managing dependencies, measuring team and product outcomes, demonstrating impactful business value, and enabling meaningful continuous improvement.
**Responsibilities**
* Effectively synthesizes and translates product and program strategies and vision into actionable delivery plans for multiple agile development teams.
* Accountable for end to end value delivery and outcomes at the team level, collaborating with product leaders, IT partners, business leaders, and stakeholders to ensure teams are building the right thing at the right time.
* Acts as a customer advocate and proxy, engaging with internal and external customers to understand needs, optimize feedback mechanisms, and incorporate outcomes in product scope and design.
* Conducts and participates in market and competitive research efforts, introducing applicable findings in development of product initiatives.
* Collects, refines, and analyzes relevant data for informed decision making. Employs an economic view, assessing cost, benefit, and business value in determination of team priorities.
* Cultivates a product mindset, ensuring team\-level understanding and alignment with product strategy throughout development and innovation activities, navigating ambiguity, and embracing change.
* Owns, manages, and regularly prioritizes user story backlogs. Refines features and user stories in collaboration with the Product Manager and Business Analysts
* Leads demonstration of business value and guides multiple teams through agile ceremonies, program planning, defect remediation, and continuous improvement activities.
* Proactively manages team\-level dependencies, adapting delivery plans and communicating impacts as appropriate.
* Collaboratively manages measurement and tracking of outcomes and status reporting at the team level.
**Qualifications**
**Knowledge and Requirements**
* Advanced understanding of the P\&amp;C insurance industry, product line or domain and aptitude for continued learning
* Advanced collaborative and stakeholder management aptitude; appreciation for diverse perspectives
* High proficiency in customer and user engagement
* High proficiency in market and competitive research
* Advanced problem\-solving capability, Intellectual curiosity, and development\-focused mindset
* High proficiency in data collection and analysis and ability to apply in effective decision\-making
* Comfort and aptitude in navigating ambiguity
* Elevated ability to effectively operate at both strategic and tactical levels
* Advanced understanding of and experience with product and software development lifecycles
* Strong knowledge of and practical experience with writing and refining agile requirements
* Advanced knowledge of and practical experience with agile methodologies and tooling
* Experience and comfort working with regulated products
* Highly proficient written and verbal communication skills
**Education And Experience**
 College degree preferred
 5\+ years of business analysis experience
 5\+ years of experience in insurance line of business role
 Demonstrated success in leading projects from inception to delivery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paid time off plans. Additional details about our total rewards package will be provided during the recruiting process.
 The actual base salary is based on geographic location, and the range is representative of salaries for this role throughout Selective's footprint. Additional considerations include relevant education, qualifications, experience, skills, performance, and business needs.
**Pay Range**
 USD $119,000\.00 \- USD $163,000\.00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t>
        </is>
      </c>
    </row>
    <row r="43">
      <c r="A43" t="inlineStr">
        <is>
          <t>li-4358522277</t>
        </is>
      </c>
      <c r="B43" t="inlineStr">
        <is>
          <t>Product Manager, Performance Activation</t>
        </is>
      </c>
      <c r="C43" t="inlineStr">
        <is>
          <t>NBCUniversal</t>
        </is>
      </c>
      <c r="D43" t="inlineStr">
        <is>
          <t>linkedin</t>
        </is>
      </c>
      <c r="E43" t="inlineStr"/>
      <c r="F43" t="inlineStr"/>
      <c r="G43" t="inlineStr">
        <is>
          <t>New York, NY</t>
        </is>
      </c>
      <c r="H43" t="inlineStr"/>
      <c r="I43"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Product Manager for Performance Optimization Activations, you will lead initiatives to improve campaign efficiency through automation, optimization algorithms, and streamlined workflows for buyers.
**Key Responsibilities:**
* Own the roadmap for Performance based campaigns, focusing on workflow automation and optimization features.
* Collaborate with Sales, Operations, Data Science, and Engineering to implement bidding strategies and pacing controls.
* Develop advanced optimization tools, including KPI\-based bidding models and real\-time performance reporting.
* Drive integration with NBCU Ad Sales systems to support real\-time targeting and campaign activation.
* Drive enhancements to reduce manual campaign setup and improve targeting precision.
* Partner with DSPs and internal systems to integrate optimization algorithms and reporting capabilities.
* Analyze campaign performance data to identify trends and build solutions to recommend improvements.
* Lead test\-and\-learn programs for new optimization strategies and automation features.
* Ensure alignment with NBCU’s broader advertising technology strategy and client needs.
**Qualifications**
**Qualifications:**
* Minimum of 3 years in product management, preferably in programmatic advertising or ad\-tech platforms.
* Strong knowledge of optimization techniques, bidding algorithms, and campaign performance metrics.
* Experience with DSPs, Beeswax, or similar platforms is a plus.
* Ability to manage complex projects and communicate effectively with stakeholders.
* Data\-driven approach with proficiency in analytics and reporting tools.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44">
      <c r="A44" t="inlineStr">
        <is>
          <t>li-4333173130</t>
        </is>
      </c>
      <c r="B44" t="inlineStr">
        <is>
          <t>Senior Product Manager, Measurement &amp; Experimentation</t>
        </is>
      </c>
      <c r="C44" t="inlineStr">
        <is>
          <t>Best Buy</t>
        </is>
      </c>
      <c r="D44" t="inlineStr">
        <is>
          <t>linkedin</t>
        </is>
      </c>
      <c r="E44" t="inlineStr"/>
      <c r="F44" t="inlineStr"/>
      <c r="G44" t="inlineStr">
        <is>
          <t>Minneapolis, MN</t>
        </is>
      </c>
      <c r="H44" t="inlineStr"/>
      <c r="I44" t="inlineStr">
        <is>
          <t>The
 **Senior Product Manager, Measurement \&amp; Experimentation** 
 will lead the charge in building smarter measurement and experimentation strategies across our Retail Media Network. If you love digging into data, designing experiments, and collaborating across teams to drive real impact, this role is for you.
 You’ll be at the forefront of shaping how we measure advertising effectiveness—from A/B testing to media mix modeling. You’ll work with brilliant minds in data science, analytics, and product to build tools that help us understand what’s working and what’s not. Your insights will guide product development, campaign strategy, and business decisions.
 This role is remote eligible, which means you would work virtually from home or another non\-Best Buy location
**What You’ll Do**
* Own the roadmap for incrementality measurement and experimentation across our ad products
* Design and support testing strategies like A/B, geo\-holdout, and synthetic control
* Partner with analytics and data science teams to build and validate media mix models
* Collaborate with product and engineering teams to embed experimentation into product launches
* Standardize measurement methodologies across advertising channels
* Evaluate third\-party tools to enhance our internal capabilities
**Required Skills**
* 7\+ years of experience in product management, analytics, or data science roles.
* 3\+ years of experience with media mix modeling and incrementality measurement, causal inference, and experimental design.
* 3\+ years of experience with A/B testing platforms, geo\-experiments, customer\-holdouts and lift studies.
* 2\+ years of experience setting up, running, and analyzing incrementality tests on onsite and offsite media platforms (like Google Ad Manager, Meta, GoogleAds, DV360\)
* Experience in digital advertising, retail media, or marketing analytics
* Bachelor’s Degree in a Quantitative field (e.g., Statistics, Data Science, Economics, Computer Science).
**Preferred Skills**
* Strong proficiency in SQL and familiarity with analytical programming languages (e.g., Python, R).
* Master’s degree in quantitative fields (e.g., Statistics, Data Science, Economics, Computer Science).
* Experience with experimentation platforms (e.g., Optimizely, Google Experiments, Meta Lift).
* Familiarity with cloud data platforms (e.g., Google Cloud Platform, AWS, Snowflake).
* Proven ability to work cross\-functionally with technical and non\-technical teams.
* Excellent communication skills with the ability to translate complex methodologies into business\-relevant insights.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Senior Product Manager, Location: Minneapolis, MN \- 55423</t>
        </is>
      </c>
    </row>
    <row r="45">
      <c r="A45" t="inlineStr">
        <is>
          <t>li-4275431637</t>
        </is>
      </c>
      <c r="B45" t="inlineStr">
        <is>
          <t>Group Product Manager, Moloco Ads - Supply Quality</t>
        </is>
      </c>
      <c r="C45" t="inlineStr">
        <is>
          <t>Moloco</t>
        </is>
      </c>
      <c r="D45" t="inlineStr">
        <is>
          <t>linkedin</t>
        </is>
      </c>
      <c r="E45" t="inlineStr"/>
      <c r="F45" t="inlineStr"/>
      <c r="G45" t="inlineStr">
        <is>
          <t>New York, United States</t>
        </is>
      </c>
      <c r="H45" t="inlineStr"/>
      <c r="I45"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We are looking for a seasoned
 **Group Product Manager** 
 to lead a critical and highly strategic charter for Supply Quality \&amp; Fraud Mitigation Across All Moloco Ads:
* Own the end\-to\-end product strategy and multi\-year roadmap for Moloco’s Supply Quality \&amp; Invalid Traffic (IVT) platform
* Establish fraud and supply\-integrity standards across all Moloco Ads supply sources, ensuring consistent detection, prevention, and enforcement
* Evaluate, select, and manage third\-party fraud/IVT detection partners, owning vendor strategy, tradeoffs, and integration requirements
* Build in\-house fraud and invalid\-supply detection/mitigation systems where strategic, technical, or performance advantages justify internal investment
* Define and operationalize internal workflows and enforcement mechanisms to ensure scalable, consistent classification, mitigation, and quality control
* Partner closely with Engineering, Data Science, Policy, Business Operations, and GTM teams to ensure Moloco maintains industry\-leading supply integrity protections for advertisers
 Minimum Qualifications:
* 7\+ years of experience in product management related to programmatic adtech
* Programmatic adtech ecosystem expertise, with a specific focus on supply\-side mechanics
* Deep understanding of how ad exchanges operate, OpenRTB standards, and how SSPs connect into DSP systems
* Experience owning integrations with external exchanges, SSPs, or SDK\-based supply
* Hands\-on experience designing, deploying, or managing IVT detection methodologies and fraud prevention strategies within programmatic advertising environments
 Preferred Qualifications:
* Degree in Computer Science, Statistics, or a related technical/analytical field
* Deep understanding of publisher monetization models and their fraud/IVT concerns
* Strong market analysis capabilities—particularly in fraud tactics (SIVT, domain spoofing, ad stacking, click farms) and anti\-fraud solutions
* Experience evaluating and managing third\-party vendor solutions and strategic partnerships
* Proven leadership driving cross\-functional execution across engineering, data science, GTM, and operations
* Familiarity with publisher ad servers, targeting logic, and impression delivery workflows
* Hands\-on experience integrating external fraud/IVT detection partners or verification signals into internal systems—including ingestion, classification, and enforcement workflows
* Deep understanding of supply\-side performance metrics such as fill rate, bid density, latency, inventory quality signals, and how IVT mitigation impacts them
* Technical understanding of ad\-serving mechanics from bid request to creative rendering
 The Impact You'll Be Contributing to Moloco:
* Own and drive the multi\-year roadmap for Moloco’s Supply Integrity and IVT platform
* Launch fraud detection and mitigation capabilities that protect advertisers and ensure high\-quality supply
* Partner with Engineering, Data Science, GTM, Ops, Legal, and Policy to deliver high\-impact solutions
* Leverage internal and external signals to inform strategy, detection models, and enforcement mechanisms
* Stay ahead of emerging IVT threats and industry trends, defining new standards and protections
* Build scalable operational workflows for classification, enforcement, monitoring, and issue response
* Define integration requirements for third\-party fraud/verification partners
* Resolve supply\-integrity issues and implement long\-term, systemic fixes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$201,600—$252,000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46">
      <c r="A46" t="inlineStr">
        <is>
          <t>li-4367876981</t>
        </is>
      </c>
      <c r="B46" t="inlineStr">
        <is>
          <t>Senior Product Manager, Performance Platform &amp; Integrations</t>
        </is>
      </c>
      <c r="C46" t="inlineStr">
        <is>
          <t>RemoteHunter</t>
        </is>
      </c>
      <c r="D46" t="inlineStr">
        <is>
          <t>linkedin</t>
        </is>
      </c>
      <c r="E46" t="inlineStr"/>
      <c r="F46" t="inlineStr"/>
      <c r="G46" t="inlineStr"/>
      <c r="H46" t="inlineStr"/>
      <c r="I46" t="inlineStr">
        <is>
          <t>About the Opportunity:
 This organization provides a data governance layer that makes web analytics tools HIPAA\-compliant for healthcare businesses. It enables healthcare marketers to promote access to care while safeguarding patient privacy by automating HIPAA compliance for websites and apps. The core product helps healthcare providers manage customer data securely and serves as a platform for building marketing applications. The role focuses on building and maintaining integrations connecting diverse revenue events such as appointments, billing, and clinical outcomes into the data platform, supporting bottom\-of\-funnel marketing efforts.
 Responsibilities:
 • Architect and maintain a growing ecosystem of integrations with EHRs (e.g., Epic), booking platforms (e.g., Solv), and billing systems.
 • Identify and explore new potential data source integrations to support advertising and marketing performance.
 • Manage reconciliation and alignment through scalable platform logic as the bottom\-of\-funnel network expands.
 • Collaborate with the Identity Team, Ad Platform Team, and Insights Team to resolve user journeys, align top\-of\-funnel signals, and power ROI\-driving recommendations.
 • Use AI tools daily to increase productivity, accelerate documentation, and automate complex data mapping.
 Requirements:
 • Experience as an integrations architect with a platform\-oriented view managing complex, disparate data sources at scale.
 • Outcome\-driven mindset focused on business and customer results.
 • Early adopter of AI tooling such as large language models, coding assistants, and data agents.
 • Collaborative strategist who understands the importance of fueling peer product teams with well\-integrated data.
 Benefits \&amp; Perks:
 • Competitive pay and generous equity with a 10\-year exercise window.
 • Fully remote within the U.S. with a $150/month coworking stipend.
 • Half\-day Fridays every week.
 • Unlimited paid time off with a required 2\-week minimum.
 • Top\-tier health, dental, and vision insurance (100% covered for employees, 80% for dependents).
 • Two annual “Treat Yourself” days featuring $100 and a day off.
 • Generous parental leave.
 • Twice\-yearly offsite gatherings.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
      <c r="A47" t="inlineStr">
        <is>
          <t>li-4347929354</t>
        </is>
      </c>
      <c r="B47" t="inlineStr">
        <is>
          <t>Sr. Product Manager - Pipe &amp; Valve</t>
        </is>
      </c>
      <c r="C47" t="inlineStr">
        <is>
          <t>Brady Corporation</t>
        </is>
      </c>
      <c r="D47" t="inlineStr">
        <is>
          <t>linkedin</t>
        </is>
      </c>
      <c r="E47" t="inlineStr"/>
      <c r="F47" t="inlineStr"/>
      <c r="G47" t="inlineStr">
        <is>
          <t>Milwaukee, WI</t>
        </is>
      </c>
      <c r="H47" t="inlineStr"/>
      <c r="I47" t="inlineStr">
        <is>
          <t>**What We Need**
 We are seeking a Senior Product Manager, who is responsible for their product category business, including strategy, P\&amp;L, roadmap, and pricing. This person works closely with engineering, operations, strategic sourcing, channel management and marketing to define, develop, implement and maintain the value proposition around the product line, incorporating product lifecycle management and marketing requirements to meet customer expectations. This person will conduct VOC and market research to build a strategic roadmap that will ensure product relevance, innovative advancements and meet revenue goals. They will work with research and development (internal or external teams) to define, build and launch new products.
**What You'll Be Doing**
* Owns and manages product category strategy and P\&amp;L to achieve established revenue, margin and profit goals
* Owns product lifecycle strategy for product offering
* Develops and implements new product roadmap based on voice of customer and market research
* Develops and executes pricing strategy for both list and off\-book pricing
* Maintains market position of products through competitive review
* Develops a comprehensive knowledge base of major market segments, the competitive environment, and key competitors that drives action for Sales, Marketing, and R\&amp;D.
* Works with Engineering, Operations and Strategic Sourcing to identify and execute cost out initiatives to maintain market competitiveness
* Partners with Marketing Communications on marketing materials, press releases and launch plans consistent with established value proposition
* Develops and implements marketing and sales strategies for specific product groups
* Collaborates with channel management to drive product positioning and sales for target markets
* Responsible for training both internal and external partners on product line to drive growth
* Measures success by organic growth, increasing gross margins and operating income, and a strong pipeline of new products
* Partners with R\&amp;D to drive development of product and platform extensions.
**What You Will Need To Be Successful**
* Bachelor's Degree in Engineering, Computer Science, or related technical field.
* Minimum of 5 years of product management experience
* Ability to interact with both internal stakeholders and external customers
* Experience creating and executing strategies
* Decision making skills to determine the most important initiatives and the drive to push them to completion
* Sufficient technical depth to fully understand product development tradeoffs and next best alternatives
* Up to 30% travel, international and domestic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48">
      <c r="A48" t="inlineStr">
        <is>
          <t>li-4368182152</t>
        </is>
      </c>
      <c r="B48" t="inlineStr">
        <is>
          <t>HPC/AI Product Manager</t>
        </is>
      </c>
      <c r="C48" t="inlineStr">
        <is>
          <t>Hewlett Packard Enterprise</t>
        </is>
      </c>
      <c r="D48" t="inlineStr">
        <is>
          <t>linkedin</t>
        </is>
      </c>
      <c r="E48" t="inlineStr"/>
      <c r="F48" t="inlineStr"/>
      <c r="G48" t="inlineStr">
        <is>
          <t>Spring, TX</t>
        </is>
      </c>
      <c r="H48" t="inlineStr"/>
      <c r="I48"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end\-to\-end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10\+ years minimum experience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\#unitedstates \#HPC \#ai \#mustrelocate \#Principal \#product \#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TCP\_05
 "The expected salary/wage range for this position is provided below. Actual offer may vary from this range based upon geographic location, work experience, education/training, and/or skill level.
 – United States of America: Annual Salary USD 152,000 \- 349,000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49">
      <c r="A49" t="inlineStr">
        <is>
          <t>li-4368179233</t>
        </is>
      </c>
      <c r="B49" t="inlineStr">
        <is>
          <t>HPC/AI Product Manager</t>
        </is>
      </c>
      <c r="C49" t="inlineStr">
        <is>
          <t>Hewlett Packard Enterprise</t>
        </is>
      </c>
      <c r="D49" t="inlineStr">
        <is>
          <t>linkedin</t>
        </is>
      </c>
      <c r="E49" t="inlineStr"/>
      <c r="F49" t="inlineStr"/>
      <c r="G49" t="inlineStr">
        <is>
          <t>Texas, United States</t>
        </is>
      </c>
      <c r="H49" t="inlineStr"/>
      <c r="I4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end\-to\-end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10\+ years minimum experience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\#unitedstates \#HPC \#ai \#mustrelocate \#Principal \#product \#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TCP\_05
 "The expected salary/wage range for this position is provided below. Actual offer may vary from this range based upon geographic location, work experience, education/training, and/or skill level.
 – United States of America: Annual Salary USD 152,000 \- 349,000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0">
      <c r="A50" t="inlineStr">
        <is>
          <t>li-4368182429</t>
        </is>
      </c>
      <c r="B50" t="inlineStr">
        <is>
          <t>Digital Asset Product Manager, Senior</t>
        </is>
      </c>
      <c r="C50" t="inlineStr">
        <is>
          <t>Western Alliance Bank</t>
        </is>
      </c>
      <c r="D50" t="inlineStr">
        <is>
          <t>linkedin</t>
        </is>
      </c>
      <c r="E50" t="inlineStr"/>
      <c r="F50" t="inlineStr"/>
      <c r="G50" t="inlineStr">
        <is>
          <t>Phoenix, AZ</t>
        </is>
      </c>
      <c r="H50" t="inlineStr"/>
      <c r="I50" t="inlineStr">
        <is>
          <t>**Job Title**
 Digital Asset Product Manager, Senior
**Location:**
 CityScape
**What You'll Do**
 As a Digital Asset Product Manager, Senior you’ll lead the strategy, development, and lifecycle management of Western Alliance Bank’s digital asset product suite. You’ll be responsible for defining product vision, driving innovation, and ensuring successful delivery of digital asset solutions that align with our business objectives and regulatory standards
* Define and execute the roadmap for WA’s digital asset products.
* Monitor market trends, competitive landscape, and emerging technologies to inform product decisions.
* Lead cross\-functional teams (engineering, compliance, operations) to design and launch digital asset solutions.
* Oversee end\-to\-end product lifecycle, from ideation to deployment and ongoing enhancements.
* Collaborate with internal teams and external partners to ensure alignment on product goals and timelines.
* Communicate product updates and performance metrics to senior leadership.
* Ensure all products adhere to regulatory requirements and internal risk frameworks.
* Partner with legal and compliance teams to maintain robust governance
**What You'll Need**
* 8\+ years of related experience in Product Management, Treasury Management Sales or similar field.
* Bachelor's degree in related field required.
* Previous leadership experience required.
* Advanced knowledge of general financial services or banking products and services.
* Advanced knowledge of applicable regulatory and legal compliance obligations, rules and regulations, industry standards and practices.
* Advanced knowledge of banking products, including treasury management, credit cards, as well as pricing dynamics. Market specific awareness. Experience in financial services or fintech environments preferred.
* Advanced experience with Product Management Methodology including new product launches, road mapping, business cases, product enhancements, communication and marketing plans, and robust executive management presentations and reporting development.
* Advanced knowledge of smart contracts and decentralized finance (DeFi) preferred.
* Advanced speaking and writing communication skills.
* Occasional travel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51">
      <c r="A51" t="inlineStr">
        <is>
          <t>li-4338135559</t>
        </is>
      </c>
      <c r="B51" t="inlineStr">
        <is>
          <t>Sr. Product Manager - Threat Detection Content (Hybrid)</t>
        </is>
      </c>
      <c r="C51" t="inlineStr">
        <is>
          <t>CrowdStrike</t>
        </is>
      </c>
      <c r="D51" t="inlineStr">
        <is>
          <t>linkedin</t>
        </is>
      </c>
      <c r="E51" t="inlineStr"/>
      <c r="F51" t="inlineStr"/>
      <c r="G51" t="inlineStr">
        <is>
          <t>Arlington, VA</t>
        </is>
      </c>
      <c r="H51" t="inlineStr"/>
      <c r="I51"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Product Management team is seeking an experienced Sr.Product Manager who is technical, collaborative, and truly excited about building great security products. In this role, you will bring your in\-depth knowledge of Threat Detection and SIEM verticals to help guide the evolution of CrowdStrike’s visibility, detection, and prevention technologies. You will work closely with engineering, researchers, product marketing, sales, support, and other product managers. You will bring existing knowledge about product management best practices and apply them in delivering significant new features and enhancements. The successful candidate will have the ability to interface and influence cross\-functional teams throughout the company.
*This is a hybrid opportunity, local to one of our USA offices (minimum of 3 days in office, or as needed).*
******What You’ll Do:******
* Define and manage the strategy and product roadmap for NG\-SIEM Content.
* Collaborate closely with CrowdStrike’s threat research teams, Data Science, and Engineering teams to understand threat and attack trends and proactively deliver cutting\-edge defenses.
* Partner with Marketing to define go\-to\-market strategies, thought leadership, messaging, product positioning, benefits, and target personas.
* Engage with Sales and Support to champion recent releases and guide future product direction.
* Conduct competitive analyses and maintain updated information on competitive activities.
* Work within a team of high\-performing product professionals in a collaborative environment.
******What You’ll Need:******
* 5\+ years of product management experience in Detection Content, SIEM, XDR, Cloud Security, Identity, or closely related security segments.
* Exceptional communication skills, both verbal and written, with the ability to translate and articulate positioning and technology effectively.
* A keen interest and understanding in new threat detection technologies, systems, and tools.
* Proven ability to collaborate with peers in research, engineering, and product marketing.
* Strong quantitative and business analysis skills.
* Ability to prioritize tasks effectively to meet deadlines and organizational goals.
* Demonstrated effectiveness in working with both local and remote teams.
* Knowledge of cloud security products and threat landscape is highly desirable.
* Willingness to travel up to 20% to customer and CrowdStrike locations worldwide.
* BA or BS degree in an applicable field or equivalent work experience; a Master's degree is desirable.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******What You’ll Need:******
* 5\+ years of product management experience in Detection Content, SIEM, XDR, Cloud Security, Identity, or closely related security segments.
* Exceptional communication skills, both verbal and written, with the ability to translate and articulate positioning and technology effectively.
* A keen interest and understanding in new threat detection technologies, systems, and tools.
* Proven ability to collaborate with peers in research, engineering, and product marketing.
* Strong quantitative and business analysis skills.
* Ability to prioritize tasks effectively to meet deadlines and organizational goals.
* Demonstrated effectiveness in working with both local and remote teams.
* Knowledge of cloud security products and threat landscape is highly desirable.
* Willingness to travel up to 20% to customer and CrowdStrike locations worldwide.
* BA or BS degree in an applicable field or equivalent work experience; a Master's degree is desirable.</t>
        </is>
      </c>
    </row>
    <row r="52">
      <c r="A52" t="inlineStr">
        <is>
          <t>li-4328585246</t>
        </is>
      </c>
      <c r="B52" t="inlineStr">
        <is>
          <t>Program Manager - Salesforce</t>
        </is>
      </c>
      <c r="C52" t="inlineStr">
        <is>
          <t>Thunder</t>
        </is>
      </c>
      <c r="D52" t="inlineStr">
        <is>
          <t>linkedin</t>
        </is>
      </c>
      <c r="E52" t="inlineStr"/>
      <c r="F52" t="inlineStr"/>
      <c r="G52" t="inlineStr">
        <is>
          <t>Washington, DC</t>
        </is>
      </c>
      <c r="H52" t="inlineStr"/>
      <c r="I52" t="inlineStr">
        <is>
          <t>**Program Manager – Salesforce Federal Delivery**
**Location:** 
 Remote/Hybrid (US\-based, DC Metro Area). In\-person expectations include visits with customers, Salesforce offices, and to Thunder offices in Tysons Corner, VA.
**Employment Type:** 
 This is a contingent role based upon a successful bid award.
**Role Summary**
 We’re seeking a Federal Program Manager, who plays a key leadership role in driving the successful delivery of complex Federal Salesforce Public Sector solutions.
 This role is accountable for managing scope, schedule, budget, and compliance requirements across multiple projects within a Federal program. The Program Manager ensures alignment between mission objectives, contractual requirements, and overall program strategy. This position requires strong leadership, governance, and planning capabilities, as well as experience operating at the intersection of business strategy, digital delivery, and client management.
**Responsibilities**
* Manage overall Federal program delivery, ensuring adherence to scope, timeline, and budget across the program’s Salesforce Public Sector initiatives.
* Serve as the primary point of contact for cleared Federal stakeholders, facilitating communication and strategic alignment on Salesforce\-related goals.
* Track program performance metrics and provide transparent, timely communication through executive\-level status reports and program dashboards to Federal clients and internal leadership.
* Ensure all program documentation, deliverables, and reporting comply with Federal standards, including security and reporting requirements for Salesforce environments.
* Collaborate with architects, developers, Business Analysts (BAs), and Quality Assurance (QA) resources to ensure overall program success.
* Escalate critical risks and issues proactively and implement strategic mitigation strategies.
**Qualifications**
* 7\-10\+ years of IT program or project management experience, preferably in large\-scale Federal environments.
* 3\-5\+ years of proven experience managing programs that utilize Salesforce Government Cloud Plus, Service Cloud, Marketing Cloud, and/or Agentforce.
* Strong strategic planning, governance, and organizational skills.
* Exceptional stakeholder management and executive\-level communication skills.
* Proven ability to lead cross\-functional teams and manage complex programs in cleared delivery environments.
* US Citizenship Required, with ability and willingness to obtain security clearance(s).
* Bachelor's degree required.
* PMP, PgMP, CSM, or SAFe certification preferred.
**Why Thunder? Because You Deserve More Than Just a Job.**
* A Culture of Builders – We’re a remote\-first, global team of curious, collaborative problem\-solvers. You’ll have the opportunity to refine processes, solve challenges, and help shape the future of Salesforce and Amazon consulting. If you’re excited to build, innovate, and grow, you’ll fit right in.
* Forge Your Own Path – At Thunder, you’re not just filling a role—you’re shaping it. Whether it’s jumping into presales, refining our methodology, or building something entirely new, the opportunity to innovate is yours to take.
**Perks In Store For You**
* Comprehensive Benefits with Sequoia – Medical, Dental, Vision, and Employer\-Paid Life/Disability Insurance to keep you and your loved ones covered.
* Ownership \&amp; Impact – Stock options in a fast\-moving, high\-growth company. Every employee plays a part in what we’re building. Come make your mark!
* Level Up Your Career – Real opportunities to grow your Salesforce and Amazon expertise through mentorship, certifications, and hands\-on experience with cutting\-edge technology.
* People\-First Flexibility – We’re always listening, evolving, and adapting. Your feedback helps shape our policies, ensuring you can thrive \- professionally and personally.
 Research shows that women and people from underrepresented groups often apply to jobs only if they meet 100% of the qualifications. We recognize that it is highly unlikely that someone meets 100% of the qualifications for a role. If most of this job description describes you, then we encourage you to please apply for this role. Thunder is proud to be an Equal Opportunity employer, and is deeply committed to building and supporting our diverse team through inclusive, equitable hiring practices.
**Thunder does not accept unsolicited resumes from recruitment agencies. All resumes submitted by recruitment agencies to any employee via email, the Internet (including LinkedIn), or directly without a fully\-executed search agreement will be deemed the sole property of Thunder, and no fee will be paid in the event the candidate is hired.**</t>
        </is>
      </c>
    </row>
    <row r="53">
      <c r="A53" t="inlineStr">
        <is>
          <t>li-4311179539</t>
        </is>
      </c>
      <c r="B53" t="inlineStr">
        <is>
          <t>Product Manager - Holding &amp; Cooking</t>
        </is>
      </c>
      <c r="C53" t="inlineStr">
        <is>
          <t>InterMetro Industries Corporation</t>
        </is>
      </c>
      <c r="D53" t="inlineStr">
        <is>
          <t>linkedin</t>
        </is>
      </c>
      <c r="E53" t="inlineStr"/>
      <c r="F53" t="inlineStr"/>
      <c r="G53" t="inlineStr">
        <is>
          <t>Wilkes-Barre, PA</t>
        </is>
      </c>
      <c r="H53" t="inlineStr"/>
      <c r="I53" t="inlineStr">
        <is>
          <t>Are you looking for an opportunity to contribute to an
 **innovative, industry leading** 
 company? InterMetro Industries is seeking an
 **Product Manager \- Holding \&amp; Cooking** 
 to join our
 **Product Management Department.**
 We’re seeking a passionate and strategic Product Manager to lead the development and management of product in our Holding \&amp; Cooking product offering. This role is ideal for someone with a background in product management or culinary operations, especially in commercial kitchens or foodservice equipment development
 This is a highly visible role within the organization that represents a fantastic opportunity to make a real difference—influencing product innovation, customer satisfaction, and business growth.
 You’ll work cross\-functionally with engineering, marketing, sales, and our customer base to define product strategy, drive innovation, and ensure our solutions meet the evolving needs of chefs and foodservice operators.
**Primary Responsibilities**
* Own the product roadmap from concept through end\-of\-life.
* Conduct market research, customer interviews, and competitive analysis to identify opportunities.
* Translate customer needs into product requirements and specifications.
* Collaborate with R\&amp;D and engineering to develop new features and enhancements.
* Partner with customers and culinary experts to validate performance and usability in real\-world kitchen environments.
* Support go\-to\-market strategies, including pricing, positioning, and sales enablement.
* Monitor product performance and customer satisfaction, and drive continuous improvement
* Possesses knowledge and understanding of the Code of Business Ethics. Contributes to a workplace environment that is conducive to the maintenance of the Code. Remains alert and sensitive to situations that could result in actions by an employee that are illegal, unethical, in violation of the Code or the policies and procedures that support the Code. Reports actual or perceived violations of the Code or Company policies and procedures for appropriate action
* Other duties, as assigned.
**Qualifications**
**Education:** 
 Bachelor’s degree in culinary arts, hospitality management, engineering, marketing, business, or other relevant major.
**Work Experience:** 
 3\+ years of experience in product management, culinary operations, or foodservice equipment marketing, sales, or development.
 Additional preference will be given to candidates with the experience in the following areas (experience is preferred but not required):
* Strong understanding of commercial kitchen workflows and cooking processes.
* Experience working with or developing hot holding or cooking equipment is a plus.
* Excellent communication and collaboration skills.
* Ability to translate technical concepts into customer\-centric solutions.
* Culinary degree or hands\-on kitchen experience is a strong advantage.
**What We offer!**
* Growth potential
* Ability to make an impact in an industry leading organization
* Health \&amp; wellness offerings
* Excellent benefit package
* Employee developmental programs
* Challenging and fun atmosphere: we love what we do, take pride in our work, and have fun doing it!
 InterMetro Industries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No calls or agencies please. InterMetro Industries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Relocation assistance is not available for this position. If you need an accommodation to apply for this position, please email</t>
        </is>
      </c>
    </row>
    <row r="54">
      <c r="A54" t="inlineStr">
        <is>
          <t>li-4368011178</t>
        </is>
      </c>
      <c r="B54" t="inlineStr">
        <is>
          <t>Program Manager</t>
        </is>
      </c>
      <c r="C54" t="inlineStr">
        <is>
          <t>Cape Cod Foster Closet</t>
        </is>
      </c>
      <c r="D54" t="inlineStr">
        <is>
          <t>linkedin</t>
        </is>
      </c>
      <c r="E54" t="inlineStr"/>
      <c r="F54" t="inlineStr"/>
      <c r="G54" t="inlineStr"/>
      <c r="H54" t="inlineStr"/>
      <c r="I54" t="inlineStr">
        <is>
          <t>**Position Overview** 
 The Program Manager plays a key role in the day\-to\-day administrative and programmatic success of the Cape Cod Foster Closet. They will work closely with the Executive Director and volunteer leadership to ensure efficient operations, effective service delivery, and excellent community presence.
**Responsibilities** 
 Operations and Communications
* Manages daily administrative tasks: mailing, banking, and receipt tracking
* Maintains Customer Relations Management database
* Assists marketing efforts through web, print, and social media outlets
* Supports Director in creating reports for Board of Directors and public
 Programming
* Staffs a minimum one store shift each week
* Plans and implements three annual giveaway events
* Coordinates supply drives hosted by community members and organizations
 Volunteer Coordination
* Leads monthly volunteer orientation sessions in Orleans and Falmouth
* Assists volunteers in determining appropriate roles/activities
* Supports volunteer communication and appreciation
 Other Responsibilities, to be determined
**Qualifications** 
* 3\+ years in program management, ideally in the nonprofit sector
* Excellent interpersonal, leadership, and communication skills
* Strong organizational abilities and attention to detail
* Technical proficiency with Microsoft Office and Google Drive, CRM databases preferred
* Willingness to support an eclectic variety of needs
* Independent transportation
* Ability to lift 15 pounds
 Please send your resume and cover letter to info@capecodfostercloset.org by February 28, 2026 to apply.
 Go to our website for more information: https://capecodfostercloset.org/join\-our\-team\-program\-manager\-cape\-cod\-foster\-closet/</t>
        </is>
      </c>
    </row>
    <row r="55">
      <c r="A55" t="inlineStr">
        <is>
          <t>li-4247323706</t>
        </is>
      </c>
      <c r="B55" t="inlineStr">
        <is>
          <t>Senior Program Manager - Product Development</t>
        </is>
      </c>
      <c r="C55" t="inlineStr">
        <is>
          <t>Harley-Davidson Motor Company</t>
        </is>
      </c>
      <c r="D55" t="inlineStr">
        <is>
          <t>linkedin</t>
        </is>
      </c>
      <c r="E55" t="inlineStr"/>
      <c r="F55" t="inlineStr"/>
      <c r="G55" t="inlineStr">
        <is>
          <t>Wauwatosa, WI</t>
        </is>
      </c>
      <c r="H55" t="inlineStr"/>
      <c r="I55" t="inlineStr">
        <is>
          <t>**Auto req ID: 38125
 Title: Senior Program Manager \- Product Development
 Job Function: Engineering
 Location: PDC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The Harley\-Davidson Motor Company Product Development Center (PDC) located in Wauwatosa, WI is home to the mantra – You dream it. We build it. Join our team as a Senior Program Manager \- Product Development.
**Job Summary**
 The Senior Program Manager (PM) – Motorcycle Development Excellence (MDE) will support our organization’s vision to improve efficiency throughout the Product Development Process. In this role, the successful candidate will drive program operations and lead project teams in the development of strategy, processes, and tools. The PM will be the expert in their processes and required support tools and act as a change agent while leading the execution of assigned initiatives across Motorcycle Development.
**This Role**
* Identifies opportunities and develops requirements, resource needs, and timeline to implement.
* Takes an active role in planning and executing projects from beginning to end independently or, at times, while also leading one or more business analysts.
* Builds strong connections with cross\-functional peers.
**WHAT You DO**
* Drive Strategic Initiatives: Support the execution and on\-time delivery of Product Development Excellence initiatives by collaborating with cross\-functional teams.
* Resource Planning \&amp; Management: Assist in balancing and prioritizing work across Motorcycle Development, ensuring accurate tracking, and proactively work with leaders to resolve resource gaps.
* Data\-Driven Insights: Analyze data to generate actionable insights and support continuous improvement efforts across product development operations.
* Process \&amp; Tool Optimization: Enhance the user experience of Product Development teams by building complimentary processes and enabling digital tools that improve quality, reduce friction, and unburden team members from non\-value\-added work. Foster a culture of continuous improvement and operational efficiency.
**HOW You Work**
* Program Culture: Consistently center the team on what is most important and why. Mitigate dysfunction and waste by continually refining program operations to ensure efficient, consistent, and effective execution (e.g., process, tools, communications). Clarify who is responsible for deliverables and timing and hold them accountable. Empower individuals and get decisions made at lowest level practical and ensure all stakeholders at all levels embrace their primary role.
* Communication: Build critical cross\-functional support and alliances by listening to understand key deliverables and developing solutions that deliver most efficiently to our business goals. Provide clarity throughout the program with clear written / verbal communication and driving team through ambiguity.
* Inspiration: Drive effective transformation through creative and strategic problem solving. Drive a culture of innovation by rethinking conventional approaches to product development process and metrics.
**Education Requirements**
* Bachelor’s Degree Required.
* Technical or Engineering degree preferred.
**Experience Requirements**
* Typically requires a minimum of 3\-5 years of program management experience in new product development.
* Design engineering and/or product development delivery is highly recommended.
* Program management certification and experience in process development/change management is ideal.
* Demonstrated experience in requirements gathering and user\-story workshopping/mapping.
* Understanding of enterprise\-wide application strategies and management, such as ERP, PLM, ALM, PPM.
* Demonstrated ability to successfully lead projects with proficiency in the use of program management methodologies (Agile/Sprint) and tools (JIRA, Miro, MS Project etc).
* Experience with department\-wide resource management.
* Comfortable working with cross functional teams and reporting out to executive leadership.
* Proficiency with Microsoft Tool Suite, including Power Platform, and dealing with large abstract datasets is highly desired.
* Basic understanding of coding (VBA, DAX, Java, SQL, etc) and software development and configuration is preferred.
* Basic understanding of relational databases is preferred.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92,600 \- 143,400****
**Visa Sponsorship: This position is not eligible for visa sponsorship or visa transfer
 Relocation: This position is not eligible for relocation assistance**</t>
        </is>
      </c>
    </row>
    <row r="56">
      <c r="A56" t="inlineStr">
        <is>
          <t>li-4334489613</t>
        </is>
      </c>
      <c r="B56" t="inlineStr">
        <is>
          <t>Technical Program Manager Payments</t>
        </is>
      </c>
      <c r="C56" t="inlineStr">
        <is>
          <t>Elo Touch Solutions</t>
        </is>
      </c>
      <c r="D56" t="inlineStr">
        <is>
          <t>linkedin</t>
        </is>
      </c>
      <c r="E56" t="inlineStr"/>
      <c r="F56" t="inlineStr"/>
      <c r="G56" t="inlineStr">
        <is>
          <t>Milpitas, CA</t>
        </is>
      </c>
      <c r="H56" t="inlineStr"/>
      <c r="I56" t="inlineStr">
        <is>
          <t>We know touch \- it's our only business. In fact, we invented the touchscreen over 50 years ago and haven't stopped since. Elo is an industry leader in enterprise solutions, with a focus on Android computing, Android SDKs, and Cloud Management Software. Our technology is used by leading big box retailers, healthcare, restaurants, and within the manufacturing industry. Elo products are installed every 21 seconds around the globe! We obsess over details to exceed the highest quality standards. We don’t just sell things. We offer solutions to tomorrow’s challenges.
**Job Purpose \&amp; Responsibilities:**
* Manage the entire lifecycle of software projects within the payment’s initiative, from initiation to delivery. This includes planning, execution, and closing phases, ensuring projects meet time, budget, and quality standards.
* Serve as the primary point of contact for internal and external stakeholders, managing expectations and ensuring clear communication throughout the project lifecycle.
* Partner closely with engineering teams to define technical requirements, manage dependencies, and ensure scalable architecture decisions
* Drive alignment across product, engineering, QA, and compliance teams to ensure successful delivery of payment solutions.
* Coordinate developers, testers, and other key stakeholders, fostering collaboration and ensuring smooth project progression.
* Promote continuous improvements in project management and software development processes by adopting best practices and ensuring adherence to industry standards.
* Manage project budgets, monitor costs, and ensure efficient resource utilization, contributing to the overall financial health of the projects.
* Identify, assess, and mitigate project risks, ensuring timely resolution of issues to minimize their impact on project deliverables
* Regularly report project status to management and ensure all projects comply with relevant regulations and standards.
* Other reasonable directives, responsibilities and activities may change or be assignedat any time with or without notice.
* Other duties and responsibilities as assigned by manager.
**Minimum Qualifications:**
* A Bachelor’s degree in computer science, information technology, or a related field.
* At least 5\-years of experience in project management, preferably in the technology and payments industry.
* Payments industry experience mandatory.
**Preferred Qualifications:**
* Proficiency in project management methodologies (e.g., Agile, Scrum) and tools (e.g., JIRA, Microsoft Office).
* Strong leadership capabilities with the ability to manage diverse teams and excellent communication skills for effective stakeholder engagement.
* Strong problem\-solving abilities and the capacity to work under pressure while maintaining clear strategic focus.
* A flexible approach to managing complex projects in a dynamic and changing environment.
* Direct experience with payment systems and an understanding of the unique challenges and opportunities in the payments landscape.
* Advanced degree preferred.
**Specific Professional Skills/Competencies:**
* Familiarity with software development tooling (e.g., GIT, Jenkins) and experience in managing software delivery projects.
* A proactive attitude towards identifying and implementing improvements in project management and software development processes.
* Demonstrated business ethics and a professional demeanor, leading by example and fostering a positive work environment.
**Physical Demands**
* Ability to lift up to OSHA single person lift requirements.
* Ability to sit, stand, bend, or walk for prolonged periods of time.
* Ability to travel domestically and internationally.
* Must be able to work a standard full\-time schedule.
* Must be able to work a hybrid schedule, in the Milpitas office on Tuesdays and Wednesdays.
*Elo Touch Solutions provides equal employment opportunities (EEO) to all employees and applicants for employment without regard to race, color, religion, sex, national origin, age, disability or genetics. In addition to federal law requirements, Elo Touch Solutions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*Elo Touch Solutions expressly prohibits any form of workplace harassment based on race, color, religion, gender, sexual orientation, gender identity or expression, national origin, age, genetic information, disability, or veteran status. Improper interference with the ability of Elo Touch Solutions employees to perform their job duties may result in discipline up to and including discharge.* 
*Elo Touch Solutions offers a competitive total compensation package. Benefits include Health, Dental, Vision, Life Insurance, Paid Vacation, 401K, Long and Short\-Term Disability, and Tuition Reimbursement. Starting compensation for this role typically ranges between $118,800\.00 \- $149,500\.00 annually is commensurate with experience relative to the position and may vary based on candidate geographical location.*</t>
        </is>
      </c>
    </row>
    <row r="57">
      <c r="A57" t="inlineStr">
        <is>
          <t>li-4303740889</t>
        </is>
      </c>
      <c r="B57" t="inlineStr">
        <is>
          <t>Program Manager, VoC</t>
        </is>
      </c>
      <c r="C57" t="inlineStr">
        <is>
          <t>SCAN</t>
        </is>
      </c>
      <c r="D57" t="inlineStr">
        <is>
          <t>linkedin</t>
        </is>
      </c>
      <c r="E57" t="inlineStr"/>
      <c r="F57" t="inlineStr"/>
      <c r="G57" t="inlineStr">
        <is>
          <t>Long Beach, CA</t>
        </is>
      </c>
      <c r="H57" t="inlineStr"/>
      <c r="I57" t="inlineStr">
        <is>
          <t>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
 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
 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
 At SCAN, we believe scale should strengthen—not dilute—our mission. We are building the future of care for older adults, grounded in purpose, accountability, and respect for the people and communities we serve.
**Job Description**
**About SCAN**
 SCAN Group is a not\-for\-profit organization dedicated to tackling the most pressing issues facing older adults in the United States. SCAN Group is the sole corporate member of SCAN Health Plan, one of the nation’s leading not\-for\-profit Medicare Advantage plans, serving more than 285,000 members in California, Arizona, Nevada, and Texas.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The Program Manager is responsible for overseeing our enterprise\-wide Voice of the Customer (VoC) program. They will lead the design, implementation, and ongoing evolution of our VoC program. This role will be pivotal in shaping our member\-obsessed culture by capturing, analyzing, and activating feedback from multiple touchpoints to drive meaningful change and inform business strategy. The VoC Program Manager will work across the organization (sales, marketing, product, operations, service, IT, etc.) to build a unified view of our members and transform feedback into actionable insights that will improve their experience and align with our business objectives \- to keep seniors healthy and independent.
**You Will**
* Partner across organization to define strategy, develop roadmap \&amp; implement new tools/technology to administer the program.
* Design and lead the enterprise\-wide Voice of the Customer program, including program structure, governance, and feedback loop processes.
* Define and implement processes and tools for collecting, aggregating, and analyzing customer insights from multiple sources (e.g., surveys, social media, contact center transcripts, NPS, product reviews, digital behavior).
* Partner with key stakeholders across departments to embed VoC insights into strategic planning, service design, and continuous improvement initiatives.
* Establish and track key metrics to measure the impact of VoC initiatives on customer satisfaction, loyalty, and business outcomes.
* Deliver regular reporting and insight summaries to leadership and functional teams, highlighting trends, root causes, and opportunities for action.
* Develop communication and change management strategies to ensure the organization acts on customer feedback and closes the loop with constituents.
* Serve as an internal advocate for the customer, driving alignment and prioritization around customer needs and expectations.
* Work across the organization to identify themes, root causes, and solutions to address potential abrasion points.
* We seek Rebels who are curious about AI and its power to transform how we operate and serve our members.
* Actively support the achievement of SCAN’s Vision and Goals.
* Other duties as assigned.
**Your Qualifications**
* Bachelor's degree or equivalent experience required
* 5\+ years of experience in customer experience, customer insights, or VoC program management.
* Proven experience building or evolving Voice of the Customer programs across channels and business units.
* Strong data analysis and storytelling skills, with the ability to translate insights into action.
* Experience working with CX tools and platforms (e.g., Medallia, Qualtrics, Verint, or similar).
* Excellent communication and facilitation skills with a track record of cross\-functional influence and collaboration.
* Experience with defining and implementing consumer\-centric processes, tools and technology, including change management.
* Understanding of customer journey mapping, experience design, and continuous improvement methodologies (e.g., Lean, Six Sigma, Agile).
* Healthcare experience preferred
* Customer\-Centric Thinking – Deep empathy for member needs and a passion for improving end\-to\-end experiences.
* Data Literacy – Ability to interpret quantitative and qualitative data from diverse sources to generate clear insights.
* Strategic Mindset – Skilled at connecting customer insights to business strategy and long\-term goals.
* Cross\-Functional Collaboration – Adept at working across departments and influencing stakeholders at all levels.
* Change Management – Capable of driving organizational adoption and action based on customer feedback.
* Communication \&amp; Storytelling – Excellent written and verbal communication skills; able to clearly convey findings and recommendations to technical and non\-technical audiences.
* Project Management – Strong organizational skills with the ability to manage multiple initiatives and meet deadlines.
* Tech Savvy – Comfortable with modern CX tools, survey platforms, data visualization tools (e.g., Tableau, Power BI), and CRM systems.
**What's in it for you?**
* Base Pay Range: $106,200 to $182,983 annually
* An annual employee bonus program
* Robust Wellness Program
* Generous paid\-time\-off (PTO)
* 11 paid holidays per year, 1 floating holiday, birthday off, and 2 volunteer days
* Excellent 401(k) Retirement Saving Plan with employer match
* Robust employee recognition program
* Tuition reimbursement
*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8">
      <c r="A58" t="inlineStr">
        <is>
          <t>li-4357441957</t>
        </is>
      </c>
      <c r="B58" t="inlineStr">
        <is>
          <t>Program Manager 1</t>
        </is>
      </c>
      <c r="C58" t="inlineStr">
        <is>
          <t>Mastercard</t>
        </is>
      </c>
      <c r="D58" t="inlineStr">
        <is>
          <t>linkedin</t>
        </is>
      </c>
      <c r="E58" t="inlineStr"/>
      <c r="F58" t="inlineStr"/>
      <c r="G58" t="inlineStr">
        <is>
          <t>O'Fallon, MO</t>
        </is>
      </c>
      <c r="H58" t="inlineStr"/>
      <c r="I5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Program Manager 1
*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(DQ) drives our culture and everything we do inside and outside of our company. With connections across more than 210 countries and territories, we are building a sustainable world that unlocks priceless possibilities for all.
* About AI \&amp; Decision Product Enablement (AI\&amp;DPE)
 AI \&amp; Decision Product Enablement (AI \&amp; DPE) is Mastercard’s innovation engine for AI\-driven decisioning at global scale. Our mission is to enable industry\-leading AI and decisioning products that power real\-time intelligence across the Mastercard network and beyond—delivering business agility with resiliency, availability, and elastic scalability.
 AI \&amp; DPE is comprised of multiple programs supporting over 50 different market facing products across Mastercard Services product groups which protect and enable our cardholders, deliver valuable services to our thousands of customers, and both enable significant revenue and protect Mastercard.
 We build and enhance products that process global volumes every second with latency measured in milliseconds, supporting hundreds of AI models and hundreds of thousands of business rules to protect and optimize commerce worldwide.
* The Role:
 The Program Manager 1 role provides coordination and execution support at the division level, ensuring that strategic initiatives are planned, organized, and delivered effectively. This role is responsible for managing the flow of work, aligning priorities, and maintaining structure across efforts that support the executive leadership office. It emphasizes organizing development and implementation activities, driving clarity in timelines and deliverables, and supporting operational rhythms that enable leaders to make informed decisions efficiently.
 In practice, this role contributes to the leadership office by bringing discipline to planning, guiding execution through structured processes, and ensuring that milestones and cross‑team activities remain on track. It serves as a connective function—translating strategy into coordinated actions, maintaining oversight of execution progress, and helping remove blockers that could impede delivery. Through consistent operational stewardship, the Program Manager 1 strengthens execution excellence and supports the organization’s ability to deliver on high‑priority initiatives.
**All About You**
* Strong written and oral communications
* Experience planning and organizing amidst changing and competing priorities
* Ability to represent team services with confidence to stakeholders and adjacent teams, organizing meetings and follow\-up actions as needed.
* Competent in identifying, tracking, and mitigating needed actions, risks and issues across programs, ensuring proactive communication and escalation.
* Comfortable working across both business and technical stakeholders, translating needs and ensuring clarity of scope, outcomes, and priorities.
* Solid critical thinking skills to apply to issues and topics to decern actions.
* Highly organized with strong communication skills, able to simplify complex information and craft clear, actionable narratives for diverse audiences.
* Proactive and outcome‑driven mindset, with the ability to take ownership of ambiguous spaces and bring structure where needed.
**Requirements**
* Bachelor's degree preferred (or demonstrated experience aligned to the position)
* Strong experience and familiarity with the Sharepoint suite of products, Microsoft Word, Powerpoint, and Excel is required.
* Experience with Confluence, One Note or other tools for organization management a plus.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$55,000 \- $88,000 USD</t>
        </is>
      </c>
    </row>
    <row r="59">
      <c r="A59" t="inlineStr">
        <is>
          <t>li-4367829264</t>
        </is>
      </c>
      <c r="B59" t="inlineStr">
        <is>
          <t>Staff Product Manager - Digital Strategy (Remote)</t>
        </is>
      </c>
      <c r="C59" t="inlineStr">
        <is>
          <t>Ad Hoc LLC</t>
        </is>
      </c>
      <c r="D59" t="inlineStr">
        <is>
          <t>linkedin</t>
        </is>
      </c>
      <c r="E59" t="inlineStr"/>
      <c r="F59" t="inlineStr"/>
      <c r="G59" t="inlineStr">
        <is>
          <t>Atlanta, GA</t>
        </is>
      </c>
      <c r="H59" t="inlineStr"/>
      <c r="I59"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60">
      <c r="A60" t="inlineStr">
        <is>
          <t>li-4339808438</t>
        </is>
      </c>
      <c r="B60" t="inlineStr">
        <is>
          <t>Sr. Program Manager, Partner Success, eero Partner Success</t>
        </is>
      </c>
      <c r="C60" t="inlineStr">
        <is>
          <t>Amazon</t>
        </is>
      </c>
      <c r="D60" t="inlineStr">
        <is>
          <t>linkedin</t>
        </is>
      </c>
      <c r="E60" t="inlineStr"/>
      <c r="F60" t="inlineStr"/>
      <c r="G60" t="inlineStr">
        <is>
          <t>San Francisco, CA</t>
        </is>
      </c>
      <c r="H60" t="inlineStr"/>
      <c r="I60" t="inlineStr">
        <is>
          <t>**Description**
 eero’s Partner Success team is looking for a detail\-oriented Sr. Program Manager to drive critical initiatives with our largest Internet Service Provider partners (ISPs), ensuring eero provides our ISPs with compelling value and enabling eero to strengthen and grow these important, strategic accounts. This senior position combines customer\-facing and internal program management responsibilities and is in charge of coordinating seamless integration, project execution, and collaboration across internal and external teams. In this role, you will partner closely with Principle Partner Success Managers to deliver exceptional results by meticulously tracking and documenting project deliverables and managing cross\-functional coordination while maintaining a professional demeanor in high\-visibility settings. You will be responsible for leading teammates and external ISP personnel to deliver projects on or ahead of schedule, and will be required to see around corners to anticipate and head\-off potential delays and roadblocks.
 Key job responsibilities
* Own end\-to\-end program management for critical initiatives with eero’s largest ISP partnerships, including tracking and managing partner integrations, deliverables, and timelines with exceptional attention to detail.
* Partner closely with Principle Partner Success Managers to drive strategic initiatives, ensuring ISP partnerships are successful and mutually beneficial.
* Maintain and update partner\-facing documentation, ensuring accuracy, clarity, and accessibility to support seamless collaboration.
* Facilitate cross\-functional collaboration by bringing together the right internal teams (e.g., engineering, product, marketing) to deliver on partnership commitments.
* Ensure alignment between eero’s product roadmap and partner needs, advocating for solutions that enhance customer and partner experiences. Document product requirements for review and prioritization.
* Track and follow up on partner feature requests and support tickets to ensure timely resolution and maintain clear communication with partners on progress.
* Participate in customer and partner meetings, including executive Quarterly Business Reviews (QBRs), to present progress, address challenges, and identify growth opportunities.
* Identify, design and pursue opportunities to expand partnerships, driving innovation and value for both eero and our ISPs.
* Monitor and report on partnership performance metrics, providing actionable insights to internal stakeholders and partners.
* Represent eero with a high level of professionalism in all partner interactions, fostering trust and long\-term relationships.
**About The Team**
 Partner Success is part of eero’s Operations team and is responsible for ensuring enterprise partners can onboard efficiently, escalate concerns easily, and ultimately deploy eero successfully to their customers. Along the way, we review partner requests, ensure eero teams are aligned on requirements, and drive cross\-functional efforts to meet external commitments. We help our partners develop their eero deployment strategy, manage their purchase and promotion agreements, and drive business performance.
**Basic Qualifications**
* 5\+ years of program or project management experience
* Experience owning program strategy, end to end delivery, and communicating results to senior leadership
* Experience using data and metrics to determine and drive improvements
* Experience in complex problem solving, and working in a tight schedule environment
* Experience leading process improvements
* Experience working cross functionally with tech and non\-tech teams
**Preferred Qualifications**
* Bachelor's degree, or MBA in business, data science, public administration, finance, engineering, human resources or related field
* Familiarity with WiFi technology, networking, or ISP operations is highly desirable but not mandatory.
* Proficiency with project management tools (e.g., Asana, Jira, or similar) and documentation platforms.
* Prior experience at Amazon or a similar fast\-paced, customer\-obsessed company is a plus.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A3127753</t>
        </is>
      </c>
    </row>
    <row r="61">
      <c r="A61" t="inlineStr">
        <is>
          <t>li-4368311461</t>
        </is>
      </c>
      <c r="B61" t="inlineStr">
        <is>
          <t>Remote Deputy Program Manager</t>
        </is>
      </c>
      <c r="C61" t="inlineStr">
        <is>
          <t>Jobgether</t>
        </is>
      </c>
      <c r="D61" t="inlineStr">
        <is>
          <t>linkedin</t>
        </is>
      </c>
      <c r="E61" t="inlineStr"/>
      <c r="F61" t="inlineStr"/>
      <c r="G61" t="inlineStr">
        <is>
          <t>New York, United States</t>
        </is>
      </c>
      <c r="H61" t="inlineStr"/>
      <c r="I61" t="inlineStr">
        <is>
          <t>This position is posted by Jobgether on behalf of a partner company. We are currently looking for a Deputy Project Manager \- REMOTE. In this role, you will play a critical part in supporting the Project Manager for a public sector communications office. Your efforts will help in the planning, coordination, and execution of significant initiatives that enhance public understanding of health and scientific research. Collaborating with various stakeholders, you will ensure the timely delivery of projects while maintaining high standards of quality. Your organized approach will contribute to the successful implementation of these impactful services.
**Accountabilities**
* Support the planning and execution of communications and outreach initiatives.
* Coordinate with cross\-functional teams and maintain project schedules.
* Monitor project deliverables and ensure compliance with agency standards.
* Assist in budget tracking and financial reporting.
* Facilitate communication among diverse stakeholders.
* Maintain accurate project documentation and status updates.
**Requirements**
* 8\+ years of experience in project management or related fields.
* Bachelor’s degree in communications, public health, or a relevant discipline.
* Strong leadership skills to manage cross\-functional teams effectively.
* Experience managing contract budgets and financial tracking.
* Proficient with Microsoft Office and project management tools.
* Ability to handle multiple projects in a fast\-paced environment.
**Benefits**
* Flexible work environment with remote options.
* Opportunity to make a significant impact in public health communications.
* Collaboration with a diverse group of professionals.
* Professional development and growth opportunities.
* Comprehensive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2">
      <c r="A62" t="inlineStr">
        <is>
          <t>li-4367875942</t>
        </is>
      </c>
      <c r="B62" t="inlineStr">
        <is>
          <t>Technical Program Manager III, Mechanical, Field Quality and Reliability</t>
        </is>
      </c>
      <c r="C62" t="inlineStr">
        <is>
          <t>Google</t>
        </is>
      </c>
      <c r="D62" t="inlineStr">
        <is>
          <t>linkedin</t>
        </is>
      </c>
      <c r="E62" t="inlineStr"/>
      <c r="F62" t="inlineStr"/>
      <c r="G62" t="inlineStr">
        <is>
          <t>New York, NY</t>
        </is>
      </c>
      <c r="H62" t="inlineStr"/>
      <c r="I62" t="inlineStr">
        <is>
          <t>Note: By applying to this position you will have an opportunity to share your preferred working location from the following:
 **Sunnyvale, CA, USA; Atlanta, GA, USA; New York, NY, USA** 
 .
 **Minimum qualifications:**
* Bachelor's degree in a technical field, or equivalent practical experience.
* 5 years of experience in program management.
* 5 years of experience in a reliability engineering and failure analysis related role in the electronics industry, a technical field, or equivalent practical experience.
* Experience using reliability modeling techniques such as weibull analysis, blocksim as well as accelerated life models for electronic, mechanical, and chemical failure mechanisms.
**Preferred qualifications:**
* 5 years of experience managing cross\-functional or cross\-team projects.
* 1 year of experience querying and analyzing large sets of data using SQL, or comparable Programming languages (e.g., Python, C/C\+\+).
* Knowledge of data center facilities and operations, with understanding of electrical, mechanical, safety design approaches, electrical systems, and power distribution networks.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is a US based role.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li-4367887064</t>
        </is>
      </c>
      <c r="B63" t="inlineStr">
        <is>
          <t>Technical Program Manager III, Mechanical, Field Quality and Reliability</t>
        </is>
      </c>
      <c r="C63" t="inlineStr">
        <is>
          <t>Google</t>
        </is>
      </c>
      <c r="D63" t="inlineStr">
        <is>
          <t>linkedin</t>
        </is>
      </c>
      <c r="E63" t="inlineStr"/>
      <c r="F63" t="inlineStr"/>
      <c r="G63" t="inlineStr">
        <is>
          <t>Sunnyvale, CA</t>
        </is>
      </c>
      <c r="H63" t="inlineStr"/>
      <c r="I63" t="inlineStr">
        <is>
          <t>Note: By applying to this position you will have an opportunity to share your preferred working location from the following:
 **Sunnyvale, CA, USA; Atlanta, GA, USA; New York, NY, USA** 
 .
 **Minimum qualifications:**
* Bachelor's degree in a technical field, or equivalent practical experience.
* 5 years of experience in program management.
* 5 years of experience in a reliability engineering and failure analysis related role in the electronics industry, a technical field, or equivalent practical experience.
* Experience using reliability modeling techniques such as weibull analysis, blocksim as well as accelerated life models for electronic, mechanical, and chemical failure mechanisms.
**Preferred qualifications:**
* 5 years of experience managing cross\-functional or cross\-team projects.
* 1 year of experience querying and analyzing large sets of data using SQL, or comparable Programming languages (e.g., Python, C/C\+\+).
* Knowledge of data center facilities and operations, with understanding of electrical, mechanical, safety design approaches, electrical systems, and power distribution networks.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is a US based role.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li-4345979235</t>
        </is>
      </c>
      <c r="B64" t="inlineStr">
        <is>
          <t>Senior Product Owner, Human Capital Management (HCM) Services</t>
        </is>
      </c>
      <c r="C64" t="inlineStr">
        <is>
          <t>American Society of Clinical Oncology (ASCO)</t>
        </is>
      </c>
      <c r="D64" t="inlineStr">
        <is>
          <t>linkedin</t>
        </is>
      </c>
      <c r="E64" t="inlineStr"/>
      <c r="F64" t="inlineStr"/>
      <c r="G64" t="inlineStr">
        <is>
          <t>Alexandria, VA</t>
        </is>
      </c>
      <c r="H64" t="inlineStr"/>
      <c r="I64" t="inlineStr">
        <is>
          <t>**Are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ASCO offers competitive salaries, an excellent benefits package, and opportunities to participate in professional development programs. To learn what it’s like to work at ASCO, click here.
**Who we are looking for:** 
 ASCO is in search of a Senior Product Owner to lead product definition and delivery, acting as the voice of the customer for the ASCO’s workforce, talent, and transactional management systems. This role is responsible for partnering with the HCM business stakeholders, Enterprise Business System (EBS) squad, and the Portfolio Leader to define and execute on the product roadmap for Workday HCM and other potential systems supporting HCM.
 The successful candidate will possess strong domain expertise in modern HCM practices, SAFe principles, and effectively collaborate with HR, Finance, and Legal teams to drive operational efficiencies and improve employee experience.
 Remote candidates welcome or at primary location in Alexandria, VA.
**Responsibilities**
* Act as the voice of the customer to prioritize product backlog epics, features, and stories for Workday HCM (or equivalent HCM systems) focusing on Core HR functions, Recruiting, Learning, Talent Management, Benefits, Payroll, and Employee Time and Expense modules. This includes owning stories related to system configuration, security role management, and functional reporting capabilities.
* Partner with the business analysts to draft concise epics, features, stories and ensure all required metadata is captured to enable an accurate product roadmap and reporting.
* Ensure the operational integrity and compliance of Payroll and Time Tracking processes, translating complex legislative and regulatory changes into actionable backlog items for the squad.
* Draft well defined user stories and work with the engineering team to create acceptance criteria, definitions of done and failures.
* Manage the technical integrity and interoperability of the HCM platform within the enterprise ecosystem. This includes owning and prioritizing technical stories necessary for seamless and secure data exchange with the Oracle Financial Cloud and Enterprise Performance Planning platforms, external payroll and benefits vendors, and OKTA user provisioning.
* Actively participate in delivery squad ceremonies (Sprint Planning, Daily Stand\-ups, Sprint Review, Sprint Retrospective), and portfolio\-level events (quarterly planning, enterprise\-level retrospective and innovation ceremonies, system demos).
* Work with the Portfolio Leader and HR and Finance stakeholders to measure and track the value delivered to the customers, focusing on user adoption and operational efficiencies.
* Contribute to the portfolio\-level product roadmap by drafting “Ideas” in the lean business case format in the Jira Product Discovery board for roadmap consideration based on customer insights.
* Partner with the Portfolio Leader, Finance product owners, business stakeholders, and squad to prepare for the quarterly planning events as well as enterprise\-level retrospective ceremonies.
* Define, validate and support user acceptance testing, particularly for new Workday release and Oracle HCM updates,
* Participate in release planning, coordinating with relevant teams, including the HR and Finance functional teams to ensure successful product launches and iterations.
**Required Education and Experience**
* Bachelor’s degree or equivalent years of experience as a Product Owner, Functional Consultant, or Business Analyst supporting Workday HCM or Oracle Cloud HCM
* 5 years of hands\-on experience in Workday HCM, Oracle HCM, or a comparable tier\-one HCM commercial\-off\-the\-shelf platform, including system configuration, implementation, and support, with proven knowledge of payroll and time and expense
* Experience in Agile ways of working, SAFe, Scrum, Disciplined Agile Delivery (DAD), project management, and process improvement
* Strong ability to articulate concepts, plans and facilitate working sessions with cross functional teams
* 5 \+ years of experience in working with cross functional global teams
* Hands on experience with product management tools such as Jira, Jira Product Discovery, Confluence and other similar platforms
**Preferred Education and Experience**
* SAFe Product Owner/Product Manager (POPM) certification
* Experience ensuring data compliance and security standards, especially concerning sensitive HR and PHI data
* Experience with SAAS, PAAS, mobile apps, back\-office systems, hardware, and services and various product categories a plus
* Experience building custom reports and integrations and supporting the growth and development of data analytics tools
**Competencies**
* Strong facilitation, communication and presentation skills
* Ability to manage competing priorities and deliver value in complex environments
* General knowledge of privacy compliance
* Strong analytical, troubleshooting, and technical understanding
* Passion for creating best\-in\-class products and experiences, driving proven customer value
* Ability to lead without direct authority and influence stakeholders to align on the product vision and objectives
* Ability to synthesize business needs and communicate requirements effectively across technical and non\-technical audiences
* Ability to think critically and solve multifaceted challenges/opportunities, analyze and solve complex problems
* Understand business goals, market trends, and customer needs
* Excellent time management and prioritization skills
* Strong interpersonal and customer service skills
**ADA/Physical Requirements**
 Must lift up to 30 lbs.
 Extended periods seated or standing at a desk
 High use of computer and other office technology equipment
**Travel**
 11\-20 days/yr
**Generous Benefits Package:** 
* Hybrid Work Environment
* Open Leave Policy
* Paid Family Leave
* 13 Paid Holidays per Calendar Year
* Staff Appreciation Days
* 401(k): 7\.5% Employer Contribution
* Medical/Dental/Vision
* Employee Assistance Program
* Fertility and Family Forming
* Healthcare Concierge
* Flexible Spending Account(s)
* Healthcare Savings Account
* Disability and Life Insurance
 Applications are accepted and reviewed on a rolling basis. The job posting will remain active throughout the candidate application evaluation process.
 The American Society of Clinical Oncology (ASCO) is an Equal Employment Opportunity (EEO) employer. It is the policy of the Company to provide equal employment opportunities to all qualified applicants without regard to race, color, national origin, sex, and religion.</t>
        </is>
      </c>
    </row>
    <row r="65">
      <c r="A65" t="inlineStr">
        <is>
          <t>li-4313083864</t>
        </is>
      </c>
      <c r="B65" t="inlineStr">
        <is>
          <t>Hardware New Product Introduction (NPI) Technical Program Manager - MultiCloud</t>
        </is>
      </c>
      <c r="C65" t="inlineStr">
        <is>
          <t>Oracle</t>
        </is>
      </c>
      <c r="D65" t="inlineStr">
        <is>
          <t>linkedin</t>
        </is>
      </c>
      <c r="E65" t="inlineStr"/>
      <c r="F65" t="inlineStr"/>
      <c r="G65" t="inlineStr">
        <is>
          <t>Santa Clara, CA</t>
        </is>
      </c>
      <c r="H65" t="inlineStr"/>
      <c r="I65" t="inlineStr">
        <is>
          <t>**Job Description**
 Oracle's Cloud Infrastructure OCI team is building Oracle’s 2 nd generation Infrastructure\-as\-a\-Service technologies that operate at high scale in a broadly distributed multi\-tenant cloud environment. Our customers run their businesses on our cloud, and our mission is to provide them with best in class compute, storage, networking, database, security, and a continuously expanding set of foundational cloud\-based services. One of the areas OCI is investing in heavily is Multi\-Cloud where Oracle cloud can be deployed in another cloud provider’s environment to allow our customers to leverage the best of both cloud technology providers have to offer.
 Our team is responsible for supporting the integration of Oracle cloud hardware in external cloud provider’s environment, to ensure Oracle hardware can be seamlessly integrated into the non\-Oracle environment effectively and unimpededly.
 As a
 **Technical Program Manager** 
 , you will have a chance to work with some of the best minds in the industry to define and implement the hardware that enables our service teams to build the best\-in\-class services for our cloud customers. You will plan and direct schedules, monitor the projects from initiation through delivery, and organize cross\-team activities ensuring completion of the projects/products on schedule and within budget constraints. To facilitate on\-time product delivery, you will work with a variety of stakeholders to prioritize work, identify and resolve dependencies, and maintain organizational focus. You will provide leadership and expertise in the development of new products/services/processes, frequently operating at the leading edge of technology, and to recommend and justify major changes to existing products/services/processes. You will have the opportunity learn \&amp; document the detailed technology and requirements of external cloud vendor and utilize the knowledge to help adapting Oracle hardware for the other cloud operator’s environment.
**Responsibilities**
**Qualifications:**
* 5\+ years experience in managing large scale technical programs spanning multiple teams and organizations, from conception to delivery
* Extensive knowledge of Cloud Infrastructure technologies \&amp; processes
* knowledge in server/rack/networking hardware technology;
* Knowledge of cloud computing technologies across cloud providers
* Ability to understand, capture and document technical requirements, then leverage this knowledge to document Oracle hardware adaptation requirement \&amp; drive delivery
* Maturity, judgment, negotiation/influence skills, analytical skills, and leadership skills
* Excellent verbal and written communication skills
* Ability to succeed through collaboration and working through internal and external organizations and individuals
* Experience in hardware design/qualification is a big plus
* Experience in adapting hardware for international deployment is a big plus.
* Experience working with supply chain is a big plus
 The preferred locations for this position are in Seattle, Washington, Boston, MA and Santa Clara, CA.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6">
      <c r="A66" t="inlineStr">
        <is>
          <t>li-4285967798</t>
        </is>
      </c>
      <c r="B66" t="inlineStr">
        <is>
          <t>Program Manager</t>
        </is>
      </c>
      <c r="C66" t="inlineStr">
        <is>
          <t>Magna International</t>
        </is>
      </c>
      <c r="D66" t="inlineStr">
        <is>
          <t>linkedin</t>
        </is>
      </c>
      <c r="E66" t="inlineStr"/>
      <c r="F66" t="inlineStr"/>
      <c r="G66" t="inlineStr">
        <is>
          <t>Holland, MI</t>
        </is>
      </c>
      <c r="H66" t="inlineStr"/>
      <c r="I66"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The Mechatronics, Mirrors and Lighting group specializes in automotive technologies that are driving the future of mobility. Combining a deep systems knowledge to develop unique vehicle access experiences, intelligent visions systems and advanced automotive lighting technologies, MML's expertise light the path to innovation, safety and styling.
**Job Responsibilities**
 Provides expert technical leadership in coordinating, facilitating, motivating, and directing efforts of cross\-functional program teams and ensures efficient use of team resources. Develops and gains support for program objectives. Documents and monitors program objectives and ensures countermeasures are initiated to correct unfavorable variances. Works with internal and external resources to maintain strong customer relationships with dedication to customer program schedules. Ensures customer and Company requirements are met including cost, quality, timing, and other related aspects of programs. Participates in continuous improvement efforts. Researches, recommends, and initiates implementation of enhancements to products, processes and programs. Performs other duties as necessary and supervises and/or provides work direction to other staff.
**Requirements**
 Level I
 Bachelor’s degree plus minimum three (3\) years experience with project management including a broad understanding of product development engineering practices, principles, procedures, processes, etc.; or equivalent. Possesses specific knowledge, expertise, and is technically current in product development field. Experience in the automotive industry preferred. Demonstrated ability to carry out projects, broad in nature, from beginning to end in coordination with internal and external contacts. Strong organizational, project management, and leadership skills to prioritize, coordinate projects, manage conflicting needs, and deal with many issues at one time. Must be able to work independently under little or no supervision. Demonstrated strong written and verbal communication skills in order to effectively communicate with internal and external contacts and represent the Company in a professional manner when performing job duties. Must have excellent interpersonal skills to exercise influence at various levels and functions. Demonstrated ability to research and recommend new product/process program enhancements and participate in and initiate implementation of continuous improvement processes.
 Level II (in addition to above requirements)
 Minimum eight years experience in engineering or project/program management; or equivalent. Must have thorough and complete mastery of respective field. Must be broadly familiar with technologies, products, customers, and programs. Demonstrated leadership abilities in managing programs to meet goals (i.e. successful program launch). Demonstrated ability to work on long\-term assignments, broad in nature, using a high level of originality and ingenuity. Must be able to develop long\-term technical strategies/plans to meet future business needs and growth opportunities. Must be able to work independently with substantial latitude for unreviewed action or decision. Demonstrated ability to lead and manage several large and complex projects simultaneously. Must have experience with past project financial responsibilities. Demonstrated ability to lead and motivate others through support, training, etc. Must be able to manage staff toward departmental goals. Demonstrated ability to thoroughly research, recommend, and oversee implementation of new products, materials, processes, etc. and present information. Champions innovative opportunities to expand the organization’s current and future business.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**Worker Type**
 Regular / Permanent
**Group**
 Magna Mechatronics, Mirrors \&amp; Lighting</t>
        </is>
      </c>
    </row>
    <row r="67">
      <c r="A67" t="inlineStr">
        <is>
          <t>li-4357552175</t>
        </is>
      </c>
      <c r="B67" t="inlineStr">
        <is>
          <t>Clinical Program Manager - ABA PM</t>
        </is>
      </c>
      <c r="C67" t="inlineStr">
        <is>
          <t>DV Therapy Learning Center</t>
        </is>
      </c>
      <c r="D67" t="inlineStr">
        <is>
          <t>linkedin</t>
        </is>
      </c>
      <c r="E67" t="inlineStr"/>
      <c r="F67" t="inlineStr"/>
      <c r="G67" t="inlineStr">
        <is>
          <t>Bakersfield, CA</t>
        </is>
      </c>
      <c r="H67" t="inlineStr"/>
      <c r="I67" t="inlineStr">
        <is>
          <t>**Benefits:**
* 401(k)
* Competitive salary
* Health insurance
* Opportunity for advancement
* Training \&amp; development
 Are you passionate about transforming lives through evidence\-based behavioral support? DV Therapy is seeking a dedicated
 **ABA Program Manager** 
 to help design and oversee impactful ABA treatment programs. In this role, you’ll collaborate closely with a supervising BCBA to develop skill\-building plans, behavior interventions, and provide hands\-on training to staff and families. If you're driven by purpose and ready to make a difference, we want to meet you!
**Responsibilities**
* Design, evaluate, and refine individualized ABA treatment plans
* Conduct functional behavior assessments and analyze client data
* Monitor progress and adjust interventions to maximize outcomes
* Train and supervise interventionists and paraprofessionals in ABA techniques
* Provide coaching and consultation to parents and caregivers
* Maintain accurate documentation and submit timely reports
* Participate in staff meetings and ongoing professional development
* Embody and promote DV Therapy’s Core Values: Respect, Engaged \&amp; Driven, Super Flexible, Proficient, Empathetic, Communicative, Tenacious
**Qualifications**
* Master’s degree in Applied Behavior Analysis or related field
* Minimum 2 years of experience working with individuals with developmental disabilities or behavioral health needs
* Proven experience developing ABA programs for children with autism and related disorders
* Skilled in communication, parent training, and social skills interventions
* Strong interpersonal, organizational, and time management abilities
**Benefits Overview**
**About DV Therapy**
 DV Therapy is a multidisciplinary clinic offering ABA, Occupational Therapy, and Speech services in both in\-home and clinical settings. We’re committed to compassionate care, personalized treatment, and empowering our clients and staff to thrive.</t>
        </is>
      </c>
    </row>
    <row r="68">
      <c r="A68" t="inlineStr">
        <is>
          <t>li-4286950092</t>
        </is>
      </c>
      <c r="B68" t="inlineStr">
        <is>
          <t>Program Manager</t>
        </is>
      </c>
      <c r="C68" t="inlineStr">
        <is>
          <t>Nisga'a CIOPS</t>
        </is>
      </c>
      <c r="D68" t="inlineStr">
        <is>
          <t>linkedin</t>
        </is>
      </c>
      <c r="E68" t="inlineStr"/>
      <c r="F68" t="inlineStr"/>
      <c r="G68" t="inlineStr">
        <is>
          <t>Fort Lee, VA</t>
        </is>
      </c>
      <c r="H68" t="inlineStr"/>
      <c r="I68" t="inlineStr">
        <is>
          <t>**Overview**
 Please note that this position is contingent upon the successful award of a contract currently under bid.
 Dedicated to serving those who defend the US and warfighters, Nisga’a MOSTT offers Military Operations support and Specialized Tactical Training (MOSTT). Nisga’a MOSTT’s services include aviation and military training, cybersecurity, intelligence gathering and analysis, and simulation and exercise support, as well as aviation flight logistics support and unmanned aerial vehicle support.
**Summary:**
 The Program Manager will lead and oversee all aspects of contract execution in support of Army Futures Command (AFC) Sustainment Capabilities Development and Integration Directorate (SCDID). This role ensures timely delivery of contract deliverables, quality assurance, and effective coordination with government stakeholders. The Program Manager will be responsible for developing and maintaining the Program Management Plan (PMP), Quality Control Plan (QCP), and consolidated reporting to support modernization and sustainment initiatives.
**Responsibilities**
**Essential Job Functions:**
* Ensure alignment of contract execution with AFC SCDID objectives and modernization priorities.
* Develop and maintain a Quality Control Plan (QCP) to ensure services meet all contract requirements.
* Monitor performance, prevent recurrence of defective services, and implement corrective actions as needed.
* Provide an organizational chart detailing team structure, roles, qualifications, and responsibilities.
* Ensure all team members are aligned with contract deliverables and performance standards.
* Attend post\-award conferences and periodic progress meetings with the Contracting Officer, COR, and other government personnel.
* Participate in scheduled and unscheduled meetings, briefings, and conferences, including those outside regular duty hours.
* Ensure appropriate contractor personnel are present and prepared to provide input and updates.
* Submit a Monthly Status Report (MSR) detailing actions taken, issues encountered, and recommended solutions.
* Provide Significant Activity Reports (SIGACTs) summarizing key meetings and events, using government\-provided formats.
* Prepare and present briefings upon request to support contract tasks and inform stakeholders.
* Perform other duties as assigned.
**Qualifications**
**Necessary Skills and Knowledge:**
* Strong understanding of Army sustainment and modernization processes
* Excellent communication, leadership, and organizational skills
* Proficiency in Microsoft Office Suite and project management tools
**Minimum Qualifications:**
* Minimum 10\+ years of experience in program or project management, preferably in a DoD or federal contracting environment
* Proven experience managing complex contracts and cross\-functional teams
**Preferred Qualifications:**
* Bachelor’s degree in Business Administration, Project Management, or related field.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69">
      <c r="A69" t="inlineStr">
        <is>
          <t>li-4283664029</t>
        </is>
      </c>
      <c r="B69" t="inlineStr">
        <is>
          <t>Senior Technical Program Manager - Ground Systems</t>
        </is>
      </c>
      <c r="C69" t="inlineStr">
        <is>
          <t>Astranis Space Technologies</t>
        </is>
      </c>
      <c r="D69" t="inlineStr">
        <is>
          <t>linkedin</t>
        </is>
      </c>
      <c r="E69" t="inlineStr"/>
      <c r="F69" t="inlineStr"/>
      <c r="G69" t="inlineStr">
        <is>
          <t>San Francisco, CA</t>
        </is>
      </c>
      <c r="H69" t="inlineStr"/>
      <c r="I69"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 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 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 Ground Systems
 As the Technical Program Manager for the Ground system, you will work with teams across Astranis to drive all aspects of Ground program execution including software and hardware development and operations. This is a specialized high\-impact, high\-visibility role within the Technical Program Management team and is focused on leading and managing the ground\-based infrastructure and systems that support satellite operations and missions.
 Role
* Develop integrated schedule for Ground infrastructure and operations including antenna and hub system development, deployment and operation of our global antenna network
* Drive priorities and execution of Ground development activities
* Work cross\-functionally with Engineering, Sales, Regulatory, Supply Chain and Finance to remove day\-to\-day execution obstacles and keep the program on schedule
* Identify and drive risks to closure
* Communicate and track progress effectively
* Negotiate with internal stakeholders and work with international customers on Ground infrastructure development and mission operations
* Develop company\-wide program management processes and initiatives
* Support trade studies, reviews (SRR, PDR, CDR, TRR), and anomaly resolution efforts
**Requirements**
* Expertise in developing and managing program schedules and complex interdependencies using tools like Smartsheet or Project
* Bachelor of Science (or similar) degree in a related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software and operations programs
* \&gt;3 years engineering management or project management experience
* Experience deploying and scaling operations and infrastructure internationally
 Bonus
* Familiarity with Smartsheet, Jira, and Confluence
* Experience in the satellite communication industry or related fields is a plus
* Experience with US Government satellite architectures and requirements
* Experience with telecommunications and networks
**What we offer:**
 All our positions offer a compensation package that includes equity and robust benefits.
 Base pay is a single component of Astranis's total rewards package, which includes an great equity package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Base Salary
 $150,000—$210,000 USD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70">
      <c r="A70" t="inlineStr">
        <is>
          <t>li-4335062701</t>
        </is>
      </c>
      <c r="B70" t="inlineStr">
        <is>
          <t>AMER Regional Program Manager, Construction Program Management</t>
        </is>
      </c>
      <c r="C70" t="inlineStr">
        <is>
          <t>Amazon Web Services (AWS)</t>
        </is>
      </c>
      <c r="D70" t="inlineStr">
        <is>
          <t>linkedin</t>
        </is>
      </c>
      <c r="E70" t="inlineStr"/>
      <c r="F70" t="inlineStr"/>
      <c r="G70" t="inlineStr">
        <is>
          <t>Seattle, WA</t>
        </is>
      </c>
      <c r="H70" t="inlineStr"/>
      <c r="I70"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Amazon’s Data Centers are industry leading examples of innovation in the areas of security, safety, space utilization, efficiency, and cost effectiveness. We are the global team responsible for the construction of the Amazon owned sites. Our Construction Managers are on the forefront of creating and delivering the most innovative products to our customers; and are known for changing the face of cloud computing.
 This Regional Construction Program Manager, will help implement solutions focused on improving processes, streamlining workflows and creating tools used by the field execution teams to deliver capacity more efficiently. They will work closely with internal and external partner (General Contractors) teams to ensure industry best practices, and innovative ideas, are being considered when new programs are being adopted by the Construction team. The Regional Construction Program Manager will assist Sr. leadership on determining what key metrics, reports and goals are necessary for new and existing programs to achieve business objectives.
 Key job responsibilities
* Lead cross\-functional teams and manage programs and processes simultaneously.
* Engage with technical experts and key stakeholders to initiate new programs, including developing new processes and program documentation.
* Identify process and communications gaps, while developing and driving solutions.
* Develop and maintain lessons learned and establish mechanisms to share this with teams.
* Work closely with stakeholders on key program initiatives to develop and implement procedures and systems that continually improve and streamline the program.
* Drive simplification and automation to evolve processes, services, and solutions, to increase agility and efficiencies and lower costs.
* Establish a metrics\-driven, programmatic approach to strategic initiatives to develop improvements and efficiencies.
* Gather, define, refine, and drive requirements for program process, standards, and system Implementation requirements needed to monitor \&amp; report on construction programs across multiple geographic regions with little or no direction from management.
* Define \&amp; evaluate KPIs derived from program milestone, estimate, spend forecast, and cost/resource loaded schedule performance.
 A day in the life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Electrical Engineering, Mechanical Engineering, or a related field
* Experience carrying new design concepts through exploration, development, and into deployment or mass production
* Experience in MS Excel, Word, and Windows Operating Systems
* Experience with power management and power monitoring systems
**Preferred Qualifications**
* 5\+ years of project management in data centers or comparable critical infrastructure experience
* Knowledge of critical data center equipment
* Knowledge of engineering documentation, electrical diagrams and standard operating procedures
* Knowledge of building codes and regulations including Life Safety, BOCA, NFPA, NEC, or OSHA
* Experience in project management in data centers or comparable critical infrastructure
* Experience in Data Center Engineering Operations, with a deep understanding of electrical and mechanical data center infrastructure
* Experience reading and interpreting construction specifications and drawings for all domains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\- 109,700\.00 \- 183,300\.00 USD annually
**Company** 
 \- Amazon Data Services, Inc.
 Job ID: A3123267</t>
        </is>
      </c>
    </row>
    <row r="71">
      <c r="A71" t="inlineStr">
        <is>
          <t>li-4249973241</t>
        </is>
      </c>
      <c r="B71" t="inlineStr">
        <is>
          <t>Program Manager III</t>
        </is>
      </c>
      <c r="C71" t="inlineStr">
        <is>
          <t>The Henry M. Jackson Foundation for the Advancement of Military Medicine</t>
        </is>
      </c>
      <c r="D71" t="inlineStr">
        <is>
          <t>linkedin</t>
        </is>
      </c>
      <c r="E71" t="inlineStr"/>
      <c r="F71" t="inlineStr"/>
      <c r="G71" t="inlineStr">
        <is>
          <t>San Antonio, TX</t>
        </is>
      </c>
      <c r="H71" t="inlineStr"/>
      <c r="I71" t="inlineStr">
        <is>
          <t>**Job Description**
**Join the HJF Team!**
 This position is contingent on contract award.
 HJF is seeking a
 **Program Manager III** 
 to oversee a collection of related/integrated projects that together support a long\-term research initiative. This position strategically guides one or more project managers and related technical staff to ensure they are all working effectively toward the program’s stated objectives. Typically oversees moderate to highly complex scope of work.
 This position will be in support of the Naval Medical Research Unit San Antonio (NAMRU\-SA) at Fort Sam Houston. NAMRU\-SA is a major research and development center whose mission is to conduct gap driven combat casualty care, craniofacial, and directed energy research, to improve survival, operational readiness, and safety of Department of Defense (DoD) personnel engaged in routine and expeditionary operations. Its purpose is to provide non\-personal support services to NAMRU\-SA. Performance will include intramural research and development (R\&amp;D) support services for four (4\) scientific directorates and their respective departments: Directed Energy Health Effects Directorate (DEHE), Combat Casualty Care and Operational Medicine Directorate (CCC\&amp;OM), Craniofacial Health and Restorative Medicine Directorate (CH\&amp;RM), and Research Services Directorate (RSD).
 This effort primarily entails investigative studies which involve planning, coordinating, designing, and executing experimental protocols that meet both directorate\-level research objectives and the command mission.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 Reports directly to the Chief Science Director (CSD); provides senior level advisory role to program managers and analysts in scientific directorates.
* Assists the Government with gathering information for taskers and other requests for information (RFI).
* Maintains and organizes Government\-prepared research documents at a command level, including command scientific notebooks.
* Assists the Government with space utilization within the scientific directorates and makes recommendations accordingly.
* Assists CSD and scientific directorates in carrying out administrative and financial tasks related to research; works with Comptroller to resolve research funding\-related inquiries.
* Reviews and provides advice for business and growth plan for research to directorates.
* Tracks study expenditures and reports financial status related to research under contract to the Government.
* In collaboration with the Government, provides recommendations for yearly budgets related to research under contract.
* Submits Government approved proposals and grants via various websites (i.e., eBRAP, grants.gov, CDMRP, etc.)
* Verifies Government prepared documentation is available for various research meetings.
* Coordinates and schedules meetings on behalf of the CSD; takes minutes and provides to Director.
* Assists CSD and command suite with tours and scientific visitors.
**Supervisory Responsibilities**
* Direct Supervisor: Direct authority to make decisions on the following: employee hiring, disciplinary action, starting salaries and merit increases; conduct employee performance evaluations and directs work activities.
**Qualifications**
**Education and Experience**
* Bachelor's degree required plus 10 years of related experience OR Master’s degree plus 7 years of related experience.
**Required Knowledge, Skills And Abilities**
* In\-depth knowledge of federal budget processes and fundamental principles of project management
* Solid Interpersonal skills, including the ability to clearly communicate verbally and in writing, build and maintain teams, and identify and resolve problems
* Demonstrated ability to plan, schedule, and coordinate activities to meet deadlines
* Working knowledge of a variety of software including but not limited to Microsoft Office, proposal/project tracking, and data analysis software
* Prior experiences in the life sciences strongly preferred
* US Citizenship and the ability to obtain and maintain a Secret Clearance , including background check and drug screening.
* All staff required to enter the labs shall maintain current certification in American Heart Association Basic Life Support (BLS); American Heart Association Healthcare Provider Course; American Red Cross CPR (Cardio Pulmonary Resuscitation); or equivalent.
**Physical Capabilities**
* Lifting: Requires lifting materials up to 10 lbs.
* Ability to stand or sit at a computer for prolonged periods.
* Ability to climb, pull, and lift heavy objects.
**Licenses and Certifications**
* Project Management Professional (PMP) preferred.
**Work Environment**
* This position will take place primarily in a office setting.
**Benefits**
*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is>
      </c>
    </row>
    <row r="72">
      <c r="A72" t="inlineStr">
        <is>
          <t>li-4233343995</t>
        </is>
      </c>
      <c r="B72" t="inlineStr">
        <is>
          <t>Network and Infrastructure Program Manager</t>
        </is>
      </c>
      <c r="C72" t="inlineStr">
        <is>
          <t>MANTECH</t>
        </is>
      </c>
      <c r="D72" t="inlineStr">
        <is>
          <t>linkedin</t>
        </is>
      </c>
      <c r="E72" t="inlineStr"/>
      <c r="F72" t="inlineStr"/>
      <c r="G72" t="inlineStr">
        <is>
          <t>Gainesville, MS</t>
        </is>
      </c>
      <c r="H72" t="inlineStr"/>
      <c r="I72" t="inlineStr">
        <is>
          <t>**ManTech** 
 seeks a motivated, career and customer\-oriented
 **Midlevel Network and Infrastructure Program Manager** 
 to join our team in
 **Stennis, MS area** 
 .
 A Network and Infrastructure Program Manager performs independent quality assurance reviews of program performance and deliverables to ensure that contractual obligations are being met. Network and Infrastructure Program Managers are also recognized experts in the areas of cyber process and the protection of technical architecture. They lend thought leadership to engagement teams in developing creative solutions to client problems. In this role you will demonstrate overall accountability for Network engineering, operations, and maintenance support. You may also be responsible for product delivery and financial management of client engagements.
**Responsibilities Include, But Are Not Limited To**
* Oversees and manages the network and infrastructure programs collaborating and working close with other functional areas, stakeholders, and other vendors POCs whose support intertwines with the successful completion of the value stream’ collaborate and work with customer to define the requirements clearly and concisely documenting the requirements to be used to build the project plan and develop project schedule and artifacts; coordinates and collaborates with teams and stakeholders to develop and drive a plan with well\-defined milestones
* Coordinates and tracks the network and infrastructure project managers coordinating respective resources, establishing priorities, and tracking; manages and documents the cost, schedule, performance and risks associated with each project; tracks and manages risks with the project stakeholders; develops and provides project status update briefings for project team members and stakeholders
* Coordinates and collaborates with technical teams providing advice, staying abreast of technical solutions, and provide necessary cyber security resources to accomplish required actions
* Identifies functional and cross\-functional requirements and projects resources required for each task and implementation of solutions
* Analyzes existing business applications and Cloud platform technical requirements to ensure that functional, technical, and application migration changes adhere to global technology standard and advises stakeholders on cyber security status and needed upgrades, updates, and tech refresh to maintain required levels of cyber security posture
* Coordinates with different technical teams responsible for applications’ migration between development, test, Integration, and Production environments
* Analyze, review, recommend changes as appropriate for processes to keep processes efficient and aligned with mission, laws, regulations, and policies
**Minimum Qualifications**
* Bachelor’s Degree in Information Technology, Computer Science, Engineering or a related field
* 6\+ years experience overseeing and manaing the operation, management, technical refresh, upgrades, and overall secure and available operations of the enterprise network.
* Previous Network Operations Center (NOC) or IT Operations experience; hands\-on experience with Cisco routing, switching, and firewall technology
* Experience with primary network topologies, LANs, WANs and other common network standards; strong understanding of network protocols and technologies, including TCP/IP, DNS, DHCP, and QoS, MPLS; Very strong knowledge of routing protocols (e.g., BGP, EIGRP, OSPF) and network protocols (e.g., TCP/IP, GRE, IPSEC, and VRF)
* Experience with installation, configuration, problem resolution and maintenance of all network resources, systems and other IT\-related technologies.
* Technical certifications such as CCNA, CCNP, Virtualization, monitoring and troubleshooting tools
* IAM III/IAT III Certified
**Preferred Qualifications**
* PMP Certified
* One of the following certifications: Certified Business Analysis Professional (CBAP), Agile Certified Practitioner (PMI\-ACP), Certified Data Management Pr5ofessional (CDMP), Six Sigma Certification, ITIL4 Certified
* ServiceNow Certification
* Understanding of ITIL4 principles
**Clearance Requirements**
* Must have a current/active Secret clearance with the ability to obtain and maintain a TS/SCI.
* The ability to obtain and maintain a DHS EOD suitability is required prior to starting this position.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73">
      <c r="A73" t="inlineStr">
        <is>
          <t>li-4368333389</t>
        </is>
      </c>
      <c r="B73" t="inlineStr">
        <is>
          <t>Product Owner</t>
        </is>
      </c>
      <c r="C73" t="inlineStr">
        <is>
          <t>The Value Maximizer</t>
        </is>
      </c>
      <c r="D73" t="inlineStr">
        <is>
          <t>linkedin</t>
        </is>
      </c>
      <c r="E73" t="inlineStr"/>
      <c r="F73" t="inlineStr"/>
      <c r="G73" t="inlineStr">
        <is>
          <t>South Carolina, United States</t>
        </is>
      </c>
      <c r="H73" t="inlineStr"/>
      <c r="I73" t="inlineStr">
        <is>
          <t>Job Title: Product Owner \- Wealth Management (IBOR Mandatory)Location: Fort Mill, SCWork Model: HybridDuration\- Full\-TimeJob SummaryWe are seeking an experienced Product Owner with strong Wealth Management domain expertise and mandatory IBOR (Investment Book of Record) experience to lead product development initiatives supporting front\-office and investment operations. This role partners closely with business stakeholders, technology teams, and vendors to deliver scalable, high\-quality solutions aligned with strategic objectives.Key Responsibilities
* Own and manage the product backlog, ensuring alignment with business priorities and regulatory requirements
* Act as the primary liaison between wealth management business stakeholders and technology teams
* Translate business needs into clear user stories, acceptance criteria, and functional requirements
* Lead backlog grooming, sprint planning, and prioritization activities
* Ensure accurate representation and integration of IBOR data across systems (positions, transactions, cash, cost basis, performance, etc.)
* Collaborate with architects, developers, QA, and downstream consumers to deliver end\-to\-end solutions
* Support UAT, release planning, and post\-implementation reviews
* Identify dependencies, risks, and mitigation strategies throughout the delivery lifecycle
* Drive continuous improvement of product processes and data quality
 Required Qualifications
* 10\+ years of experience as a Product Owner, Business Analyst, or similar role
* Strong Wealth Management experience (portfolio management, trading, operations, or advisory platforms)
* Mandatory hands\-on experience with IBOR platforms (e.g., Charles River, Aladdin, SimCorp, Eagle, etc.)
* Deep understanding of investment data: positions, trades, corporate actions, pricing, and performance
* Experience working in Agile/Scrum environments
* Strong communication skills with the ability to engage both technical and non\-technical stakeholders
 Preferred Qualifications
* Experience with front\-office or middle\-office systems
* Familiarity with ABOR, PBOR, or data integration architectures
* Financial services certifications (CFA, CSPO, SAFe PO/PM)
* Experience supporting regulatory or reporting initiatives
 Why Join Us
* Work on mission\-critical platforms supporting wealth management clients
* Hybrid work model with a collaborative team environment
* Opportunity to influence product strategy and delivery
**Seniority Level**
 Mid\-Senior level
 **Industry**
* Data Infrastructure and AnalyticsBroadcast Media Production and Distribution
**Employment Type**
 Full\-time
 **Job Functions**
* AnalystManagementBusiness Development
**Skills**
* BusinessInvestmentsWealth Management ServicesBusiness RequirementsMitigation StrategiesFinancial ServicesScrumRegulatory RequirementsAgile MethodologiesFunctional Re</t>
        </is>
      </c>
    </row>
    <row r="74">
      <c r="A74" t="inlineStr">
        <is>
          <t>li-4368355265</t>
        </is>
      </c>
      <c r="B74" t="inlineStr">
        <is>
          <t>Product Owner</t>
        </is>
      </c>
      <c r="C74" t="inlineStr">
        <is>
          <t>TheIncLab</t>
        </is>
      </c>
      <c r="D74" t="inlineStr">
        <is>
          <t>linkedin</t>
        </is>
      </c>
      <c r="E74" t="inlineStr"/>
      <c r="F74" t="inlineStr"/>
      <c r="G74" t="inlineStr">
        <is>
          <t>Nashville, TN</t>
        </is>
      </c>
      <c r="H74" t="inlineStr"/>
      <c r="I74" t="inlineStr">
        <is>
          <t>**Description**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Product Owner to play a key role in driving the success of our products by acting as the bridge between stakeholders, users, and the development team. We encourage you to apply and take the first step in joining our dynamic and impactful company.
**Your Mission, Should You Choose to Accept**
 As a Product Owner you will play a key role in driving the success of our products by acting as the bridge between stakeholders, users, and the development team. You will be responsible for defining and prioritizing the product backlog, ensuring alignment with the product vision and organizational goals. This role requires a strong understanding of user\-centered design (UCD) principles, agile methodologies, and the ability to translate business needs into actionable requirements. The ideal candidate will also bring experience or familiarity with aviation platforms and/or Department of Defense (DoD) projects. Knowledge of DoD processes, acquisition frameworks, and aviation\-related domains is a nice\-to\-have and will be highly valued. By collaborating with cross\-functional teams, you will ensure the delivery of products that are innovative, user\-focused, and aligned with business objectives.
**What will you do?**
* Define and communicate the product vision and goals to stakeholders and team members.
* Develop and maintain the product backlog, prioritizing features based on business value and user needs.
* Collaborate with UX researchers and designers to gather user insights and translate them into actionable requirements.
* Act as the primary point of contact for stakeholders, ensuring alignment between business needs and technical capabilities.
* Facilitate sprint planning, backlog grooming, and other agile ceremonies to ensure effective team collaboration.
* Work closely with the development team to clarify requirements and address questions throughout the development process.
* Monitor and measure product performance, using data\-driven insights to inform backlog prioritization.
* Communicate progress, risks, and updates to stakeholders and leadership.
* Ensure product deliverables meet quality standards and user expectations.
* Stay up to date with industry trends and best practices to inform product strategy and innovation.
* Leverage familiarity with aviation or DoD\-related workflows, processes, or systems to inform product development.
* Work closely with the development team to deliver assets needed for implementation.
* Complete tasks within budgeted time and work with management to escalate any project and/or task issues.
* Be resourceful with the ability to learn and adapt quickly to project issues, changes, or updates.
* Ability to travel up to 30%.
* Other responsibilities as assigned.
**Requirements**
**Capabilities that will enable your success**
* A bachelor's degree in Product Design, Systems Engineering, Computer Science, Data Science, or equivalent practical experience.
* 3\+ years of Product Development experience or equivalent experience.
* Proficient with design tools such as Figma and Adobe Creative Cloud (Adobe XD, Illustrator, and Photoshop).
* Demonstrated experience in designing and developing for a variety of platforms (desktop, mobile, web).
* Demonstrated experience working in product teams.
* Demonstrated critical thinking, problem\-solving, and decision\-making skills.
* Knowledge of design in web development (HTML, CSS3, JavaScript, React) is a plus.
* Knowledge of 3D tools and workflows such as Blender, C4D, and Maya is a plus.
* Familiarity with agile methodologies and tools such as Jira or Confluence
**Clearance Requirements**
*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75">
      <c r="A75" t="inlineStr">
        <is>
          <t>li-4368342450</t>
        </is>
      </c>
      <c r="B75" t="inlineStr">
        <is>
          <t>Data Product Manager</t>
        </is>
      </c>
      <c r="C75" t="inlineStr">
        <is>
          <t>The Value Maximizer</t>
        </is>
      </c>
      <c r="D75" t="inlineStr">
        <is>
          <t>linkedin</t>
        </is>
      </c>
      <c r="E75" t="inlineStr"/>
      <c r="F75" t="inlineStr"/>
      <c r="G75" t="inlineStr">
        <is>
          <t>Austin, TX</t>
        </is>
      </c>
      <c r="H75" t="inlineStr"/>
      <c r="I75" t="inlineStr">
        <is>
          <t>**About the Role** 
 We are seeking a Data Product Manager to lead and manage a portfolio of 3\-5 enterprise data products. This role is ideal for someone with deep experience in data technologies, data governance, and analytics, combined with a strong understanding of core banking processes. You will serve as the strategic owner of data products, ensuring they meet business needs, drive insights, and support compliance and operational excellence.As a senior leader, you will work closely with business stakeholders, data engineers, data architects, and analytics teams to deliver high\-quality, governed, and scalable data products. You will also help define the vision, roadmap, and lifecycle management of these products in alignment with the bank's enterprise data strategy.
 **Key Responsibilities** 
**Product Ownership \&amp; Strategy**
* Own end\-to\-end lifecycle of assigned data products, including vision, strategy, roadmap, and delivery
* Collaborate with business units, analytics teams, and technology partners to prioritize features and enhancements
* Define and track key product success metrics and adoption KPIs
* Advocate for data products across the organization, ensuring alignment with enterprise data governance and cloud/data strategy initiatives. Stakeholder Engagement
* Act as the primary liaison between business stakeholders and data engineering/analytics teams
* Gather and translate business requirements into actionable data product specifications
* Facilitate cross\-functional collaboration to resolve trade\-offs and dependencies.Data Governance \&amp; Quality
* Ensure data products comply with regulatory, security, and privacy requirements
* Define and enforce data quality standards, lineage, and observability metrics
* Collaborate with Data Governance, Risk, and IT Security teams to maintain compliance and audit readiness. Technical Leadership
* Understand and leverage modern data technologies (e.g., relational databases, data warehouses, data lakes, ETL pipelines, cloud platforms, APIs, BI tools)
* Collaborate with data engineering teams on architecture, modeling, and platform decisions
* Evaluate emerging technologies and recommend innovations to improve data products and processes.Execution \&amp; Delivery
* Drive delivery of data products using agile methodologies
* Prioritize backlog, manage sprints, and ensure timely delivery of features
* Monitor and measure product performance, adoption, and business impact. Thought Leadership
* Contribute to the overall data product management framework and best practices within the bank
* Promote a culture of data\-driven decision\-making and product\-centric thinking. Required Qualifications
* 8\+ years of experience in data product management, data strategy, or analytics roles; experience in banking/financial services preferred
* Strong understanding of core banking products (e.g., deposits, loans, payments) and associated operational data flows
* Solid knowledge of data architecture, warehousing, BI, analytics, and cloud platforms
* Proven ability to manage multiple data products simultaneously
* Excellent communication, stakeholder management, and leadership skills
* Experience with Agile/Scrum methodologies and data governance frameworks
* Bachelor's degree in Computer Science, Information Systems, Finance, or related field; advanced degree preferred. Preferred Qualifications
* Hands\-on experience with HiveQL, SQL, Tableau· Understanding of regulatory reporting requirements (e.g., CCAR, FR Y\-14, Basel)
* Exposure to semantic layers, or enterprise data product management frameworks</t>
        </is>
      </c>
    </row>
    <row r="76">
      <c r="A76" t="inlineStr">
        <is>
          <t>li-4368329698</t>
        </is>
      </c>
      <c r="B76" t="inlineStr">
        <is>
          <t>Data Product Manager</t>
        </is>
      </c>
      <c r="C76" t="inlineStr">
        <is>
          <t>The Value Maximizer</t>
        </is>
      </c>
      <c r="D76" t="inlineStr">
        <is>
          <t>linkedin</t>
        </is>
      </c>
      <c r="E76" t="inlineStr"/>
      <c r="F76" t="inlineStr"/>
      <c r="G76" t="inlineStr">
        <is>
          <t>Pennsylvania, United States</t>
        </is>
      </c>
      <c r="H76" t="inlineStr"/>
      <c r="I76" t="inlineStr">
        <is>
          <t>**About the Role** 
 We are seeking a Data Product Manager to lead and manage a portfolio of 3\-5 enterprise data products. This role is ideal for someone with deep experience in data technologies, data governance, and analytics, combined with a strong understanding of core banking processes. You will serve as the strategic owner of data products, ensuring they meet business needs, drive insights, and support compliance and operational excellence.As a senior leader, you will work closely with business stakeholders, data engineers, data architects, and analytics teams to deliver high\-quality, governed, and scalable data products. You will also help define the vision, roadmap, and lifecycle management of these products in alignment with the bank's enterprise data strategy.
 **Key Responsibilities** 
**Product Ownership \&amp; Strategy**
* Own end\-to\-end lifecycle of assigned data products, including vision, strategy, roadmap, and delivery
* Collaborate with business units, analytics teams, and technology partners to prioritize features and enhancements
* Define and track key product success metrics and adoption KPIs
* Advocate for data products across the organization, ensuring alignment with enterprise data governance and cloud/data strategy initiatives. Stakeholder Engagement
* Act as the primary liaison between business stakeholders and data engineering/analytics teams
* Gather and translate business requirements into actionable data product specifications
* Facilitate cross\-functional collaboration to resolve trade\-offs and dependencies.Data Governance \&amp; Quality
* Ensure data products comply with regulatory, security, and privacy requirements
* Define and enforce data quality standards, lineage, and observability metrics
* Collaborate with Data Governance, Risk, and IT Security teams to maintain compliance and audit readiness. Technical Leadership
* Understand and leverage modern data technologies (e.g., relational databases, data warehouses, data lakes, ETL pipelines, cloud platforms, APIs, BI tools)
* Collaborate with data engineering teams on architecture, modeling, and platform decisions
* Evaluate emerging technologies and recommend innovations to improve data products and processes.Execution \&amp; Delivery
* Drive delivery of data products using agile methodologies
* Prioritize backlog, manage sprints, and ensure timely delivery of features
* Monitor and measure product performance, adoption, and business impact. Thought Leadership
* Contribute to the overall data product management framework and best practices within the bank
* Promote a culture of data\-driven decision\-making and product\-centric thinking. Required Qualifications
* 8\+ years of experience in data product management, data strategy, or analytics roles; experience in banking/financial services preferred
* Strong understanding of core banking products (e.g., deposits, loans, payments) and associated operational data flows
* Solid knowledge of data architecture, warehousing, BI, analytics, and cloud platforms
* Proven ability to manage multiple data products simultaneously
* Excellent communication, stakeholder management, and leadership skills
* Experience with Agile/Scrum methodologies and data governance frameworks
* Bachelor's degree in Computer Science, Information Systems, Finance, or related field; advanced degree preferred. Preferred Qualifications
* Hands\-on experience with HiveQL, SQL, Tableau· Understanding of regulatory reporting requirements (e.g., CCAR, FR Y\-14, Basel)
* Exposure to semantic layers, or enterprise data product management frameworks</t>
        </is>
      </c>
    </row>
    <row r="77">
      <c r="A77" t="inlineStr">
        <is>
          <t>li-4368030869</t>
        </is>
      </c>
      <c r="B77" t="inlineStr">
        <is>
          <t>Product Manager</t>
        </is>
      </c>
      <c r="C77" t="inlineStr">
        <is>
          <t>LoanStreet Inc.</t>
        </is>
      </c>
      <c r="D77" t="inlineStr">
        <is>
          <t>linkedin</t>
        </is>
      </c>
      <c r="E77" t="inlineStr"/>
      <c r="F77" t="inlineStr"/>
      <c r="G77" t="inlineStr">
        <is>
          <t>New York, NY</t>
        </is>
      </c>
      <c r="H77" t="inlineStr"/>
      <c r="I77" t="inlineStr">
        <is>
          <t>**About Us:** 
 LoanStreet is a growing financial technology company that provides innovative solutions to institutional investors. We are committed to empowering our clients with cutting\-edge tools and insights to meet regulatory requirements, streamline cumbersome commercial lending services and effortlessly expand their loan participations programs. With over 1300 registered clients and emerging partnerships in Canada and the EU, LoanStreet is well positioned to become the dominant player in the industry.
**The Position:** 
 We are seeking a talented product manager to support our core loan servicing platform.
**Core Responsibilities:** 
* Gather and prioritize requirements from our clients and prospects.
* Partner with designers and engineers to define detailed product requirements, user stories and acceptance criteria.
* Complete functional testing and QA and provide product sign\-off when features are ready for a production release.
* Own product execution for assigned deliverables: defining scope, prioritizing work, driving decisions to resolution, and ensuring on\-time delivery.
* Validate and analyze features in the market to continually improve the product.
* Contribute to release notes and product documentation to support client communication.
* Collaborate closely with the Onboarding and Sales teams to ensure the product is aligned with our current projects and go\-to\-market initiatives.
* Develop deep expertise in LoanStreet's product offerings, the commercial/corporate lending market, and industry trends to anticipate emerging client needs.
* Understand LoanStreet's strategy and competitive position to ensure product capabilities are aligned. Contribute to product roadmap planning.
* Support customer\-facing teams with product expertise and escalations as needed to support existing customers.
 Candidate Profile:
* 2\-5\+ years of Product Management experience
* Demonstrated success in building client\-facing features in enterprise software.
* Strong documentation skills: translating business needs into detailed functional requirements, workflows, and use cases.
* Experience with Agile development methodologies and software development lifecycle.
* Excellent communication skills: able to convey complex business and technical concepts clearly to external clients, implementation teams, and internal stakeholders at all levels.
* Experience managing multiple concurrent priorities, operating in ambiguity and delivering on compressed timelines.
* Fintech or financial services background.
* Preferred: Commercial Lending experience especially in the Private Credit area.
* Preferred: Comfort with data\-driven decision making (including analytics tools and basic SQL) and working knowledge of APIs.</t>
        </is>
      </c>
    </row>
    <row r="78">
      <c r="A78" t="inlineStr">
        <is>
          <t>li-4368336364</t>
        </is>
      </c>
      <c r="B78" t="inlineStr">
        <is>
          <t>Senior Product Manager</t>
        </is>
      </c>
      <c r="C78" t="inlineStr">
        <is>
          <t>SimplyInsured</t>
        </is>
      </c>
      <c r="D78" t="inlineStr">
        <is>
          <t>linkedin</t>
        </is>
      </c>
      <c r="E78" t="inlineStr"/>
      <c r="F78" t="inlineStr"/>
      <c r="G78" t="inlineStr">
        <is>
          <t>San Francisco, CA</t>
        </is>
      </c>
      <c r="H78" t="inlineStr"/>
      <c r="I78" t="inlineStr">
        <is>
          <t>**At SimplyInsured we are on a mission to eliminate fear in health insurance.**
 Health insurance is complicated, expensive, and really important \- so it tends to create fear for most people; our goal is to reduce that fear as much as possible.
 We specifically work with small business owners who have the enormous task of purchasing the right type of insurance for their employees and their families. With more than 20,000 customers and several major partnerships, including NetSuite, Toast, and Square, we're growing quickly and disrupting this convoluted and confusing industry by making it more transparent and fully accessible to everyone. We got our start in the Y\-Combinator incubator, and have been funded by top\-tier investors at Polaris Partners, Bessemer Venture Partners, New York Life Ventures and AltaIR Capital.
**Job Summary:**
 The Senior Product Manager will report directly to the CEO and work closely with our product, engineering, and operations teams to establish the direction for the future of our platform, helping us serve small businesses with their insurance needs through new integrated partnerships and new product development.
**What you'll do:**
* Serve as a strategic Product leader for the launch of new integrated partnerships and new product development.
* You'll be responsible for gathering, structuring, and prioritizing product requirements from internal and external stakeholders
* Execute the roadmap across our technology stack to deliver industry\-leading service at scale
* Develop strong cross\-functional relationships to connect the product, the value proposition, and the audience
* Synthesize and summarize competitive intel, industry data, and market feedback into actionable insights for internal teams
* Bring ideas on best approaches to making our products more effective in new and innovative ways
* Partner with the engineer teams to bring the product vision to life with prototypes and mocks
**What you'll bring:**
* 7\+ years of product management experience with senior\-level responsibilities and roadmap ownership
* Experience working in early\-stage startups (Fintech, SaaS, Healthtech, Insurtech)
* 0\-1 product development experience
* Hands\-on experience with consumer\-facing products for SaaS and/or marketplace products
* Experience developing creative solutions to complex problems
* Creative and analytical thinking
* Proactive problem solver
**What we offer:**
* Generous stock option packages
* Competitive compensation package with an annual discretionary bonus
* "Take what you need" time off plan
* 100% Company paid Medical, Dental, and Vision Insurance options for employees and family members
* 401k plan
* A values\-based culture that invests in employee success
* Remote first environment
**Compensation:**
 The base salary range for this position is $150,000\-175,000\.
 We have a market\-based compensation structure. The salary for this position may vary based on a candidate's experience, industry expertise, technical skills, and location. The range provided is just one component of total compensation including, but not limited to bonus eligibility based upon the achievement of performance objectives and company stock options.
**Our Culture:**
 We value radical transparency, feedback, bias to action, growth, and an obligation to dissent. Every opinion is respected, we hold each other to extremely high standards, we're driven by the diversity in our backgrounds, and unified by 100% alignment on our mission.
 Research shows that candidates from underrepresented backgrounds often don't apply for roles if they don't meet all the criteria. We strongly encourage you to apply if you're interested; we'd love to learn how you can amplify our team with your unique experience!
*We are an equal opportunity employer and value diversity at our company. We do not discriminate on the basis of race, religion, color, national origin, gender, sexual orientation, age, marital status, veteran status, or disability status.*</t>
        </is>
      </c>
    </row>
    <row r="79">
      <c r="A79" t="inlineStr">
        <is>
          <t>li-4368337292</t>
        </is>
      </c>
      <c r="B79" t="inlineStr">
        <is>
          <t>Product Manager</t>
        </is>
      </c>
      <c r="C79" t="inlineStr">
        <is>
          <t>Benchling</t>
        </is>
      </c>
      <c r="D79" t="inlineStr">
        <is>
          <t>linkedin</t>
        </is>
      </c>
      <c r="E79" t="inlineStr"/>
      <c r="F79" t="inlineStr"/>
      <c r="G79" t="inlineStr"/>
      <c r="H79" t="inlineStr"/>
      <c r="I79"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\#BI\-Remote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80">
      <c r="A80" t="inlineStr">
        <is>
          <t>li-4368337107</t>
        </is>
      </c>
      <c r="B80" t="inlineStr">
        <is>
          <t>Product Manager - Payment</t>
        </is>
      </c>
      <c r="C80" t="inlineStr">
        <is>
          <t>Vika Talent Solutions</t>
        </is>
      </c>
      <c r="D80" t="inlineStr">
        <is>
          <t>linkedin</t>
        </is>
      </c>
      <c r="E80" t="inlineStr"/>
      <c r="F80" t="inlineStr"/>
      <c r="G80" t="inlineStr"/>
      <c r="H80" t="inlineStr"/>
      <c r="I80" t="inlineStr">
        <is>
          <t>**Product Manager \- Payments \&amp; Banking Infrastructure** 
**Full\-time/Permanent role \| Remote** 
 We’re looking for a high agency, domain\-strong Product Manager (or aspiring PM) to help us build a brand\-new product in the fast\-evolving world of payments and bank data infrastructure. If you're someone who’s
 **sharp, scrappy, and energized by messy, 0→1 environments** 
 , this could be your ideal next move.
 This isn’t just about building features—this is an opportunity to define the foundation of a product that safeguards financial transactions across employee payroll, vendor payouts, and customer payments. You’ll play a key role in shaping a product that prevents fraud, validates account ownership, and adds trust to every transfer.
 If you’ve worked at a company like
 **Stripe** 
 ,
 **Plaid** 
 , or within
 **payment network ecosystems** 
 , and are looking for your next big product challenge, we’d love to hear from you—even if you’ve never held a formal Product Manager title before.
**What You’ll Do** 
* Lead product discovery and collaborate with cross\-functional teams to validate problem statements around payment fraud prevention and bank account verification.
* Build and own core modules that touch areas like payment rails, account ownership validation, and transaction risk detection.
* Work closely with engineering, design, and data teams to translate domain expertise into scalable product features.
* Continuously evolve the product strategy based on customer feedback and emerging trends in payment security and infrastructure.
**What We’re Looking For** 
* Strong domain experience in the
 **payments ecosystem** 
 — whether via banking, fintech, or infrastructure platforms like Plaid, Stripe, or B2B payment networks.
* Understanding of
 **payment rails** 
 ,
 **fraud detection** 
 , and
 **banking infrastructure** 
 .
* Exposure to products used for
 **vendor payments** 
 ,
 **payroll** 
 , or
 **customer transactions** 
 .
* You don’t need to be a senior product leader—but you should be high\-agency problem solver, hands\-on, and deeply curious about building in this space.
* Excellent problem\-solving skills and the ability to distill complex financial workflows into clear, scalable solutions.
**Bonus Points For** 
* Prior experience working in early\-stage product development or 0\-to\-1 environments.
* Experience building internal tools or enterprise SaaS in finance, compliance, or data infrastructure.
* Technical fluency in banking APIs, security protocols, or payment risk modelling.</t>
        </is>
      </c>
    </row>
    <row r="81">
      <c r="A81" t="inlineStr">
        <is>
          <t>li-4368326526</t>
        </is>
      </c>
      <c r="B81" t="inlineStr">
        <is>
          <t>Product Manager</t>
        </is>
      </c>
      <c r="C81" t="inlineStr">
        <is>
          <t>Benchling</t>
        </is>
      </c>
      <c r="D81" t="inlineStr">
        <is>
          <t>linkedin</t>
        </is>
      </c>
      <c r="E81" t="inlineStr"/>
      <c r="F81" t="inlineStr"/>
      <c r="G81" t="inlineStr">
        <is>
          <t>San Francisco, CA</t>
        </is>
      </c>
      <c r="H81" t="inlineStr"/>
      <c r="I81"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82">
      <c r="A82" t="inlineStr">
        <is>
          <t>li-4368000958</t>
        </is>
      </c>
      <c r="B82" t="inlineStr">
        <is>
          <t>Principal Product Manager</t>
        </is>
      </c>
      <c r="C82" t="inlineStr">
        <is>
          <t>Codal</t>
        </is>
      </c>
      <c r="D82" t="inlineStr">
        <is>
          <t>linkedin</t>
        </is>
      </c>
      <c r="E82" t="inlineStr"/>
      <c r="F82" t="inlineStr"/>
      <c r="G82" t="inlineStr">
        <is>
          <t>Chicago, IL</t>
        </is>
      </c>
      <c r="H82" t="inlineStr"/>
      <c r="I82" t="inlineStr">
        <is>
          <t>**An Introduction to Codal**
 Codal is an award\-winning web design and development consultancy that helps enterprise organizations solve complex problems and accelerate growth through elegant, data\-driven digital solutions. Our areas of expertise include application modernization, eCommerce, UX/UI design, product strategy, data analytics, and artificial intelligence.
 At Codal, you’ll collaborate with some of the most innovative organizations in the world and work on cutting\-edge technologies that push the boundaries of design and software development. You’ll also be part of a community that promotes long\-term success, not just for our clients but for each other. We’ll help you develop a professional roadmap that takes your career to new heights.
**Who you’ll be working with**
 We ideate, create, and coordinate. We analyze, strategize, organize, and prioritize. We bridge the communication channel between the client and our project team. We chart the course and navigate the product roadmap sprint by sprint. Some of us are product owners. Some of us are scrum masters. Many of us wear multiple hats and do whatever’s needed to deliver successful projects.
**What you’ll be doing**
* Act as a floating product strategist to define the long term vision and strategy for new client engagements.
* Lead discovery work for strategic engagements including research activities, market and competitive analysis, innovation workshops, product discovery, and oversee conceptual prototyping.
* Lead strategic planning workshops to achieve technical and business goals.
* Use discovery outputs to develop outcome oriented product roadmaps and pair up with PMs to perform continuous refinement sessions.
* Measure and analyze product performance for released products.
* Account growth and upselling including expansion of existing and new engagements.
* Account oversight including delivery and escalation management.
* Develop go\-to\-market approaches with blended capabilities and solution work to grow our business
* Understand pre\-sales activities including understanding prospective client business/product needs, proposal development, and driving the opportunity process.
* Mentor and coach a combination of mid\-level and senior product managers.
* Work with cross\-departmental leaders across Design, Eng, PMO, and Operations to execute existing and new company level initiatives and process improvements.
**What you’ll need to be successful (Requirements)**
* MUST have client facing experience.
* Eight (8\)\+ years of relevant Product experience, with at least five (5\) years spent in the consulting industry.
* Experience leading and managing programs and/or projects, including mission critical programs, IT systems implementation, solutions development.
* People management experience.
* A track record of managing large\-scale, complex strategy and execution engagements.
* Proven ability to establish, maintain, and grow executive level relationships.
* High energy, team player, creative thinker, and strategic influencer.
* Demonstrated experience in working with broad cross\-functional teams.
* Maturity and good judgment.
* Skilled in negotiating, influencing others, analytical thinking, leading others, and executing and implementing projects.
* Willingness to learn and work in a hands\-on environment.
**Bonus Points for these (Preferred Experience)**
* CSPO or PMP certification
* Jira Software/Confluence experience
* Google Suite experience
* Ideally a progression in your career playing multifaceted roles
**Need another reason to hit the “apply” button?**
* Codal is a global agency with over 200 employees, and offices in the US, UK, and India
* We regularly host happy hours, dinners, excursions, and other company events to unwind after a hard day at work
* Office snacks and drinks \+ a fancy Bevi water machine with flavored water
* We offer Medical, Life, Dental/Vision, and many more insurance types
* Employer 401k match \- 4%
* A recreational group that regularly competes in city leagues for softball and volleyball
* An office in the heart of downtown Chicago with a gym, food court, Walgreens, rooftop bar, outdoor sports court, and other amenities
* Working hybrid for in\-person collaboration and sprint\-planning days
 Note: Codal only communicates with candidates through official @codal.com email addresses. We never request payment during the hiring process. Please be vigilant regarding recruitment scams.
*At Codal, we are committed to equal employment opportunities regardless of race, color, ancestry, religion, sex, national origin, sexual orientation, age, citizenship, marital status, disability, gender, gender identity or expression, or veteran status. We are proud to be an equal opportunity workplace.*</t>
        </is>
      </c>
    </row>
    <row r="83">
      <c r="A83" t="inlineStr">
        <is>
          <t>li-4368347090</t>
        </is>
      </c>
      <c r="B83" t="inlineStr">
        <is>
          <t>Product Manager</t>
        </is>
      </c>
      <c r="C83" t="inlineStr">
        <is>
          <t>Benchling</t>
        </is>
      </c>
      <c r="D83" t="inlineStr">
        <is>
          <t>linkedin</t>
        </is>
      </c>
      <c r="E83" t="inlineStr"/>
      <c r="F83" t="inlineStr"/>
      <c r="G83" t="inlineStr">
        <is>
          <t>Boston, MA</t>
        </is>
      </c>
      <c r="H83" t="inlineStr"/>
      <c r="I83"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84">
      <c r="A84" t="inlineStr">
        <is>
          <t>li-4368037253</t>
        </is>
      </c>
      <c r="B84" t="inlineStr">
        <is>
          <t>Senior Product Owner</t>
        </is>
      </c>
      <c r="C84" t="inlineStr">
        <is>
          <t>Stellantis Financial Services US</t>
        </is>
      </c>
      <c r="D84" t="inlineStr">
        <is>
          <t>linkedin</t>
        </is>
      </c>
      <c r="E84" t="inlineStr"/>
      <c r="F84" t="inlineStr"/>
      <c r="G84" t="inlineStr">
        <is>
          <t>Dallas, TX</t>
        </is>
      </c>
      <c r="H84" t="inlineStr"/>
      <c r="I84" t="inlineStr">
        <is>
          <t>Stellantis Financial Services (SFS) is the new captive finance company for one of the world's leading automakers and a mobility provider with iconic brands including Abarth, Alfa Romeo, Chrysler, Citroën, Dodge, DS Automobiles, Fiat, Jeep®, Lancia, Maserati, Opel, Peugeot, Ram, Vauxhall, Free2move and Leasys.
 Our exciting growth provides opportunities to advance your career as we successfully lead products and services from a small to midsize company in just a few years. Join our world class team and culture and contribute to our core mission which is enhancing our customer's experience.
**Position Summary**
 The Senior Digital Product Owner serves as a key link between product strategy and development execution. This role is responsible for owning and managing the product backlog, including writing, refining, and prioritizing user stories based on business needs. The Sr. Digital Product Owner facilitates sprint planning and execution, answers questions from the development team, and acts as the primary liaison between business stakeholders and developers to ensure successful delivery of upcoming sprints.
**Essential Duties And Responsibilities**
* Collaborate with the development team to align backlog prioritization with strategic goals, ensuring effective translation of product management initiatives into executable tasks.
* Break down epics into user stories, arrange and prioritize sprints, and clearly define team goals at each sprint's start.
* Provide demonstrations to both business and technical stakeholders at sprint conclusions, offering a comprehensive overview of progress and facilitating stakeholder feedback.
* Actively participate in evaluating development stages, address development queries regarding story rationale, and contribute to business case documentation for enhanced decision\-making.
* Work in tandem with product managers to refine the product roadmap, including developing user personas, journey maps, and a prioritized backlog, while also supporting go\-to\-market strategies for successful product adoption.
* Manage operational issues through daily triage, collaborate on trade\-off decisions, and offer a holistic view on how business processes and system configurations impact user experience.
* Conduct market research, leverage data for insights, and recommend product strategies that align with business objectives and market awareness, ensuring a focus on providing exceptional digital experiences.
* Oversee multiple initiatives at various development stages, analyzing past enhancements for optimization, and represent customer/stakeholder needs to drive feature development and product integrations, identifying opportunities for testing and enhancements.
**Qualifications and Competencies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Experience**
* Minimum 5 years experience in enabling digital processes, executing strategic roadmaps, and operating within an agile scrum environment.
**Education**
* Bachelor’s degree in business, marketing, engineering, communications, or a related field.
**Skills Required**
* Analytical and Design Skills: Synthesizes diverse information, generates creative solutions, and uses detailed design processes, leveraging both data and intuition.
* Problem\-Solving and Technical Skills: Identifies and resolves problems with skillful analysis, shares expertise, and continuously builds knowledge.
* Communication and Interpersonal Skills: Exhibits clear oral and written communication, maintains confidentiality, and is open to new ideas.
* Leadership and Teamwork: Balances team and individual responsibilities, exhibits leadership, and actively participates in team dynamics.
* Adaptability and Quality Management: Manages change effectively, strives for quality improvement, and adapts to new situations with resilience.
* Professionalism and Business Acumen: Demonstrates professionalism, understands business implications, and aligns work with strategic goals while maintaining ethics and organizational support.
**Overtime required** 
 – required on an as needed basis.
**Travel 0\-10%** 
 \- as required on an as needed basis.
**Must have reliable transportation and live within a commutable distance to one of the following cities:** 
 Atlanta, GA; Dallas, TX; Detroit, MI; Houston, TX; Phoenix, AZ.
**Qualifications Preferred**
* Banking, Treasury Management, Financial Services experience preferred
* Agile or SAFe Agile experience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for long periods of time, use hands and arms to operate office equipment including but not limited to a keyboard, mouse and phone, will occasionally need to reach, stoop, stand or walk. The employee must be able to see (close vision), hear, speak, and communicate verbally. The employee may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**Schedule** 
 This position requires the ability to work various shifts to accommodate business needs. Typically, between the hours of 8AM\-6PM Monday through Friday and on weekends as needed. Travel is required 10% of the time.
**An applicant must be authorized to work in the United States to be eligible for this position. Stellantis Financial Services, Inc. will not sponsor applicants for work visas of any type for this position.**
 Stellantis Financial Services, Inc (SFS) is an equal opportunity employer and is committed to providing its employees an environment that is free of harassment, discrimination, and intimidation. It is the policy of SFS to comply with all applicable employment laws and regulations and to provide equal opportunity for all qualified persons and to not discriminate against any employee or applicant for employment because of race, color, religion, sex, age, national origin, disability, pregnancy, sexual orientation, veteran status, gender identity or expression, change of sex, and/or transgender status or any protected status. Candidates must possess authorization to work in the United States. This policy applies to recruitment and placement, promotion, training, transfer, retention, rate of pay and all other terms and conditions of employment. Employment and promotion decisions will be based solely on merit, ability, achievement, experience, conduct and other legitimate business reasons.</t>
        </is>
      </c>
    </row>
    <row r="85">
      <c r="A85" t="inlineStr">
        <is>
          <t>li-4357453954</t>
        </is>
      </c>
      <c r="B85" t="inlineStr">
        <is>
          <t>Senior Product Manager</t>
        </is>
      </c>
      <c r="C85" t="inlineStr">
        <is>
          <t>Fullstory</t>
        </is>
      </c>
      <c r="D85" t="inlineStr">
        <is>
          <t>linkedin</t>
        </is>
      </c>
      <c r="E85" t="inlineStr"/>
      <c r="F85" t="inlineStr"/>
      <c r="G85" t="inlineStr">
        <is>
          <t>Seattle, WA</t>
        </is>
      </c>
      <c r="H85" t="inlineStr"/>
      <c r="I85" t="inlineStr">
        <is>
          <t>**This role can be performed remotely anywhere within Seattle.**
 Fullstory's platform is powered by a simple, yet powerful, idea: if you can capture and understand every user interaction, you can build better digital products. We're on a mission to help businesses create exceptional customer experiences. We believe Fullstory should feel like an indispensable teammate: insightful, technically robust, and relentlessly committed to surfacing what matters most. Data is the bedrock of this mission. We're looking for a Senior Product Manager to take ownership of the governance platform that makes it all possible.
 As the Senior Product Manager for our Data Management Platform, you will build the tools that power insights and workflows across our entire product portfolio. You'll be responsible for a critical capability that serves our internal engineering and data science teams as well as our customers. Your domain will span the entire data lifecycle, from ensuring rock\-solid governance and quality to enabling cutting\-edge analytics. This is a deeply technical role for someone who is passionate about building an end\-to\-end experience that unlocks an organization's ability to innovate with data.
**In a typical day, you might:**
* You'll own the "why" and "what" \- for our Data Management Platform, which includes our data governance, lineage, data quality, and analytics capabilities. You will develop and evangelize a compelling product vision and strategy that aligns with our company goals.
* You'll be an enabler. You'll obsess over the needs of your customers to build scalable, self\-service analytics capabilities that empower them to work efficiently and unlock new insights.
* You'll connect with your customers \- You will build deep relationships with stakeholders to understand their needs, gather requirements, and ensure the platform you're building solves their most pressing data challenges.
* Collaborate across teams \- Collaborate closely with Engineering, Design, Research, and other Product teams to build scalable, extensible, and performant query abstractions.
* You'll drive adoption \- You will be the biggest advocate for your domain, partner cross\-functionally with Product Marketing, Customer Success, Professional Services and Solutions Engineering to ensure successful launches and adoption.
**Here’s what we’re looking for:**
* A seasoned Product Manager. You have 5\-7 years of product management experience, with a proven ability to ship complex, technical products in a fast\-paced environment.
* A data fanatic. You have strong familiarity with data, analytics and modern AI products. You have a deep understanding of the modern data landscape, including data warehousing, ETL/ELT, agentic workflows and the technical challenges that come with building data platforms at scale.
* A technical thought partner. You are comfortable in the weeds with engineering and can thoughtfully contribute to high\-level architectural plans and technical discussions.
* A master communicator and collaborator. You have a demonstrated ability to lead cross\-functional teams, manage stakeholders, and articulate complex concepts to both technical and non\-technical audiences.
* A strategic problem\-solver. You can structure ambiguous problems, develop clear hypotheses, and prioritize work against the most impactful initiatives.
 The base salary for this position ranges between $133,000 \- 150,000 USD. Base salary will vary based on relevant experience, job\-related skills and qualifications. This role is also eligible for a discretionary bonus of up to 10% of base salary, contingent upon Fullstory meeting its performance targets.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86">
      <c r="A86" t="inlineStr">
        <is>
          <t>li-4368034576</t>
        </is>
      </c>
      <c r="B86" t="inlineStr">
        <is>
          <t>Product Manager, Core Store and Ads, Google Play</t>
        </is>
      </c>
      <c r="C86" t="inlineStr">
        <is>
          <t>Google</t>
        </is>
      </c>
      <c r="D86" t="inlineStr">
        <is>
          <t>linkedin</t>
        </is>
      </c>
      <c r="E86" t="inlineStr"/>
      <c r="F86" t="inlineStr"/>
      <c r="G86" t="inlineStr">
        <is>
          <t>Mountain View, CA</t>
        </is>
      </c>
      <c r="H86" t="inlineStr"/>
      <c r="I86" t="inlineStr">
        <is>
          <t>**Minimum qualifications:**
* Bachelor's degree or equivalent practical experience.
* 3 years of experience in product management or a related technical role.
* 1 year of experience taking technical products from conception to launch (e.g., ideation to execution, end\-to\-end, 0 to 1, etc).
* 1 year of experience working cross\-functionally with Engineering, UX/UI, sales, finance, and other stakeholders.
**Preferred qualifications:**
* Master's degree in a technology or business related field.
* 2 years of experience in a role preparing and delivering technical presentations to the leadership.
* Experience with mobile platforms and app development.
* Experience in data analysis and experiment design.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Articulate and define a product outlook that captures attention and engages action.
* Identify and validate opportunities in the market.
* Define product road maps by operationalizing defined strategy.
* Drive requirements and prioritization by collaborating with partner teams (e.g., engineers, program managers, UX) during design and development.
* Facilitate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li-4368335412</t>
        </is>
      </c>
      <c r="B87" t="inlineStr">
        <is>
          <t>Product Manager, RCM</t>
        </is>
      </c>
      <c r="C87" t="inlineStr">
        <is>
          <t>Verse Medical</t>
        </is>
      </c>
      <c r="D87" t="inlineStr">
        <is>
          <t>linkedin</t>
        </is>
      </c>
      <c r="E87" t="inlineStr"/>
      <c r="F87" t="inlineStr"/>
      <c r="G87" t="inlineStr">
        <is>
          <t>New York, United States</t>
        </is>
      </c>
      <c r="H87" t="inlineStr"/>
      <c r="I87" t="inlineStr">
        <is>
          <t>**Our Mission:** 
 Hospital\-Quality Care, Everywhere.
 The healthcare industry still relies on faxes and phone tag to coordinate critical care for patients at home. We think patients and the clinicians who serve them deserve better than a system stuck in 1995\.
 Verse Medical is building the modern software infrastructure to make it happen. We're a well\-funded Series C company (backed by General Catalyst, SignalFire, and Sapphire Ventures) on a mission to heal a fragmented system. Our platform connects the dots between providers, payors, and patients, ensuring people get the high\-quality care they need, reliably and right where they live.
 **We’re growing fast and looking for people who are driven by this mission to join us!** 
**Our Values:** 
 The Principles That Guide Us
 Our values are the operating system for how we work together and with our partners. They aren't just words on a wall; they are the principles we bring to every decision, every day.
* **We are transparent, upfront and direct.** 
 We operate with honesty and clarity. We share information openly, the good and the bad, and believe that direct, respectful feedback is the foundation of trust and progress.
* **We value speed of iteration.** 
 We are building something new, which means we learn by doing. We prioritize rapid iteration and getting solutions into the hands of users, believing that progress is more valuable than perfection.
* **We give 110% effort, 30% of the time.** 
 We are passionate about our mission, and there are moments that require us to go the extra mile. We believe in focused intensity when it counts, balanced by a sustainable pace that keeps our team energized for the long run.
* **We empathize with customers to a fault.** 
 When our users face a problem, we own it. Instead of asking them to change, we ask ourselves,
 *"How can we make this better?"* 
 We believe true innovation comes from deep empathy and a relentless focus on solving the real\-world challenges of healthcare.
**Your Impact:** 
 How You'll Help Us Heal a Broken System
**Product Management at Verse** 
 This isn’t a standard PM role and we don’t want a standard PM.
 At Verse, engineers are deeply product\-oriented, and product managers are expected to be analytical, execution\-focused leaders who can deeply understand the problems we solve. You’ll work shoulder\-to\-shoulder with a strong team of engineers, designers, and revenue cycle operators who all share a bias for action and a deep sense of mission.
 We’re hiring our
 **third Product Manager** 
 to join our team.
 **In this role, you'll build the product systems that maximize clean claim rates, accelerate reimbursement, and create financial predictability for our customers. This means deeply understanding Medicare/Medicaid billing rules, commercial payer requirements, denial management workflows, and the operational realities of healthcare billing teams.** 
 If you thrive in high\-ownership environments, and want to build real systems that improve real lives, this is the place.
**What the role consists of:** 
* Work cross\-functionally with engineering, design, business operations and legal to deliver impactful and intuitive features at scale.
* Develop product strategy aligned with company goals and market opportunities.
* Conduct market research to identify user needs and market trends.
* Define and prioritize product roadmaps.
* Create product requirements and user stories.
* Lead product lifecycle from concept to launch.
* Perform user and stakeholder analysis.
* Develop and track product KPIs, conduct A/B tests and iterate on features to optimize user experiences.Continuously optimize user experiences by developing and tracking product KPIs, and iterating on features informed by A/B test results.
* Drive product innovation by staying informed about trends in the healthtech sector, competitor products, and emerging technologies.
* Operate autonomously in a fast\-paced environment with a high level of ambiguity and visibility.
* Work independently amidst a high degree of ambiguity and visibility in a fast\-paced environment.
**What You'll Bring:** 
 The Skills and Experience You’ll Leverage
 We believe that diverse experiences and backgrounds lead to better solutions. While we have an idea of what will help someone succeed in this role, we are open to being convinced by your unique story and skills. If you believe you can achieve the outcomes above, we encourage you to apply.
**Core Skills \&amp; Experience:** 
* 3 \- 7 years of Product Management experience preferably in a healthcare environment or digital health.
* Deep understanding of product management practices, including market research, ideation, user testing, and agile development.
* Experience working directly with engineers, designers, data analysts/scientists to solve multi\-faceted problems to drive business value for internal and external stakeholders.
* Passion for delivering exceptional user experiences that improve the lives of in\-home patients and support healthcare partners.
* Working knowledge of user\-centered design principles and best practices.
* Strong empathy, communication, and stakeholder management skills.
* Strong strategic thinking, research and analytical skills to inform product decisions.
* **Preferred:** 
 experience with SQL, design tools, ticketing tools (Jira, Linear), A/B testing, and prototyping.
**The Rewards \&amp; Reality:** 
 Compensation, Benefits \&amp; Logistics
 We believe in taking care of our team, both professionally and personally. Here’s what we offer:
* **Meaningful Compensation:** 
 $140,000 \- $200,000 base salary \+ equity
* **Comprehensive Health \&amp; Wellness:** 
 We cover 100% of your health insurance premium and provide access to high\-quality dental and vision insurance plans for you and your dependents.
* **Plan for the Future:** 
 We offer a 401(k) plan to help you save for your future. At this time, the company does not offer a 401(k) match.
* **Career Growth:** 
 You'll have opportunities for rapid career advancement in a company that's at a major inflection point. We want you to grow with us.
**Work Environment \&amp; Location:** 
* This role could be based in our New York City office in Chelsea or our San Francisco Office in Market Street. We have a hybrid model, with a requirement of 4 days per week in the office to foster collaboration and innovation.
**Our Pledge for an Equitable Future** 
 At Verse Medical, our mission is to deliver equitable, hospital\-quality care to everyone, regardless of their background or where they live. We can only achieve this if our own team reflects the diversity of the patients we serve. We are committed to building a workplace where everyone feels a sense of belonging, where their contributions are valued, and where they can do their best work. We embrace diversity of all kinds: race, gender, age, religion, identity, experience. We are actively working to build a more inclusive and equitable world, starting from within our own walls. We are an equal opportunity employer.
 We are also committed to providing a positive and accessible interview experience. If you require any accommodations to participate in our process, please contact us at
 recruiting@versemedical.com
 .</t>
        </is>
      </c>
    </row>
    <row r="88">
      <c r="A88" t="inlineStr">
        <is>
          <t>li-4368199736</t>
        </is>
      </c>
      <c r="B88" t="inlineStr">
        <is>
          <t>Product Manager</t>
        </is>
      </c>
      <c r="C88" t="inlineStr">
        <is>
          <t>Robert Half</t>
        </is>
      </c>
      <c r="D88" t="inlineStr">
        <is>
          <t>linkedin</t>
        </is>
      </c>
      <c r="E88" t="inlineStr"/>
      <c r="F88" t="inlineStr"/>
      <c r="G88" t="inlineStr">
        <is>
          <t>Nashville, TN</t>
        </is>
      </c>
      <c r="H88" t="inlineStr"/>
      <c r="I88" t="inlineStr">
        <is>
          <t>Robert Half is hiring! We are looking for an experienced Product Manager to lead the development and management of our Practice Management Software. This role involves shaping the product strategy, collaborating with cross\-functional teams, and ensuring alignment with market needs and customer expectations. Apply today!
 Responsibilities:
 • Develop and implement a strategic vision for the Practice Management Software that addresses market demands and customer challenges.
 • Partner with engineering, design, and sales teams to prioritize product features and improvements.
 • Create and manage a detailed product roadmap, ensuring clear communication with internal teams and stakeholders.
 • Serve as the customer advocate by collecting feedback, conducting surveys, and working closely with users to understand their needs.
 • Lead the product lifecycle from initial concept development through to end\-of\-life.
 • Analyze market trends and competitor offerings to identify growth opportunities and risks, proposing enhancements to maintain competitive advantage.
 • Establish and monitor key performance indicators (KPIs) to evaluate product success and user impact.
 • Coordinate product launches and oversee post\-launch evaluations to optimize performance.
 • Craft compelling product messaging that resonates with both internal and external audiences.
 • Develop and deliver educational materials, such as webinars and documentation, to support customer onboarding and product adoption.
 • At least 5 years of experience in product management, ideally within a SaaS environment.
 • Familiarity with Agile Scrum methodologies, Jira, and roadmapping tools.
 • Strong knowledge of US insurance practices and regulations.
 • Proven ability to manage product lifecycles and achieve measurable results.
 • Exceptional communication and collaboration skills to work effectively across teams.
 • Analytical abilities to make informed, data\-driven decisions.
 • Experience in the healthcare industry, particularly with Electronic Medical Records (EMR).
 • Capability to thrive in a fast\-paced and dynamic work environment.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89">
      <c r="A89" t="inlineStr">
        <is>
          <t>li-4361943639</t>
        </is>
      </c>
      <c r="B89" t="inlineStr">
        <is>
          <t>Product Manager, Meridian</t>
        </is>
      </c>
      <c r="C89" t="inlineStr">
        <is>
          <t>AngelList</t>
        </is>
      </c>
      <c r="D89" t="inlineStr">
        <is>
          <t>linkedin</t>
        </is>
      </c>
      <c r="E89" t="inlineStr"/>
      <c r="F89" t="inlineStr"/>
      <c r="G89" t="inlineStr"/>
      <c r="H89" t="inlineStr"/>
      <c r="I89"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$124B\+ in assets and have powered investments into over 12,000 startups—over 300 of which are unicorns. Today, 57% of top\-tier U.S. VC deals involve investors on AngelList. While our scale is large, our ambition is larger.
 If you're excited to build the future of private markets, come build with us.
**About the Role:** 
 Meridian is AngelList’s wealth platform for private markets. Meridian is building wealth products for the growing class of self\-directed investors who want unique and direct access to private markets. Built on more than a decade of AngelList innovation, Meridian extends the platform that already supports founders and fund managers to serve investors now. Meridian is early, and this role presents an opportunity to help shape the next generation of products for private market investing.
 As a Product Manager on Meridian, you’ll own core investor\-facing product areas—from onboarding and investing to portfolio insights and reporting. You’ll work from first principles to define the modern wealth platform for private markets. Your job is to turn customer insights, data, and regulatory constraints into elegant, performant experiences that deepen investor engagement and increase capital deployed.
 This is a hands\-on, early\-stage product role with meaningful scope. You’ll partner tightly with engineering, design, compliance, and the GM to ship high\-quality product in a fast\-moving, regulated environment.
**You will have the opportunity to:** 
* Own major product surfaces across investing and portfolio management, shaping what Meridian becomes
* Build new products on top of AngelList infra, with real distribution advantages
* Translate insights and data into sharp, opinionated product decisions
* Prioritize ruthlessly and drive clarity in ambiguous problem spaces
* Collaborate with engineering, design, legal, and operations to scope and sequence effectively
* Partner directly with the GM to influence product strategy and team direction
**What we’re looking for:** 
* 5\+ years of PM experience with full ownership across discovery, launch, and iteration
* Experience building fintech, private market, or regulated consumer products
* Strong product judgment and taste, you know what good looks like and push for it
* 0→1 product experience; comfort with ambiguity, tradeoffs, and limited resources
* Familiarity with working across legal, compliance, and operational teams
* High agency and urgency with a bias toward thoughtful execution
* Excitement about Meridian’s vision and the opportunity to help build a category\-defining wealth platform
**Working Here** 
 If you don’t meet every requirement above, we still encourage you to apply. We value complementary strengths and operators who learn by doing.
 AngelList has offices in a few cities, New York City and San Francisco. We have a hybrid in\-office model: teammates come in at least 2 days per week (Tuesdays and either Wednesday or Thursday). Exceptions may be made for exceptional individual contributor candidates in other locations.
**Compensation:** 
 The compensation for this role consists of a competitive base salary, benefits, and equity package. The base salary for this role is $200,000\+ annually but actual will vary based on a number of factors including a candidate’s professional background, experience, and location. Full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90">
      <c r="A90" t="inlineStr">
        <is>
          <t>li-4352172014</t>
        </is>
      </c>
      <c r="B90" t="inlineStr">
        <is>
          <t>Lead Product Manager - Growth</t>
        </is>
      </c>
      <c r="C90" t="inlineStr">
        <is>
          <t>Trustly</t>
        </is>
      </c>
      <c r="D90" t="inlineStr">
        <is>
          <t>linkedin</t>
        </is>
      </c>
      <c r="E90" t="inlineStr"/>
      <c r="F90" t="inlineStr"/>
      <c r="G90" t="inlineStr"/>
      <c r="H90" t="inlineStr"/>
      <c r="I90" t="inlineStr">
        <is>
          <t>**WHO WE ARE** 
 At Trustly, we're building a smarter, faster, and more secure financial future by revolutionizing the world of payments. As a global leader in Open Banking Payments, we are establishing Pay by Bank as the new standard at checkout, providing unparalleled freedom, speed, and ease to millions of consumers and merchants worldwide.
 Our Ambition: To build the world’s most disruptive payment network and redefine what the payment experience should feel like.
 Trustly is a global team of innovators, collaborators, and doers.  If you are driven by a strong sense of purpose and thrive in a dynamic, entrepreneurial, and high\-growth environment, join us and be part of a team that’s transforming the way the world pays.
**ABOUT THE ROLE** 
 As a Lead Product Manager – Growth at Trustly, you will drive user adoption, engagement, and conversion across our consumer\-facing payment experiences. You will focus on experimentation, funnel optimization, and data\-driven insights to reduce friction in the checkout experience and improve key consumer metrics.
 This role is highly cross\-functional, with a mix of strategy and execution. You’ll work closely with Engineering, UX, Data, Marketing, and other partners to design, run, and scale experiments that meaningfully improve the end\-to\-end payment journey. You’ll also help shape how Trustly approaches experimentation and growth product practices more broadly.
 We’re looking for someone who thrives in fast\-paced environments, is deeply curious about consumer behavior, and is motivated by measurable impact.
**WHO YOU’LL WORK WITH
 You’ll be part of the Product organization and work day\-to\-day with a cross\-functional Growth pod spanning Engineering, UX, Data Analytics, and Marketing. You’ll also partner closely with Risk, Compliance, Sales, and Merchant Success to ensure growth initiatives are scalable, secure, and compliant. 
**WHAT YOU'LL DO** 
* Own and execute a growth roadmap focused on activation, conversion, retention, and revenue impact
* Design, launch, and iterate on A/B tests and experiments across the consumer payment funnel
* Identify friction points across key consumer flows and propose data\-backed improvements
* Partner closely with UX to refine product experiences that increase conversion and reduce checkout drop\-off
* Translate insights into scalable product improvements across merchants and use cases
* Define and track core growth metrics (e.g., activation, conversion, retention)
* Leverage quantitative and qualitative insights to inform prioritization and product decisions
* Clearly communicate experiment results, learnings, and recommendations to stakeholders
* Work closely with Engineering to scope, prioritize, and deliver growth initiatives efficiently
* Collaborate with Marketing, Data, and UX to ensure experiments are well\-designed and actionable
* Partner closely with Risk to balance customer lifetime value (CLV) against key risk decisions, including approval rates
* Contribute to improving Trustly’s experimentation frameworks, metrics, and best practices
**WHO YOU ARE** 
* 6\+ years of Product Management experience in growth or consumer tech, with a proven track record in A/B testing and funnel optimization
* Deep analytical and technical fluency, with the ability to turn complex data and payment ecosystem logic into actionable product strategies
* Strategic focus on Customer Lifetime Value (CLV), balancing aggressive conversion gains against fraud, risk, and long\-term profitability
* Consumer\-first mindset with a strong intuition for UX and the ability to drive measurable business impact in fintech or payments
* Exceptional collaborator and communicator, skilled at aligning Engineering, Data, and senior stakeholders on complex trade\-offs
 Applications for this role are accepted on an ongoing basis.
**SALARY RANGES IN US\-BASED ROLE POSTING**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Recruiters can share more information with applicants about the specific salary range for preferred locations during the hiring process. Please note that the compensation details listed in US role postings reflect the base salary only, and do not include bonus, equity, and other perks and benefits.
**WHAT WE OFFER** 
 At Trustly, you will have the chance to solve meaningful challenges alongside some of the brightest minds in FinTech. Together, we are shaping the future of payments in an environment that celebrates curiosity, collaboration, and innovation. You will be challenged and empowered to grow, making a real impact every step of the way.
 Our team is as diverse as the global footprint we serve, with colleagues across Silicon Valley, the U.S., Canada, Brazil, Europe, and beyond. We embrace a remote\-first culture that empowers you to balance your career ambitions with personal fulfillment. At Trustly, we foster a workplace where everyone feels they belong—a place where teamwork thrives, ideas flourish, and we never forget to have fun along the way.
 The total compensation packages include competitive salaries, bonus plans, and stock options. We offer innovative perks and benefits packages that include:
 \- Flexible paid time off \&amp; generous PTO accrual plans
 \- Comprehensive medical, dental, vision, and other insurances
 \- FSA \&amp; HSA plans for medical and dependent care
 \- Home office set\-up allowance
 \- Internet stipend
 \- Retirement plan match for 401k and RRSP
 \- Gender\-neutral paid parental leave, and more!
*(The benefits and total compensation packages outlined above are for full\-time employees; some exclusions apply for temporary positions.)*
 At Trustly, we embrace and celebrate diversity of all forms and the value it brings to our employees and customers. We are proud and committed to being an Equal Opportunity Employer and believe an open and inclusive environment enables people to do their best work.  All decisions regarding hiring, advancement, and any other aspects of employment are made solely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1">
      <c r="A91" t="inlineStr">
        <is>
          <t>li-4362911622</t>
        </is>
      </c>
      <c r="B91" t="inlineStr">
        <is>
          <t>Sr Product Manager, SaaS</t>
        </is>
      </c>
      <c r="C91" t="inlineStr">
        <is>
          <t>TP-Link Systems Inc.</t>
        </is>
      </c>
      <c r="D91" t="inlineStr">
        <is>
          <t>linkedin</t>
        </is>
      </c>
      <c r="E91" t="inlineStr"/>
      <c r="F91" t="inlineStr"/>
      <c r="G91" t="inlineStr">
        <is>
          <t>Irvine, CA</t>
        </is>
      </c>
      <c r="H91" t="inlineStr"/>
      <c r="I91"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TP\-LINK Systems is seeking an experienced
 **Senior Product Manager** 
 to lead the strategy, development, and growth of our
 **Software\-as\-a\-Service (SaaS)** 
 offerings that complement our
 **Home Networking and Smart Home** 
 product ecosystem.
 This role is ideal for a product leader who thrives at the intersection of technology, user experience, and business impact — driving innovative
 **subscription services and connected software experiences** 
 that enhance how customers connect, automate, and manage their smart homes and networks.
**Key Responsibilities**
 Product Strategy \&amp; Definition
* Collaborate with leadership to define and execute the SaaS product roadmap aligned with TP\-LINK's strategic vision for connected devices and digital services
* Translate customer insights, competitive intelligence, and market trends into clear product requirements and success metrics
* Partner with cross\-functional teams—including hardware, cloud engineering, and UX—to ensure seamless integration between SaaS platforms and TP\-LINK devices
 Product Development \&amp; Execution
* Drive the full product development lifecycle—from concept and design through delivery and iteration—ensuring high\-quality, scalable, and secure solutions
* Work closely with engineering, QA, and project management to define priorities, manage timelines, and ensure on\-time delivery of product milestones
* Identify risks and proactively remove roadblocks to maintain development velocity
 Go\-to\-Market \&amp; Growth Enablement
* Partner with marketing, sales, and customer success to define pricing, packaging, and positioning strategies for subscription products
* Develop metrics to measure product performance and adoption, leveraging analytics to guide data\-driven decisions and continuous improvement
* Champion the customer experience, ensuring that our SaaS products deliver measurable value and long\-term engagement
 Lifecycle \&amp; Portfolio Management
* Oversee the end\-to\-end lifecycle of SaaS products—from initial launch through feature expansion and optimization
* Continuously evaluate market feedback and platform performance to refine the roadmap and maintain product\-market fit
* Collaborate with finance and operations to monitor subscription health, churn, and renewal rates
**Requirements**
 Qualifications:
* Bachelor's degree in Computer Science, Engineering, Business, or related field; MBA or equivalent preferred
* 6\+ years of experience in product management, with at least 3 years focused on SaaS or cloud\-based products
* Proven track record of driving product growth and customer adoption in a subscription\-based business model
* Strong technical understanding of cloud infrastructure, APIs, and data\-driven product development
* Excellent communication and cross\-functional collaboration skills, with the ability to influence across technical and business teams
* Experience in networking, IoT, or consumer electronics ecosystems a plus
**Benefits**
 Salary Range $150,000 to $200,000
* Fully paid medical, dental, and vision insurance (partial coverage for dependents)
* Contributions to 401k funds (Quarterly Employer Contributions)
* 15 days accrued vacation
* 11 paid holidays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t>
        </is>
      </c>
    </row>
    <row r="92">
      <c r="A92" t="inlineStr">
        <is>
          <t>li-4368362813</t>
        </is>
      </c>
      <c r="B92" t="inlineStr">
        <is>
          <t>Product Manager</t>
        </is>
      </c>
      <c r="C92" t="inlineStr">
        <is>
          <t>H&amp;R Block</t>
        </is>
      </c>
      <c r="D92" t="inlineStr">
        <is>
          <t>linkedin</t>
        </is>
      </c>
      <c r="E92" t="inlineStr"/>
      <c r="F92" t="inlineStr"/>
      <c r="G92" t="inlineStr">
        <is>
          <t>Missouri, United States</t>
        </is>
      </c>
      <c r="H92" t="inlineStr"/>
      <c r="I92"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The Product Manager (PM) defines and executes a product roadmap that aligns customer needs with business objectives, leading initiatives that span people, processes, and technology. This role involves uncovering key customer pain points through research, feedback, and data, and using those insights to inform prioritization and roadmap decisions. The PM writes user stories, requirements, and acceptance criteria, and facilitates cross\-functional grooming sessions to drive clarity and alignment. They nurture strong relationships with stakeholders and ensure product requirements are grounded in strategic goals. The PM is responsible for managing the full product lifecycle—balancing short\- and long\-term results and collaborates closely with engineering, design, marketing, and sales teams to deliver innovative, high\-impact solutions.
**Day to day, you'll...**
* Ensure the successful execution and delivery of assigned features within large\-scale products, organizing necessary resources through planning ceremonies, and supporting the product
* Ensure the successful execution and delivery of assigned features within large\-scale products, organizing necessary resources through planning ceremonies, and supporting the product backlog while managing scope, schedule, quality, costs, resources, and risks
* Write detailed user stories and requirements with acceptance criteria that can be properly translated into automated tests
* Lead product ceremonies with cross\-functional partners to facilitate work from discovery through delivery using modern SDLC best practices and methodologies
* Prioritize product features and manage the product backlog
* Engage in meaningful discussions with engineers to align product strategy with technical capabilities.
* Engage with leadership to prioritize based on data\-driven insights and outcome analysis
* Present findings to leaders, clearly articulating the rationale, methodology, and expected impact
* Identify and monitor key product metrics, drive A/B test design and execution, and ensure accountability for both short\- and long\-term product results
* Focus on delivering measurable outcomes and use data to guide decisions and assess success
* Collaborate effectively with engineering, design, and business functions to ensure alignment
* Foster a sense of ownership and accountability within the squad and ensure the quality and success of shipped features and OKRs
* Engage in personal development to enhance product management competencies and adjacent functions such as Agile, Lean, DevOps, etc.
**Education**
**What you'll bring to the team...**
* Bachelor's degree in a related field or the equivalent through a combination of education and related work experience
**Work Experience**
* 3 years of experience in product management or a related role
* Familiarity with formal product management methodologies
* Basic technical understanding to be able to engage with engineering teams and familiarity with technology delivery/software development methodologies (notably Agile, Lean, DevOps)
* Demonstrated decision\-making, analytical and problem\-solving abilities
* Effective in leading teams/squads in a matrix management environment with demonstrated record of establishing priorities and deadlines
* Effective written and oral presentation and facilitation skills
* Ability to communicate with all levels of internal associates, external vendors and business partners
* Ability to work effectively as part of a team with minimal formal supervision or guidance
**It would be even better if you also had...**
* Familiarity with compliance (regulatory, SOX, etc.) and governance issues
* Tax or financial industry background
* Experience with product planning tools (ADO, Aha, Atlassian)
* Familiarity with setting and driving against OKRs (Outcome and Key Results)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$81,600\.00 \- $122,400\.00/Yr.</t>
        </is>
      </c>
    </row>
    <row r="93">
      <c r="A93" t="inlineStr">
        <is>
          <t>li-4368001929</t>
        </is>
      </c>
      <c r="B93" t="inlineStr">
        <is>
          <t>Consulting Product Manager</t>
        </is>
      </c>
      <c r="C93" t="inlineStr">
        <is>
          <t>Newfire Global Partners</t>
        </is>
      </c>
      <c r="D93" t="inlineStr">
        <is>
          <t>linkedin</t>
        </is>
      </c>
      <c r="E93" t="inlineStr"/>
      <c r="F93" t="inlineStr"/>
      <c r="G93" t="inlineStr"/>
      <c r="H93" t="inlineStr"/>
      <c r="I93" t="inlineStr">
        <is>
          <t>**About the Company** 
 Newfire Global Partners is a leading technology firm that specializes in building transformative software solutions for some of the world’s most innovative companies. With a presence across four continents, Newfire Global brings deep expertise in digital healthcare, AI\-driven analytics, and enterprise technology. The firm’s track record of delivering scalable, high\-impact solutions has made it a trusted partner for organizations seeking to drive meaningful change through technology. We are passionate about the purpose\-driven mission to help improve the quality of care for patients and are building a collaborative, innovative, and inclusive culture. We are a fully funded company founded by serial entrepreneurs with a stable client base.
**About the Role** 
 Newfire Global Partners, a leader in developing disruptive healthcare technology, collaborates with Fortune 500 companies and start\-ups to drive transformation. Newfire is seeking a Consulting Product Manager with SaaS experience to drive the modernization and spearhead the development of a unified, next\-generation clinical technology platform for a current healthcare client. This new platform will serve as the foundation for all clinical data and operations across every line of business. By creating a robust and innovative solution, this leader will enable enhanced care management, utilization management, and data\-driven decision\-making—ultimately working to improve healthcare outcomes for millions of Americans.
**Responsibilities** 
* The Consulting Product Manager provides product leadership within client engagements, working at the intersection of client organizations and Newfire delivery teams.
* You will run workstreams within engagements, own roadmap and backlog for defined product scopes, and help clients improve their product processes.
* This is not a classic PM role—it requires deep PM skills applied in a consulting context.
**Qualifications** 
* 4–7 years in formal product management roles within functional product organizations
* Experience in at least two organizations with ability to adapt to different cultures and constraints
* Track record of helping organizations improve how they do product work
* Strong bridge\-building skills—ability to translate between clinical/operational/commercial domains and technical teams
* Active use of AI tools (Claude, ChatGPT, etc.) in your work with ability to advise others on AI capabilities
* Fluent English (written and verbal) with ability to present to executives, facilitate workshops, and create clear documentation
* Self\-directed with ability to find your own way and build playbooks without extensive mentoring
**Preferred Skills** 
* Healthcare experience: provider, payor, or revenue cycle management workflows
* Consulting, agency, or multi\-client environment background
* Experience collaborating with UX research, service design, or design studios
**The offer** 
 Newfire Global is committed to consistent compensation practices across our organization. Total compensation for this role is market driven, with a salary of
 **$132,350 \- $150,492\.** 
 Base pay is ultimately determined based on a candidate's skills, expertise, and experience. We also offer a comprehensive benefits package including medical, dental \&amp; vision coverage, health spending accounts, voluntary benefits, leave of absence policies, Employee Assistance Program, 401(k) program with employer contribution, Flexible work schedules and time\-off policy, as well as company equipment for all new full\-time US\-based remote employees.
 Offers are contingent upon successful completion of a background screening. Background screenings will be conducted in compliance with applicable laws and will not be initiated without your consent.
 Newfire Global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row>
    <row r="94">
      <c r="A94" t="inlineStr">
        <is>
          <t>li-4368004489</t>
        </is>
      </c>
      <c r="B94" t="inlineStr">
        <is>
          <t>Product Manager - SaaS Platform</t>
        </is>
      </c>
      <c r="C94" t="inlineStr">
        <is>
          <t>RemoteHunter</t>
        </is>
      </c>
      <c r="D94" t="inlineStr">
        <is>
          <t>linkedin</t>
        </is>
      </c>
      <c r="E94" t="inlineStr"/>
      <c r="F94" t="inlineStr"/>
      <c r="G94" t="inlineStr"/>
      <c r="H94" t="inlineStr"/>
      <c r="I94" t="inlineStr">
        <is>
          <t>About the Opportunity:
 The Product Manager – SaaS Platform is responsible for building and evolving the cloud\-native foundation that powers a cybersecurity product suite. This role involves owning and delivering key shared platform services such as authentication and authorization, APIs, workflow automation, common UI components, and a shared data platform that enable multiple cybersecurity products to be built, deployed, and scaled on a single unified SaaS platform. The position requires collaboration with engineering, architecture, and product teams across Data Security, Identity Governance, and Cloud Security to ensure the platform is secure, extensible, and easy to build on.
 Responsibilities:
 • Own and drive the roadmap and delivery for one or more SaaS platform service areas (authentication and authorization, APIs and integrations, workflow services, notification systems, shared UI components).
 • Design, build, and expand the shared data platform to facilitate cross\-product integration, AI, and BI initiatives.
 • Collaborate with the Data Science team to ideate and execute an AI\-based cybersecurity risk and insights engine.
 • Translate platform strategy into clear product requirements, user stories, and priorities for engineering execution.
 • Partner with Engineering and Architecture to ensure platform services are secure, reliable, scalable, and built for enterprise\-grade multi\-tenant SaaS.
 • Collaborate with product managers across the cybersecurity portfolio to align platform capabilities with product development needs.
 • Engage with customers, solution architects, and field teams to understand real\-world platform deployments.
 • Define and track success metrics including usage, performance, reliability, and downstream product adoption.
 • Drive roadmap planning, backlog prioritization, and release execution for the SaaS platform.
 Requirements:
 • 3\+ years of product management experience delivering SaaS cybersecurity products.
 • Experience with platforms, APIs, integrations, infrastructure, or shared services.
 • Experience leading and executing large\-scale data platform initiatives.
 • Hands\-on experience working with data science teams and delivering AI\-based capabilities.
 • Knowledge of modern SaaS architecture including multi\-tenancy, microservices, APIs, and cloud platforms.
 • Strong technical writing skills and ability to collaborate with engineering teams.
 • Ability to work in a fast\-moving, high\-ownership environment.
 • Strong communication and stakeholder management skills.
 • Bachelor’s degree in Computer Science, Engineering, Information Systems, or a related field preferred.
 Benefits \&amp; Perks:
 • Remote\-first work environment with opportunities for face\-to\-face interaction.
 • Supportive and innovative culture fostering collaboration across global teams.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5">
      <c r="A95" t="inlineStr">
        <is>
          <t>li-4365727127</t>
        </is>
      </c>
      <c r="B95" t="inlineStr">
        <is>
          <t>Product Manager - Network Applications</t>
        </is>
      </c>
      <c r="C95" t="inlineStr">
        <is>
          <t>TP-Link Systems Inc.</t>
        </is>
      </c>
      <c r="D95" t="inlineStr">
        <is>
          <t>linkedin</t>
        </is>
      </c>
      <c r="E95" t="inlineStr"/>
      <c r="F95" t="inlineStr"/>
      <c r="G95" t="inlineStr">
        <is>
          <t>Irvine, CA</t>
        </is>
      </c>
      <c r="H95" t="inlineStr"/>
      <c r="I95"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looking for an experienced Product Manager to manage application development for consumer electronics software and design and optimize smart home app features. This role requires you to manage the full lifecycle of features, from planning and design to development, release, and continuous optimization, ensuring our app remains at the forefront of the industry. You will collaborate closely with cross\-functional teams to drive product innovation and improve user experience.
***Key Responsibilities:***
* Manage the software for consumer electronics products, including mobile applications and cloud features, overseeing the entire lifecycle of features (from conception, definition, design, development, release, and ongoing optimization).
* Lead the design of smart home product software features, ensuring that the app's overall experience and functionality meet user needs and drive product iterations and innovations.
* Conduct industry competitive analysis and market research, develop smart home app software feature plans and development strategies to ensure our app provides an industry\-leading user experience.
* Analyze industry trends, competitive products, and emerging technologies to drive innovative product features and enhance user experience.
* Monitor key performance indicators (KPIs) for the app, gather user feedback, and develop plans for feature optimization and iteration to improve user satisfaction.
* Collaborate with the design department to ensure the software design aligns with the usage habits and needs of target market users.
**Requirements**
***Qualifications:***
* Bachelor's degree or higher, preferably in Computer Science, Electronics, Communications, Software Engineering, or related fields.
* At least 3 years of experience as a software product manager, with experience in consumer electronics software preferred.
* Extensive experience as a product manager, particularly on mobile or web platforms, with a proven ability to independently design and develop large\-scale software products or core functional modules.
* Familiar with the software development lifecycle, with substantial experience writing software functional PRDs (Product Requirement Documents), able to clearly define functional requirements and drive team execution.
* Strong user insight, the ability to understand and anticipate user needs, and excellent product design skills aimed at enhancing user experience.
* Excellent communication skills, capable of driving cross\-department coordination and execution, with experience collaborating with remote teams.
* Strong self\-awareness, a desire for continuous learning and improvement, and a proactive attitude toward facing challenges and enhancing personal capabilities.
**Benefits**
 Salary range: $130,000 \- $160,000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96">
      <c r="A96" t="inlineStr">
        <is>
          <t>li-4368371785</t>
        </is>
      </c>
      <c r="B96" t="inlineStr">
        <is>
          <t>Product Manager, Platform</t>
        </is>
      </c>
      <c r="C96" t="inlineStr">
        <is>
          <t>Brain Co.</t>
        </is>
      </c>
      <c r="D96" t="inlineStr">
        <is>
          <t>linkedin</t>
        </is>
      </c>
      <c r="E96" t="inlineStr"/>
      <c r="F96" t="inlineStr"/>
      <c r="G96" t="inlineStr"/>
      <c r="H96" t="inlineStr"/>
      <c r="I96"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We are looking for a Platform Product Manager to help shape how shared systems and foundations evolve as the company scales. The role focuses on spotting patterns across what teams are building, deciding when it makes sense to standardize, and ensuring foundations and shared components help teams move faster without adding overhead.
 You will work closely with engineering to balance speed and consistency, making thoughtful decisions about what should be shared and what should remain flexible. We are looking for someone with strong builder instincts, who knows when to step in, when to step back, and how to maximize overall impact.
 In This Role, You Will
* Identify repeated engineering patterns and delivery friction across products and customers.
* Determine when a shared system or standard should exist versus when work should remain product\-owned.
* Partner with engineering to define clear interfaces, ownership, and readiness expectations for shared systems.
* Ensure shared foundations and components become the easiest and safest path for teams to ship.
* Evaluate adoption and real\-world usage of shared systems and use that feedback to guide iteration.
* Keep platform processes lightweight and grounded in real delivery needs.
* Protect product team velocity by avoiding premature standardization or unnecessary coordination.
* Create clarity across teams by making ownership boundaries and expectations explicit.
 You Might Thrive in This Role If You
* Have shipped and scaled real systems and understand delivery tradeoffs.
* Bring a technical or builder mindset and strong product judgment.
* Know how to introduce standards without over\-constraining teams.
* Are comfortable operating in ambiguity and making high\-impact decisions with incomplete information.
* Communicate clearly across engineering and product.
* Bias toward speed, leverage, and practical outcomes over process.
 What Success Looks Like
* Product teams ship faster with less duplicated effort.
* Expanding a product to new customers or regions requires significantly less incremental work.
* Shared systems see broad, voluntary adoption because they are genuinely useful.
* Platform work reduces friction rather than introducing new bottlenecks.
* Decisions about standardization are clearly grounded in real usage and outcomes.</t>
        </is>
      </c>
    </row>
    <row r="97">
      <c r="A97" t="inlineStr">
        <is>
          <t>li-4332215974</t>
        </is>
      </c>
      <c r="B97" t="inlineStr">
        <is>
          <t>Product Manager</t>
        </is>
      </c>
      <c r="C97" t="inlineStr">
        <is>
          <t>Mavis Tire</t>
        </is>
      </c>
      <c r="D97" t="inlineStr">
        <is>
          <t>linkedin</t>
        </is>
      </c>
      <c r="E97" t="inlineStr"/>
      <c r="F97" t="inlineStr"/>
      <c r="G97" t="inlineStr">
        <is>
          <t>White Plains, NY</t>
        </is>
      </c>
      <c r="H97" t="inlineStr"/>
      <c r="I97" t="inlineStr">
        <is>
          <t>**Position Overview** 
 At Mavis, we are continuously dedicated to delivering high\-quality products to our 20,000\+ employees and 3,000\+ company\-owned and franchised locations. Here you would be supporting the product from capturing requirements to delivery of the software to end\-users. Our technology is responsible for maintaining inventory, optimizing our supply chain, streamlining AP and AR, and supporting growth to more employees, stores, and distribution centers. You would work closely with our QA and engineering teams, as well as regularly work on\-site with other departments to ensure our software meets user expectations, is delivered on time, and is documented properly in Jira and Confluence.
**Responsibilities** 
 ● Oversee the entire product lifecycle from meeting with our business to gather requirements, working with engineers, delivering the product to stakeholders, and monitoring its success
 ● Translate high\-level product requirements to bite\-site tickets for our engineering team
 ● Work closely with our internal product team to prioritize and refine initiatives
 ● Create roadmaps of products and communicate milestones with the business
 ● Manage product development to ensure we are on\-track and meeting our milestones
**Qualifications** 
 ● Strong understanding of product management best practices and techniques
 ● 2\+ years of experience as a product manager or similar position
 ● BA degree in related subject or equivalent work experience
 ● Experience overseeing an Agile environment
 ● Strong proficiency in writing tickets in Jira and documenting in Confluence
 ● Excellent collaboration and communication
 ● Experience creating roadmaps and presentations
 ● Effective in managing cross\-functional teams</t>
        </is>
      </c>
    </row>
    <row r="98">
      <c r="A98" t="inlineStr">
        <is>
          <t>li-4365727126</t>
        </is>
      </c>
      <c r="B98" t="inlineStr">
        <is>
          <t>Product Manager - Hardware - Consumer Networking</t>
        </is>
      </c>
      <c r="C98" t="inlineStr">
        <is>
          <t>TP-Link Systems Inc.</t>
        </is>
      </c>
      <c r="D98" t="inlineStr">
        <is>
          <t>linkedin</t>
        </is>
      </c>
      <c r="E98" t="inlineStr"/>
      <c r="F98" t="inlineStr"/>
      <c r="G98" t="inlineStr">
        <is>
          <t>Irvine, CA</t>
        </is>
      </c>
      <c r="H98" t="inlineStr"/>
      <c r="I9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skilled Product Manager to drive the development of our consumer network equipment hardware products. The ideal candidate will be deeply involved in the technical design and execution of networking hardware and network infrastructure devices. This role will require close collaboration with engineering teams to ensure products meet all technical specifications, performance goals, and timelines. Additionally, the candidate should have a understanding of supply chain management, with active involvement in the sourcing and management of key materials.
***Key Responsibilities:***
* Product Definition: Collaborate closely with the Strategic Product Manager (SPM) to understand the product strategy, target market, and customer pain points. Based on these insights, define the product's implementation details, ensuring that the product features align with customer needs while maintaining technical feasibility and development efficiency
* Product Development and Execution: Oversee the successful execution of product development, working closely with project management and other departments to ensure the product is developed on time, meets all technical specifications, and achieves quality standards. Manage risks, track progress, and ensure all milestones are met for a successful product launch
* Procurement and Supply Chain Coordination: Work closely with the procurement team to understand material availability, sourcing options, and ensure timely delivery of components. Familiarize yourself with the upstream supply chain to ensure that materials are sourced and delivered according to the product development schedule
* Product Lifecycle Management: Oversee the entire product lifecycle, from ideation through to product launch and post\-launch performance. This includes defining key milestones and ensuring timely product delivery
**Requirements**
***Qualifications:***
* Bachelor's degree or higher, preferably in Computer Science, Electronics, Communications, Software Engineering, or related fields
* 2\+ years of experience in product management with a focus on networking hardware and strong technical knowledge of networking hardware
* Experience with the development of hardware products, and ability to efficiently manage and prioritize multiple concurrent tasks and projects
* Excellent communication skills, with the ability to explain complex technical concepts to both technical and non\-technical stakeholders
**Benefits**
 Salary Range: $120,000 \- $140,000
***Benefits:***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99">
      <c r="A99" t="inlineStr">
        <is>
          <t>li-4357563112</t>
        </is>
      </c>
      <c r="B99" t="inlineStr">
        <is>
          <t>Group Product Manager</t>
        </is>
      </c>
      <c r="C99" t="inlineStr">
        <is>
          <t>Cellebrite</t>
        </is>
      </c>
      <c r="D99" t="inlineStr">
        <is>
          <t>linkedin</t>
        </is>
      </c>
      <c r="E99" t="inlineStr"/>
      <c r="F99" t="inlineStr"/>
      <c r="G99" t="inlineStr"/>
      <c r="H99" t="inlineStr"/>
      <c r="I99" t="inlineStr">
        <is>
          <t>**Group Product Manager:**
**Company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Cellebrite is looking for an experienced
 **Group Product Manager** 
 to lead the definition and direction Cellebrite Inseyets Physical Analyzer. This role is focused on
 **problem discovery, customer needs, prioritization, and outcomes.** 
 In this position, you will own the product release cycle from requirement gathering to product release. You will be working closely with other PMs, architects, and the R\&amp;D teams, and reporting to the Director of Product for Inseyets.
**Responsibilities:**
 As a Group Product Manager at Cellebrite you will manage and develop a small team of Technical Product Managers while owning product strategy, including driving this newly formed product to
 **product\-market fit** 
 . You’ll enjoy the peek into our global law enforcement and intelligence customers’ workflow and operational needs, have the privilege of helping them excel in their mission and making the world a better place.
* Lead product strategy from initial concept through product\-market fit
* Identify and prioritize customer problems worth solving, based on impact, feasibility, and revenue potential
* Define clear problem statements and desired outcomes
* Partner with leadership to assess commercial opportunity and business value of product initiatives
* Guide your team in:
* Problem discovery and validation
* Outcome definition
* Prioritization frameworks
* Own and communicate product direction and vision across stakeholders
* Evaluate how effectively your team identifies, prioritizes, and articulates the right problems to solve
* Serve as a senior product leader who can confidently lead ambiguity and build from scratch
 Requirements:
* 5\+ years of Product Management experience
* Experience in Digital Forensics (advantage)
* 1\+ years managing a team of Product Managers (advantage)
* Strong background in owning product direction, not just backlog or execution
* Experience working on technically complex products
* Ability to connect customer problems and business outcomes
* Bachelor’s degree in a technical or engineering\-adjacent field (preferred)</t>
        </is>
      </c>
    </row>
    <row r="100">
      <c r="A100" t="inlineStr">
        <is>
          <t>li-4358390777</t>
        </is>
      </c>
      <c r="B100" t="inlineStr">
        <is>
          <t>Sr. Product Manager - Hardware - Smart Home</t>
        </is>
      </c>
      <c r="C100" t="inlineStr">
        <is>
          <t>TP-Link Systems Inc.</t>
        </is>
      </c>
      <c r="D100" t="inlineStr">
        <is>
          <t>linkedin</t>
        </is>
      </c>
      <c r="E100" t="inlineStr"/>
      <c r="F100" t="inlineStr"/>
      <c r="G100" t="inlineStr">
        <is>
          <t>Irvine, CA</t>
        </is>
      </c>
      <c r="H100" t="inlineStr"/>
      <c r="I100"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passionate and results \- driven Senior Product Manager with 5 \- 10 years of successful experience in product planning, definition, and management in the realm of smart home products especially home automation ecosystem like smart lighting systems, smart switches, sockets, smart control centers, smart curtains, sensors and buttons, etc. You'll be at the forefront of product innovation, not only in individual product features but also in expanding and strengthening our home automation ecosystem. You will be responsible for collaborating with major clients such as ISPs, third \- party platforms, pre \- installation market clients, etc. to execute home automation business projects and drive the growth of our smart home ecosystem.
 Your contributions will improve the daily experiences of countless smart home users, making their lives more convenient and secure. Join us and be part of creating a world full of exciting possibilities!
***Key Responsibilities:***
* User Insights:
* Conduct in\-depth analyses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market\-leading smart home especially home automation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Partner with clients to drive the successful completion of projects, aligning product features with client needs for seamless implementation
* Sales and Operations Support:
* Collaborate with the global sales team to create monthly product production plans, adjusting based on sales and competitive conditions
* Monitor and optimize user feedback post\-product launch, continuously refining products.Qualifications:
**Requirements**
* Bachelor's degree in a STEM (Science, Technology, Engineering, and Mathematics) field
* 6 \+ years of proven experience in product planning, definition, and management, covering the full product lifecycle from concept to market launch
* Strong technical understanding and ability to engage in technical decision\-making
**Preferred Qualifications:**
* Hands\-on experience with smart home products, particularly in Home Automation related products
* Experience in successfully delivering smart home ecosystem solutions to clients
* A strong technical background and ability to provide technical direction throughout product development
* Deep in customer empathy, with the ability to identify and act on the smallest details to drive meaningful product innovation
**Benefits**
 Salary range: $160,000 \- $180,000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01">
      <c r="A101" t="inlineStr">
        <is>
          <t>li-4368042045</t>
        </is>
      </c>
      <c r="B101" t="inlineStr">
        <is>
          <t>Senior Product Manager, Fleet Management</t>
        </is>
      </c>
      <c r="C101" t="inlineStr">
        <is>
          <t>Nuro</t>
        </is>
      </c>
      <c r="D101" t="inlineStr">
        <is>
          <t>linkedin</t>
        </is>
      </c>
      <c r="E101" t="inlineStr"/>
      <c r="F101" t="inlineStr"/>
      <c r="G101" t="inlineStr">
        <is>
          <t>Mountain View, CA</t>
        </is>
      </c>
      <c r="H101" t="inlineStr"/>
      <c r="I101"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One of the responsibilities of the Product Team is to build products that supercharge our operations to safely, efficiently, and effectively power our Autonomous Vehicles. As a Product Manager on the team, you will be responsible for driving high\-impact initiatives, working closely with Operations, Design, Engineering, Strategy, Business Development, and Legal.
**About The Work**
* Empathize with Operators. You are focused on the users, Operators, and invest the time to deeply understand their various workflows. Hands\-on learning \- rolling up your sleeves and giving it a try yourself \- energizes you.
* Inform Operations roadmap. You know what it takes to operate a safe and efficient commercial service. Given your vision of the big picture, you prioritize and define the products needed to make it a reality.
* Build tools to scale. You lead the team to define, design, and develop innovative solutions that give our Operations Team “superpowers”. Your step\-change products directly influence the number of operators we need to operate each vehicle.
* Be a force multiplier. You define and communicate product goals, requirements, and constraints. You surface problems and dig\-in to fully understand the root cause. You source and synthesize feedback from internal experts and experiments, which is then incorporated in the solution. You define success, measure progress, and have creative tactics to push the pace.
**About You**
* Strategic: You know the value and priority level for every product you are working on and every feature you propose \- both to your customer, and to the business overall.
* Structured Thinker: You create structure and extract principles for the messiest systems. You surface the most crucial unanswered questions and drive to answers.
* Data\-Driven: You can extract important insights from whatever data is available, even if it is sparse or imperfect. You highlight valuable data we don’t have and how to collect it.
* Customer\-Driven: You develop deep empathy for your customer, fully internalize their needs, and have a strong intuition about the best ways to meet them.
* Technically Fluent: You have experience building tools with engineers and can be the technical representative in conversations without engineers.
* Trusted Partner: You know what is blocking your engineers, and how you can make their lives easier. Engineers instinctively turn to you for guidance and clarity.
* Self\-Directed: You proactively sort out the most important thing to work on. You take accountability for your projects, and don’t need to be told how to execute on them.
* Influential Communicator: You are skilled at collecting input from, and presenting insights to both technical and non\-technical audiences.
*At Nuro, your base pay is one part of your total compensation package. For this position, the reasonably expected base pay range is between $160,360 and $240,540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02">
      <c r="A102" t="inlineStr">
        <is>
          <t>li-4368343103</t>
        </is>
      </c>
      <c r="B102" t="inlineStr">
        <is>
          <t>Technical Product Owner (Oracle IAA Owner)</t>
        </is>
      </c>
      <c r="C102" t="inlineStr">
        <is>
          <t>NAM Info Inc</t>
        </is>
      </c>
      <c r="D102" t="inlineStr">
        <is>
          <t>linkedin</t>
        </is>
      </c>
      <c r="E102" t="inlineStr"/>
      <c r="F102" t="inlineStr"/>
      <c r="G102" t="inlineStr">
        <is>
          <t>San Antonio, TX</t>
        </is>
      </c>
      <c r="H102" t="inlineStr"/>
      <c r="I102" t="inlineStr">
        <is>
          <t>Title: Product Owner
 Fulltime
 Location: San Antonio, TX
 Band: 4C/4D (Principal / Sr Principal Consultant)
 We are seeking a strategic and technical Product Owner to lead the development and optimization of our Life Reinsurance platforms. In this role, you will be the bridge between business stakeholders (Finance, Underwriting) and technical teams, ensuring that our reinsurance products are accurately modeled and compliant with global accounting standards. You will specifically own the product vision for our Oracle Insurance Accounting Analyzer (IAA) implementation, driving data\-centric insights and regulatory reporting excellence.
**Key Responsibilities** 
* **Backlog Management:** 
 Define, prioritize, and maintain a transparent product backlog for Life Reinsurance features, focusing on maximizing business value.
* Oracle IAA Ownership: Lead the functional configuration of Oracle IAA to support IFRS 17 and LDTI, including Contractual Service Margin (CSM) calculations and net liability assessments.
* Business Transformation: Partner with Finance teams to translate complex reinsurance treaty terms into actionable technical user stories and acceptance criteria.
* **Data Integrity:** 
 Oversee data ingestion and mapping from source systems (like Oracle Insurance Policy Administration \- OIPA) into IAA, ensuring high\-quality financial data for reporting.
* **Agile Leadership:** 
 Lead Scrum ceremonies, including sprint planning, backlog refinement, and product demos, to ensure timely delivery of product increments.
* **Stakeholder Liaison:** 
 Act as the primary point of contact for senior leadership to align product roadmaps with corporate strategic goals and regulatory mandates.
- 
**Required Skills \&amp; Experience** 
* **Domain Expertise:** 
 Deep knowledge of
 **Life Reinsurance** 
 products, including proportional/non\-proportional treaties, risk transfer, and data pipelines.
* **Oracle IAA Proficiency:** 
 Hands\-on experience with Oracle Insurance Accounting Analyzer (Oracle IAA), specifically in sub\-ledger accounting and disclosure requirements.
* **Agile Methodology:** 
 5\+ years of experience as a Product Owner or Technical Lead in an Agile environment.
* **Analytical Depth:** 
 Ability to analyze complex financial datasets and perform gap analysis between "as\-is" and "to\-be" reporting states.
* **Certifications:** 
 Certified Scrum Product Owner (CSPO) or SAFe POPM is highly desirable.
- 
**Educational Background** 
* Bachelor’s degree in Finance, Computer Science, or a related field.
* Master’s degree or relevant industry designations (e.g., FLMI, ARA) preferred.</t>
        </is>
      </c>
    </row>
    <row r="103">
      <c r="A103" t="inlineStr">
        <is>
          <t>li-4352573341</t>
        </is>
      </c>
      <c r="B103" t="inlineStr">
        <is>
          <t>Sr Technical Product Manager - Quality and Configuration Management</t>
        </is>
      </c>
      <c r="C103" t="inlineStr">
        <is>
          <t>Blue Origin</t>
        </is>
      </c>
      <c r="D103" t="inlineStr">
        <is>
          <t>linkedin</t>
        </is>
      </c>
      <c r="E103" t="inlineStr"/>
      <c r="F103" t="inlineStr"/>
      <c r="G103" t="inlineStr"/>
      <c r="H103" t="inlineStr"/>
      <c r="I103"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Technical Product Manager, you will play a critical role in shaping the digital infrastructure that supports our mission. You will collaborate closely with cross\-functional teams, including engineering, design, and leadership, to drive the development of innovative products that empower our teams. Your strategic vision, leadership, and commitment to delivering exceptional user experiences will be essential to our success.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Strategy and Vision: Develop and articulate a clear product vision and strategy that aligns with both customer needs and Blue Origin’s mission.
* Customer Focus: Champion the customer’s voice throughout the product lifecycle. Regularly engage with customers, partners, and internal stakeholders to deeply understand their needs, gather feedback, and enhance the product experience.
* Roadmap Development \&amp; Prioritization: Own the product roadmap, making data\-driven decisions to prioritize features and enhancements based on customer needs, business impact, and technical feasibility. Ensure alignment with key stakeholders, including engineering, design, and leadership teams.
* Product Delivery: Collaborate closely with UX, engineering, and customer teams to deliver high\-quality products on time and within budget. Define detailed product requirements, user stories, and acceptance criteria to guide development efforts.
* Risk Management: Proactively identify potential risks to product performance, customer satisfaction, and operational efficiency. Lead efforts to mitigate risks and ensure product stability and reliability.
* Cross\-functional Leadership: Lead cross\-functional teams to ensure successful product development and launch. Act as a product evangelist, drive adoption of product features and improvements.
* Release Planning: Coordinate product and feature releases, including defining release criteria, scheduling, and ensuring readiness across all teams involved in the launch process.
* Performance and Metrics: Define, monitor, and report on key performance indicators (KPIs) to measure product success. Leverage data to make informed decisions and iterate on product features and functionality.
* Stakeholder Communication: Maintain clear and consistent communication with stakeholders, providing regular updates on product progress, changes, and risks. Use feedback to inform and refine future product development.
* Continuous Improvement: Drive continuous improvement initiatives by evaluating product processes, tools, and methodologies. Lead ongoing product discovery activities to identify optimal technology solutions for customer challenges.
* Market Research: Stay up to date with industry trends, emerging technologies, and the competitive landscape to inform product strategy and identify opportunities for innovation.
**Minimum Qualifications**
* Education: Bachelor’s degree in Business, Engineering or a related field.
* Experience: 5\+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 Ability to earn trust, maintain positive and professional relationships.
**Preferred Qualifications**
* Experience with Aerospace software development processes and frameworks.
* Experience with manufacturing, quality management systems, and/or configuration management as applied to manufacturing.
**Compensation Range For**
 WA applicants is $169,347\.00 \- $237,085\.80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4">
      <c r="A104" t="inlineStr">
        <is>
          <t>li-4368370542</t>
        </is>
      </c>
      <c r="B104" t="inlineStr">
        <is>
          <t>AI Technical Product Manager, HBS Foundry</t>
        </is>
      </c>
      <c r="C104" t="inlineStr">
        <is>
          <t>Harvard Business School</t>
        </is>
      </c>
      <c r="D104" t="inlineStr">
        <is>
          <t>linkedin</t>
        </is>
      </c>
      <c r="E104" t="inlineStr"/>
      <c r="F104" t="inlineStr"/>
      <c r="G104" t="inlineStr">
        <is>
          <t>Boston, MA</t>
        </is>
      </c>
      <c r="H104" t="inlineStr"/>
      <c r="I104"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HBS Foundry?**
 HBS Foundry is a new initiative at Harvard Business School that helps founders build, fund, and launch their ventures through an AI\-driven digital learning platform. We’re a small, collaborative team within one of the world’s most respected institutions—combining the energy of a startup with the mission and reach of Harvard. Foundry brings together educators, engineers, and creative thinkers who are passionate about innovation, learning, and impact. Together, we’re developing tools and experiences that empower founders to grow their ventures and their confidence. It’s an exciting, fast\-moving environment where new ideas matter and every team member has the opportunity to shape what comes next.
**Job Description**
**Job Summary:**
 Lead development and implementation of complex information technology projects to solve problems that may have wide impact, requiring high levels of functional integration and involving multiple disciplines to be managed. May manage a number of projects simultaneously.
 The AI Technical Product Manager bridges the gap between artificial intelligence capabilities and real\-world product applications, combining deep technical understanding with strategic product understanding to build AI\-powered solutions that deliver measurable value.
**Job\-Specific Responsibilities:**
**Product**
* Balance innovation with practical implementation, assessing technical feasibility and business impact
* Establish success metrics and KPIs for AI product initiatives
**Technical Leadership**
* Collaborate with data scientists, ML engineers, and software developers to translate business requirements into technical specifications
* Understand AI/ML fundamentals including model architectures, training processes, evaluation metrics, and deployment considerations
* Make informed decisions about model selection, data requirements, and infrastructure needs
* Evaluate emerging AI technologies and determine their applicability to product challenges and understand risk mitigation strategies.
**Cross\-Functional Collaboration**
* Partner with engineering teams to prioritize features and manage the development lifecycle
* Work with design teams to create intuitive user experiences that leverage AI capabilities effectively
* Coordinate with data engineering on data pipelines, quality, and governance
* Communicate technical concepts to non\-technical stakeholders including executives and customers
**Product Development \&amp; Execution**
* Align with Project Director on strategic priorities, customer experience and usability needs, and internal / external deadlines.
* Own the product backlog, writing detailed user stories and acceptance criteria for AI features
* Manage tradeoffs between model performance, latency, cost, and user experience
* Oversee A/B testing and experimentation frameworks to validate AI\-driven improvements
* Monitor model performance in production and coordinate retraining or optimization efforts
**Ethics \&amp; Risk Management**
* Ensure responsible AI practices including fairness, transparency, and privacy considerations
* Identify potential biases in training data and model outputs
* Establish governance frameworks for AI model deployment and monitoring
* Navigate regulatory requirements, security needs, and compliance consideration
* Build trust and collaboration by being present on\-site and engaging directly with colleagues and various constituents.
* This role is responsible for other duties as assigned.
**Qualifications**
**Basic Qualifications:**
* Minimum of seven years’ post\-secondary education or relevant work experience
**Additional Qualifications and Skills:**
* Knowledge of Microsoft Office Suite, advanced Excel skills
* Knowledge of information technology applications, processes, software and equipment
* Highly specialized knowledge of a specific technology
* Knowledge of advanced IT project management principles (e.g. Agile) and software
* Demonstrated cross\-functional project management experience
* Demonstrated team performance skills, service mindset approach, and the ability to act as a trusted advisor
* Attitude that supports an Agile working environment
* Master's degree in Computer Science, Engineering, Data Science, or related technical field
* Experience with large language models, prompt engineering, or RAG systems
* Background in software engineering or data science
* Track record of managing products at scale with millions of users
* Exposure navigating AI regulatory landscapes (EU AI Act, etc.)
**Technical Background**
* Bachelor's degree in Computer Science, Engineering, Data Science, or related technical field
* 5\+ years of product management experience with 2\+ years specifically on AI/ML products
* Strong understanding of machine learning concepts, algorithms, and deployment architectures
* Experience with AI/ML tools and frameworks (TensorFlow, PyTorch, scikit\-learn, etc.)
* Familiarity with cloud platforms (AWS, Azure, GCP) and MLOps practices
**Product Management Skills**
* Proven track record of shipping successful AI\-powered products from concept to launch
* Expertise in agile methodologies and product development frameworks
* Excellent stakeholder management and communication abilities
**Domain Knowledge**
* Understanding of AI applications in relevant industry verticals
* Knowledge of generative AI, NLP, computer vision, or other specialized AI domains as applicable
* Awareness of AI ethics, bias mitigation, and responsible AI principles
 Additional Information
* Appointment End Date: This position is approved as a term appointment with an end date of June 30, 2027\. There is a possibility of renewal/extension.
* Standard Hours/Schedule: 40 hours per week
* Visa Sponsorship Information: Harvard University is unable to provide visa sponsorship for this position
* Pre\-Employment Screening: Identity, Education, Criminal
* Other Information:
+ This is a hybrid position which we consider to be a combination of remote and onsite work at our Boston, MA based campus. HBS expects all staff to be onsite a minimum of 3 days per week and departments provide onsite coverage Monday – Friday. Specific hours and days onsite will be determined by business needs and are subject to change with appropriate advanced notice.
+ We may conduct candidate interviews virtually (phone and/or via Zoom) and/or in\-person for this role
+ As part of our evaluation, candidates are required to complete a Take Home Assignment after clearing Technical Recruiter Screen. This assignment will test your specific skills/knowledge areas relevant to the role.
+ A cover letter is required to be considered for this opportunity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059\.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105">
      <c r="A105" t="inlineStr">
        <is>
          <t>li-4368012729</t>
        </is>
      </c>
      <c r="B105" t="inlineStr">
        <is>
          <t>AppraisalWorks Valuation Product Owner</t>
        </is>
      </c>
      <c r="C105" t="inlineStr">
        <is>
          <t>Accurate Group</t>
        </is>
      </c>
      <c r="D105" t="inlineStr">
        <is>
          <t>linkedin</t>
        </is>
      </c>
      <c r="E105" t="inlineStr"/>
      <c r="F105" t="inlineStr"/>
      <c r="G105" t="inlineStr"/>
      <c r="H105" t="inlineStr"/>
      <c r="I105" t="inlineStr">
        <is>
          <t>Accurate Group, an Industry leader in technology\-driven appraisal management and title services is seeking a
 **Current Appraisal Technology Industry Leading Product Manager** 
 . We are looking for 
 **a proven leader with a track\-record of simplifying complex challenges into simple solutions, operating in fast\-paced startup environments, and leading a team of cross\-functional expertise.** 
 The AppraisalWorks Product Manager will serve as the lead user and expert on the AppraisalWorks platform, clearly defining a technical product roadmap aimed at achieving the company’s objectives. This role requires an individual adept at stakeholder alignment and management of a diverse set of priorities. The Product Owner functions as the bridge between the customer, internal stakeholders, and the technology to deliver a highly successful commercial SaaS platform to the business.  
**Responsibilities include, but are not limited to:** 
**Business Responsibilities:** 
 Assist in defining the marketing strategyCultivate user feedback and complete competitive research to identify market needsOwn the vision for the product and the full product roadmapEvaluate and implement new pricing structures to remain competitive and maximize revenue potentialServe as the SME on the platform \- conducting or supporting sales demos and training users on the softwareManage a team of Application Administrators to deliver best\-in\-class customer serviceAssist in streamlining the customer implementation workflowWork closely with management, customers, service providers, and other internal stakeholders to support the company and its objectives Setup and training for new clients 
**Technical Responsibilities:** 
 Assist Application Administrators with the setup of clients, products, workflows, and other configurable components of the softwareParticipate in routine software releases to ensure successful delivery of enhancements to our customers and partnersOwn the product backlog and ability to convey the strategic vision for the platform internally and externallyConsistent availability and active engagement with the agile technology team on a daily basisDefine and implement new development requirements, testing plans, and go to market strategy 
 Establish replicable processes and documentation to improve the development, implementation, and maintenance of the software for our clients – leading to rapid, stable revenue growth.
 Accurately represent the software and the company as a highly\-configurable, customer service oriented SaaS business.
**Successful candidates will have the following proven skills:** 
 Bachelor’s degree is required.Two to four years’ experience in the
 **VALUATION INDUSTRY IS REQUIRED** 
**At least one to three years’ experience managing a software as a service product with a particular emphasis on real estate valuation software or software to the mortgage industry** 
 Experience developing processes, with limited resources, designed to streamline business processes and improve customer retentionMust possess a winning drive to make new sales happen quickly and stay consistent with the core strategy of the company. Outstanding organization and leadership skills. Must be able to effectively handle multiple priorities simultaneously in a deadline driven environment.Must have the ability to work independently and as a part of a team to achieve the goals of the organization.Must be able to communicate clearly and effectively with clients in support of their requests and to establish a relationship. Must work with our vendor partners to set them up for success within the AppraisalWorks ecosystem. Ability to mentor and grow employees under their leadership.Ability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directors.Ability to work with mathematical concepts such as probability and statistical inference, and fundamentals of plane and solid geometry and trigonometry.  Ability to apply concepts such as fractions, percentages, ratios, and proportions to practical situationsVery High Skills:  Ability to define problems, collect data, establish facts, and draw valid conclusions. Ability to interpret an extensive variety of technical instructions in mathematical or diagram form and deal with several abstract and concrete variables.Microsoft Certifications are required for the positionMust have good written and oral communication skills
 **Job Type:** 
  Full\-time/ Remote
**Salary:** 
   $,100,000 to $150,000 based on experience In the Valuation industry. 
**Schedule:** 
 Monday \-Friday (average work week 40 to 50 hours with some weekends as needed)
**Benefits:** 
 401K with employer matchingFull medical, dental, vision, HSA, and life insurance (available day 1\)Paid time off (PTO and Holiday pay)Advancement opportunities
 **Work Authorization:** 
  Applicants must be authorized to work in the US on a full\-time basis. Unfortunately, a current or future need for sponsorship is not supported or available for this position
**About Accurate Group:** 
**Accurate Group** 
  provides technology\-driven appraisal management and title services to real estate finance providers nationwide. We combine exceptional service with innovative technology and our proprietary AccurateAuditTMcompliance foundation to provide banks, credit unions, non\-bank lenders, loan services and capital markets firms with the best combination of speed, accuracy, regulatory compliance, and price. With Accurate Group, lenders and investment firms gain a strategic partner that can help them increase revenues, lower costs, get more accurate real estate portfolio valuations and improve compliance across all types of real estate loans, including mortgage originations, home equity, refinancing, default servicing and real estate portfolio valuations.
 Accurate Group is committed to affording equal employment opportunity to qualified individuals regardless of their race, gender, gender identity, color, sex, sexual orientation, national origin, religion, age, disability status, veteran status, or any other classification or characteristic protected by law.
 Accurate Group, LLC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Amie Walker, Human Resource Generalist.
 To learn more about Accurate Group, visit www.accurategroup.com</t>
        </is>
      </c>
    </row>
    <row r="106">
      <c r="A106" t="inlineStr">
        <is>
          <t>li-4368366741</t>
        </is>
      </c>
      <c r="B106" t="inlineStr">
        <is>
          <t>Product Manager</t>
        </is>
      </c>
      <c r="C106" t="inlineStr">
        <is>
          <t>Sidley Austin LLP</t>
        </is>
      </c>
      <c r="D106" t="inlineStr">
        <is>
          <t>linkedin</t>
        </is>
      </c>
      <c r="E106" t="inlineStr"/>
      <c r="F106" t="inlineStr"/>
      <c r="G106" t="inlineStr">
        <is>
          <t>Chicago, IL</t>
        </is>
      </c>
      <c r="H106" t="inlineStr"/>
      <c r="I106" t="inlineStr">
        <is>
          <t>**Summary**
 The Product Manager is strategic, data\-driven, and customer\-centric role that will be responsible for supporting product vision and strategy, maintaining and executing roadmaps, and delivering features that solve customer problems and align with business goals. The Product Manager will be responsible for stakeholder engagement and backlog refinement in coordination with senior team members. The ideal candidate will bring a balance of strategic thinking and tactical execution, ensuring alignment with department and practice priorities.
**Duties And Responsibilities**
* Contribute to and help execute the product strategy and roadmap for AI\-powered practice solutions in alignment with the group and department goals.
* Maintain, communicate and provide feedback on the roadmap for assigned products, balancing near\-term customer needs with established long\-term team and department vision.
* Maintain working knowledge of AI/ML technologies as well as product delivery processes and practices to inform product decisions and foster innovation.
* Monitor customer feedback and AI trends to inform backlog priorities and suggest incremental improvements.
* Support key lifecycle activities for AI products, including requirements definition, delivery readiness and execution as well as product iteration.
* Define and prioritize product features based on customer needs, market research, and technical feasibility.
* Coordinate with cross\-departmental teams to ensure seamless delivery of AI projects.
* Collaborate with key stakeholders to understand their AI workloads, pain points, and future requirements.
* Help track and report on agreed KPIs and success metrics; support stakeholder reviews of outcomes.
* Engage with stakeholders to gather insights and feedback on AI solutions.
* Ensure that AI\-driven products address real\-world problems and provide measurable value.
* Develop creative solutions and make improvements to processes, programs, and policies to enhance the effectiveness and efficiency of AI\-driven products.
* Follow and reinforce responsible AI development practices to ensure ethical, transparent, and fair usage of AI technologies.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$135,000 – $150,000 if located in Illinois
**Qualifications**
 To perform this job successfully, an individual must be able to perform the Duties and Responsibilities (Duties) above satisfactorily and meet the requirements below. The requirements listed below are representative of the minimum knowledge, skill, and/or ability required. Reasonable accommodations will be made to enable individuals with disabilities to perform the essential functions of the job. If you need such an accommodation, please email staffrecruiting@sidley.com (current employees should contact Human Resources).
**Required**
 Education and/or Experience:
* Bachelor’s degree in Computer Science, Law or related field
* A minimum of 5 years product management or product development experience
* Experience with agile methodologies and product management tools
* Demonstrated ability to make data\-driven decisions
**Preferred**
* Master’s Degree in Computer Science, Engineering or related field
* Juris Doctor degree
* Experience in current technology trends
* Experience working with legal stakeholders or in legal technology
* Law firm or Professional services industry experience
**Other Skills And Abilities**
 The following will also be required of the successful candidate:
* Strong organizational skills
* Strong attention to detail
* Good judgment
* Strong interpersonal communication skills
* Strong analytical and problem\-solving skills
* Able to work harmoniously and effectively with others
* Able to preserve confidentiality and exercise discretion
* Able to work under pressure
* Able to manage multiple projects with competing deadlines and priorities
 Sidley Austin LLP is an Equal Opportunity Employer</t>
        </is>
      </c>
    </row>
    <row r="107">
      <c r="A107" t="inlineStr">
        <is>
          <t>li-4368029465</t>
        </is>
      </c>
      <c r="B107" t="inlineStr">
        <is>
          <t>Technical Product Manager, CMS Interoperability and EMR Integrations</t>
        </is>
      </c>
      <c r="C107" t="inlineStr">
        <is>
          <t>Infoshare Systems, Inc.</t>
        </is>
      </c>
      <c r="D107" t="inlineStr">
        <is>
          <t>linkedin</t>
        </is>
      </c>
      <c r="E107" t="inlineStr"/>
      <c r="F107" t="inlineStr"/>
      <c r="G107" t="inlineStr"/>
      <c r="H107" t="inlineStr"/>
      <c r="I107" t="inlineStr">
        <is>
          <t>**Job Title: Technical Product Manager, CMS Interoperability and EMR Integrations** 
**Location: 100%** 
 Remote
**Duration** 
 : Contract/Full\-time – anything is fine
**Role Overview:** 
 We are seeking a driven Technical Product Manager to own the technical vision, strategy, and execution for our CMS Interoperability and EMR Integrations teams. You will be the bridge between our business objectives and our engineering teams, ensuring we build scalable, reliable, and market\-leading technical solutions following federal and state regulatory requirements using the HL7 FHIR implementation guides.
**Responsibilities:** 
* **Strategy \&amp; Vision:** 
 Assist management in defining the product vision, strategy, and roadmap, aligning with overall business goals and regulatory compliance deadlines.
* **Regulatory analysis and interpretation:** 
 Strong understanding of CMS Interoperability and Prior Authorization regulations, including CMS\-0057\-F and its impact on payers and providers.
 Analyze and interpret the CMS\-0057\-F rule and related FHIR Implementation Guides (IGs), such as CARIN BB, US Core, Da Vinci PDEX, and Da Vinci CRD, DTR, and PAS, to translate complex regulatory requirements into detailed technical specifications.
* **Requirements gathering:** 
 Collaborate with product managers, product owners, operational, and technical stakeholders to define the business and data requirements for implementing new FHIR\-based APIs and updating existing ones.
* **Interoperability standards:** 
 Subject matter expert with related healthcare standards such as HL7 v2, CCDA, USCDI, and clinical terminology like SNOMED, LOINC, CPT, etc.
* **Documentation and reporting:** 
 Develop comprehensive documentation, including data flow diagrams, FHIR API specifications, and test results. Assist in generating the CMS Interoperability Patient Access API and prior authorization metrics required for public reporting to CMS.
* **Stakeholder engagement:** 
 Provide technical guidance and education on HL7 FHIR standards to business and technology teams to drive adoption and alignment with CMS requirements.
* **Agile Execution:** 
 Drive the product development lifecycle using Agile methodologies (Scrum/Kanban), managing sprints, backlogs, and releases.
**Qualifications:** 
* Bachelor's degree in Health Informatics, Computer Science, Engineering, or a related technical field.
* Proven experience (3\+ years) in technical product management or a similar role with several years’ in an analysis role.
* Strong understanding of software development principles, architectures, and best practices.
* Experience with Agile/Scrum development methodologies.
* Excellent communication skills, able to articulate complex technical concepts to both technical and non\-technical audiences.
* Deep knowledge of CMS 9115 Patient Access API and CMS 0057 CMS Interoperability and Prior Authorization in the healthcare and health insurance arenas.
* Ability to read and understand HL7 FHIR implementation guidelines to ensure the products being developed comply accordingly.
* Ability to analyze data, manage risks, and make data\-driven decisions in a fast\-paced environment managing multiple projects.
**Preferred qualifications** 
* HL7 FHIR certification preferred, but not required
* Experience in the payer domain with a strong understanding of payer workflows and data management.
* Experience with cloud\-based data platforms (e.g., AWS, Azure).
* Experience with EHRs and solid experience in the healthcare industry is a plus</t>
        </is>
      </c>
    </row>
    <row r="108">
      <c r="A108" t="inlineStr">
        <is>
          <t>li-4368355472</t>
        </is>
      </c>
      <c r="B108" t="inlineStr">
        <is>
          <t>Partner Product Manager (Remote)</t>
        </is>
      </c>
      <c r="C108" t="inlineStr">
        <is>
          <t>Tealium</t>
        </is>
      </c>
      <c r="D108" t="inlineStr">
        <is>
          <t>linkedin</t>
        </is>
      </c>
      <c r="E108" t="inlineStr"/>
      <c r="F108" t="inlineStr"/>
      <c r="G108" t="inlineStr"/>
      <c r="H108" t="inlineStr"/>
      <c r="I108" t="inlineStr">
        <is>
          <t>***When applying for roles at Tealium, please use our official careers page or LinkedIn company profile. All other sites where Tealium careers may appear may not be legitimate.***
**Who We Are**
 Tealium is the trusted leader in real\-time
 **Customer Data Platforms (CDP)** 
 , helping organizations unify their customer data to deliver more personalized, privacy\-conscious experiences. As the demand for connected, intelligent customer engagement grows, Tealium’s leadership in CDP is translating directly into leadership in
 **enabling enterprise AI strategies** 
 . By providing clean, consented, and actionable data, Tealium empowers its customers to accelerate the adoption of AI and machine learning, fueling smarter personalization, predictive insights, and business outcomes at scale.
 More than 800 leading global brands trust Tealium to power their customer data strategies and deliver real\-time, personalized experiences at scale.
 Team Tealium has team members present in nearly 20 countries worldwide, serving customers across more than 30 countries. We win together with respect and appreciation for the talents required of all positions and the people who contribute to each of these. We are intentional about our WOWs (Ways of Work) culture, our investment in our team members, and how we care and connect.
 With An Extraordinary Portfolio Of Investors (including Georgian, Silver Lake Waterman, Battery, And Others) And Deep Industry Experience, Tealium Has The Financial Backing, Profitability, And Expertise To Continue To Outpace Competitors And Lead The Way In Innovation. Today, Tealium Holds Over 50 Patents, And a Few Of The Recent Industry Recognitions Include
* A Leader in the 2025 Gartner® Magic Quadrant™ for Customer Data Platforms
* 2025 TrustRadius Award Winner: Buyer’s Choice
* 2024 Invoca Partner Collaboration Award
* 2024 G2 Leader in Tag Management \&amp; Enterprise Data Governance
* Tealium Customer Data Hub achieved the Top Rated Award by TrustRadius (2024\)
* Named on Destination CRM’s 2024 Top 100 Technologies List for Sales
* Named on the 2024 Best and Brightest in the Nation list
* BuiltIn’s 2024 Best Place to Work
**What We Are Looking For**
 Tealium is seeking a versatile Partner Product Manager to drive both the technical and go\-to\-market (GTM) execution for Tealium’s Tags and Connectors. You will play a pivotal role in growing Tealium’s technology ecosystem by managing platform integrations and working closely with some of the world’s biggest technology partners. This role combines deep technical responsibilities with the strategic execution of go\-to\-market activities, ensuring successful partner integrations and driving product adoption in the market.
 As part of Tealium’s Partner Product Team, you will own the design and requirements for new integrations, collaborating with technology partners to build and maintain scalable, high\-impact solutions. Additionally, you will contribute to developing go\-to\-market strategies and ensure that Tealium’s products deliver value to customers and partners alike.
**To facilitate seamless collaboration with our team and clients, we are seeking candidates who can align their working hours with Eastern or Central Time Zones.**
**YOUR DAY TO DAY**
* Drive the strategic vision, roadmap, and execution for products and services within Tealium’s product suite, particularly focusing on Data Sources and Destinations (Tags, API Integrations, etc.).
* Manage all integration\-related aspects with assigned technology partners, including external partner\-facing activities, managing dependencies, and identifying joint business value.
* Lead the design and requirements for new integrations, ensuring partners can build and optimize their solutions on Tealium’s platform.
* Develop and deliver proof of concepts (POCs) for new integrations and features, identifying key use cases that showcase the platform's value.
* Collaborate with cross\-functional teams (sales, customer success, product marketing) to align on industry trends and drive product adoption through webinars, enablement activities, product demos, and supporting go\-to\-market strategies.
* Ensure product launches succeed by coordinating with internal and external teams, identifying partner opportunities, and positioning integrations to drive joint business value.
* Conduct presentations, requirements gathering, and documentation of the benefits and value to customers and partners.
* Validate and define customer opportunities through user interviews, quantitative research, and market analysis to stay ahead of trends and maintain a competitive advantage in product integrations.
* Conduct research to understand industry trends, competitor activity, and market dynamics that impact product integrations.
* Partner with engineering leaders and scrum teams to build innovative technology and continuously ship value in an agile CI/CD environment.
* Provide ruthless prioritization and focus for engineering teams to ensure the timely delivery of customer value.
**What You Bring To Tealium**
* 3\+ years of experience as a Product Manager in SaaS, with a demonstrated ability to drive customer adoption, retention, and overall product success.
* Expertise in delivering Martech solutions, ideally within industries such as marketing, eCommerce, retail, travel, digital media, healthcare, or financial services.
* Working knowledge of the AI ecosystem, including LLM platforms and APIs (e.g. OpenAI, Anthropic, Google Vertex AI), and an understanding of how first\-party data can be safely and effectively used in AI\-driven use cases.
* Strong experience in developing product specifications, writing detailed user stories, and effectively prioritizing competing initiatives to achieve business outcomes.
* Hands\-on experience working with RESTful APIs and tools like Postman.
* A working knowledge of JavaScript is a plus.
* Familiarity with Customer Data Platforms (CDPs) and/or tag management systems is highly advantageous.
* Experience with consent management, privacy, or data governance concepts (e.g. consent signals, regulatory requirements, and consent\-aware integrations) is highly advantageous.
* Proven ability to build strong relationships with both customers and strategic partners.
* Must reside in the Eastern or Central Time Zone to ensure effective collaboration with cross\-functional teams.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**Benefits**
 The U.S. pay range for this full\-time position is listed below, however, base pay offered may vary depending on job\-related knowledge, skills, and experience. In addition to a competitive base salary, this position is eligible for a robust benefits package that includes the following:
*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$125,000 \- $140,000 Base \+ Variable
**WHY YOU WANT TO WORK HERE**
 At Tealium, we don’t just offer the ordinary, we provide the extraordinary:
*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 Offerings vary by level and location.</t>
        </is>
      </c>
    </row>
    <row r="109">
      <c r="A109" t="inlineStr">
        <is>
          <t>li-4358176163</t>
        </is>
      </c>
      <c r="B109" t="inlineStr">
        <is>
          <t>Sr. Product Manager</t>
        </is>
      </c>
      <c r="C109" t="inlineStr">
        <is>
          <t>The Vitamin Shoppe</t>
        </is>
      </c>
      <c r="D109" t="inlineStr">
        <is>
          <t>linkedin</t>
        </is>
      </c>
      <c r="E109" t="inlineStr"/>
      <c r="F109" t="inlineStr"/>
      <c r="G109" t="inlineStr">
        <is>
          <t>Secaucus, NJ</t>
        </is>
      </c>
      <c r="H109" t="inlineStr"/>
      <c r="I109" t="inlineStr">
        <is>
          <t>**Overview** 
 We are looking for an experienced
 **Senior Product Manager** 
 who is passionate about building cross\-platform customer experiences that our customers love. You will join a dynamic and fast\-paced environment and work with cross\-functional teams to design, build and roll\-out, and optimize products that deliver the company’s vision and strategy.
**Responsibilities** 
 The
 **Senior Product Manager** 
 is responsible for developing new consumer\-facing cross\-platform (i.e. retail and digital) products for The Vitamin Shoppe. This involves significant collaboration across marketing, store operations, technology and other stakeholders to define and build products from existing ideas and help to develop new ideas based on customer research and industry trends. This role manages external 3rd party partners, internal communications between the development, operational, marketing and IT teams, as well as the delivery of all elements associated with a given cross\-platform initiative to ensure successful program launch and optimization of the consumer experience.
* Gain a deep understanding of the cross\-platform customer experience associated with e\-commerce and identify and fill product gaps and generate new ideas that grow market share, improve customer experience and drive growth
* Create buy\-in and act as the product owner for all cross\-platform initiatives both internally and with key external partners
* Develop product pricing and positioning strategies in line with retail and digital business objectives
* Lead the effort to design “seamless and engaging” cross\-platform customer experiences across key\-stakeholder teams
* Work within agile environment to create user stories, POC’s, etc.
* Work across product teams to scope and prioritize activities based on business and customer impact and other key product initiatives.
* Partner with dev/engineering teams to deliver with quick time\-to\-market and optimal resources
* Drive product launches including working with public relations team, executives, and other product management team members
* Act as a product evangelist to build awareness and understanding
* Represent the company by visiting customers to solicit feedback on company products and services
* Collaborate with marketing managers and technology to define the product line strategy and roadmap, to incorporate all relevant digital customer touch points, including but not limited to websites, mobile websites, mobile applications, etc.
* Develop and implement company\-wide go\-to\-market plans, working with all departments to execute to agreed milestones.
* Manage the entire cross\-platform life cycle from strategic planning to tactical activities and optimization.
* Document customer, business, functional/development requirements, use cases, user persona, measurement plans, as well as A/B and multivariate testing plans as they relate to feature roll\-out.
* Participate in the creation of wireframes, user flows and user experience requirements.
* Manage user acceptance testing.
* Ensure voice of the customer is deeply ingrained in all products by conducting all manner of customer research, including behavioral data analysis, surveys, focus groups, usability studies, conjoint analysis and beta programs where appropriate.
* Conduct competitive analysis and keep abreast of industry best practices as it might inform new product development and existing product evolution.
* Drive third\-party partner assessment in collaboration with marketing and technology.
**Other Functions:** 
* Participates on special projects as required.
**Supervisory Responsibilities:** 
* Does not have any direct supervisory responsibilities.
**Qualifications** 
**Education/Certification:** 
* Bachelors or Masters Degree in Marketing, Computer Science or related field or equivalent combination of experience and instruction.
**Required Knowledge:** 
* Extensive experience in agile product development and associated project management software.
* Experience in designing, building and launching cross\-platform experiences, preferably within the retail industry.
* Experience as a product manager building and/or managing e\-commerce and/or subscription business models
**Experience Required:** 
* Proven working experience in consumer digital product management (commerce, community, content and personalization)
* Proven track record of managing all aspects of a successful product throughout its lifecycle
* Solid technical background with understanding and/or hands\-on experience in software development and web technologies
* 5\+ years of e\-Commerce and digital product development experience.
* Experience in an agile development environment.
* Experience working with mobile applications
* In\-depth knowledge and skills involving digital applications (commerce, community, personalization and content) and marketing techniques.
* Track record of defining key metrics and using data to validate product decisions, resulting in measurable business impact (e.g., conversion rate improvements, revenue growth, user engagement)
**Skill and Ability:** 
* A very keen sense of customer needs/desires, a big\-picture vision and the drive to make that vision a reality.
* Ability to communicate with all areas of the company including web development counterparts to define detailed functional and technical product release requirements.
* Ability to develop wireframes and user flows.
* Excellent written and verbal communication skills
* Outstanding problem solving skills and willingness to roll up one’s sleeves to get the job
* Skilled at working effectively with cross functional teams in a matrix organization
**Compensation** 
 The salary for this position is based on many factors such as role requirements, skill set, years of experience and other organizational needs. The estimated range is $130,000 \- $150,000 per year.
**Equal Opportunity Policy**
 The Vitamin Shoppe is an equal opportunity employer. We respect diversity and accordingly are an equal opportunity employer that does not discriminate on the basis of race, color, creed, religion, national origin, ancestry, citizenship status, age, sex, gender, gender identity or expression (including transgender status), sexual orientation, marital status, veteran status, physical or mental disability, genetic information, or any other characteristic protected by applicable federal, state, or local laws. Our management is dedicated to ensuring the fulfillment of this policy with respect to hiring, placement, promotion, transfer, demotion, layoff, separation, recruitment, pay and other forms of compensation, access to facilities and programs, training and general treatment during employment.
 We firmly believe that every Health Enthusiast has the right to be treated with dignity and respect. Our goal is to maintain a satisfied and productive team of Health Enthusiasts. The keys to reaching that goal are effective leadership, equal application of fair human resources policies, competitive wages and benefits, and close attention to all health enthusiast matters. The Vitamin Shoppe is committed to the principle of fair and impartial treatment of our Health Enthusiasts.
 Health Enthusiasts with questions or concerns about equal employment opportunities in the workplace are encouraged to bring these issues to the attention of their Human Resources representative. We will not allow any form of retaliation against Health Enthusiasts who raise issues of perceived discrimination in good faith. To ensure our workplace is free of artificial barriers, violation of this policy may result in disciplinary action, up to and including discharge.</t>
        </is>
      </c>
    </row>
    <row r="110">
      <c r="A110" t="inlineStr">
        <is>
          <t>li-4367268996</t>
        </is>
      </c>
      <c r="B110" t="inlineStr">
        <is>
          <t>Technical Product Manager, Specialist</t>
        </is>
      </c>
      <c r="C110" t="inlineStr">
        <is>
          <t>Vanguard</t>
        </is>
      </c>
      <c r="D110" t="inlineStr">
        <is>
          <t>linkedin</t>
        </is>
      </c>
      <c r="E110" t="inlineStr"/>
      <c r="F110" t="inlineStr"/>
      <c r="G110" t="inlineStr">
        <is>
          <t>Malvern, PA</t>
        </is>
      </c>
      <c r="H110" t="inlineStr"/>
      <c r="I110" t="inlineStr">
        <is>
          <t>**Core Responsibilities**
* Drives technical product management activities for multiple technical products, or one strategic technical product. Participates in the design and continuous improvement of the technical solution.
* Collaborates with cross\-functional teams to create best practices that drive significant change to the client experience.
* Coaches technical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technical products. Defines and analyzes technical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the team’s engineering practices in development, continuous integration, and automated deployment.
* Participates in special projects and performs other duties as assigned.
**Qualifications**
* Undergraduate degree or equivalent combination of training and experience required. Graduate degree preferred. Minimum of five years related work experience.
*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1">
      <c r="A111" t="inlineStr">
        <is>
          <t>li-4368335455</t>
        </is>
      </c>
      <c r="B111" t="inlineStr">
        <is>
          <t>Product Owner (AI &amp; Insurance Innovation)</t>
        </is>
      </c>
      <c r="C111" t="inlineStr">
        <is>
          <t>Insurance Office of America</t>
        </is>
      </c>
      <c r="D111" t="inlineStr">
        <is>
          <t>linkedin</t>
        </is>
      </c>
      <c r="E111" t="inlineStr"/>
      <c r="F111" t="inlineStr"/>
      <c r="G111" t="inlineStr">
        <is>
          <t>Bowling Green, KY</t>
        </is>
      </c>
      <c r="H111" t="inlineStr"/>
      <c r="I111"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112">
      <c r="A112" t="inlineStr">
        <is>
          <t>li-4357433129</t>
        </is>
      </c>
      <c r="B112" t="inlineStr">
        <is>
          <t>Senior Product Manager- AI Innovation</t>
        </is>
      </c>
      <c r="C112" t="inlineStr">
        <is>
          <t>Cellebrite</t>
        </is>
      </c>
      <c r="D112" t="inlineStr">
        <is>
          <t>linkedin</t>
        </is>
      </c>
      <c r="E112" t="inlineStr"/>
      <c r="F112" t="inlineStr"/>
      <c r="G112" t="inlineStr">
        <is>
          <t>Morristown, NJ</t>
        </is>
      </c>
      <c r="H112" t="inlineStr"/>
      <c r="I112" t="inlineStr">
        <is>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Cellebrite is looking for an experienced Product Manager with a strong technical background. As a pivotal part of our
 **AI Innovation Center** 
 , you will act as the product leader in an extremely versatile "startup" environment within the company. Your mission is to bridge the gap between cutting\-edge AI research and real\-world investigative tools, productizing GenAI and agentic capabilities that help law enforcement close cases faster.
 You will report to the Head of AI Innovation and own the lifecycle of transformative AI products, from early\-stage discovery and customer interaction to full\-scale productization.
 ﻿As a product manager at Cellebrite’s AI Innovation Center, you’ll enjoy the peek into our global law enforcement and intelligence customers’ workflow and operational needs, have the privilege in helping them excel in their mission and making the world a better place using the latest AI innovations.
**﻿Requirements:**
* 6\+ years of product management experience with demonstrated success and knowledge.
* Demonstrated success in productizing GenAI capabilities and AI Agents. You understand the unique challenges of AI deployment (accuracy, ethics, and performance).
* Passionate self\-starter with a “can\-do” attitude who thrives in a startup environment.
* Technical background and aptitude, hands\-on mentality.
* Excellent soft skills: able to create a positive working relationship with other teams and communicate well, able to drive people, efficient and organized.
* Degree in Computer Science, Information Systems or equivalent.
* Working with Law Enforcement, Intelligence or National Security agencies \- local, state, or federal.
* Experience in the digital forensics or cyber security industry.
* Agile Portfolio Management experience.
*Cellebrite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13">
      <c r="A113" t="inlineStr">
        <is>
          <t>li-4368313766</t>
        </is>
      </c>
      <c r="B113" t="inlineStr">
        <is>
          <t>Product Manager, Bioproduction Analytics &amp; AI Intiaitives (Maryland)</t>
        </is>
      </c>
      <c r="C113" t="inlineStr">
        <is>
          <t>Thermo Fisher Scientific</t>
        </is>
      </c>
      <c r="D113" t="inlineStr">
        <is>
          <t>linkedin</t>
        </is>
      </c>
      <c r="E113" t="inlineStr"/>
      <c r="F113" t="inlineStr"/>
      <c r="G113" t="inlineStr">
        <is>
          <t>Sparks Glencoe, MD</t>
        </is>
      </c>
      <c r="H113" t="inlineStr"/>
      <c r="I113"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114">
      <c r="A114" t="inlineStr">
        <is>
          <t>li-4368018703</t>
        </is>
      </c>
      <c r="B114" t="inlineStr">
        <is>
          <t>Program Manager (US)</t>
        </is>
      </c>
      <c r="C114" t="inlineStr">
        <is>
          <t>SEACOMP</t>
        </is>
      </c>
      <c r="D114" t="inlineStr">
        <is>
          <t>linkedin</t>
        </is>
      </c>
      <c r="E114" t="inlineStr"/>
      <c r="F114" t="inlineStr"/>
      <c r="G114" t="inlineStr">
        <is>
          <t>Carlsbad, CA</t>
        </is>
      </c>
      <c r="H114" t="inlineStr"/>
      <c r="I114" t="inlineStr">
        <is>
          <t>*This compensation range includes base salary and variable bonus components.* 
**WE DESIGN PRODUCTS!** 
 We design, manufacture, and deliver awesome products for our customers. We are the engineers and manufacturers behind the scenes for large brands across the Consumer, Medical, and Industrial markets.
 At SEACOMP, there is no corporate bureaucracy or unnecessary hierarchy. We are nimble, communicate openly, recognize each other’s successes, respect each other fully, treat everyone with kindness – and above all, work really hard to deliver an incredible customer experience.
 SEACOMP is looking for a
 **Program Manager to join our US\-based Global Project Management team.** 
 You will love it here if:
* You want to join a rapidly growing company
* You’re looking to make an immediate impact both internally and externally
* You thrive in a customer facing role working on our most complex projects
* You love working in the office, surrounded by the people you work with
* You like bringing new innovative electronic products to life
 You will be successful here if:
* You LOVE what you do
* You communicate effectively with both internal and external stakeholders
* You can multi\-task, work under tight deadlines and pivot easily to do what needs to be done
* You’re highly organized so that no detail gets missed
**Job Summary** 
 :
 The Program Manager is responsible for guiding our customers’ projects through the SEACOMP new product introduction (NPI) Process into mass production.
**Duties/Responsibilities** 
 :
* Manage projects from start, through NPI, and into mass production, serving as the primary point of contact between the customer and SEACOMP
* Work closely with SEACOMP sales, operations, engineering, and production teams to translate customer requirements into project plans
* Own project scope, budget, schedule and quality
* Track and report key project metrics internally and externally
* Update and maintain project plans and documentation
* Lead regular project status meetings with relevant external and internal stakeholders
* Identify, communicate, and mitigate risks and obstacles to the success of each project
* Manage customer driven and internal changes through SEACOMP’s Change Management process
* Identify opportunities and contribute to Continuous Improvement
* Travel occasionally to customer locations and SEACOMP factories in service of project objectives
**Language** 
* Must demonstrate advanced professional competency in English, including speaking, listening, reading and writing
* Skills in Spanish are not required, but are a plus
* Skills in Mandarin Chinese or Cantonese are not required, but are a plus
**Qualifications** 
 :
* Bachelors’ Degree
* 5 years of experience in New Product Development / New Product Introduction with 1\-2 years in a Project Management role
* Experience scaling products into volume manufacturing
* Project Management Professional (PMP) Certification is a plus
* Valid passport and the ability to travel internationally (primarily Mexico and China).
**Benefits** 
 :
* Medical, Dental, and Vision plans
* HSA and Flexible Spending Accounts (Health FSA \+ Dependent Care FSA)
* 401(k) with company match
* 15 days PTO \+ unlimited sick time \+ paid holidays
* Employee Assistance Program (EAP)
* Company\-paid life insurance \+ voluntary life options
* Phone stipend
 \*\*H1B Visa Sponsorship Not Offered\*\*</t>
        </is>
      </c>
    </row>
    <row r="115">
      <c r="A115" t="inlineStr">
        <is>
          <t>li-4368307864</t>
        </is>
      </c>
      <c r="B115" t="inlineStr">
        <is>
          <t>Product Manager, Bioproduction Analytics &amp; AI Intiaitives (Maryland)</t>
        </is>
      </c>
      <c r="C115" t="inlineStr">
        <is>
          <t>Thermo Fisher Scientific</t>
        </is>
      </c>
      <c r="D115" t="inlineStr">
        <is>
          <t>linkedin</t>
        </is>
      </c>
      <c r="E115" t="inlineStr"/>
      <c r="F115" t="inlineStr"/>
      <c r="G115" t="inlineStr">
        <is>
          <t>Bel Air, MD</t>
        </is>
      </c>
      <c r="H115" t="inlineStr"/>
      <c r="I115"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116">
      <c r="A116" t="inlineStr">
        <is>
          <t>li-4368036036</t>
        </is>
      </c>
      <c r="B116" t="inlineStr">
        <is>
          <t>Senior Product Manager</t>
        </is>
      </c>
      <c r="C116" t="inlineStr">
        <is>
          <t>Medline</t>
        </is>
      </c>
      <c r="D116" t="inlineStr">
        <is>
          <t>linkedin</t>
        </is>
      </c>
      <c r="E116" t="inlineStr"/>
      <c r="F116" t="inlineStr"/>
      <c r="G116" t="inlineStr">
        <is>
          <t>Northfield, IL</t>
        </is>
      </c>
      <c r="H116" t="inlineStr"/>
      <c r="I116" t="inlineStr">
        <is>
          <t>* Medline has an immediate opening for a Senior Product Manager for our Exam Gloves division! This position is located at our headquarters in Northfield, IL on a hybrid basis. The Product Manager under minimal supervision, manage the full product lifecycle including the sourcing, marketing, new product development, sales support and financial growth of assigned products for a small (or stand\-alone business unit). This person will work with and train sales forces to be able to confidently sell product to customers and will have at least one Manager level direct report(s).
* **Responsibilities**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 **Required Experience:**
* **Educati** 
 on
* Bachelor’s degree
* **MINIMUM JOB REQUIREMENTS** 
 :
* Minimum of 4 years of experience in product management for physical products, preferably within the healthcare industry. Experience negotiating with outside vendors. Experience with managing multiple direct reports.
* **Knowledge / Skills / Abilities**
* **Willing to travel up to 50% of the time for business purposes (within state and out of sta** 
 te). Intermediate level skill in Microsoft Word (for example: inserting headers, page breaks, page numbers and tables and/or adjusting table columns). Intermediate level skill in Microsoft PowerPoint (for example: applying a theme, formatting character spacing, inserting a picture, changing slide layout and theme colors, adding transitions, customizing slide numbers, changing chart style and/or formatting font).Intermediate level skill in Microsoft Excel (for example: using SUM function, setting borders, setting column width, inserting charts, using text wrap, sorting, setting headers and footers and/or print scaling).</t>
        </is>
      </c>
    </row>
    <row r="117">
      <c r="A117" t="inlineStr">
        <is>
          <t>li-4368350588</t>
        </is>
      </c>
      <c r="B117" t="inlineStr">
        <is>
          <t>Digital Product Manager</t>
        </is>
      </c>
      <c r="C117" t="inlineStr">
        <is>
          <t>Harvard Central Administration (CADM) Talent Acquisition</t>
        </is>
      </c>
      <c r="D117" t="inlineStr">
        <is>
          <t>linkedin</t>
        </is>
      </c>
      <c r="E117" t="inlineStr"/>
      <c r="F117" t="inlineStr"/>
      <c r="G117" t="inlineStr">
        <is>
          <t>Cambridge, MA</t>
        </is>
      </c>
      <c r="H117" t="inlineStr"/>
      <c r="I117"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University Central Administration?**
 Harvard University's Central Administration (CADM) is a 5,000\+ employee organization that supports the university's overall excellence by understanding and serving the needs of its schools, students, faculty, staff, alumni, and surrounding communities. Through dynamic and collaborative partnerships, CADM provides high\-quality and efficient services to the schools to help them achieve their goals.
**Job Description**
 At Harvard FCU, we believe a brighter world is possible, and that together, we can all help create it. That’s why, since 1939, we’ve helped our members build a strong financial future so they can make an impact in life, wherever it may lead. From students to professionals, from in\-branch to online, from new beginnings to lifetime milestones, from Harvard Square to around the world, we deliver the accessible financial tools and resources everyone, everywhere needs to thrive. By coming together to serve, equip, and empower people to make a positive impact in their lives and communities, we’re helping build a more prosperous world for all. Join us!
 Harvard FCU: https://harvardfcu.org/
 Digital Product Manager is a key role responsible for shaping, delivering, and optimizing digital experiences across digital channels. Working under the leadership of the VP of Digital Experience \&amp; Operations.
 This role blends strategic thinking with hands\-on execution\- using business analysis, customer insight, and technical understanding to create products that meet member needs, support operational goals, and drive ongoing digital adoption
**Job\-Specific Responsibilities:**
**Product Strategy \&amp; Roadmap**
* Develop and maintain a product roadmap aligned with organizational objectives, market trends, and member expectations.
* Identify opportunities to enhance digital experiences, streamline journeys, and improve service quality.
* Conduct competitive analysis and monitor industry trends to inform product decisions.
**Member Experience And Journey Optimization**
* Lead the creation and refinement of digital member journeys, ensuring they are seamless, intuitive, and accessible across devices.
* Use data, insights, and member feedback to identify pain points and prioritize improvements.
**Delivery and Execution**
* Translate strategy into user stories, acceptance criteria, and functional requirements.
* Lead backlog prioritization and planning for digital initiatives.
* Validate and test product enhancements prior to deployment and coordinate launch plans with stakeholders.
**Data \&amp; Performance Management**
* Track KPIs such as adoption, usage, conversion, satisfaction, and operational impacts.
* Analyze data to identify friction points, validate hypotheses, and inform continuous improvement.
**Stakeholder \&amp; Vendor Management**
* Subject\-matter expert for the credit union’s digital banking platform
* Primary point of contact for internal stakeholders regarding digital features and enhancements.
* Manage relationships with digital banking platforms, fintech partners, and third\-party vendors.
* Lead cross\-functional initiatives that require coordination across multiple teams, ensuring alignment and clear communication.
* Provide advisory support to frontline teams and internal stakeholders on digital banking processes and feature functionality.
* Ensure compliance with regulatory, security, and risk requirements.
**Working Conditions:**
* Work is performed in an office setting
**Qualifications**
**Basic Qualifications:**
***Basic Qualifications are the minimum threshold a candidate must meet in order to be considered for this role.***
* Bachelor’s degree in business, information systems, UX/Product Design, or related field.
* 3\+ years in product management, digital experience, or related roles.
**Additional Qualifications and Skills:**
***The following qualifications are strongly preferred. If you meet some, but not all, you are still encouraged to apply; we value employees with a willingness to learn.***
* Experience delivering digital features in financial services, banking, or fintech is highly preferred.
* Strong analytical mindset, solid understanding of Agile practices, and ability to balance strategic thinking with execution detail.
 Additional Information
* Standard Hours/Schedule: 35 hours per week. 3 days a month onsite with 1\-week WFH. Additional onsite days will be required based on business needs.
* Visa Sponsorship Information: Harvard University is unable to provide visa sponsorship for this position
* Pre\-Employment Screening: Criminal, Education, Identity, Prohibited Parties (OFAC \- Office of Foreign Assets Control).
* Other Information: Please provide a cover letter and resume as one document with your application. This position has a 90\-day orientation and review period.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056\.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118">
      <c r="A118" t="inlineStr">
        <is>
          <t>li-4334117819</t>
        </is>
      </c>
      <c r="B118" t="inlineStr">
        <is>
          <t>Global Associate Product Manager - Dispensing Systems</t>
        </is>
      </c>
      <c r="C118" t="inlineStr">
        <is>
          <t>Franklin Electric</t>
        </is>
      </c>
      <c r="D118" t="inlineStr">
        <is>
          <t>linkedin</t>
        </is>
      </c>
      <c r="E118" t="inlineStr"/>
      <c r="F118" t="inlineStr"/>
      <c r="G118" t="inlineStr">
        <is>
          <t>Madison, WI</t>
        </is>
      </c>
      <c r="H118" t="inlineStr"/>
      <c r="I118" t="inlineStr">
        <is>
          <t>**Application Deadline:** 
 1 April 2026
**Department:** 
 Sales / Marketing
**Location:** 
 US \- Wisconsin \- Madison
**Description**
**GENERAL DESCRIPTION OF POSITION**
 Within the assigned portfolio of products and their respective markets, responsible for overall product management including, but not limited to, forecasting, financial analysis, identifying product needs, working across functions to develop new products, understanding competition, overseeing application engineering as needed, and providing technical support. Concurrently, this position is also responsible for understanding the markets into which the assigned product line is marketed and sold. This requires maintaining an in\-depth understanding of market segments, business models, market trends, and technology drivers.
**Key Responsibilities**
* Play integral role in assuring the Franklin 5 Key Factors – Quality, Availability, Service, Innovation, and Value are effectively maintained for assigned products.
* Analyzes new product requests, pricing research, and competitor research to manage products and product lines.
* Manages existing product lines based on forecast, performance, profitability, and required changes or modifications.
* Regularly performs pricing, profitability, and competitive analysis and recommends strategies to improve market position, improve quality, or reduce costs.
* Oversees the applications engineering function for product specifications and quote completions.
* Monitors specification sheets, instructions, presentations, and other marketing services.
* Identifies opportunities to achieve corporate sales goals, objectives, and action plans. Seeks new customer opportunities and maintains current customer relationships.
* In conjunction with Market Development team, analyzes market segments to identify “wants \&amp; needs” of segments, competitive positioning, market drivers, technology trends, market size, and sub\-segments.
* Develops short\- and long\-term forecasts, budgets, strategies, and marketing programs required to meet sales objectives.
* Develops value proposition for each market segment that supports Franklin’s leadership position and value promise.
* Defines new product opportunities and develops robust business case in support of new product development projects.
* Leads assigned product teams in prioritization of key projects and activities including new product development, quality improvement, and value improvement projects
* Attends market specific trade shows and reports on key trends, customers, competitors, market drivers and technologies.
* Works with the marketing team to ensure that marketing tools such as collateral, packaging, catalogs, Internet presence, etc., meets customer demand.
* Provides customer service as necessary through open houses, product application and sizing, and informing customers of product changes.
* Inputs relevant information into the CRM software to track contacts, progress, including written reports concerning market segments, dealer, distributor, end user, and competitor information.
* Performs other related duties as required or assigned.
**Skills Knowledge and Expertise**
* Strong business and analytical skills to formulate strategic options including pursuing opportunities, identifying key partners and potential acquisition candidates.
* Works effectively leading cross functional teams including both technical and commercial resources.
* Knows arithmetic, algebra, geometry, statistics, and their applications.
* Deals with problems involving several known variables in situations of routine nature.
* Analyzes information and evaluates results to choose the best solution and solve problems.
* Identifies the underlying principles, reasons, facts, or information by breaking down information or data into separate parts.
* Effectively communicates information and responds to questions in person\-to\-person and small group situations with customers, clients, the general public, and other employees of the organization.
* Maintains confidentiality and uses discretion with business information.
* Reads and understands documents such as policy manuals, safety rules, operating and maintenance instructions, and procedure manuals.
* Writes routine reports and correspondence.
* Utilizes common\-sense understanding in order to carry out written, oral, or diagrammed instructions.
* Plans the time, method, manner, and/or performance sequence of own work; may also occasionally assist in planning work assignments performed by others within a limited area of operation.
* Frequently makes decisions of both minor and major importance, which may affect the work operations of other employees and/or clientele to a moderate degree.
**Education and Experience** 
* Bachelor’s degree in engineering, Technology, or Marketing or related field (required). MBA (preferred).
* Two or more years of experience in product management or a related field (preferred).
**Computer Skills** 
* Intermediate: Word processing/typing, spreadsheet.
* Basic: Alphanumeric data entry.
**PHYSICAL ACTIVITIES** 
* While performing the functions of this job, the employee is:
* Continually required to sit; use hands to finger, handle, or feel; and talk or hear.
* Regularly required to reach with hands and arms.
* Occasionally required to stand or walk.
* The employee must occasionally lift and/or move up to 25 pounds.
* Specific vision abilities required by this job include close vision.
* *The company will make reasonable accommodations to enable individuals with disabilities to perform the essential functions and expectations.*
**ENVIRONMENTAL CONDITIONS** 
* This position is not subjected to harmful environmental conditions.
* The noise level in the work environment is usually moderate.
* Franklin Electric has reviewed this job description to ensure that it includes the role’s essential functions and basic duties. The job description is intended to provide guidelines for job expectations and the employee’s ability to perform the work described. It is not intended to be construed as an exhaustive list of all functions, responsibilities, skills, and abilities. Supervisors may assign additional functions and requirements as appropriate. This document does not represent a contract of employment, and Franklin Electric reserves the right to change this job description and/or assign tasks for the employee to perform as the company deems appropriate.
**Why Work at Franklin Electric?**
 Becoming a part of the Franklin Electric team not only provides outstanding benefits, it also opens doors to opportunities for future growth. Enjoy peace of mind with a world\-class company. But more importantly, be satisfied in knowing you make a difference.</t>
        </is>
      </c>
    </row>
    <row r="119">
      <c r="A119" t="inlineStr">
        <is>
          <t>li-4357393948</t>
        </is>
      </c>
      <c r="B119" t="inlineStr">
        <is>
          <t>Researcher Liaison Program Manager</t>
        </is>
      </c>
      <c r="C119" t="inlineStr">
        <is>
          <t>University of Notre Dame</t>
        </is>
      </c>
      <c r="D119" t="inlineStr">
        <is>
          <t>linkedin</t>
        </is>
      </c>
      <c r="E119" t="inlineStr"/>
      <c r="F119" t="inlineStr"/>
      <c r="G119" t="inlineStr">
        <is>
          <t>Notre Dame, IN</t>
        </is>
      </c>
      <c r="H119" t="inlineStr"/>
      <c r="I119" t="inlineStr">
        <is>
          <t>The University of Notre Dame is more than a workplace; it is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**Job Description**
 The Researcher Liaison Program Manager leads engagement with Notre Dame’s research community on behalf of the IDEA Center, with a primary focus on the College of Science and the College of Engineering. Serving as the main point of contact for faculty in chemistry, biology, and engineering, this role supports researchers in identifying patentable inventions, understanding commercialization pathways, and navigating the University’s technology transfer process.
 Central to this position is building trusted relationships with faculty, postdoctoral researchers, and graduate students to strengthen collaboration between the IDEA Center and the broader research community and to support high\-quality invention disclosures. The Researcher Liaison Program Manager reports to the Researcher Liaison Manager and collaborates closely with IDEA Center colleagues across intellectual property, contracts, technology development, and business development to ensure a coordinated researcher experience. This role requires a significant on\-campus presence (3\+ days per week).
 Key Responsibilities
* Serve as the primary liaison for faculty researchers in chemistry, biology, and engineering, building trusted relationships across departments, labs, centers, and institutes.
* Advise research teams on commercialization potential, intellectual property strategy, and technology transfer pathways.
* Evaluate invention disclosures and research outputs to identify novel technologies and assess technical and market viability.
* Manage technology portfolios and lead projects end\-to\-end to advance research with strong commercialization potential.
* Apply business, market, and IP principles to guide portfolio development and prioritization.
* Identify emerging technology and market trends and connect insights across campus to inform opportunity development.
* Translate complex academic research into relevant commercial opportunities while working effectively within academic workflows.
* Collaborate closely with IDEA Center colleagues across IP, contracts, technology development, and business development.
* Supervise and mentor interns or analysts supporting the Researcher Liaison program.
* Demonstrate strong project management, communication, emotional intelligence, organization, and attention to detail in all responsibilities.
**Qualifications**
* Bachelor’s degree in a STEM related field
* 2\+ years of experience in university research, technology commercialization, intellectual property, or a related field
* Experience with early\-stage or cutting\-edge technologies, preferably in a university or research setting
**Preferred**
* Master’s degree or PhD in a STEM field
* MBA or similar advanced business or commercialization\-focused credential
* Understanding of patentability, market evaluation, and basic business model concepts
**Additional Information**
 Applicants should include a resume and cover letter with their application. Salary is up to $100,000 and will be commensurate with experience. The application deadline is February 27, 2026\.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120">
      <c r="A120" t="inlineStr">
        <is>
          <t>li-4368009701</t>
        </is>
      </c>
      <c r="B120" t="inlineStr">
        <is>
          <t>Technical Program Manager - Audio</t>
        </is>
      </c>
      <c r="C120" t="inlineStr">
        <is>
          <t>Apple</t>
        </is>
      </c>
      <c r="D120" t="inlineStr">
        <is>
          <t>linkedin</t>
        </is>
      </c>
      <c r="E120" t="inlineStr"/>
      <c r="F120" t="inlineStr"/>
      <c r="G120" t="inlineStr">
        <is>
          <t>Cupertino, CA</t>
        </is>
      </c>
      <c r="H120" t="inlineStr"/>
      <c r="I120" t="inlineStr">
        <is>
          <t>**Summary**
 Imagine what you could do here. At Apple, we believe new ideas have a way of becoming phenomenal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It takes deeply dedicated, intelligent and hard\-working individuals to maintain and exceed the high expectations for the exciting brand at Apple. You will lead a team of engineers (DFx, DFm, test, SQE, PQE, etc.) and others in support of new product development as well as sustaining operations and ensuring the contract manufacturer readiness for very high volume production. You will bring your knack and thirst to drive all technical operational issues related to SMT and system integration processes to ensure effective closure of all issues to enable operational success of the entire new product introduction cycle and into the mass production phase.
**Responsibilities**
* Technical lead for manufacturing operations at multiple vendors and sites.
* Driving contract manufacturer preparation for pre\-production builds.
* Production process development, documentation, optimization and validation.
* Development and implementation of new technologies to improve production quality, capacity and efficiency.
* Sets standard practices and independently settles impact to design approaches and parameters to the final product.
* Provides direction, mentorship and resources to other engineering groups and project leaders as well as factory technicians.
* Act as lead engineer on a variety of projects and participates in the project planning of major sub\-projects.
* Product Engineering \-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
* Provide regular VP level communication of technical health of program.
* Travel 25\-30%
**Minimum Qualifications**
* 8\+ years of strong work experience in precision assembly, inspection, and validation.
* Bachelor's degree in Engineering field.
**Preferred Qualifications**
* Meaningful experience in introducing products into manufacturing, or high volume production a large plus.
* Excellent project management skills, experience working in a matrix organization.
* Direct experience leading any of the following functional engineering teams a plus (ME, EE, TE, DFX, Etc.).
* Shown bottom line project management experience. (Planning, Cost, \&amp; Delivery).
* Experience working with International OEM partners.
* You should have the ability to communicate effectively in a worldwide environment.
* New product introduction and Manufacturing Operations experience desired.
* You should have validated working experience with DFm \&amp; DFx
* Consistent record of cost reduction, project management and engineering design required.
* Required to understand and tolerance stack ups for assemblies and part level.
* Strong knowledge of GD\&amp;T principles a plus
* Working knowledge of pneumatics, servomotors, PLC and PC\-based control systems a plus.
* JMP, Minitab \&amp; Six Sigma experience a plus.
* Master's degree considered a plus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1">
      <c r="A121" t="inlineStr">
        <is>
          <t>li-4338026212</t>
        </is>
      </c>
      <c r="B121" t="inlineStr">
        <is>
          <t>Sr. Product Manager, SOAR (Hybrid)</t>
        </is>
      </c>
      <c r="C121" t="inlineStr">
        <is>
          <t>CrowdStrike</t>
        </is>
      </c>
      <c r="D121" t="inlineStr">
        <is>
          <t>linkedin</t>
        </is>
      </c>
      <c r="E121" t="inlineStr"/>
      <c r="F121" t="inlineStr"/>
      <c r="G121" t="inlineStr">
        <is>
          <t>Sunnyvale, CA</t>
        </is>
      </c>
      <c r="H121" t="inlineStr"/>
      <c r="I121"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Product Management team is seeking an experienced Senior Product Manager who is technical, collaborative, and truly excited about building SOAR capabilities into the Falcon platform as a part of CrowdStrike’s NG\-SIEM solution. In this role, you will bring your in\-depth knowledge of the XDR, endpoint, SIEM, and SOAR markets to help guide the evolution of CrowdStrike’s investigation, detection, and prevention technologies. You will work closely with engineering, researchers, product marketing, sales, support, and other product managers. You will bring existing knowledge about product management best practices and apply them in delivering significant new features and enhancements. The successful candidate will have the ability to interface and influence cross\-functional teams throughout the company.
*This role is hybrid (in office 2\-3x a week).*
****What You'll Do:****
* Act as a product leader for building out SOAR capabilities and third\-party integrations directly in the Falcon platform
* Define and maintain strategy and product roadmap for the SOAR functionality in the context of CrowdStrike’s NG\-SIEM offerings
* Collaborate closely with Engineering to understand threat and attack trends
* Utilize strategic insight and organizational skills to identify unmet customer needs, define use cases, and advance the functional capabilities of this offering
* Partner with marketing to help define go\-to\-market strategy \&amp; messaging, assist with product positioning, benefits, and target personas
* Engage with sales and support to champion recent releases and guide future product direction
* Conduct competitive analyses and maintain current information regarding competitive activity
* Work on a team of high\-performing product professionals in a very collaborative environment
* Collaborate with Partners and Business Development to build third party SOAR integrations
****What You'll Need:****
* 5\+ years of product management experience owning product direction for XDR, SIEM, SOAR, endpoint security, and/or closely related security segments
* Excellent communication skills, both verbal and written, with the ability to properly translate and articulate positioning and technology
* Demonstrated ability to collaborate with peers in research, engineering, and product marketing
* Understanding of RESTful APIs, HTTP protocols, webhooks, JSON schema, and foundational coding concepts to design intuitive no\-code workflow experiences that enable security teams to automate incident response without requiring deep technical expertise
* Strong quantitative and business analysis skills
* Ability to prioritize numerous simultaneous tasks
* Proven ability to work effectively with both local and remote teams
* This position requires up to 20% travel to customer and CrowdStrike locations worldwide
* BA or BS degree in an applicable field or equivalent work experience, Master’s desirable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****What You'll Need:****
* 5\+ years of product management experience owning product direction for XDR, SIEM, SOAR, endpoint security, and/or closely related security segments
* Excellent communication skills, both verbal and written, with the ability to properly translate and articulate positioning and technology
* Demonstrated ability to collaborate with peers in research, engineering, and product marketing
* Understanding of RESTful APIs, HTTP protocols, webhooks, JSON schema, and foundational coding concepts to design intuitive no\-code workflow experiences that enable security teams to automate incident response without requiring deep technical expertise
* Strong quantitative and business analysis skills
* Ability to prioritize numerous simultaneous tasks
* Proven ability to work effectively with both local and remote teams
* This position requires up to 20% travel to customer and CrowdStrike locations worldwide
* BA or BS degree in an applicable field or equivalent work experience, Master’s desirable</t>
        </is>
      </c>
    </row>
    <row r="122">
      <c r="A122" t="inlineStr">
        <is>
          <t>li-4368033574</t>
        </is>
      </c>
      <c r="B122" t="inlineStr">
        <is>
          <t>Technical Program Manager, Google Distributed Cloud</t>
        </is>
      </c>
      <c r="C122" t="inlineStr">
        <is>
          <t>Google</t>
        </is>
      </c>
      <c r="D122" t="inlineStr">
        <is>
          <t>linkedin</t>
        </is>
      </c>
      <c r="E122" t="inlineStr"/>
      <c r="F122" t="inlineStr"/>
      <c r="G122" t="inlineStr">
        <is>
          <t>Kirkland, WA</t>
        </is>
      </c>
      <c r="H122" t="inlineStr"/>
      <c r="I12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in a technical field, or equivalent practical experience.
* 8 years of experience in technical program management.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3">
      <c r="A123" t="inlineStr">
        <is>
          <t>li-4368017810</t>
        </is>
      </c>
      <c r="B123" t="inlineStr">
        <is>
          <t>Technical Program Manager, Google Distributed Cloud</t>
        </is>
      </c>
      <c r="C123" t="inlineStr">
        <is>
          <t>Google</t>
        </is>
      </c>
      <c r="D123" t="inlineStr">
        <is>
          <t>linkedin</t>
        </is>
      </c>
      <c r="E123" t="inlineStr"/>
      <c r="F123" t="inlineStr"/>
      <c r="G123" t="inlineStr">
        <is>
          <t>Seattle, WA</t>
        </is>
      </c>
      <c r="H123" t="inlineStr"/>
      <c r="I12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in a technical field, or equivalent practical experience.
* 8 years of experience in technical program management.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4">
      <c r="A124" t="inlineStr">
        <is>
          <t>li-4368006352</t>
        </is>
      </c>
      <c r="B124" t="inlineStr">
        <is>
          <t>Program Manager</t>
        </is>
      </c>
      <c r="C124" t="inlineStr">
        <is>
          <t>AGDATA, LP</t>
        </is>
      </c>
      <c r="D124" t="inlineStr">
        <is>
          <t>linkedin</t>
        </is>
      </c>
      <c r="E124" t="inlineStr"/>
      <c r="F124" t="inlineStr"/>
      <c r="G124" t="inlineStr">
        <is>
          <t>North Carolina, United States</t>
        </is>
      </c>
      <c r="H124" t="inlineStr"/>
      <c r="I124" t="inlineStr">
        <is>
          <t>**Who We Are**
 We are the most trusted provider of data collection and management, marketing program management, and analytical solutions for our Crop and Animal Health industry clients.
 With data services at the core—surrounded by an extensible array of streamlined software solutions—our unified platform represents over three decades of innovation and expertise in the agriculture, crop protection, specialty chemical and animal health industries.
 Backed by an entrepreneurial, creative and energetic work force, teammates at AGDATA are pushing the boundaries of technology to enhance our relationships with our clients.
 We are a growing team, focused on adding creative, knowledgeable individuals who are ready to jump right in and make an immediate impact.
 Visit us on www.agdata.com
 More about us here: https://vimeo.com/347063684
**Position Summary**
 The Program Manager is a strategic delivery role within AGDATA’s (virtual) PMO and will be located in North America. This individual will drive organizational success by leading the end\-to\-end rollout of assigned new product initiatives, critical client onboarding initiatives, client migrations from legacy custom tools to AGDATA’s commercial platforms, and/or key internal transformation efforts. The role partners closely with the Technical Program Manager/Scrum of Scrum Leader; the Sr. Manager, Project Management; the Manager, Quality \&amp; Continuous Improvement; and other cross\-functional stakeholders to ensure seamless planning, execution, reporting, and value realization.
**Responsibilities / Primary Duties**
* Partners with Product, Engineering, Operations, and Sales teams to ensure go\-to\-market and organizational implementation and support readiness, as well as client enablement strategies for new product launches and upgrades.
* Leads high\-stakes client onboarding and migration efforts, ensuring smooth transitions from legacy tools to commercial solutions with minimal disruption.
* Collaborates with the Technical Program Manager/Scrum of Scrum Leader to align delivery timelines, resolve blockers, and maintain transparency across workstreams.
* Works to ensure alignment between client deliverable commitments and product delivery execution – both timelines and scope.
* Works with Quality \&amp; Continuous Improvement team to develop and maintain processes, templates, standards, and dashboards to ensure effective collaboration, transparency, and knowledge sharing related to product rollout, client onboarding, and/or client migration activities.
* Applies Agile, SAFe, and Lean principles to optimize delivery workflows and ensure continuous iteration and improvement.
* Monitors and reports on initiative progress, client feedback, and value realization metrics.
* Acts as a voice of the customer with internal teams, ensuring client needs are accurately represented in delivery planning and execution.
**Essential Qualifications**
* Bachelor’s degree in Business, IT/Dev, Operations, Project Management, or a related field.
* 7\+ years of experience in client delivery, project management, portfolio management, and/or continuous improvement roles within a tech\-enabled BPO or SaaS environment.
* Strong understanding of Agile/Scrum methodologies and demonstrated experience in applying them to deliver complex cross\-functional projects.
* Ability to influence without authority and foster collaboration across departments. Proven ability to enlist support for key initiatives across all stakeholders, both internal and external.
* Proven success in leading client\-facing transitions and driving measurable outcomes.
* Proficiency in project management and data visualization tools (e.g., Jira, Confluence, Power BI, Excel).
* Ability to understand business and technology context to effectively and efficiently guide project teams to optimal decisions.
* Insatiable curiosity and strong bias for self\-initiation.
* Excellent communication, facilitation, and stakeholder engagement skills.
**Other Qualifications**
* Certification in SAFe, Lean, Six Sigma, PMP, and/or Agile methodologies preferred.
* Experience in agricultural data, analytics, or enterprise software implementations is a plus.
* Familiarity with earned value management and adaptive governance frameworks.
* Strong analytical mindset with the ability to translate data into actionable insights.
**How AGDATA Will Support You**
* You have the option to choose from four medical, two dental and two vision plans to ensure your elections are the best fit for you and your family including your domestic partner and their child(ren).
* Helping you save: you’ll have access to a Health Savings Account with employer contributions as well as Health and Dependent Care Flexible Spending Accounts.
* Planning for the future: you can plan for the near and long term with AGDATA’s 401(k) retirement savings plan with matching company contributions and our tuition reimbursement program.
* Ensuring all around well\-being: you’ll also get to enjoy access to ancillary benefits, Employee Assistance Programs including virtual counseling sessions, Pet Insurance, Ergonomic Assessments, and other discount programs that will help you and your family stay on track physically, socially, emotionally, and financially.
**Emphasizing Work Life Balance**
* Paid time off is available to you and we also have competitive holiday options available including the week between Christmas and New Year’s. The special perk here is that the entire organization is off at the same time.
* Offering flexibility: we understand, life happens. You can work from home and partner with your manager to flex your hours.
**Being Comfortable In The Office**
* Need or want to come into our brand\-new office space? Free snacks and different types of drinks will be available for you to choose from.
* Offering a best\-in\-class onboarding experience: AGDATA invests heavily in our associates' training and development. Our Training team is fully dedicated to ensuring your onboarding will be successful and also focuses on the continued development of your soft and hard skills.
**Living An Open\-door Environment**
* You’ll have unparalleled visibility and communication with senior leadership across the organization. Each of our executive team members meets with our new hires during their first quarter!
* Supporting atmosphere encouraging positive feedback: Our Shout Out Program gives our associates the opportunity to give feedback at any time which will be shared and celebrated company\-wide and may even be topped off with an award.
* Ensuring clear communication: Our monthly in\-person and virtual town halls led by our CEO and other Leaders guarantee everyone stays up\-to\-date. We make sure to provide lunch so you can socialize and collaborate.</t>
        </is>
      </c>
    </row>
    <row r="125">
      <c r="A125" t="inlineStr">
        <is>
          <t>li-4368000458</t>
        </is>
      </c>
      <c r="B125" t="inlineStr">
        <is>
          <t>Property Insurance Underwriter - Program Manager</t>
        </is>
      </c>
      <c r="C125" t="inlineStr">
        <is>
          <t>Southlake Insurance Group</t>
        </is>
      </c>
      <c r="D125" t="inlineStr">
        <is>
          <t>linkedin</t>
        </is>
      </c>
      <c r="E125" t="inlineStr"/>
      <c r="F125" t="inlineStr"/>
      <c r="G125" t="inlineStr"/>
      <c r="H125" t="inlineStr"/>
      <c r="I125" t="inlineStr">
        <is>
          <t>**About Southlake** 
 Southlake Insurance Group brings together several “A\- VIII (Excellent)” AM Best rated, technology and data driven insurance companies specializing in the specialty program business and insurance fronting within the Property and Casualty insurance sector. Founded by a team of seasoned insurance professionals, Southlake provides insurance infrastructure as a service and is authorized to write in all 50 states.
 Our growing enterprise is dedicated to partnering with top industry producers who possess specialized expertise and a proven ability to deliver high\-performing portfolios.
 Our Offerings:
* Competitive Salary and Incentive Program
* Comprehensive Benefits Package: Includes medical, dental, vision, disability, and life insurance coverage.
* 401(k) Matching: Up to a 4% match available after 90 days of employment.
**Position Overview** 
 The Property Program Manager will lead the development, implementation, and oversight of our property insurance programs. This position involves close collaboration with underwriting, claims, modeling, reinsurance, and legal teams to ensure program effectiveness, profitability, and regulatory compliance.
**Key Responsibilities:** 
* **Program Development:** 
 Create and execute comprehensive property insurance programs that address market demands and align with company goals, covering CAT strategies, reinsurance structures, portfolio pricing, and overall risk appetite.
* **Underwriting Oversight:** 
 Work with partners to set pricing strategies and risk assessment standards for both program portfolios and individual risk referrals.
* **Regulatory Compliance:** 
 Ensure all programs meet state and federal regulations, staying informed on industry standards.
* **Performance Monitoring:** 
 Track program performance metrics, produce management reports, and recommend adjustments to enhance profitability as needed.
* **Client Relations:** 
 Develop and sustain strong relationships with producers, reinsurers, and other stakeholders to support their needs and improve customer satisfaction.
**Qualifications:** 
* Bachelor’s degree in Business Administration, Finance, Insurance, or a related field.
* Minimum of 10 years in property program management or a related role.
* In\-depth knowledge of property insurance products, CAT management, underwriting principles, and claims processes.
* Strong analytical and problem\-solving abilities, with a focus on data\-driven decision\-making.
* Proven leadership and experience managing cross\-functional teams.
* Excellent communication and interpersonal skills for effective collaboration with clients and team members.
* Professional designations (e.g., CPCU, ARM) are a plus.
**Compensation:** 
 Salary is competitive and based on experience.</t>
        </is>
      </c>
    </row>
    <row r="126">
      <c r="A126" t="inlineStr">
        <is>
          <t>li-4368026652</t>
        </is>
      </c>
      <c r="B126" t="inlineStr">
        <is>
          <t>Lead Technical Program Manager, Business Intelligence</t>
        </is>
      </c>
      <c r="C126" t="inlineStr">
        <is>
          <t>Google</t>
        </is>
      </c>
      <c r="D126" t="inlineStr">
        <is>
          <t>linkedin</t>
        </is>
      </c>
      <c r="E126" t="inlineStr"/>
      <c r="F126" t="inlineStr"/>
      <c r="G126" t="inlineStr">
        <is>
          <t>Austin, TX</t>
        </is>
      </c>
      <c r="H126" t="inlineStr"/>
      <c r="I126" t="inlineStr">
        <is>
          <t>The application window will be open until at least February 09, 2026\. This opportunity will remain online based on business needs which may be before or after the specified date.
 Note: By applying to this position you will have an opportunity to share your preferred working location from the following:
 **Addison, TX, USA; Austin, TX, USA; Thornton, CO, USA** 
 .
 **Minimum qualifications:**
* Bachelor's degree in a technical field, or equivalent practical experience.
* 8 years of experience in program management.
* 7 years of experience strategy and operations or business intelligence management, or similar.
* 5 years of experience in leadership role with direct reports.
* Experience with data analysis, data transformation, SQL, BigQuery, as well as data visualization platforms (e.g., Tableau, Looker).
**Preferred qualifications:**
* MBA.
* Certification in Six Sigma.
* Experience in forecasting models and analytics tools.
* Ability to map processes with system\-driven data and measure the results for performance reviews.
* Ability to analyze and document complex business processes, and excellent communication and presentation skills.
* Excellent investigative and problem\-solving skills, with the ability to gather and interpret relevant data and information.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Technical Program Managers, responsible for data management, analytics, reporting, KPIs and insights to inform Google Global Networking (GGI) business decisions.
* Reach across partner organizations to establish effective cross\-organization reporting, analysis, planning and partnerships that address strategic customer user journeys.
* Lead analysis to detect patterns and generate insights to inform business strategy decisions. Analyze and improve business processes and quality across GGI and partner organizations. Propose and develop forward\-looking innovative business operations solutions and tools.
* Develop and implement tooling that optimizes business insights. Lead cross\-organization strategic roadmap development sessions and insights\-driven business reviews.
* Propose programs to implement strategy recommendations in support of data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li-4368018667</t>
        </is>
      </c>
      <c r="B127" t="inlineStr">
        <is>
          <t>Marketing Product Manager - Surgical Ultrasonics</t>
        </is>
      </c>
      <c r="C127" t="inlineStr">
        <is>
          <t>Bioventus</t>
        </is>
      </c>
      <c r="D127" t="inlineStr">
        <is>
          <t>linkedin</t>
        </is>
      </c>
      <c r="E127" t="inlineStr"/>
      <c r="F127" t="inlineStr"/>
      <c r="G127" t="inlineStr">
        <is>
          <t>Durham, NC</t>
        </is>
      </c>
      <c r="H127" t="inlineStr"/>
      <c r="I127" t="inlineStr">
        <is>
          <t>**Are you ready to work for a more active world?**
 At Bioventus, our business depends on developing our people. We invest in you and challenge you to be the best. We value our colleagues for their different perspectives and individual contributions, and our leaders listen. Our success rests on working together to achieve shared goals and rewards. Join a diverse team of global colleagues driven to help patients resume and enjoy active lives.
 Main Purpose of the Role
 The Product Manager, Ultrasonics, is responsible for developing and executing strategies and tactical plans in support of their assigned product areas to align with the broader short and long\-term US marketing strategy. This position collaborates with cross functional teams such as Product Development, Sales, Legal, Regulatory, Medical Education, Sales Training, Reimbursement, Medical Affairs, and Finance to ensure the product/brand/product line remains relevant to US customers and that all initiatives support the product/brand promise.
 Key Responsibilities:
* Develops into product, business, and competitive expert who serves as an advisor for internal cross\-functional teams and sales channels.
* Leads analysis of product/brand performance, trends, market conditions, competition, customers, channel partners, and other relevant market factors to support internal analysis, forecasting, reporting, and strategic planning activities.
* Defines, analyzes, and refines product/brand content, commercial strategies, and comprehensive tactical plans.
* Develops growth targets, business objectives and product/brand strategies for the product/brand that aligns with global business plan.
* Takes ownership role in developing portfolio and product level content, including creation, consolidation, conveyance, and maintenance of messaging. Includes developing value propositions, talk tracks, and content to support broad portfolio conversations at customer, patient, sales reps, surgeon, and internal levels to address evolving organizational needs.
* Develops and executes new product launch plans, in conjunction with NPD and product strategy teams, including but not limited to surgeon development, positioning, pricing, targeting, forecasting, expense budgeting, training, campaign and content development.
* Creates innovative marketing solutions, programs and tools (presentations, educational materials, selling materials, tradeshow content, digital assets and campaigns, etc.) to create value and support the needs of the sales team, aligning these to organizational priorities, budget, and needs assessment.
* Manages and takes ownership of content routing through internal review process and systems, developing strong working relationships with RA and Legal content reviewers.
* Partners with medical education, upstream marketing, clinical, and professional affairs to support KOL development, education programs, VOC and NPD initiatives, and clinical data generation.
* Supports on\-site and field\-based medical education, sales training, conferences, customer engagements, and other events as needed
* Takes ownership of and manages activities of third\-party vendors, from concept to execution, ensuring quality delivery of contracted services.
* Acts with integrity and ensures compliance with all legal and regulatory requirements.
**Education And Experience (Knowledge, Skills \&amp; Abilities)**
* Bachelor’s degree in related field, MBA preferred.
* 5 years marketing experience in medical device companies.
* Experience in spine, neuro required; ultrasonics preferred.
* Exceptional communication skills: persuasive, engaging, and clinical credible presenter to both internal and external audiences.
* Strong understanding of and proven ability to use advanced marketing analytics.
* Demonstrated experience in digital marketing, e\-engagement, and digital analytics.
* Highly organized, collaborative, and process driven with strong project management skills.
* Strong leadership attributes: optimistic, accountable, self\-aware, self\-motivated, strategic.
* Ability and desire to work in an extremely entrepreneurial environment with moderate supervision.
* Ability to travel up to 40%
**Are you the top talent we are looking for?**
 Apply now! Hit the “Apply” button to send us your resume and cover letter.
*Bioventus is committed to fostering an inclusive and diverse community of employees with a strong sense of belonging. We believe we are bettered by all forms of diversity and take pride in working with top talent from every walk of life. In the spirit of inclusivity, qualified applicants will be considered without regard to age, ethnicity, disability, gender, veteran status, gender expression, gender identity, nationality, race, religion or sexual orientation.* 
*All* 
*individuals, regardless of personal characteristics, are encouraged to apply.*</t>
        </is>
      </c>
    </row>
    <row r="128">
      <c r="A128" t="inlineStr">
        <is>
          <t>li-4357463798</t>
        </is>
      </c>
      <c r="B128" t="inlineStr">
        <is>
          <t>Program Manager</t>
        </is>
      </c>
      <c r="C128" t="inlineStr">
        <is>
          <t>Akkodis</t>
        </is>
      </c>
      <c r="D128" t="inlineStr">
        <is>
          <t>linkedin</t>
        </is>
      </c>
      <c r="E128" t="inlineStr"/>
      <c r="F128" t="inlineStr"/>
      <c r="G128" t="inlineStr">
        <is>
          <t>Twinsburg, OH</t>
        </is>
      </c>
      <c r="H128" t="inlineStr"/>
      <c r="I128" t="inlineStr">
        <is>
          <t>Akkodis is recruiting for a
 **Program Manager** 
 for an aerspace manufacturer in the Twinsburg, OH area. This is an onsite direct hire position with a pay range of $103K annually to $130K annually, depending on education, experience and location. Someone with
 **Successful Program Management Experience in the Aerospace industry** 
 is important to the role. Candidates don’t necessarily have to be an engineer, but they must have experience working with engineers both mechanical and electrical as a Program Manager and be successful.
* **Program Leadership**
* Serve as the primary point of contact for customers and internal stakeholders.
* Define program scope, objectives, and deliverables aligned with contractual requirements.
* **Planning \&amp; Execution**
* Develop and maintain program schedules, budgets, and resource plans.
* Monitor progress and implement corrective actions to meet milestones.
* **Risk \&amp; Issue Management**
* Identify risks early and develop mitigation strategies.
* Lead problem\-solving efforts for technical and schedule challenges.
* **Customer Interface**
* Conduct regular status reviews with customers.
* Ensure timely communication and resolution of issues.
* **Financial Management**
* Track program financial performance and ensure profitability.
* Support cost reduction initiatives and margin improvement.
* **Compliance**
* Ensure adherence to Safran processes, AS9100 standards, and regulatory requirements.
* **Team Collaboration**
* Coordinate with engineering, manufacturing, supply chain, and quality teams.
* **Qualifications**
* **Education:**
* Bachelor’s degree in Engineering, Business, or related field (Master’s preferred).
* **Experience:**
* 5\+ years in program or project management (aerospace preferred).
* Proven experience managing complex technical programs.
* **Skills:**
* Strong leadership and communication skills.
* Proficiency in MS Project or similar scheduling tools.
* Knowledge of aerospace standards and regulatory compliance.
* **Preferred:**
* PMP certification or equivalent. Experience with electrical systems or aerospace components.
 If interested, forward resume to
 **tina.johnsonkelley@akkodisgroup.com.** 
 Equal Opportunity Employer/Veterans/Disabled
 Military connected talent encouraged to apply
 Client offered benefits, medical, dental, vision, 401K.</t>
        </is>
      </c>
    </row>
    <row r="129">
      <c r="A129" t="inlineStr">
        <is>
          <t>li-4368023773</t>
        </is>
      </c>
      <c r="B129" t="inlineStr">
        <is>
          <t>Technical Program Manager, Data Center Risk Management</t>
        </is>
      </c>
      <c r="C129" t="inlineStr">
        <is>
          <t>Google</t>
        </is>
      </c>
      <c r="D129" t="inlineStr">
        <is>
          <t>linkedin</t>
        </is>
      </c>
      <c r="E129" t="inlineStr"/>
      <c r="F129" t="inlineStr"/>
      <c r="G129" t="inlineStr">
        <is>
          <t>Sunnyvale, CA</t>
        </is>
      </c>
      <c r="H129" t="inlineStr"/>
      <c r="I129" t="inlineStr">
        <is>
          <t>Note: By applying to this position you will have an opportunity to share your preferred working location from the following:
 **Sunnyvale, CA, USA; Atlanta, GA, USA** 
 .
 **Minimum qualifications:**
* Bachelor's degree in a technical field, or equivalent practical experience.
* 8 years of experience in program management.
* Experience in setting up (enterprise) risk management programs, risk modeling, operational resilience, and delivering risk management training.
* Experience developing and implementing quantitative risk management frameworks to measure and mitigate operational risks.
**Preferred qualifications:**
* 8 years of experience managing cross\-functional or cross\-team projects.
* Experience with coding.
* Familiarity with data center operations, incident management processes, and operational metrics (e.g., availability SLAs, MTTR, MTBF).
* Knowledge of data center power and cooling infrastructure and ability to understand complex systems.
* Strong stakeholder engagement and management, as well as storytelling skills to drive prioritization decisions using data.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Manage/support the development and implementation of the data center risk management program at the site/regional/global level while maintaining awareness of emerging threats to the business.
* Be responsible for leading efforts to identify and drive down risk across Google Data Center Operations (DCOps). Work closely with partner organizations, engineers, and business leaders to ensure a holistic approach to data center risk management.
* Create executive presentations of the above findings and subsequent recommended actions for DCOps, Google Data Centers, and higher leadership (program reviews, quarterly business reviews, etc.).
* Identify both qualitative and quantitative metrics that can be leveraged to measure effectiveness of and ultimately drive improvements to the risk program.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li-4331934632</t>
        </is>
      </c>
      <c r="B130" t="inlineStr">
        <is>
          <t>Program Manager</t>
        </is>
      </c>
      <c r="C130" t="inlineStr">
        <is>
          <t>Zobility</t>
        </is>
      </c>
      <c r="D130" t="inlineStr">
        <is>
          <t>linkedin</t>
        </is>
      </c>
      <c r="E130" t="inlineStr"/>
      <c r="F130" t="inlineStr"/>
      <c r="G130" t="inlineStr">
        <is>
          <t>Nappanee, IN</t>
        </is>
      </c>
      <c r="H130" t="inlineStr"/>
      <c r="I130" t="inlineStr">
        <is>
          <t>**Job Description:** 
* We are seeking a results\-driven Project Manager to lead cross\-functional product development initiatives from concept through launch.
* This role is critical in managing timelines, resources, and deliverables within a structured stage\-gate development process, ensuring alignment with business goals and customer expectations.
* The ideal candidate will have experience in vehicle development programs and a strong understanding of engineering, manufacturing, and regulatory requirements in the RV, automotive, or heavy truck sectors.
**Responsibilities:** 
* Project Leadership: Lead product development projects across vehicle platforms, managing scope, schedule, budget, and risk. Facilitate cross\-functional collaboration between engineering, design, manufacturing, purchasing, and quality teams. Drive execution through all phases of the stage\-gate process: concept, feasibility, development, validation, launch, and post\-launch review.
* Stage\-Gate Process Management: Develop and maintain project plans, gate reviews, and milestone tracking. Ensure deliverables are completed on time and meet quality and cost targets at each gate. Coordinate documentation and approvals required for gate transitions.
* Communication \&amp; Reporting: Provide regular updates to leadership and stakeholders on project status, risks, and mitigation plans. Prepare executive\-level presentations and reports for program reviews. Serve as the primary point of contact for internal and external stakeholders.
* Industry\-Specific Execution: Manage projects involving interior, exterior, and electrical systems tailored to RVs Ensure compliance with FMVSS, RVIA, and other relevant standards. Support prototype builds, pilot production, and launch readiness activities.
* Continuous Improvement: Identify opportunities to improve project execution, resource utilization, and product quality. Contribute to the refinement of the stage\-gate process and project management best practices.
**Education \&amp; Experience:** 
* Bachelor's degree in Engineering, Business, or related field; PMP certification preferred.
* 5\+ years of project management experience; automotive, heavy truck, or RV industry preferred.
* Proven experience managing projects within a stage\-gate product development framework.
* Strong understanding of vehicle systems and development lifecycle.
* Excellent organizational, communication, and leadership skills.
* Proficiency in project management tools (e.g., MS Project, Smartsheet, Jira).
* Ability to manage multiple projects simultaneously in a fast\-paced environment.</t>
        </is>
      </c>
    </row>
    <row r="131">
      <c r="A131" t="inlineStr">
        <is>
          <t>li-4357523295</t>
        </is>
      </c>
      <c r="B131" t="inlineStr">
        <is>
          <t>Program Manager</t>
        </is>
      </c>
      <c r="C131" t="inlineStr">
        <is>
          <t>Brown University</t>
        </is>
      </c>
      <c r="D131" t="inlineStr">
        <is>
          <t>linkedin</t>
        </is>
      </c>
      <c r="E131" t="inlineStr"/>
      <c r="F131" t="inlineStr"/>
      <c r="G131" t="inlineStr">
        <is>
          <t>Providence, RI</t>
        </is>
      </c>
      <c r="H131" t="inlineStr"/>
      <c r="I131" t="inlineStr">
        <is>
          <t>**Job Description:**
**About Brown:**
 Brown University is a leading research university distinct for its student\-centered learning and deep sense of purpose. Our students, faculty and staff are driven by the idea that their work will have an impact in the world.
 Brown University offers a flexible work/life balance; summer hours, winter break and a comprehensive Benefits package including time off, annual paid holidays; benefits offerings including health, dental, vision, tuition assistance, retirement, wellness, employee discounts and more. To learn about Brown University’s benefits, visit the University Human Resources web page here for further information.
**About the Opportunity:**
 The Nelson Center for Entrepreneurship is the home for Entrepreneurship at Brown and serves as a resource for the entire University. The Center does this through three primary areas of focus, including teaching and instruction, co\-curricular programming, and venture support programs.
**Responsibilities:**
 The Program Manager provides leadership and oversight of Nelson Center co\-curricular initiatives, cross\-campus and community partnerships, and communications to enhance the Center’s mission. This high\-level contributor independently manages all student entrepreneurship club operations, including comprehensive operational and financial management for the Center’s portfolio of student entrepreneurship clubs. This role ensures administrative compliance and coordinates complex logistics, including domestic and international travel. The Program Manager supports the development and growth of new initiatives within the Center, serving as the principal liaison for cross\-departmental and community partnerships. Reporting to the Associate Director of the Center, the Program Manager provides operational support to new and existing initiatives, serving as the primary liaison to campus units and external partners. They exercise substantial independent judgment in program and budget administration, offering functional leadership to team colleagues, providing project guidance, and contributing to strategic initiatives as assigned.
**Qualifications** 
 :
 Education and Experience
* Bachelor's degree plus a minimum of 5 years of experience in higher education, events management, or other related experience or the equivalent combination of education and experience.
* Requires professional knowledge of practices and processes related to advising student organizations, managing complex budgets for clubs and events, and managing logistics for high\-profile university events.
* Experience in developing and leading complex programming, including setting strategic direction for teams/organizations, or other complex administrative processes.
* Demonstrated knowledge of entrepreneurship and understanding of startup ecosystems.
* Experience providing work direction or functional leadership to other staff is highly preferred.
**Job Competencies**
* Professional knowledge of practices and processes related to advising student organizations, managing complex budgets for clubs and events, and managing logistics for high\-profile university events.
* Eagerness or interest in learning more about entrepreneurship.
* Strong oral, written, and interpersonal communication skills, with experience working with students and faculty being a plus.
* Excellent organizational and time management skills.
* Strong commitment to promoting a sense of belonging in the Nelson community
* Proficiency in Microsoft Office Suite, Google Suite, Social Media, Mailchimp, and website management programs (primarily Drupal). Familiarity with relational databases (Monday.com, Airtable) and scheduling platforms (Planon, 25Live).
* Comfort and proficiency in working with technology.
* Ability to handle competing priorities in a multitasking environment with frequent interruptions.
* Demonstrated attention to detail and strong proofreading skills.
* Ability to work independently with a high level of professionalism.
**Salary Grade:**
 9
**Additional Information:**
 Applicants are asked to include a resume and cover letter.
 All offers of employment are contingent upon the successful completion of a background check.
 Occasional weekend and evening work required, particularly around commencement and marquis events, BVP, B\-lab Expo.
**Benefits of Working at Brown:**
 Information on the Benefits of Working at Brown can be found here.
**Recruiting Start Date:**
 2026\-01\-20
**Job Posting Title:**
 Program Manager
**Department:**
 Jonathan M. Nelson Center for Entrepreneurship
**Grade:**
 Grade 9
**Worker Type:**
 Employee
**Worker Sub\-Type** 
 :
 Regular
**Time Type:**
 Full time
**Scheduled Weekly Hours:**
 37\.5
**Position Work Location:**
 Onsite
**Submission Guidelines:**
 Please note that in order to be considered an applicant for any staff position at Brown University you must submit an application form for each position for which you believe you are qualified. Applications are not kept on file for future positions. Please include a cover letter and resume with each position application.
 This position is not eligible for visa sponsorship.
**Still Have Questions?**
 If you have any questions you may contact employment@brown.edu.
**Brown is an E\-Verify Employer.**
**EEO Statement:**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is>
      </c>
    </row>
    <row r="132">
      <c r="A132" t="inlineStr">
        <is>
          <t>li-4368322164</t>
        </is>
      </c>
      <c r="B132" t="inlineStr">
        <is>
          <t>Insurance Program Manager</t>
        </is>
      </c>
      <c r="C132" t="inlineStr">
        <is>
          <t>DC Department of Human Resources</t>
        </is>
      </c>
      <c r="D132" t="inlineStr">
        <is>
          <t>linkedin</t>
        </is>
      </c>
      <c r="E132" t="inlineStr"/>
      <c r="F132" t="inlineStr"/>
      <c r="G132" t="inlineStr">
        <is>
          <t>Washington, DC</t>
        </is>
      </c>
      <c r="H132" t="inlineStr"/>
      <c r="I132" t="inlineStr">
        <is>
          <t>**Job Summary**
 This position will operate as the Captive Manager and is located in the Captive Insurance Agency ("the Captive"), which is overseen by the Office of Risk Management (ORM) in the Executive Office of the Mayor. Specific services provided by the Captive and ORM include supporting agencies with insurance inquiries, insuring qualifying District health centers, procuring commercial property, stand alone and nuclear terrorism insurance for the District, providing DC government agencies with letters of self\-insurance, occupational safety and risk management analysis and support, and administering the District's public workers compensation and tort liability programs.
 This position functions as Insurance Program Administrator and Captive Manager, responsible for administering and directing insurance programs, including overseeing the overall management of "the Captive," its budget, operation and handling of claims. Also, oversees the investigation and settlement of claims in compliance with regulations.
**Duties And Responsibilities**
 Establishes and oversees procedures for the operation of the Captive, including payment of administrative expenses, claims processing and adjustments, dispute resolution, and tail coverage for participating health centers. Develops standards for premium subsidies, reinsurance participation, underwriting guidelines, and risk management requirements, and conducts audits to ensure compliance. Leads strategic planning by defining current and future business environments, setting performance metrics, and evaluating program effectiveness. Performs root cause analyses to identify opportunities for process improvements and drafts manuals and guides to formalize updated business practices.
 Designs and conducts broad, complex management studies addressing evolving requirements, legislation, and overlapping functions, and proposes actionable management solutions. Develops and implements special projects, including strategies to track and execute recommendations. Provides expert guidance to the Mayor, City Administrator, ORM, and District agencies on insurance and risk programs, including related financial and legal matters impacting an $11 billion budget and approximately 35,000 employees. Prepares and disseminates clear written and verbal guidance on insurance policies and procedures, and analyzes reports from third\-party administrators and the Office of the Chief Financial Officer to support informed recommendations.
**Qualifications And Education**
**Specialized Experience:** 
 Specialized experience is experience which is directly related to the position and has equipped the individual with the knowledge, skills, and abilities to successfully perform the duties of the position. To be creditable, the incumbent must possess at least one (1\) year of specialized experience equivalent to the next lower grade level in the normal line of progression.
 Prior supervisory experience and an advanced degree (Master's or J.D.) in legal, finance, insurance, pubic or business administration or risk management is preferred.
**Licenses and Certifications**
 None.
**Work Conditions/Environment**
 The work is primarily sedentary and performed in an office setting.
**Other Significant Facts**
**Next Screening Date:** 
 February 6, 2026
**Tour of Duty** 
 : Monday \- Friday; 8:15am \- 4:45pm
**Pay Plan, Series and Grade** 
 : MS\-0301\-15
**Promotion Potential:** 
 No known promotion potential.
**D** 
**uration of Appointment:** 
 Management Supervisory Service (MSS), “At\-Will”. All positions and appointments in the Management Supervisory Service serve at the pleasure of the appointing authority and may be terminated at any time with or without cause.
**Collective Bargaining Unit (Union):** 
 This position is not covered by a collective bargaining unit.
**Position Designation:** 
 The position has been deemed security\-sensitive. Accordingly, the incumbent will be subject to pre\-employment checks (criminal background checks, consumer credit check, traffic record checks, if applicable) as a condition of employment, and will be subject to periodic criminal background checks for the duration of your tenure.
**Emergency Designation:** 
 This position has been designated as Emergency. Employees occupying positions designated as Emergency are required to:
* Provide advice, recommendations, and/or specific functional support necessary for the continuity of operations during a declared emergency.
* Remain at their duty station, or alternate work location (approved by their supervisor), if activated, when a situation or condition occurs and results in early dismissal for nonessential/non\-emergency employees.
* Report to their duty station, when activated, on time and as scheduled when a situation or condition occurs during non\-work hours, and results in the late arrival or closing of District government offices for non\-essential/non\-emergency employees.
* Telework during a declared emergency, instead of remaining or reporting to his or her duty station, if directed by the agency head (or designee), supervisor or manager.
* Carry or wear their official District government ID card during the period of the declared emergency, if not teleworking.
**Residency Preference:** 
 When claiming residency preference, you are required, and must agree in writing, to maintain bona fide District residency for a period of seven (7\) consecutive years from the effective date of employment. You will be required to present documents (proofs) to show District residency and failure to maintain bona\-fide District residency for the seven\-year (7\-year) period will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33">
      <c r="A133" t="inlineStr">
        <is>
          <t>li-4367896043</t>
        </is>
      </c>
      <c r="B133" t="inlineStr">
        <is>
          <t>Design Program Manager - CA, UT, WA, TX, CO</t>
        </is>
      </c>
      <c r="C133" t="inlineStr">
        <is>
          <t>Zions Bancorporation</t>
        </is>
      </c>
      <c r="D133" t="inlineStr">
        <is>
          <t>linkedin</t>
        </is>
      </c>
      <c r="E133" t="inlineStr"/>
      <c r="F133" t="inlineStr"/>
      <c r="G133" t="inlineStr">
        <is>
          <t>San Diego, CA</t>
        </is>
      </c>
      <c r="H133" t="inlineStr"/>
      <c r="I133" t="inlineStr">
        <is>
          <t>For more than 150 years, Zions Bancorporation has built on the dedication and talent of our people, earning recognition as one of the ‘Best Banks to Work For.’ Now, we’re focused on shaping the future of banking—leveraging innovation, strengthening local relationships, and delivering exceptional value across our collection of great banks in the West.
 Our expanding marketing team is creating something transformative: a dynamic, in\-house Creative Studio that will redefine how we tell our story and connect with customers. Under the leadership of our new CMO, we’re building a modern, collaborative hub for bold ideas and innovative campaigns that elevate a bank known for exceptional service and deep community roots. This is your opportunity to help shape a creative vision that sets a new standard for financial marketing.
 We’re looking for a Design Program Manager who will lead strategic marketing initiatives while coordinating collaborative impact. This role will need to move fluidly within a complex organization to facilitate high impact creative across print and digital. The Design Program Manager will oversee the operations for the Creative Studio — how we plan, review, and collaborate across affiliates, segments, and internal teams. This role will build and evolve the systems, rituals, and tooling that help the creative team work efficiently, scale quality, and operate with clarity.
 You’ll partner closely with Design leadership to establish consistent design rhythms, streamline processes, and introduce systems that support capacity planning, quality reviews, and team enablement. You’ll also guide design tooling, onboarding, and key initiatives that improve the health, performance, and culture of the Creative Studio.
 This is a keystone role designed for someone who thrives at the intersection of operations, systems design, and creative collaboration.
**Job Responsibilities**
* Lead design operations for the Creative Studio: Build, maintain, and evolve how the team creates high\-quality work that drives business goals.
* Drive creative process: Establish consistent, efficient team rituals such as critique, shareouts, review processes that drive alignment and elevate craft .
* Manage and facilitate leadership meetings: Run agendas for the Creative Studio team meetings, ensuring focus, follow\-through, and clarity.
* Manage creative tooling: Daily administration of creative tools (Adobe, Figma, etc.) as well as working with procurement to secure new tools to improve efficiency.
* Drive onboarding and enablement: Maintain and update onboarding in partnership with IT, HR, and other teams to ensure new team members ramp up quickly.
* Enable Creative Studio leadership: Free up time by managing coordination, communication and planning logistics.
* Support Creative Studio culture and growth: Lead follow\-ups with team, research and coordinate team activities, and facilitate initiatives that strengthen community and collaboration.
**Qualifications**
* Bachelor’s degree in Design, Marketing, Communications, or related field; Master’s preferred.
* Minimum 5 years in creative agency roles, ideally within financial services or regulated industries.
* Expertise in marketing strategies across digital, interactive, and print channels.
* Proven ability to manage large\-scale projects, budgets, and agile workflows.
* Exceptional leadership, organizational, and communication skills with a track record of mentoring teams.
* Creative problem\-solving and analytical abilities.
* Familiarity with banking products and services is a plus.
**Benefits \&amp; Compensation**
 Along with competitive benefits starting on day one, including 12 bank holidays, profit sharing, and a company\-matched 401(k), you’ll have the chance to grow your career while creating work that truly matters to our customers and communities. Ready to bring your ideas to life? Share your application and portfolio today.
 This position is eligible to earn a base salary in the range of $105,000 \- $150,000 annually depending on job\-related factors such as level of experience and location.
* Day\-one coverage for Medical, Dental, Vision, Life, and Disability Insurance.
* Paid Parental Leave, Adoption Assistance, and Mental Health benefits including coaching and therapy sessions.
* 401(k) with company match, Profit Sharing, and Tuition Reimbursement (up to $5,250 annually).
* Paid Training, Paid Time Off (PTO), 11 Federal Holidays plus applicable state holidays.
* Employee Ambassador preferred banking products.
 LOCATION OPTIONS
* Salt Lake City, UT
* San Diego, CA
* San Francisco, CA
* Seattle, WA
* Houston, TX
* Denver, CO
**Please note: This is an in\-office position that will sit at a local corporate hub 5 days a week. This is not a hybrid role.**
 Ready to bring your vision to life? Share your application and portfolio today.</t>
        </is>
      </c>
    </row>
    <row r="134">
      <c r="A134" t="inlineStr">
        <is>
          <t>li-4368322453</t>
        </is>
      </c>
      <c r="B134" t="inlineStr">
        <is>
          <t>Pharma/Healthcare Growth Account Executive/Program Manager</t>
        </is>
      </c>
      <c r="C134" t="inlineStr">
        <is>
          <t>CapTech</t>
        </is>
      </c>
      <c r="D134" t="inlineStr">
        <is>
          <t>linkedin</t>
        </is>
      </c>
      <c r="E134" t="inlineStr"/>
      <c r="F134" t="inlineStr"/>
      <c r="G134" t="inlineStr">
        <is>
          <t>Philadelphia, PA</t>
        </is>
      </c>
      <c r="H134" t="inlineStr"/>
      <c r="I134"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Learn more at captechconsulting.com.
**Job Description**
 We are seeking an exceptionally motivated Pharma/Healthcare Growth Account Executive who thrives on uncovering opportunities, seeking out and solving client challenges creatively, and building lasting relationships that fuel account expansion. In this role, you will position CapTech for continued growth by combining delivery excellence with proactive business development.
 You will balance strategic account leadership with hands\-on execution, serving as both a trusted advisor to the client and a growth catalyst for CapTech. Success requires operating with a sense of urgency, the flexibility to adapt to client needs and market realities, the curiosity of a problem\-seeker, and the confidence to lead dynamically while delivering measurable value.
 Responsibilities
* Drive Account Growth: Develop and execute account growth strategies, including playbook creation, pipeline development, and targeted relationship plans.
* Activate your Network:  Leverage an established network to accelerate revenue growth from day one. Maintain and expand personal and professional relationships, bringing in warm leads and active opportunities.
* Upsell \&amp; Cross\-Sell: Expand CapTech’s footprint by introducing new services, ensuring we are seen as a critical extension of the client’s business.
* Expand Opportunities: Identify, pursue, and secure new business opportunities within existing accounts, delivering consistent year\-over\-year revenue growth.
* Balance Growth \&amp; Delivery: Split time and focus between business development and delivery oversight across consulting solutions.
* Stay current:  Rapidly build expertise in CapTech’s solutions and maintain deep awareness of emerging industry trends, technologies, and market dynamics.
* Deliver Value: Translate client needs into innovative solutions that create measurable business impact.
* Ensure Account Health: Oversee financial and operational management of the account, including margin, forecasting, and resource alignment, ensuring long\-term sustainability alongside growth.
* Engage Clients Deeply: Prioritize building relationships, in\-person whenever possible. Immerse yourself in client culture, community, and leadership forums to strengthen trust and establish CapTech as a strategic partner.
* Lead with Agility: Adapt quickly to evolving client priorities and market shifts, ensuring CapTech remains a relevant and trusted partner.
* Ensure Delivery Excellence: Lead cross\-functional teams, manage stakeholder expectations, and resolve issues quickly to protect client satisfaction and trust.
* Coach \&amp; Develop Talent: Mentor account managers and consultants on relationship building, opportunity identification, and growth best practices.
* Execute with Impact: Lead proposals, SOWs, and growth initiatives while proactively introducing CapTech’s broader service offerings.
* Collaborate with Candor: Communicate thoughts and perspective with internal team and external client and challenge appropriately, pressure test assumptions and develop trust and credibility.
* Demonstrate Commercial Mindset: Lead client negotiations to secure multi\-year deals, renewals or expansions and act as a financial steward of CapTech and clients.
* Think Beyond the Sale: Understand how problems/solutions extend beyond the immediate buyer and the upstream and downstream impacts to stakeholders across the value chain and alignment to enterprise strategy.
**Qualifications**
 Qualifications
* Bachelor’s degree in Business Administration, IT, or equivalent experience
* 8\+ years of consulting or industry experience with proven account management responsibilities
* 8\+ years of program/project management experience leading technology initiatives
* Demonstrated success driving account growth and managing large, complex engagements
* Proven ability to build and execute sales pipelines, expand client revenue, and consistently meet/exceed growth targets
* Experience managing accounts up to and greater than $5M in revenue with demonstrated experience growing accounts by 15\-20% annually
* Ability to be on\-site up to 5 days a week with some travel to be customized by account requirement
* Experience with Pharmaceutical Distribution and Logistics, Specialty Manufacturing
* Experience with Patient Support Programs – Modernizations, Integrations etc.
* Experience with Supply Chain, Healthcare, Life Sciences
* Experience shaping and selling digital transformation initiatives with emphasis on data \&amp; interoperability modernization, AI\-enabled operations, patient/member digital experience, and fraud/waste/abuse reduction
* Skilled in developing joint account plans with consulting, delivery, and alliance/partner teams to accelerate growth.
* Demonstrated ability to navigate complex procurement cycles and influence buying decisions in highly regulated payer environments.
* Strong experience engaging and influencing C\-suite executives and senior client stakeholders
* Flexibility to adapt strategies to shifting client needs and market dynamics
* Problem\-seeker mindset: anticipates challenges and frames them into tailored, outcome\-driven solutions
* Dynamic leadership presence and the ability to guide clients and teams with confidence and influence
* Value creator with a passion for delivering measurable business outcomes that advance client success
* Entrepreneurial drive to identify opportunities early and act decisively and with urgency to capture them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At this time, CapTech cannot transfer nor sponsor a work visa for this position. Applicants must be authorized to work directly for any employer in the United States without visa sponsorship.</t>
        </is>
      </c>
    </row>
    <row r="135">
      <c r="A135" t="inlineStr">
        <is>
          <t>li-4368352415</t>
        </is>
      </c>
      <c r="B135" t="inlineStr">
        <is>
          <t>Epic Program Manager-RevCycle</t>
        </is>
      </c>
      <c r="C135" t="inlineStr">
        <is>
          <t>Westchester Medical Center Health Network</t>
        </is>
      </c>
      <c r="D135" t="inlineStr">
        <is>
          <t>linkedin</t>
        </is>
      </c>
      <c r="E135" t="inlineStr"/>
      <c r="F135" t="inlineStr"/>
      <c r="G135" t="inlineStr">
        <is>
          <t>Valhalla, NY</t>
        </is>
      </c>
      <c r="H135" t="inlineStr"/>
      <c r="I135" t="inlineStr">
        <is>
          <t>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 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 and operational leaders from affiliated institutions. \#\#Responsibilities:\# Maintains the organization\#s effectiveness and efficiency by defining, delivering, and supporting strategic plans for implementing new and innovative information technologies. Provides technical leadership to ensure the best development practices, user experience standards and security implementation strategies are followed. Advises and recommends state\-of\-the\-art enterprise architecture strategies, processes and methodologies. Apply strategic thinking to IT service management. The ultimate goal is to design, develop, and implement service management as both an organizational capability and a strategic asset. Provides overall direction and guidance, coordinates schedules and related project activities to ensure the work and documentation meet appropriate department/service line standards. Collaborates with users and other IT departments to develop strategy and goals for the team and department.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Defines and implements programming goals such as reuse and adaptability. Leads the team to gather and analyze business requirements, manage design, implementation and testing of applications. Presents product specifications and delivery schedule clearly and concisely to individuals at all levels of an organization, including to executive management. Strategically collaborates with cross\-functional teams, including development and vendor resources, to solve problems effectively and quickly to deliver product. Manages competing priorities to keep the team on track to deliver high quality solutions. Performs all duties inherent to a managerial role. Participates in hiring, training, evaluation and termination of assigned staff according to hospital policies and procedures. Evaluates employee performance. Responsible for timekeeping of direct reports. Train and/or supervise training of users and other staff in current and new aspects of system functionality. Participate in go\-lives and support. Participate in On\-Call support.\# Accountable and responsible for supporting business critical applications and systems that operate 24/7/365\. Performs other special projects and duties as assigned. Qualifications/Requirements: Experience: 5\#7 years of experience as a Technical Manager or Technical Project Management, required Education: \# Bachelor\#s degree in Computer Science or related field, required Master\#s degree, preferred Licenses / Certifications: \# EPIC Module Certification in job related module(s) is required to be obtained within 6 months and renewed quadrennial PMP certification, preferred ITIL certirfication, preferred Microsoft or other technology industry certifications, preferred Other: Ability to work in surroundings with a degree of dust, noise, odors, etc. without undue discomfort. Ability to hear, talk, walk, stand, bend and stretch. Ability to read, write and interpret documents. Ability to sit for long periods of time at a desk to perform job functions. Ability to communicate effectively with clients and co\-workers. May be exposed to mechanical/electrical/radiant/explosive/burn and chemical hazards. May be required to handle, dispose of and/or identify hazardous waste and hazardous materials. May be required to operate and clean equipment. May be required to work both indoors and outdoors under extreme temperatures. May be required to handle reasonably heavy weights across distances. May be required to operate heavy vehicles. Must be trained in and knowledgeable of all hospital policies and procedures pertaining to hazardous waste and hazardous materials and maintain qualifications applicable to assigned work. Special Requirements: Compliant with Change Control policies, familiar with ticketing systems, ability to manage communications associated with project roll\-outs.\# Excellent written and verbal communications skills. Excellent Organizational and Analytical Skills Compliant with Change Control policies, familiar with ticketing systems, ability to manage communications associated with project roll\-outs.\# Experience with IT architecture planning, software development methodologies and large\-scale integrated web systems implementations and upgrades in an enterprise environment. Deep and broad understanding of web and mobile technologies, such as Reporting/BI tools, Microsoft.NET, SharePoint 2013\. Knowledge of Service\-Oriented Architecture (SOA), Web services, principles, and patterns at an enterprise\-level as it relates to complex web and mobile applications. Comfortable leading a team using Agile SCRUM software development methodology. Ability to conceptualize, plan, and implement projects as well as interact effectively with applications in complex problem situations. Experience with selecting and managing external software vendors. Applications: Tableau; Statistical Application Fluency (SAS, SPSS, Python ML, Scala, Spark ML, etc.)</t>
        </is>
      </c>
    </row>
    <row r="136">
      <c r="A136" t="inlineStr">
        <is>
          <t>li-4368032597</t>
        </is>
      </c>
      <c r="B136" t="inlineStr">
        <is>
          <t>Technical Program Manager III, Risk Analysis, Cloud Networking</t>
        </is>
      </c>
      <c r="C136" t="inlineStr">
        <is>
          <t>Google</t>
        </is>
      </c>
      <c r="D136" t="inlineStr">
        <is>
          <t>linkedin</t>
        </is>
      </c>
      <c r="E136" t="inlineStr"/>
      <c r="F136" t="inlineStr"/>
      <c r="G136" t="inlineStr">
        <is>
          <t>Austin, TX</t>
        </is>
      </c>
      <c r="H136" t="inlineStr"/>
      <c r="I136" t="inlineStr">
        <is>
          <t>The application window will be open until at least February 09, 2026\. This opportunity will remain online based on business needs which may be before or after the specified date.
 Note: By applying to this position you will have an opportunity to share your preferred working location from the following:
 **Atlanta, GA, USA; Austin, TX, USA; Addison, TX, USA; Thornton, CO, USA** 
 .
 **Minimum qualifications:**
* Bachelor's degree in a technical field, or equivalent practical experience.
* 5 years of experience in program management.
* Experience with risk analysis.
* Experience with SQL.
**Preferred qualifications:**
* 5 years of experience managing cross\-functional or cross\-team projects.
* Experience with colocation and data center operations.
* Experience with AI/ML to drive AI transformation and productivity.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manage data center deployment programs/projects, including data center and colocation facility turn\-ups, turn\-downs, expansions, refactors, and new technology pilots. You will plan and deliver network infrastructure when it’s needed within the most efficient cycle time. You will drive operational excellence through innovation and simplicity and will build an exceptional “One Team” culture. You will also approach life\-cycle management of data center network technology including hardware, software, and process.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global capacity deliverables, plans of record, and schedules across Global Network Deployment (GND).
* Work with partner teams to ensure project priorities are aligned, resources are secured, and logistics is on point with material storage and delivery.
* Drive root causes corrective actions and make recommendations to the business to prevent known issues from recurring and constraining capacity.
* Understand partner team dependencies, constraints, designs, and forecasting mechanisms that impact the business by engaging early and often, collaborating on process improvements, and communicating.
* Provide health reports highlighting wins, risks, and upcoming demands.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li-4368197971</t>
        </is>
      </c>
      <c r="B137" t="inlineStr">
        <is>
          <t>Senior Program Manager (Secret) {D}</t>
        </is>
      </c>
      <c r="C137" t="inlineStr">
        <is>
          <t>ARKA Group, LP</t>
        </is>
      </c>
      <c r="D137" t="inlineStr">
        <is>
          <t>linkedin</t>
        </is>
      </c>
      <c r="E137" t="inlineStr"/>
      <c r="F137" t="inlineStr"/>
      <c r="G137" t="inlineStr">
        <is>
          <t>Danbury, CT</t>
        </is>
      </c>
      <c r="H137" t="inlineStr"/>
      <c r="I137" t="inlineStr">
        <is>
          <t>ARKA Group L.P. is an advanced technologies company serving the U.S. military, intelligence community, and commercial space industry delivering next\-generation solutions to support the national security space domain. ARKA has a 60\-year legacy reaching back to the very beginning of our country’s space endeavors. We’re a legacy of mission excellence built on ground\-breaking technologies.
 Join the ARKA mission and discover your next career opportunity now!
**Position Overview**
 Our space portfolio develops and provides high reliability electronics, sensors and data processing products that protect the warfighter, provide the nation’s decision and policy maker’s essential information for strategic and tactical planning and policy operations.
 At ARKA Group's Danbury Mission Technologies, the Program Manager is responsible for management of sophisticated Space programs to include successful delivery in accordance with cost, schedule, quality and technical performance requirements as governed by internal requirements and contractual flow\-downs. The program manager leads the integrated product team to deliver a product of the highest quality and reliability. The program manager is the primary interface with the customer ensuring mission success.
**Responsibilities**
* Planning, direction, and control to meet cost, schedule, and performance goals throughout the program life cycle
* Effective management of a large size Integrated Product Team, resource planning, and financial execution
* Able to recognize and act on new business development opportunities
* Management, oversight and coaching to all direct program Cost Account Managers (CAMs)
* Working with other functional department leaders, defining, prioritizing, and developing program requirements and execution plans
* Managing and directing root cause and corrective efforts and failure review boards
* Responsible for all activities associated with large proposal preparation, proposal team performance, execution and OTD
* Lead monthly program reviews that identify EAC (estimate at completion) sustainment, financial and schedule performance, risk management burn down, root\-cause and corrective action as well and continuous improvement
* Enforcing all processes for identifying, assessing, monitoring and mitigating risk throughout the program life cycle
* Understanding and implementing lean process improvement principles
* Interfacing with the Senior Leadership Team, General Management and external customers
* Supporting business development and portfolio managers to enhance sales and provide future opportunities for existing customers and solutions for new customers
**Basic Qualifications**
* Bachelor's of science degree in engineering, finance or business management
* 10\+ years of experience in the department of defense (DoD) and space industry
* 5 \- 7 years direct Program Manager experience in managing NRE program development, hardware assembly, integration, and testing related to defense and space projects
* Significant experience throughout the program lifecycle from development through sustainment to include proposal development, requirements decomposition, generation of system and subsystem statements of work (SOW) and subcontracts, risk management, and continuous improvement efforts including implementation for cost reduction and performance improvement efforts
* Experience with Earned Value Management (EVM), cost accounting and reporting; experience with metrics for assessing and reporting program progress, productivity and variance analysis
* Knowledge of finance, contracts, Bill of Materials (BoM)/pricing, export regulations, engineering, logistics, manufacturing and supply chain management
* High level of interpersonal skills and the ability to communicate with senior management
* Excellent program and time management skills are essential
* Solid understanding of Space Program Management logistics, technical data, and associated deliverables
* Active U.S. Government Security Clearance (we will consider candidates who have been debriefed within the past 24 months and who are able to be crossed over within 3 months).
**Preferred Qualifications**
* Advanced degree
**Location: Danbury, CT**
 The position is located onsite at our facility in
 **Danbury, CT** 
 . Located in beautiful Fairfield County, Danbury offers a diverse economy, wonderful parks, cultural attractions, an impressive mix of private and public educational institutions and a vibrant arts scene. Our facility is nestled among a remarkable selection of communities to call home all with varying price points to fit many different budgets. We’re close to New York City, Boston, and other major cities – great for day trips and weekend getaways. Our lovely seasons along with award\-winning institutions, colleges, cultural events, and a genuine sense of community brings a diverse population to the beautiful state of Connecticut!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Continuing education benefit for approved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Secret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38">
      <c r="A138" t="inlineStr">
        <is>
          <t>li-4359244476</t>
        </is>
      </c>
      <c r="B138" t="inlineStr">
        <is>
          <t>Program Manager - Satellite &amp; Ground Systems</t>
        </is>
      </c>
      <c r="C138" t="inlineStr">
        <is>
          <t>T2S Solutions</t>
        </is>
      </c>
      <c r="D138" t="inlineStr">
        <is>
          <t>linkedin</t>
        </is>
      </c>
      <c r="E138" t="inlineStr"/>
      <c r="F138" t="inlineStr"/>
      <c r="G138" t="inlineStr">
        <is>
          <t>Huntsville, AL</t>
        </is>
      </c>
      <c r="H138" t="inlineStr"/>
      <c r="I138" t="inlineStr">
        <is>
          <t>**Location:** 
 Huntsville, AL
**Facility:** 
 On\-Site
**Security Clearance:** 
 Active TS Required
**Travel:** 
 30%
**Summary**
**T2S Solutions** 
 is seeking an experienced
 **Program Manager** 
 to lead and coordinate a complex, multi\-disciplinary satellite and ground systems program. This role serves as the central integrator across spacecraft, payloads, ground infrastructure, RF systems, software (C2, scheduling, deconfliction), operations centers, and international field deployments. The Program Manager is accountable for cost, schedule, performance, and risk across the full program lifecycle, from design and development through deployment and sustained operations. The Program Manager is also responsible for day\-to\-day interaction with across all T2S business units, government program offices and commercial partners to ensure successful program development and advocacy with the Department of War and Intelligence Community.
**Key Responsibilities**
**Program Leadership \&amp; Integration**
* Own end\-to\-end program execution, integrating activities across engineering, operations, and external partners
* Serve as the primary point of accountability for schedule, cost, scope, and performance
* Coordinate dependencies between space, ground, payload, RF, software, and operations teams
* Lead program planning, execution, and lifecycle management from concept through steady\-state operations
* Lead government program office interaction and advocacy
**Schedule, Cost, \&amp; Risk Management**
* Develop and maintain integrated master schedules (IMS) covering development, integration, test, deployment, and operations
* Manage program budgets, forecasts, and resource allocation
* Identify, track, and mitigate technical, schedule, cost, and operational risks
* Drive trade studies and prioritization decisions to balance performance, cost, and schedule
**Technical \&amp; Operational Coordination**
* Partner closely with systems engineering leadership to ensure technical coherence and requirements traceability
* Ensure alignment between software development (C2, scheduling, deconfliction) and operational readiness
* Coordinate ground system deployments, antenna farm readiness, and international site updates
* Oversee readiness for key milestones including SRR, PDR, CDR, TRR, launch readiness, and operational acceptance
**Stakeholder \&amp; Partner Management**
* Act as primary interface to customers, government stakeholders, and external partners
* Coordinate with vendors and subcontractors delivering hardware, software, and services
* Prepare and present program status, risks, and recommendations to senior leadership and stakeholders
**Operations \&amp; Sustainment Oversight**
* Support transition from development to 24/7 operations, including staffing, training, and process maturity
* Ensure long\-term maintainability, scalability, and operational resilience of space and ground systems
* Drive continuous improvement across program execution and operations
**Required Qualifications**
* Bachelors degree in Engineering, Program Management, or a related field and 10\-20 years of experience managing complex technical programs in aerospace, space, defense, or similar high\-reliability domains
* Proven experience managing multi\-disciplinary engineering programs spanning hardware, software, and operations
* Strong understanding of satellite systems, ground systems, RF, and mission operations
* Demonstrated ability to manage budgets, schedules, and risk in technically complex environments
* Excellent leadership, communication, and stakeholder management skills
* Active Top Secret security clearance is required
**Preferred Qualifications**
* Experience managing end\-to\-end satellite programs including spacecraft, payloads, ground infrastructure, and operations
* Familiarity with mission planning, scheduling, payload C2, and deconfliction concepts
* Experience with international deployments and coordination across global teams
* Background in government or commercial space programs
* PMP or equivalent certification (preferred but not required)
**What We Offer**
* Ownership of a high\-impact, mission\-critical satellite program
* Authority to shape technical, operational, and execution strategy
* Collaboration with experienced engineering and operations teams
* Competitive compensation and comprehensive benefits
**T2S Solutions is an Equal Opportunity Employer/Protected Veteran/Disability**</t>
        </is>
      </c>
    </row>
    <row r="139">
      <c r="A139" t="inlineStr">
        <is>
          <t>li-4285292142</t>
        </is>
      </c>
      <c r="B139" t="inlineStr">
        <is>
          <t>Ecological Construction &amp; Restoration Program Manager</t>
        </is>
      </c>
      <c r="C139" t="inlineStr">
        <is>
          <t>LaBella Associates</t>
        </is>
      </c>
      <c r="D139" t="inlineStr">
        <is>
          <t>linkedin</t>
        </is>
      </c>
      <c r="E139" t="inlineStr"/>
      <c r="F139" t="inlineStr"/>
      <c r="G139" t="inlineStr">
        <is>
          <t>Buffalo, NY</t>
        </is>
      </c>
      <c r="H139" t="inlineStr"/>
      <c r="I139" t="inlineStr">
        <is>
          <t>We are currently seeking a Program Manager for our growing Ecological Construction \&amp; Restoration Program in New York State. The successful candidate must have experience managing ecological construction projects such as wetland construction/rehabilitation, stream and shoreline restoration, invasive species control, habitat creation/restoration, native planting and seeding, and green infrastructure projects.
 This is an opportunity to take a fledgling program and expand it in scope and geography to assist our partners in building hazard resiliency and aid in environmental restoration and conservation. We are looking for someone who is experienced, mission\-driven and excited to develop and implement a vision with our team.
 This position may be based out of our Rochester, Buffalo, Syracuse, or Ballston Spa offices.
**Duties** 
* Oversee ecological construction operations throughout the Northeastern US with current focus in New York State
* Estimating and proposal preparation
* Business development activities including but not limited to attending conferences, networking events and other tasks designed to grow this business sector
* Project management, including tracking project budgets, client interaction, scheduling staff and equipment, reviewing deliverables, interacting with agency representatives, etc
* Supervision and mentoring of junior staff
* Establishing and maintaining relationships with public agencies, regulators, private developers, consulting and engineering firms and non\-profits to further business development goals
* Program budgeting and strategic planning
**Requirements**
* A Bachelor's degree in environmental science, natural resources, ecology, geography or related field
* Experience: 12\-20 years of experience with a minimum of 10 years progressive experience in the industry
* Strong written and verbal communication skills
* Well versed in relevant NY State and Federal regulations
* Experience leading and mentoring junior staff
* Demonstrated ability to pursue, establish and maintain client business relationships
 Preferred Qualifications:
* OSHA 30 Hour Construction Safety Training
* Certified Ecological Restoration Practitioner (CERP) or Professional Wetland Scientist (PWS) certification a plus
 Salary Range: $90,000 \- $135,000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o   Flexible Work Schedule
 o   Health/Dental Insurance
 o   401k Plan with Employer Match
 o   Short \&amp; Long Term Disability
 o   Profit Sharing
 o   Paid Time Off
 o   Leadership Development Program
 o   Fitness Reimbursement
 o   Tuition Reimbursement
 o   Referral Bonus Program
 o   Wellness Program
 o   Team Building Events
 o   Community Service Events</t>
        </is>
      </c>
    </row>
    <row r="140">
      <c r="A140" t="inlineStr">
        <is>
          <t>li-4368354390</t>
        </is>
      </c>
      <c r="B140" t="inlineStr">
        <is>
          <t>Epic Program Manager-Inpatient Clinical Systems</t>
        </is>
      </c>
      <c r="C140" t="inlineStr">
        <is>
          <t>Westchester Medical Center Health Network</t>
        </is>
      </c>
      <c r="D140" t="inlineStr">
        <is>
          <t>linkedin</t>
        </is>
      </c>
      <c r="E140" t="inlineStr"/>
      <c r="F140" t="inlineStr"/>
      <c r="G140" t="inlineStr">
        <is>
          <t>Valhalla, NY</t>
        </is>
      </c>
      <c r="H140" t="inlineStr"/>
      <c r="I140" t="inlineStr">
        <is>
          <t>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 and operational leaders from affiliated institutions. Responsibilities:\# Maintains the organization\#s effectiveness and efficiency by defining, delivering, and supporting strategic plans for implementing new and innovative information technologies. Provides technical leadership to ensure the best development practices, user experience standards and security implementation strategies are followed. Advises and recommends state\-of\-the\-art enterprise architecture strategies, processes and methodologies. Apply strategic thinking to IT service management. The ultimate goal is to design, develop, and implement service management as both an organizational capability and a strategic asset. Provides overall direction and guidance, coordinates schedules and related project activities to ensure the work and documentation meet appropriate department/service line standards. Collaborates with users and other IT departments to develop strategy and goals for the team and department.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Defines and implements programming goals such as reuse and adaptability. Leads the team to gather and analyze business requirements, manage design, implementation and testing of applications. Presents product specifications and delivery schedule clearly and concisely to individuals at all levels of an organization, including to executive management. Strategically collaborates with cross\-functional teams, including development and vendor resources, to solve problems effectively and quickly to deliver product. Manages competing priorities to keep the team on track to deliver high quality solutions. Performs all duties inherent to a managerial role. Participates in hiring, training, evaluation and termination of assigned staff according to hospital policies and procedures. Evaluates employee performance. Responsible for timekeeping of direct reports. Train and/or supervise training of users and other staff in current and new aspects of system functionality. Participate in go\-lives and support. Participate in On\-Call support.\# Accountable and responsible for supporting business critical applications and systems that operate 24/7/365\. Performs other special projects and duties as assigned. Qualifications/Requirements: Experience: 5\#7 years of experience as a Technical Manager or Technical Project Management, required Education: \# Bachelor\#s degree in Computer Science or related field required. Master\#s degree, preferred Licenses / Certifications: \# EPIC Module Certification in job\-related module(s) is required to be obtained within 6 months and renewed quadrennial PMP certification, preferred ITIL certirfication, preferred Microsoft or other technology industry certifications, preferred Other: Ability to work in surroundings with a degree of dust, noise, odors, etc. without undue discomfort. Ability to hear, talk, walk, stand, bend and stretch. Ability to read, write and interpret documents. Ability to sit for long periods of time at a desk to perform job functions. Ability to communicate effectively with clients and co\-workers. May be exposed to mechanical/electrical/radiant/explosive/burn and chemical hazards. May be required to handle, dispose of and/or identify hazardous waste and hazardous materials. May be required to operate and clean equipment. May be required to work both indoors and outdoors under extreme temperatures. May be required to handle reasonably heavy weights across distances. May be required to operate heavy vehicles. Must be trained in and knowledgeable of all hospital policies and procedures pertaining to hazardous waste and hazardous materials and maintain qualifications applicable to assigned work. Special Requirements: Compliant with Change Control policies, familiar with ticketing systems, ability to manage communications associated with project roll\-outs.\# Excellent written and verbal communications skills. Excellent Organizational and Analytical Skills Compliant with Change Control policies, familiar with ticketing systems, ability to manage communications associated with project roll\-outs.\# Experience with IT architecture planning, software development methodologies and large\-scale integrated web systems implementations and upgrades in an enterprise environment. Deep and broad understanding of web and mobile technologies, such as Reporting/BI tools, Microsoft.NET, SharePoint 2013\. Knowledge of Service\-Oriented Architecture (SOA), Web services, principles, and patterns at an enterprise\-level as it relates to complex web and mobile applications. Comfortable leading a team using Agile SCRUM software development methodology. Ability to conceptualize, plan, and implement projects as well as interact effectively with applications in complex problem situations. Experience with selecting and managing external software vendors. Applications: Tableau; Statistical Application Fluency (SAS, SPSS, Python ML, Scala, Spark ML, etc.)</t>
        </is>
      </c>
    </row>
    <row r="141">
      <c r="A141" t="inlineStr">
        <is>
          <t>li-4368361360</t>
        </is>
      </c>
      <c r="B141" t="inlineStr">
        <is>
          <t>Epic Program Manager-Inpatient Clinical Systems</t>
        </is>
      </c>
      <c r="C141" t="inlineStr">
        <is>
          <t>Westchester Medical Center Health Network</t>
        </is>
      </c>
      <c r="D141" t="inlineStr">
        <is>
          <t>linkedin</t>
        </is>
      </c>
      <c r="E141" t="inlineStr"/>
      <c r="F141" t="inlineStr"/>
      <c r="G141" t="inlineStr">
        <is>
          <t>Valhalla, NY</t>
        </is>
      </c>
      <c r="H141" t="inlineStr"/>
      <c r="I141" t="inlineStr">
        <is>
          <t>Job Summary: The\#Program Manager, Information Technology \# Epic,\#provides technical and operational leadership for the implementation of enterprise Epic systems. The individual will be part of a consortium team with colleagues at affiliated institutions, consisting of clinicians, project managers, analysts, and\#developers with module\-specific domain expertise. This position works closely with clinical and business leadership and leads a multidisciplinary team in the design, implementation, workflow optimization, change management, and issue resolution related to the enterprise system. This position requires broad knowledge of clinical systems such as the Epic platform, along with clinical workflow and business processes. As a Program Manager for the Enterprise Epic initiative, this individual will collaborate with appropriate technical and operational leaders from affiliated institutions. Responsibilities:\# Maintains the organization\#s effectiveness and efficiency by defining, delivering, and supporting strategic plans for implementing new and innovative information technologies. Provides technical leadership to ensure the best development practices, user experience standards and security implementation strategies are followed. Advises and recommends state\-of\-the\-art enterprise architecture strategies, processes and methodologies. Apply strategic thinking to IT service management. The ultimate goal is to design, develop, and implement service management as both an organizational capability and a strategic asset. Provides overall direction and guidance, coordinates schedules and related project activities to ensure the work and documentation meet appropriate department/service line standards. Collaborates with users and other IT departments to develop strategy and goals for the team and department. Participates in key user committees to identify business requirements and recommend solutions which conform to organizational goals and regulatory guidelines. Develop innovative approaches for dealing with customer needs that are also aligned with overall information services goals and objectives. Defines and implements programming goals such as reuse and adaptability. Leads the team to gather and analyze business requirements, manage design, implementation and testing of applications. Presents product specifications and delivery schedule clearly and concisely to individuals at all levels of an organization, including to executive management. Strategically collaborates with cross\-functional teams, including development and vendor resources, to solve problems effectively and quickly to deliver product. Manages competing priorities to keep the team on track to deliver high quality solutions. Performs all duties inherent to a managerial role. Participates in hiring, training, evaluation and termination of assigned staff according to hospital policies and procedures. Evaluates employee performance. Responsible for timekeeping of direct reports. Train and/or supervise training of users and other staff in current and new aspects of system functionality. Participate in go\-lives and support. Participate in On\-Call support.\# Accountable and responsible for supporting business critical applications and systems that operate 24/7/365\. Performs other special projects and duties as assigned. Qualifications/Requirements: Experience: 5\#7 years of experience as a Technical Manager or Technical Project Management, required Education: \# Bachelor\#s degree in Computer Science or related field required. Master\#s degree, preferred Licenses / Certifications: \# EPIC Module Certification in job\-related module(s) is required to be obtained within 6 months and renewed quadrennial PMP certification, preferred ITIL certirfication, preferred Microsoft or other technology industry certifications, preferred Other: Ability to work in surroundings with a degree of dust, noise, odors, etc. without undue discomfort. Ability to hear, talk, walk, stand, bend and stretch. Ability to read, write and interpret documents. Ability to sit for long periods of time at a desk to perform job functions. Ability to communicate effectively with clients and co\-workers. May be exposed to mechanical/electrical/radiant/explosive/burn and chemical hazards. May be required to handle, dispose of and/or identify hazardous waste and hazardous materials. May be required to operate and clean equipment. May be required to work both indoors and outdoors under extreme temperatures. May be required to handle reasonably heavy weights across distances. May be required to operate heavy vehicles. Must be trained in and knowledgeable of all hospital policies and procedures pertaining to hazardous waste and hazardous materials and maintain qualifications applicable to assigned work. Special Requirements: Compliant with Change Control policies, familiar with ticketing systems, ability to manage communications associated with project roll\-outs.\# Excellent written and verbal communications skills. Excellent Organizational and Analytical Skills Compliant with Change Control policies, familiar with ticketing systems, ability to manage communications associated with project roll\-outs.\# Experience with IT architecture planning, software development methodologies and large\-scale integrated web systems implementations and upgrades in an enterprise environment. Deep and broad understanding of web and mobile technologies, such as Reporting/BI tools, Microsoft.NET, SharePoint 2013\. Knowledge of Service\-Oriented Architecture (SOA), Web services, principles, and patterns at an enterprise\-level as it relates to complex web and mobile applications. Comfortable leading a team using Agile SCRUM software development methodology. Ability to conceptualize, plan, and implement projects as well as interact effectively with applications in complex problem situations. Experience with selecting and managing external software vendors. Applications: Tableau; Statistical Application Fluency (SAS, SPSS, Python ML, Scala, Spark ML, etc.)</t>
        </is>
      </c>
    </row>
    <row r="142">
      <c r="A142" t="inlineStr">
        <is>
          <t>li-4283400743</t>
        </is>
      </c>
      <c r="B142" t="inlineStr">
        <is>
          <t>Ecological Construction &amp; Restoration Program Manager</t>
        </is>
      </c>
      <c r="C142" t="inlineStr">
        <is>
          <t>LaBella Associates</t>
        </is>
      </c>
      <c r="D142" t="inlineStr">
        <is>
          <t>linkedin</t>
        </is>
      </c>
      <c r="E142" t="inlineStr"/>
      <c r="F142" t="inlineStr"/>
      <c r="G142" t="inlineStr">
        <is>
          <t>Syracuse, NY</t>
        </is>
      </c>
      <c r="H142" t="inlineStr"/>
      <c r="I142" t="inlineStr">
        <is>
          <t>We are currently seeking a Program Manager for our growing Ecological Construction \&amp; Restoration Program in New York State. The successful candidate must have experience managing ecological construction projects such as wetland construction/rehabilitation, stream and shoreline restoration, invasive species control, habitat creation/restoration, native planting and seeding, and green infrastructure projects.
 This is an opportunity to take a fledgling program and expand it in scope and geography to assist our partners in building hazard resiliency and aid in environmental restoration and conservation. We are looking for someone who is experienced, mission\-driven and excited to develop and implement a vision with our team.
 This position may be based out of our Rochester, Buffalo, Syracuse, or Ballston Spa offices.
**Duties** 
* Oversee ecological construction operations throughout the Northeastern US with current focus in New York State
* Estimating and proposal preparation
* Business development activities including but not limited to attending conferences, networking events and other tasks designed to grow this business sector
* Project management, including tracking project budgets, client interaction, scheduling staff and equipment, reviewing deliverables, interacting with agency representatives, etc
* Supervision and mentoring of junior staff
* Establishing and maintaining relationships with public agencies, regulators, private developers, consulting and engineering firms and non\-profits to further business development goals
* Program budgeting and strategic planning
**Requirements**
* A Bachelor's degree in environmental science, natural resources, ecology, geography or related field
* Experience: 12\-20 years of experience with a minimum of 10 years progressive experience in the industry
* Strong written and verbal communication skills
* Well versed in relevant NY State and Federal regulations
* Experience leading and mentoring junior staff
* Demonstrated ability to pursue, establish and maintain client business relationships
 Preferred Qualifications:
* OSHA 30 Hour Construction Safety Training
* Certified Ecological Restoration Practitioner (CERP) or Professional Wetland Scientist (PWS) certification a plus
 Salary Range: $90,000 \- $135,000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o   Flexible Work Schedule
 o   Health/Dental Insurance
 o   401k Plan with Employer Match
 o   Short \&amp; Long Term Disability
 o   Profit Sharing
 o   Paid Time Off
 o   Leadership Development Program
 o   Fitness Reimbursement
 o   Tuition Reimbursement
 o   Referral Bonus Program
 o   Wellness Program
 o   Team Building Events
 o   Community Service Events</t>
        </is>
      </c>
    </row>
    <row r="143">
      <c r="A143" t="inlineStr">
        <is>
          <t>li-4368430029</t>
        </is>
      </c>
      <c r="B143" t="inlineStr">
        <is>
          <t>Product Manager, Retail Applications</t>
        </is>
      </c>
      <c r="C143" t="inlineStr">
        <is>
          <t>Vuori</t>
        </is>
      </c>
      <c r="D143" t="inlineStr">
        <is>
          <t>linkedin</t>
        </is>
      </c>
      <c r="E143">
        <f>HYPERLINK("https://www.linkedin.com/jobs/view/4368430029", "https://www.linkedin.com/jobs/view/4368430029")</f>
        <v/>
      </c>
      <c r="F143" t="inlineStr"/>
      <c r="G143" t="inlineStr">
        <is>
          <t>Carlsbad, CA</t>
        </is>
      </c>
      <c r="H143" t="inlineStr"/>
      <c r="I143" t="inlineStr">
        <is>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We are seeking a strategic and results driven Product Manager, Retail Applications to own the vision, strategy, and execution of technology capabilities that drive the best digital experience in our physical stores. This includes the management of store systems operations and enhancements for our existing retail stores, driving emerging retail opportunities such as RFID, Loyalty, Ship from Store, and Buy Online Pickup in stores. This role will build a strong partnership with Retail Operations and Brand teams, to act as the lead for Omni\-related projects. Responsibilities include leading cross\-functional partners to identify opportunities, value work, monitor and control product KPIs and health, communicate \&amp; coordinate with stakeholders, and drive iterative positive change for their product and the business it supports. The role will participate in maintaining and enhancing standard product lifecycle processes for the global POS solution and other retail technology.
 The ideal candidate will be skilled at collaborating cross\-functionally to ensure omni\-initiatives are seamlessly integrated across all customer touchpoints, including eCommerce, retail, and mobile platforms. You will evaluate and adopt emerging technologies to optimize store inventory, improve the in\-store customer experience, and decrease friction points to increase store’s operational performance.
**What you'll get to do:**
*Strategy \&amp; Roadmap*
* Defining product vision and roadmap for omni\-channel retail. This includes both digital and physical within our retail stores.
* Align roadmap with retail performance KPIs: average order value, units per transaction, inventory accuracy, and operational overhead.
* Collaborate with digital product managers and engineering to design, build, and deploy new omni capabilities on eComm and in\-store.
*Platform Capabilities \&amp; Development*
* Lead evaluation, integration, and optimization of POS technology, store inventory management, RFID, and omni technology.
* Drive process improvements globally through increasing inventory accuracy and giving time back to our retail staff by reducing non\-sellable hours to provide incredible customer service.
*Execution \&amp; Delivery*
* Collaborate with engineering to deliver new retail capabilities (e.g., omnichannel loyalty, points accrual across POS/eCom, tiered loyalty models, referral engines), and RFID.
* Partner with data \&amp; analytics to instrument retention dashboards and measure incremental ROI for new retail features.
*Cross\-Functional Leadership*
* Work with Retails Ops, CRM, and Site Merch teams to design loyalty program benefits for our physical retail shoppers.
* Ensure seamless customer experience across eCommerce, retail, and mobile app touchpoints.
*Stakeholder Engagement \&amp; Influence*
* Partner closely with senior leaders in Retail Ops, Retail Field Leadership, Marketing, Analytics, and eComm to define retail technology needs, align priorities, and communicate results.
* Translate complex business questions into technical requirements for engineering.
* Act as a thought partner for all in\-store retail technical and operational problems.
*Innovation \&amp; Supporting New Store Openings*
* Manage the overall new store setup systemic process. Work closely with business and technology partners to ensure the systemic steps are planned and executed in a timely manner. Drive continuous improvement for the new store setup process.
* Create and maintain all product, project and portfolio documentation using Enterprise PMO standard tools, e.g. Jira, Workfront, Microsoft Project, and SharePoint, and ensure all documentation and project artifacts are kept current, complete, and saved in standardized folder locations.
**Qualifications**
**Who you are:**
* Bachelor's degree in business, Marketing, Computer Science, or related field; MBA or equivalent a plus.
* Direct retail store experience a plus.
* 7\+ years in product management, with at least 3\+ years focused on retail, loyalty, inventory management, or lifecycle technologies in D2C.
* Domain Expertise: Strong understanding of retail KPIs, in\-store inventory management, RFID, clienteling, and emerging retail technology.
* Technical Acumen: Hands\-on experience with leading POS implementations (e.g., Shopify, Jumpmind, Oracle Xstore), RFID software platforms, loyalty platforms, and international retail requirements.
* Data\-Driven Mindset: Ability to partner with analytics and data science teams to define instrumentation, build dashboards, and share learnings with business partners.
* Cross\-Functional Leadership: Track record of collaborating with engineering, marketing, and operations to launch customer\-facing experiences at scale.
* Customer\-Centric Approach: Deep empathy for customer journeys, with proven ability to design seamless omnichannel experiences across eCommerce, retail, and mobile.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$155,000 per year \- $185,000 per year. This role is bonus eligible.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row>
    <row r="144">
      <c r="A144" t="inlineStr">
        <is>
          <t>li-4368408284</t>
        </is>
      </c>
      <c r="B144" t="inlineStr">
        <is>
          <t>Product Manager</t>
        </is>
      </c>
      <c r="C144" t="inlineStr">
        <is>
          <t>Patch.com</t>
        </is>
      </c>
      <c r="D144" t="inlineStr">
        <is>
          <t>linkedin</t>
        </is>
      </c>
      <c r="E144">
        <f>HYPERLINK("https://www.linkedin.com/jobs/view/4368408284", "https://www.linkedin.com/jobs/view/4368408284")</f>
        <v/>
      </c>
      <c r="F144" t="inlineStr"/>
      <c r="G144" t="inlineStr">
        <is>
          <t>New York, NY</t>
        </is>
      </c>
      <c r="H144" t="inlineStr"/>
      <c r="I144" t="inlineStr">
        <is>
          <t>**About Patch** 
 Patch is the leading hyperlocal news platform, serving communities across the United States with trusted journalism and essential local information. We are building the most effective way for local businesses and organizations to connect with their communities—through our network of newsletters, websites, and platform products. We also serve local small business customers with a portfolio of self\-serve marketing tools to help them grow their businesses.
 We are seeking a Product Manager who can accelerate our product execution and ensure fast, consistent delivery across a lean, high\-velocity team.
**The Role** 
 We’re looking for a decisive, action\-oriented Product Manager who thrives on building, shipping, and improving products in rapid cycles. You will work directly with Patch’s Head of Product and operate as a force multiplier — owning the operational, execution\-heavy parts of the product function so strategic initiatives can move forward.
 This role is designed for someone who loves the work itself: writing clear JIRA tickets, refining requirements, defining acceptance criteria, coordinating with engineering, QAing releases, managing product operations, and ensuring features move from idea → spec → build → launch → iteration without friction.
 You should be energized by business outcomes, not just output. You’ll use data to validate assumptions, spot patterns, and refine features quickly after launch. Familiarity with Jobs To Be Done is a plus; a genuine customer\-obsessed mindset is essential.
 This is not a senior strategy role. It is a builder role for someone who wants ownership, momentum, constant throughput, and the satisfaction of seeing features ship weekly inside a scrappy, fast\-moving environment.
**Responsibilities** 
**Product Execution** 
* Translate concepts, problems, and rough direction into structured product specs and developer\-ready JIRA tickets.
* Define clear acceptance criteria, user flows, and edge cases for every feature.
* Run point on end\-to\-end feature delivery—shepherding work across design, engineering, QA, and launch.
* Validate work in staging, perform QA test plans, and ensure production releases are clean and complete.
* Break large initiatives into small, shippable increments that maintain velocity.
**Product Operations \&amp; Delivery** 
* Own the day\-to\-day operations of the product development cycle.
* Maintain JIRA hygiene, sprint readiness, backlog organization, ticket prioritization, and documentation.
* Track progress, resolve blockers, and proactively ensure features keep moving.
* Facilitate handoff and communication between engineering and cross\-functional partners.
* Monitor post\-launch behavior and initiate immediate refinements when needed.
**Quality, Analysis \&amp; Rapid Iteration** 
* Define lightweight success metrics for launches and gather early signals using available data.
* Conduct basic analysis using internal tools to validate functionality and identify next steps.
* Quickly propose improvements and follow up with fast, iterative updates.
* Flag issues, bugs, or UX friction with structured recommendations.
**Cross\-Functional Collaboration** 
* Work closely with Engineering to maintain predictable workflows and resolve ambiguity.
* Support Editorial, Sales, Support, and Marketing with product questions, use cases, and rollout plans.
* Share updates and timelines clearly across the organization.
* Manage small cross\-functional initiatives that require coordination outside Engineering.
**Qualifications** 
* 2–4\+ years of experience in Product Management or Product Operations roles.
* Experience writing JIRA tickets, defining requirements, and collaborating closely with engineering teams in an agile environment.
* Strong ability to turn loose direction into structured plans and shipped product.
* Comfortable operating with speed, autonomy, and minimal oversight.
* Excellent organization and communication skills; consistently keeps work unblocked.
* Action\-biased, detail\-oriented, and energized by building and shipping frequently.
* Experience in lean, startup\-style environments a plus.
* Familiarity with analytics tools (GA, Looker internal dashboards) helpful but not required.
 ﻿
**Compensation and Benefits** 
* Competitive compensation and benefits
* Salary range $70,000 \- $85,000 USD \+ performance\-based bonus
*Patch Media is an equal opportunity employer. We do not discriminate on the basis of race, color, religion, national origin, citizenship, age, disability, sex, marital status, veteran status, sexual orientation, genetic information, or any other characteristic protected by applicable law. Our commitment to equality extends to all aspects of employment, including recruitment, hiring, placement, promotion, training, compensation, benefits, and general treatment.*</t>
        </is>
      </c>
    </row>
    <row r="145">
      <c r="A145" t="inlineStr">
        <is>
          <t>li-4368373365</t>
        </is>
      </c>
      <c r="B145" t="inlineStr">
        <is>
          <t>Senior Product Manager (Remote)</t>
        </is>
      </c>
      <c r="C145" t="inlineStr">
        <is>
          <t>Experian</t>
        </is>
      </c>
      <c r="D145" t="inlineStr">
        <is>
          <t>linkedin</t>
        </is>
      </c>
      <c r="E145">
        <f>HYPERLINK("https://www.linkedin.com/jobs/view/4368373365", "https://www.linkedin.com/jobs/view/4368373365")</f>
        <v/>
      </c>
      <c r="F145" t="inlineStr"/>
      <c r="G145" t="inlineStr"/>
      <c r="H145" t="inlineStr"/>
      <c r="I145"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Software Solutions (ESS) primary objective is dedicated to capitalizing on Experian's unparalleled data assets through an innovative, market\-leading portfolio of world\-class software focused on Analytics, Credit Marketing, Decisioning, and Fraud use cases.
 We are seeking a collaborative Senior Product Manager to support the expansion of our Global Analytics product portfolio. You will play a critical part in enabling scalable, efficient model development and AI capabilities across initiatives. You will work with your peers and other cross\-functional teams across the globe to deliver impactful solutions that support data science workflows and enterprise\-wide innovation.
 You will report to the Product Management Senior Director.
**You'll Have The Opportunity To**
* Define and execute long\-term product roadmap, aligning with global strategy, for model development tools which include Global Ascend Sandbox, Feature Factory, Experian Assistant, and product management support for Analytical Services.
* Collaborate with global technology and regional product teams to build and launch Analytics capabilities.
* Articulate near and long\-term strategy and roadmap to senior internal and external stakeholders with the ability to show the bigger picture.
* Gather input from internal stakeholders and end users to define clear, actionable product requirements for development teams that support scalable model development and analytics enablement.
* Collaborate with our regions to identify and operationalize key customer value pools, product areas, and geographic regions that offer the greatest potential for impact.
* Act as a liaison between technical and non\-technical teams, ensuring transparency, alignment, and updates on progress, risks, and dependencies.
* Analyze established key metrics to determine the overall health of the product, mitigate external and internal risks, and utilize insights to bring changes to product roadmaps.
* Streamline product processes to enhance efficiency, reduce time\-to\-market, and ensure high\-quality standards.
* Help improve product development processes, documentation standards, and team collaboration practices to drive efficiency and quality.
**Qualifications**
**Your background:**
* 7\+ years of Product Management experience, including at least 2 years in a Senior Product Manager role, preferably in data, analytics, or platform\-focused environments working through end\-to\-end product lifecycle.
* Bachelor's degree in computer science, Engineering, Data Science, or a related field.
* Strong understanding of model development workflows and data science tools.
* Experience launching successful products, working with globally distributed teams and managing cross\-time zone collaboration.
* Experience in Agile delivery/development methodologies.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
 This is a remote position.</t>
        </is>
      </c>
    </row>
    <row r="146">
      <c r="A146" t="inlineStr">
        <is>
          <t>li-4368045836</t>
        </is>
      </c>
      <c r="B146" t="inlineStr">
        <is>
          <t>Sr. Product Manager - Marketplace</t>
        </is>
      </c>
      <c r="C146" t="inlineStr">
        <is>
          <t>Storable</t>
        </is>
      </c>
      <c r="D146" t="inlineStr">
        <is>
          <t>linkedin</t>
        </is>
      </c>
      <c r="E146">
        <f>HYPERLINK("https://www.linkedin.com/jobs/view/4368045836", "https://www.linkedin.com/jobs/view/4368045836")</f>
        <v/>
      </c>
      <c r="F146" t="inlineStr"/>
      <c r="G146" t="inlineStr"/>
      <c r="H146" t="inlineStr"/>
      <c r="I146" t="inlineStr">
        <is>
          <t>**Senior Product Manager \- Marketplace**
 Storable is looking for a
 **Senior Product Manager** 
 to deliver against Storable’s Marketplace product roadmap supporting its customer acquisition and growth strategy. This role requires a visionary leader with a strong technical understanding, proven experience in two\-sided marketplace product management, and the ability to collaborate effectively with cross\-functional teams to deliver innovative and scalable solutions. The Sr. Product Manager will lead all phases of the product lifecycle, from inception to introduction and ongoing management, ensuring the demand\-side platform meets the evolving needs of the business. This role will be instrumental in maturing our demand\-side platform capabilities and tool set, fostering innovation, and ensuring that our products and services are built on a strong, reliable, and future\-proof foundation. 
**What you’ll do:** 
* Define and communicate the demand\-side platform vision and strategy in alignment with the overall business objectives and customer needs. This includes maintaining a clear and comprehensive platform roadmap for the short and long term supporting the demand\-side of Storable’s marketplace properties (Sparefoot.com. Storage.com and Selfstorage.com).
* Lead all phases of the platform product lifecycle, from conception and development to launch and ongoing management, ensuring successful outcomes.
* Adopt a “general manager” mindset and drive the business forward.
* Develop a deep understanding of customer needs, technology solutions, and dependencies to define best\-in\-class platform experiences, including those in search engine optimization, landing page optimization, funnel optimization and leakage, online rentals and move\-in, and conversion rate optimization strategies.
* Collaborate with stakeholders across various functions, including engineering, design, marketing, sales, and business development, to understand key objectives and drive alignment on the platform roadmap and priorities.
* Represent the customer by conducting consumer research, gathering feedback and insights, and bringing the customer's voice into the platform development process.
* Make prioritization decisions for platform features and initiatives based on customer needs, business value, technical feasibility, and resource constraints.
* Spend considerable time looking at customer behavior metrics from our tools and comparable experiences elsewhere. You will use that insight to validate the right direction for the product.
* Conduct market research and stay up to speed on the two\-sided marketplace industry to identify new products and potential revenue streams.
* In collaboration with Product Operation resources, ensure smooth rollout with maximum transparency across the organization
* Communicate company\-wide why you are making certain improvements, what you hope to learn from them, and how they fit into your overall strategy.
* Provide regular updates on projected milestones, progress, and results.
* Work closely with a product owner to identify opportunities and build a roadmap that strikes the right balance between business and customer value.
* Objectively measure and broadly communicate the impact of the strategic bets and delivered work.
**What you’ll need:** 
* A Bachelor's degree in a technical field (e.g., Computer Science, Engineering) or equivalent practical experience.
* Minimum of 8\-10 years of overall professional experience, with at least 6\-8 years in direct product management experience, ideally focused on two\-sided marketplaces.
* Proven experience overseeing all elements of the product development lifecycle, preferably for complex technology platforms.
* Strong business and technical acumen with the ability to go from conception to go to market.
* Demonstrated success in defining and launching successful platform products. ● Experience working in an Agile development environment.
* Strong analytical skills and a track record of using qualitative and quantitative data to prioritize and drive decision\-making.
* Excellent communication and presentation skills (oral and written), with the ability to effectively communicate with technical and non\-technical audiences, including executives.
* Proven ability to influence and lead cross\-functional teams without direct authority.
* Strong strategic thinking and problem\-solving skills with the ability to translate business needs into technical solutions.
* Experience in managing product roadmaps, prioritizing features, and making strategic trade\-offs.
* Ability to build strong relationships with internal and external stakeholders.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$140,000 USD \- $190,000 USD</t>
        </is>
      </c>
    </row>
    <row r="147">
      <c r="A147" t="inlineStr">
        <is>
          <t>li-4357435260</t>
        </is>
      </c>
      <c r="B147" t="inlineStr">
        <is>
          <t>Senior Product Manager</t>
        </is>
      </c>
      <c r="C147" t="inlineStr">
        <is>
          <t>STUDSON</t>
        </is>
      </c>
      <c r="D147" t="inlineStr">
        <is>
          <t>linkedin</t>
        </is>
      </c>
      <c r="E147">
        <f>HYPERLINK("https://www.linkedin.com/jobs/view/4357435260", "https://www.linkedin.com/jobs/view/4357435260")</f>
        <v/>
      </c>
      <c r="F147" t="inlineStr"/>
      <c r="G147" t="inlineStr">
        <is>
          <t>Portland, Oregon Metropolitan Area</t>
        </is>
      </c>
      <c r="H147" t="inlineStr"/>
      <c r="I147" t="inlineStr">
        <is>
          <t>**YOUR MISSION** 
 We’re looking for a strategic and customer\-focused Senior Product Manager to define, build, and grow innovative product solutions that align with company goals and market needs. In this role, you will own the product vision, collaborate cross\-functionally with engineering, design, marketing, and sales teams, and drive product success from concept through launch and beyond.
 You will act as the voice of the customer, balancing business objectives with technical feasibility while delivering high\-quality, impactful products. The ideal candidate is analytical, creative, data\-driven, and thrives in a fast\-paced, collaborative environment.
**WHAT YOU’LL DO** 
**Product Strategy \&amp; Vision:** 
* Define and maintain a clear product vision aligned with company objectives and customer needs.
* Translate strategic goals into actionable product plans.
 Stakeholder Collaboration:
* Work closely with engineering, design, marketing, sales, and operations teams to ensure cross\-functional alignment.
* Communicate product strategy, timelines, and priorities effectively.
 Customer \&amp; Market Research:
* Conduct customer interviews, surveys, and feedback sessions to understand needs and pain points.
* Monitor market trends, competitor products, and emerging opportunities.
 Roadmap \&amp; Backlog Management:
* Develop, own, and manage the product roadmap.
* Prioritize and refine the product backlog based on business value and technical constraints.
 Requirements \&amp; Documentation:
* Write clear, detailed product requirements and user stories.
* Ensure development teams have the information needed to execute efficiently.
 Product Development Oversight:
* Partner with engineering teams to drive timely, high\-quality product delivery.
* Participate in sprint planning, reviews, and retrospectives.
 Go\-to\-Market Execution:
* Lead go\-to\-market planning and product launches with marketing and sales teams.
* Support product adoption through training, documentation, and sales enablement.
 Risk Management:
* Identify product delivery and market risks.
* Develop and implement mitigation strategies.
 Innovation \&amp; Continuous Improvement:
* Propose and implement innovative ideas to improve products and processes.
* Leverage data and feedback to drive continuous improvement.
**WHAT YOU’LL BRING** 
* 5\+ years prior experience in product management, product ownership, or a related role.
* Bachelor’s degree in Business, Computer Science, Engineering, Marketing, or a related field.
* Strong analytical, problem\-solving, and strategic thinking skills.
* Exceptional communication and stakeholder management abilities.
* Ability to translate complex business needs into clear technical requirements.
* Customer\-first mindset with strong market awareness.
* Demonstrated ability to manage multiple priorities and meet deadlines.
 This is a FULL\-TIME role that comes with a competitive salary and comprehensive benefits. This role reports on\-site to company headquarters in Sherwood, OR.
 Please note: The information outlined in this job description is intended to give a general overview of the tasks and responsibilities associated with this position. It is not exhaustive and may be subject to change.</t>
        </is>
      </c>
    </row>
    <row r="148">
      <c r="A148" t="inlineStr">
        <is>
          <t>li-4368408391</t>
        </is>
      </c>
      <c r="B148" t="inlineStr">
        <is>
          <t>Product Manager payments</t>
        </is>
      </c>
      <c r="C148" t="inlineStr">
        <is>
          <t>Acumatica</t>
        </is>
      </c>
      <c r="D148" t="inlineStr">
        <is>
          <t>linkedin</t>
        </is>
      </c>
      <c r="E148">
        <f>HYPERLINK("https://www.linkedin.com/jobs/view/4368408391", "https://www.linkedin.com/jobs/view/4368408391")</f>
        <v/>
      </c>
      <c r="F148" t="inlineStr"/>
      <c r="G148" t="inlineStr">
        <is>
          <t>Reston, VA</t>
        </is>
      </c>
      <c r="H148" t="inlineStr"/>
      <c r="I148" t="inlineStr">
        <is>
          <t>Acumatica is a company on a mission. We are a leading innovator in cloud ERP (Enterprise Resource Planning) solutions with growing businesses worldwide. But don’t take our word for it—read what analysts like G2, IDC, Nucleus Research, and Info\-Tech have to say about us. Acumatica is different by design and purposely built to help small and midsized companies thrive in today’s digital economy. Our industry\-specific business management solution is engineered to address real\-world needs—featuring intelligent workflows and market\-leading usability that enable companies to manage risk, anticipate disruption, and seize new opportunities. Our principled business practices, growth\-friendly licensing, and flexible deployment options put organizations in control of their own future. Acumatica is more than just a product—we are a community of partners, customers, and creators committed to elevating business performance. Our ecosystem is driven by collaboration, merging leading technology and real\-world insights to put organizations control of their future. In May of 2025, Acumatica was acquired by Vista Equity Partners, a global investment firm focused on enterprise software, data and technology\-enabled businesses.
 Acumatica’s culture is collaborative and high\-energy. We are passionate about our product and our mission, and we are loyal to each other and our company. We value work/life balance, efficiency, simplicity, freakishly friendly customer service, and making a difference in the world. Acumatica offers exceptional professional and financial growth potential. To learn more about Acumatica’s mission, please visit: http://www.acumatica.com.
**Job Description**
 Acumatica is hiring a
 **Product Manager** 
 for our payments team. You'll be joining a collaborative team focused on tackling some of the most complex product challenges in the embedded payments space. As our new Product Manager, you'll be responsible for accelerating growth, with a particular focus on Integrated receivables.
 This role involves a high degree of cross\-collaboration, so you'll regularly engage with teams like Compliance, Risk, Accounting, Finance, Operations, Engineering, and DevOps.
 This role reports to the VP, product management payments and we're open to hire
 **remotely, in the United States.**
**What you’ll do:** 
* Deliver best in class experiences and enabling capabilities that delight customers and win in the market.
* Deeply understand the external market and customer needs to define the priorities and inspire the broader team.
* Build the product roadmap, define users and drive tradeoff decisions.
* Invent new products and features on the customer’s behalf.
* Lead 1\-2 scrum teams to align on mission and deliver great results iteratively.
* Leverages qualitative and quantitative data to measure results, inform roadmap and achieve benefit, adoption and financial results.
* Cross collaborates with Sr PMs / Analytics / UX on product research to come up with better and disruptive solutions.
* Engage in technical discussions with senior engineers to define product strategy, create value, and impact the direction of products and the business.
* Be a trusted partner that can present effectively to high\-level stakeholders, set clear priorities and direction, and begin to build bridges across groups.
* Own the product end\-to end by developing business models, defining and analyzing success metrics, and managing strategic projects.
**How you’ll engage:**
* Strategic Mindset: Seek to understand Acumatica’s corporate strategy, the competitive environment and market trends and how our products can create value.
* Customer Obsessed: Deeply understand our customers’ needs through customer empathy, data and prioritize work.
* Results Focused: Leverage data to understand how the product is performing and prioritize work.
* Insights Driven: Use qualitative and quantitative insights to drive decisions, define experiments and prioritize roadmap.
* Trusted Partner: Appreciate and comprehend different points of view and share information clearly and transparently with strong collaboration while knowing when to escalate.
* Relevant Expertise: Brings a deep understanding of the market, applied technologies and domain expertise, with a curiosity and learning mindset.
**Qualifications**
* 5\+ years of experience within Product in a modern, data driven environment with a strong understanding of embedded payments.
* Minimum BA/BS degree required.
* Understanding how features (micro) interface with overall product vision (macro).
* Growth mindset to start developing hypotheses that are tested and iterated.
* Deep understanding of B2B or B2B2C payment trends and flows.
* Deep understanding of customer pain points and needs in the B2B, B2B2C, or B2C payment arenas.
* Deep understanding of payment processes and financial operations including supplier management, invoice capture, matching, and approval processing.
* Expertise in payment execution systems and workflows (e.g., ACH, check, card, wire).
* Strong ability to think through unifying elements and common denominators; dream up user workflows and interfaces.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**Additional Information**
 Acumatica is an Affirmative Action and Equal Opportunity Employer/Veterans/Disabled. All qualified applicants will receive consideration for employment without regard to race, color, religion, sex, sexual orientation, gender identity, national origin, or protected veteran status and will not be discriminated against on the basis of disability.
 If you have a disability and you believe you need a reasonable accommodation in order to search for a job opening or to submit an online application, please e\-mail HR@acumatica.com. This email is created exclusively to assist disabled job seekers whose disability prevents them from being able to apply online. Only emails sent for this purpose will be returned. Emails sent for other purposes, such as following up on an application or technical issues not related to a disability, will not receive a response.
 For this role, the salary range is $110,000\-$138,000 annually. This range represents the low and high end of the salary range for this job and may vary based on location. The actual salary offer will carefully consider a wide range of factors, including skills, qualifications, experience and other relevant elements.
 At Acumatica, certain roles are eligible for additional rewards, including annual bonus and stock. These awards are allocated based on individual performance. In addition, certain roles also have the opportunity to earn sales incentives based on revenue or utilization, depending on the terms of the plan and the employee’s role.
 Benefits/perks listed here may vary depending on the nature of your employment with Acumatica and the country where you work. US\-based employees gain access to healthcare benefits (medical, dental and vision insurance for you and your dependents), employer paid Short\-Term/Long\-Term Disability and Basic life coverage, 401(k) plan with company match, Flexible time off, sick and safe leave, among others.</t>
        </is>
      </c>
    </row>
    <row r="149">
      <c r="A149" t="inlineStr">
        <is>
          <t>li-4368416344</t>
        </is>
      </c>
      <c r="B149" t="inlineStr">
        <is>
          <t>Product Owner</t>
        </is>
      </c>
      <c r="C149" t="inlineStr">
        <is>
          <t>CampLegal</t>
        </is>
      </c>
      <c r="D149" t="inlineStr">
        <is>
          <t>linkedin</t>
        </is>
      </c>
      <c r="E149">
        <f>HYPERLINK("https://www.linkedin.com/jobs/view/4368416344", "https://www.linkedin.com/jobs/view/4368416344")</f>
        <v/>
      </c>
      <c r="F149" t="inlineStr"/>
      <c r="G149" t="inlineStr"/>
      <c r="H149" t="inlineStr"/>
      <c r="I149" t="inlineStr">
        <is>
          <t>**Product Owner**
 Camplegal is a trusted provider of innovative legal solutions, empowering law firms to streamline operations and deliver exceptional service. Our Immigration Case Management System is designed to simplify the complexities of immigration law by offering powerful tools for case tracking, document management, and client communication.
 As a Product Owner with Camp Legal, you will have the opportunity to grow professionally, contribute to meaningful projects, and collaborate with a dynamic team of professionals. If you are passionate about product development and possess a strong drive to deliver high\-quality solutions, we invite you to apply for this exciting opportunity. Join us and embark on a rewarding journey to shape the future of our product offerings.
 Responsibilities
 :
* Gather and document business functional requirements from various sources: Product Lead, clients, Inhouse staff, and vendor partners
* Market research
* Work closely with Developers to formulate and document proposed functional design for meeting business requirements.
* Present proposed solutions to interested parties for approval.
* Create and execute test plans including documenting results. Work closely with Developers to resolve issues.
* Document issues/gaps in requirements and design, and follow issue to resolution.
* Define content of release notes and review final version for assigned products.
* Review production issues to determine if it is a training issue, a missed requirement, or is a product enhancement.
* Provide input into process improvement to gain efficiencies and limit production issues.
* Provide input into product enhancement vision.
 Qualifications
 :
 The position requires experience in preparing technical documents to define requirements, as well as communicating with professionals in the business services industry, with software developers, and with quality assurance specialists. The position requires experience in managing multiple projects at one time while meeting deadlines and responding promptly to issues and questions.
* Conceptual understanding of relational databases and related terminology
* Strong organizational skills with the ability to handle multiple projects simultaneously.
* Strong written and oral communication skills with the ability to communicate with a variety of audiences (technical and non\-technical)
 Preferred Qualifications
 :
 While not mandatory, the ideal candidate will have the following qualifications:
* Experience with software development methodology.
* Expertise in defining workflows and user interface requirements.
* Very strong to fluent English skills.</t>
        </is>
      </c>
    </row>
    <row r="150">
      <c r="A150" t="inlineStr">
        <is>
          <t>li-4368412961</t>
        </is>
      </c>
      <c r="B150" t="inlineStr">
        <is>
          <t>Product Manager, Retail Operations</t>
        </is>
      </c>
      <c r="C150" t="inlineStr">
        <is>
          <t>Vuori</t>
        </is>
      </c>
      <c r="D150" t="inlineStr">
        <is>
          <t>linkedin</t>
        </is>
      </c>
      <c r="E150">
        <f>HYPERLINK("https://www.linkedin.com/jobs/view/4368412961", "https://www.linkedin.com/jobs/view/4368412961")</f>
        <v/>
      </c>
      <c r="F150" t="inlineStr"/>
      <c r="G150" t="inlineStr">
        <is>
          <t>Carlsbad, CA</t>
        </is>
      </c>
      <c r="H150" t="inlineStr"/>
      <c r="I150" t="inlineStr">
        <is>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We are seeking a strategic and results driven Product Manager, Retail Applications to own the vision, strategy, and execution of technology capabilities that drive the best digital experience in our physical stores. This includes the management of store systems operations and enhancements for our existing retail stores, driving emerging retail opportunities such as RFID, Loyalty, Ship from Store, and Buy Online Pickup in stores. This role will build a strong partnership with Retail Operations and Brand teams, to act as the lead for Omni\-related projects. Responsibilities include leading cross\-functional partners to identify opportunities, value work, monitor and control product KPIs and health, communicate \&amp; coordinate with stakeholders, and drive iterative positive change for their product and the business it supports. The role will participate in maintaining and enhancing standard product lifecycle processes for the global POS solution and other retail technology.
 The ideal candidate will be skilled at collaborating cross\-functionally to ensure omni\-initiatives are seamlessly integrated across all customer touchpoints, including eCommerce, retail, and mobile platforms. You will evaluate and adopt emerging technologies to optimize store inventory, improve the in\-store customer experience, and decrease friction points to increase store’s operational performance.
**What you'll get to do:**
*Strategy \&amp; Roadmap*
* Defining product vision and roadmap for omni\-channel retail. This includes both digital and physical within our retail stores.
* Align roadmap with retail performance KPIs: average order value, units per transaction, inventory accuracy, and operational overhead.
* Collaborate with digital product managers and engineering to design, build, and deploy new omni capabilities on eComm and in\-store.
*Platform Capabilities \&amp; Development*
* Lead evaluation, integration, and optimization of POS technology, store inventory management, RFID, and omni technology.
* Drive process improvements globally through increasing inventory accuracy and giving time back to our retail staff by reducing non\-sellable hours to provide incredible customer service.
*Execution \&amp; Delivery*
* Collaborate with engineering to deliver new retail capabilities (e.g., omnichannel loyalty, points accrual across POS/eCom, tiered loyalty models, referral engines), and RFID.
* Partner with data \&amp; analytics to instrument retention dashboards and measure incremental ROI for new retail features.
*Cross\-Functional Leadership*
* Work with Retails Ops, CRM, and Site Merch teams to design loyalty program benefits for our physical retail shoppers.
* Ensure seamless customer experience across eCommerce, retail, and mobile app touchpoints.
*Stakeholder Engagement \&amp; Influence*
* Partner closely with senior leaders in Retail Ops, Retail Field Leadership, Marketing, Analytics, and eComm to define retail technology needs, align priorities, and communicate results.
* Translate complex business questions into technical requirements for engineering.
* Act as a thought partner for all in\-store retail technical and operational problems.
*Innovation \&amp; Supporting New Store Openings*
* Manage the overall new store setup systemic process. Work closely with business and technology partners to ensure the systemic steps are planned and executed in a timely manner. Drive continuous improvement for the new store setup process.
* Create and maintain all product, project and portfolio documentation using Enterprise PMO standard tools, e.g. Jira, Workfront, Microsoft Project, and SharePoint, and ensure all documentation and project artifacts are kept current, complete, and saved in standardized folder locations.
**Qualifications**
**Who you are:**
* Bachelor's degree in business, Marketing, Computer Science, or related field; MBA or equivalent a plus.
* Direct retail store experience a plus.
* 7\+ years in product management, with at least 3\+ years focused on retail, loyalty, inventory management, or lifecycle technologies in D2C.
* Domain Expertise: Strong understanding of retail KPIs, in\-store inventory management, RFID, clienteling, and emerging retail technology.
* Technical Acumen: Hands\-on experience with leading POS implementations (e.g., Shopify, Jumpmind, Oracle Xstore), RFID software platforms, loyalty platforms, and international retail requirements.
* Data\-Driven Mindset: Ability to partner with analytics and data science teams to define instrumentation, build dashboards, and share learnings with business partners.
* Cross\-Functional Leadership: Track record of collaborating with engineering, marketing, and operations to launch customer\-facing experiences at scale.
* Customer\-Centric Approach: Deep empathy for customer journeys, with proven ability to design seamless omnichannel experiences across eCommerce, retail, and mobile.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$155,000 per year \- $185,000 per year. This role is bonus eligible.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row>
    <row r="151">
      <c r="A151" t="inlineStr">
        <is>
          <t>li-4368419222</t>
        </is>
      </c>
      <c r="B151" t="inlineStr">
        <is>
          <t>Product Owner/Sr Product Owner, Technology Products</t>
        </is>
      </c>
      <c r="C151" t="inlineStr">
        <is>
          <t>American Airlines</t>
        </is>
      </c>
      <c r="D151" t="inlineStr">
        <is>
          <t>linkedin</t>
        </is>
      </c>
      <c r="E151">
        <f>HYPERLINK("https://www.linkedin.com/jobs/view/4368419222", "https://www.linkedin.com/jobs/view/4368419222")</f>
        <v/>
      </c>
      <c r="F151" t="inlineStr"/>
      <c r="G151" t="inlineStr">
        <is>
          <t>Fort Worth, TX</t>
        </is>
      </c>
      <c r="H151" t="inlineStr"/>
      <c r="I151"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*This section allows the hiring manager to be specific about what the candidate is applying for in terms of team, product, etc.)
 **No changes to be made beyond this section.***
* This job is a member of the X team within the X Division.
* You will represent the voice of customers who are XXX and users of various applications by serving in the role of Product Owner for the X product.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Contributes to the cocreation of Product Vision and Product Strategy tied to Portfolio goals
* Utilizes technical knowledge such as A/B testing, product architecture, continuous deployment process, DevOps practices, data models and analytics, querying languages, tools supporting automation/metrics and other technologies in support of the products/services owned
* Communicates regularly on OKRs, product roadmap, planned development, upcoming releases, and areas requiring leadership’s attention
* Coordinates with other Product team members to manage product dependencies and increments of value
* Performs continuous product discovery and offers valuable solutions that align to Product OKRs
* Understands the budgetary implications, related organizational constraints in factoring areas of focus
* Uses data to define baselines, measure outcomes, share insights, order backlog items, etc.
* Conducts competitive benchmarking, presents new technologies/solutions, identifies unmet/underserved need
* Defines and maintains a healthy backlog, operating consistently in adopting organizational standards and presents the backlog items with squads and external team members
* Seeks input from product, process and technology areas and balances time\-sensitive improvements needed for maintaining both technical and product health
* Collaborates with various internal team members (i.e. UX, Technology, Vendors, Risk, Compliance, Security
* Influences leaders, squads and peers on product strategy, roadmap items, OKRs and upcoming releases
* Practices agility in discovering and delivering value continuously
**All you'll need for success**
**Minimum Qualifications\- Education \&amp; Prior Job Experience**
* Bachelor’s degree in related field plus 3 years of experience in Product Management/ Delivery (ex: product analyst, user researcher, product owner, etc.) or 5 years of relevant work experience
**Preferred Qualifications\- Education \&amp; Prior Job Experience**
* Experience determining Product Market fit and defining a Go\-to\-Market strategy
* Demonstrate familiarity with Agile Product Management tools
**Skills, Licenses \&amp; Certifications**
* Relevant certifications in Product Management/Product Delivery field
* Has strong knowledge/expertise of product domain including the business model, constraints, regulations, user experiences, etc.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152">
      <c r="A152" t="inlineStr">
        <is>
          <t>li-4357514921</t>
        </is>
      </c>
      <c r="B152" t="inlineStr">
        <is>
          <t>Product Manager</t>
        </is>
      </c>
      <c r="C152" t="inlineStr">
        <is>
          <t>Codal</t>
        </is>
      </c>
      <c r="D152" t="inlineStr">
        <is>
          <t>linkedin</t>
        </is>
      </c>
      <c r="E152">
        <f>HYPERLINK("https://www.linkedin.com/jobs/view/4357514921", "https://www.linkedin.com/jobs/view/4357514921")</f>
        <v/>
      </c>
      <c r="F152" t="inlineStr"/>
      <c r="G152" t="inlineStr">
        <is>
          <t>Chicago, IL</t>
        </is>
      </c>
      <c r="H152" t="inlineStr"/>
      <c r="I152" t="inlineStr">
        <is>
          <t>**An Introduction to Codal**
 Codal is an award\-winning web design and development consultancy that helps enterprise organizations solve complex problems and accelerate growth through elegant, data\-driven digital solutions. Our areas of expertise include application modernization, eCommerce, UX/UI design, product strategy, data analytics, and artificial intelligence.
 At Codal, you’ll collaborate with some of the most innovative organizations in the world and work on cutting\-edge technologies that push the boundaries of design and software development. You’ll also be part of a community that promotes long\-term success, not just for our clients but for each other. We’ll help you develop a professional roadmap that takes your career to new heights.
**Who you’ll be working with**
 We ideate, create, and coordinate. We analyze, strategize, organize, and prioritize. We bridge the communication channel between the client and our project team. We chart the course and navigate the product roadmap sprint by sprint. Some of us are product owners. Some of us are scrum masters. Many of us wear multiple hats and do whatever’s needed to deliver successful projects.
**What you’ll be doing**
* Translate the product strategy into clear product roadmaps which align to client goals and objectives.
* Develop a high level and detailed project plan for each project. Oversee the milestones to ensure that internal schedules align with key due dates.
* Work across the internal and client organization, partnering with multiple stakeholders (including design/UX, engineering, operations, marketing, sales, etc.) to understand and translate requirements, make tradeoffs of scope and implementation, and deliver high quality products.
* Define features through clearly written user stories as part of an Agile delivery team; verify stories are implemented as intended, records bugs, and assist the engineering team in driving resolution.
* Lead the team in prioritizing product features and collaborate in design, estimations, and planning sessions with the overall team.
* Identify project issues and work with the project team to provide solutions or escalates to avoid project delays.
* Analyze user data and feedback to measure the effectiveness and competitiveness of the product.
* Act as the main point of contact with clients regarding project status, scope clarification, and UAT.
**What you’ll need to be successful (Requirements)**
* BS/BA in relevant program, or equivalent work experience
* 3\+ years of product manager experience working at a strategic capacity in consulting
* Familiarity with multiple functional suites and software packages for requirements (JIRA, Azure DevOps, etc.)
* Deep knowledge and experience with multiple SDLCs such as Agile, Scrum and traditional waterfall
* Strong foundation in core Product Management skill sets
* Worked on multiple teams and projects simultaneously
**Benefits and Salary**
* $75,000 \- $175,000
* We offer Medical, Life, Dental/Vision, and many more insurance types
* Employer 401k match \- 4%
* Commuter Benefits
**Need another reason to hit the “apply” button?**
* Codal is a global agency with over 200 employees, and offices in the US, UK, and India
* We regularly host happy hours, dinners, excursions, and other company events to unwind after a hard day at work
* Office snacks and drinks \+ a fancy Bevi water machine with flavored water
* We offer Medical, Life, Dental/Vision, and many more insurance types
* Employer 401k match \- 4%
* A recreational group that regularly competes in city leagues for softball and volleyball
* An office in the heart of downtown Chicago with a gym, food court, Walgreens, rooftop bar, outdoor sports court, and other amenities
* Working hybrid for in\-person collaboration and sprint\-planning days
**Need another reason to hit the “apply” button?**
* Codal is a global agency with over 200 employees, and offices in the US, UK, and India
* We regularly host happy hours, dinners, excursions, and other company events to unwind after a hard day at work
* Office snacks and drinks \+ a fancy Bevi water machine with flavored water
* A recreational group that regularly competes in city leagues for softball and volleyball
* An office in the heart of downtown Chicago with a gym, food court, Walgreens, rooftop bar, outdoor sports court, and other amenities
* Working hybrid for in\-person collaboration and sprint\-planning days
 Note: Codal only communicates with candidates through official @codal.com email addresses. We never request payment during the hiring process. Please be vigilant regarding recruitment scams.
 Note: Codal only communicates with candidates through official @codal.com email addresses. We never request payment during the hiring process. Please be vigilant regarding recruitment scams.
*At Codal, we are committed to equal employment opportunities regardless of race, color, ancestry, religion, sex, national origin, sexual orientation, age, citizenship, marital status, disability, gender, gender identity or expression, or veteran status. We are proud to be an equal opportunity workplace.*</t>
        </is>
      </c>
    </row>
    <row r="153">
      <c r="A153" t="inlineStr">
        <is>
          <t>li-4354750997</t>
        </is>
      </c>
      <c r="B153" t="inlineStr">
        <is>
          <t>Product Manager</t>
        </is>
      </c>
      <c r="C153" t="inlineStr">
        <is>
          <t>Qualcomm</t>
        </is>
      </c>
      <c r="D153" t="inlineStr">
        <is>
          <t>linkedin</t>
        </is>
      </c>
      <c r="E153">
        <f>HYPERLINK("https://www.linkedin.com/jobs/view/4354750997", "https://www.linkedin.com/jobs/view/4354750997")</f>
        <v/>
      </c>
      <c r="F153">
        <f>HYPERLINK("https://careers.qualcomm.com/careers/job/446716166360?hl=en-US&amp;utm_source=linkedin&amp;domain=qualcomm.com&amp;source=APPLICANT_SOURCE-6-2&amp;urlHash=KuLu", "https://careers.qualcomm.com/careers/job/446716166360?hl=en-US&amp;utm_source=linkedin&amp;domain=qualcomm.com&amp;source=APPLICANT_SOURCE-6-2&amp;urlHash=KuLu")</f>
        <v/>
      </c>
      <c r="G153" t="inlineStr">
        <is>
          <t>San Diego, CA</t>
        </is>
      </c>
      <c r="H153" t="inlineStr"/>
      <c r="I153" t="inlineStr">
        <is>
          <t>**Company**
 Qualcomm Technologies, Inc.
**Job Area**
 Operations Group, Operations Group \&gt; Product Management
**General Summary**
 Qualcomm is seeking a Product Manager for an entry level position in Compute Product’s performance and competitive analysis team. In this role, you will direct a comprehensive next generation product evaluation based on industry leading benchmarks performance and identify relevant competitive products. Develop strategies to enhance competitive positioning of Snapdragon Compute products. Promotes use of new technologies and industry\-leading trends. Directs those involved in the design, modification, and evaluation of all phases of a specific product or group of products. Involvement lasts throughout all stages of a product’s lifecycle including modifications, upgrades, and maintenance of the product or product line.
**Principal Duties And Responsibilities**
* Conducts complex analyses to assess marketability of Snapdragon Compute product’s performance based on market, customer, technology, and other ecosystem demands
* Translate complex and comprehensive performance and power data into actionable insights and strategic recommendations for product planning and competitive positioning
* Prepares and delivers highly complex technical presentations for new and existing products that explain and demonstrate capabilities of Snapdragon Compute Products
* Oversees the design and evaluation of all phases of Compute Products, including Pre\-Sil and Post\-Sil performance
* Creates a business case for the development of a new benchmarks and product features in an established product area (Performance, Battery Life, User Experience).
* Maintains expertise by staying up to date on the competitive landscape, including competitor strategies, emerging technological advancements to anticipate performance of competitive products
* Serves as a Performance lead resource, coordinating several engineering teams across various processing units (CPU, GPU, NPU) and Chipset Product Management and Marketing teams, as the products progresses through their life cycle.
* Ensures successful cross\-functional collaboration by ensuring that agreed upon KPIs and specifications are met for product(s), upon delivery by engineering team
* Support Product launches and demonstrate new products and key highlights and features
* Contributes to strategic planning to enable industry leading benchmarks and promote adoption of industry trends in benchmarking.
**Preferred Qualifications**
* Master’s degree in engineering, Computer Science, Electrical Engineering, Information systems or related field
* Deep knowledge in Software Architecture, various software stacks associated with Windows PCs
* Exceptional analytical and problem\-solving abilities, with proficiency in quantitative and qualitative data analysis
**Minimum Qualifications**
* Bachelor's degree in Engineering, Information Systems, Computer Science, Humanities, or related field.
* 2\+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$133,100\.00 \- $199,700\.00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4">
      <c r="A154" t="inlineStr">
        <is>
          <t>li-4357415117</t>
        </is>
      </c>
      <c r="B154" t="inlineStr">
        <is>
          <t>Product Manager</t>
        </is>
      </c>
      <c r="C154" t="inlineStr">
        <is>
          <t>Wiley</t>
        </is>
      </c>
      <c r="D154" t="inlineStr">
        <is>
          <t>linkedin</t>
        </is>
      </c>
      <c r="E154">
        <f>HYPERLINK("https://www.linkedin.com/jobs/view/4357415117", "https://www.linkedin.com/jobs/view/4357415117")</f>
        <v/>
      </c>
      <c r="F154" t="inlineStr"/>
      <c r="G154" t="inlineStr"/>
      <c r="H154" t="inlineStr"/>
      <c r="I154" t="inlineStr">
        <is>
          <t>**Job Description**
 Product Manager
**Location:**
 Remote, CA, USA
 Our mission is to unlock human potential. We welcome you for who you are, the background you bring, and we embrace individuals who get excited about learning. Bring your experiences, your perspectives, and your passion; it’s in our differences that we empower the way the world learns.
**About The Role**
 zyBooks is looking for a Product Manager to join our Platform team. In this role, you'll work with engineering teams to prioritize platform roadmaps, gather requirements from stakeholders, and drive the delivery of platform capabilities and learning tools that enable product innovation. You'll collaborate across the organization to understand needs, translate them into clear requirements and user stories, and facilitate agile development processes. This is an excellent opportunity to grow your product management skills while making a meaningful impact on a platform used by hundreds of thousands of students at over 1800 academic institutions. zyBooks is a fast\-growing market leader in STEM education—come join us and help transform education!
**How We Work**
* Hyper\-focused on the student and instructor experience, building platform capabilities that enable great educational outcomes.
* Strong ownership culture where product and engineering teams work together through the entire process from discovery to delivery and support.
* Emphasis on learning and personal growth for all team members, with mentorship opportunities.
* Empowered teams that drive platform initiatives with appropriate guidance and support from leadership.
* Data\-driven decision making balanced with technical expertise and business context.
* Highly collaborative and transparent team culture with strong cross\-functional partnerships.
**Responsibilities**
* Collaborate with engineering, design, content, and other teams to deliver platform features and capabilities.
* Contribute to the definition of priorities, roadmap, and product requirements with guidance from senior product leaders and stakeholders.
* Lead feature development efforts by gathering requirements, writing user stories, and working closely with engineering teams through design, build, and delivery.
* Support agile development processes including sprint planning, backlog refinement, and retrospectives.
* Gain understanding of customer needs by participating in user research and gathering feedback from internal stakeholders.
* Track and communicate progress on platform features to stakeholders, maintaining transparency on timelines and deliverables.
* Monitor feature\-level metrics and KPIs to understand impact and identify opportunities for improvement.
* Contribute to product documentation, process improvements, and team knowledge sharing.
**Requirements**
* 1\-3 years experience in product management, SAAS product development, software engineering, or related technical roles.
* Excellent written and verbal communication skills, with ability to translate technical concepts for various audiences.
* Strong organizational skills with attention to both details and broader context.
* Ability to work with diverse stakeholders and consistently deliver on commitments.
* Collaborative mindset with demonstrated ability to work effectively with engineering teams.
* Experience with agile development processes.
* Experience with product management tools (Jira, Confluence, or similar).
* Passion for educational technology and making a positive impact on student learning.
* Occasional travel may be required for team meetings or company events.
 At zyBooks (a Wiley brand),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Wiley is a diverse, global organization and we are proud to be an Equal Opportunity Employer.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**About Wiley**
 Wiley is a trusted leader in research and learning, our pioneering solutions and services are paving the way for knowledge seekers as they work to solve the world's most important challenges. We are advocates of advancement, empowering knowledge\-seekers to transform today's biggest obstacles into tomorrow's brightest opportunities.
 With over 200 years of experience in publishing, we continue to evolve knowledge seekers' steps into strides, illuminating their path forward to personal, educational, and professional success at every stage. Around the globe, we break down barriers for innovators, empowering them to advance discoveries in their fields, adapt their workforces, and shape minds.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We offer meeting\-free Friday afternoons allowing more time for heads down work and professional development, and through a robust body of employee programing we facilitate a wide range of opportunities to foster community, learn, and grow.
 We are committed to fair, transparent pay, and we strive to provide competitive compensation in addition to a comprehensive benefits package. The range below represents Wiley's good faith and reasonable estimate of the base pay for this role at the time of posting roles either in the United Kingdom, Canada or USA.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
 When applying, please attach your resume/CV to be considered.
**Salary Range**
 85,500 USD to 122,567 USD</t>
        </is>
      </c>
    </row>
    <row r="155">
      <c r="A155" t="inlineStr">
        <is>
          <t>li-4368373822</t>
        </is>
      </c>
      <c r="B155" t="inlineStr">
        <is>
          <t>Product Owner</t>
        </is>
      </c>
      <c r="C155" t="inlineStr">
        <is>
          <t>Stelvio Inc.</t>
        </is>
      </c>
      <c r="D155" t="inlineStr">
        <is>
          <t>linkedin</t>
        </is>
      </c>
      <c r="E155">
        <f>HYPERLINK("https://www.linkedin.com/jobs/view/4368373822", "https://www.linkedin.com/jobs/view/4368373822")</f>
        <v/>
      </c>
      <c r="F155" t="inlineStr"/>
      <c r="G155" t="inlineStr">
        <is>
          <t>Phoenix, AZ</t>
        </is>
      </c>
      <c r="H155" t="inlineStr"/>
      <c r="I155" t="inlineStr">
        <is>
          <t>**Product Owner** 
**Hybrid \| Full Time** 
**Phoenix, Arizon** 
 a
 We are seeking an experienced Product Owner to join a fast\-paced, collaborative environment. You will work closely with product managers, engineering, and cross\-functional stakeholders to translate product vision into clear requirements and deliver high\-quality software that meets customer and business needs.
 This role is ideal for someone comfortable managing complex systems, making sound product decisions, and leading delivery within an Agile framework. This is a hybrid role based in our Downtown Phoenix office.
 What You’ll Do
* Own and prioritize the product backlog to maximize customer and business value
* Translate product vision into clear, actionable user stories and acceptance criteria
* Lead sprint planning, discovery, and Agile ceremonies
* Partner with engineering, design, and QA to ensure timely, high\-quality delivery
* Monitor product performance and recommend improvements
* Act as a subject matter expert and key stakeholder point of contact
 What You Bring
* 5\+ years of experience as a Product Owner or similar role
* Strong experience working with complex systems
* Deep understanding of Agile / Scrum methodologies
* Proficiency with backlog tools such as Jira or Azure DevOps
* Excellent communication, organization, and decision\-making skills
* Ability to influence cross\-functional teams without direct authority
 Why Join
* Competitive benefits starting day one (medical, dental, vision)
* Paid time off, holidays, and 401(k) with employer match
* Lifestyle and wellness benefits
* Strong culture focused on growth, collaboration, and impact</t>
        </is>
      </c>
    </row>
    <row r="156">
      <c r="A156" t="inlineStr">
        <is>
          <t>li-4357484937</t>
        </is>
      </c>
      <c r="B156" t="inlineStr">
        <is>
          <t>Senior Product Manager, Catalog Quality</t>
        </is>
      </c>
      <c r="C156" t="inlineStr">
        <is>
          <t>Uber</t>
        </is>
      </c>
      <c r="D156" t="inlineStr">
        <is>
          <t>linkedin</t>
        </is>
      </c>
      <c r="E156">
        <f>HYPERLINK("https://www.linkedin.com/jobs/view/4357484937", "https://www.linkedin.com/jobs/view/4357484937")</f>
        <v/>
      </c>
      <c r="F156">
        <f>HYPERLINK("https://tnl2.jometer.com/v2/job?jz=5wqzs92255b20d31e77bf475ea5e5e6972eb5LUAGUCAAAABQ&amp;iis=Job%20Board%20-%20Recruitment%20Marketing&amp;iisn=LinkedIn&amp;urlHash=DOqb", "https://tnl2.jometer.com/v2/job?jz=5wqzs92255b20d31e77bf475ea5e5e6972eb5LUAGUCAAAABQ&amp;iis=Job%20Board%20-%20Recruitment%20Marketing&amp;iisn=LinkedIn&amp;urlHash=DOqb")</f>
        <v/>
      </c>
      <c r="G156" t="inlineStr">
        <is>
          <t>San Francisco, CA</t>
        </is>
      </c>
      <c r="H156" t="inlineStr"/>
      <c r="I156"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Senior Product Manager for Product Identity, you will own the strategy and technical foundation for how Uber identifies the same product across different stores, groups related variants, and models and captures each product's identity and relationships in the catalog. This understanding enables our systems to power accurate search, substitutions, fulfillment, ads, and other key experiences.
**What The Candidate Will Do**
* Own the strategy and roadmap for how Uber classifies products, models variant and product relationships, and defines product identity and uniqueness to maintain a consistent and accurate canonical catalog that powers critical use cases like reorders, item\-forward shopping across merchants, and fulfillment optimization.
* Work closely with Engineering and Science teams to design scalable products and workflows (using ML or LLMs where helpful) that classify products accurately, resolve duplicates, and improve the quality and consistency of our canonical catalog.
* Dive deep into data and customer insights to understand the problem space and opportunity areas, ensuring we build solutions that meaningfully improve the customer experience and drive desired business outcomes.
* Partner with Ops to design human\-in\-the\-loop processes for resolving ambiguous cases and build reliable golden datasets to measure success against
**Basic Qualifications**
* 5\+ years of Product Management experience delivering successful, technically complex products.
* Bachelor degree or equivalent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
**Preferred Qualifications**
* Experience with ML\- or LLM\-powered classification, clustering, or entity resolution techniques such as embedding\-based matching.
* Experience with data modeling, particularly designing or working with taxonomies and ontologies that define product meaning and relationships.
* Background in retail or e\-commerce, particularly working with catalog or inventory data.
* Experience designing human\-in\-the\-loop systems for resolving ambiguous or high\-judgment cases.
 For San Francisco, CA\-based roles: The base salary range for this role is USD$190,000 per year \- USD$211,000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USD$190,000 per year \- USD$211,000 per year. You will be eligible to participate in Uber's bonus program, and may be offered an equity award \&amp; other types of comp. You will also be eligible for various benefits. More details can be found at the following link https://www.uber.com/careers/benefits.</t>
        </is>
      </c>
    </row>
    <row r="157">
      <c r="A157" t="inlineStr">
        <is>
          <t>li-4368420120</t>
        </is>
      </c>
      <c r="B157" t="inlineStr">
        <is>
          <t>Product Owner</t>
        </is>
      </c>
      <c r="C157" t="inlineStr">
        <is>
          <t>Optomi</t>
        </is>
      </c>
      <c r="D157" t="inlineStr">
        <is>
          <t>linkedin</t>
        </is>
      </c>
      <c r="E157">
        <f>HYPERLINK("https://www.linkedin.com/jobs/view/4368420120", "https://www.linkedin.com/jobs/view/4368420120")</f>
        <v/>
      </c>
      <c r="F157" t="inlineStr"/>
      <c r="G157" t="inlineStr"/>
      <c r="H157" t="inlineStr"/>
      <c r="I157" t="inlineStr">
        <is>
          <t>**REMOTE PRODUCT OWNER OPPORTUNITY** 
 Optomi, in partnership with a leader in K\-12 education technology, is looking for a Product Systems Product Owner to drive the strategic management and continuous improvement of business systems supporting product development processes and operations.
**Position Summary:** 
 The Product Systems Product Owner will be responsible for managing and optimizing systems such as product lifecycle management (PLM), digital product entitlements, product content management, and rights \&amp; royalties management. This role ensures alignment with business objectives, seamless integration with enterprise platforms (ERP, CRM, CPQ), and support for product development and commercialization goals. The ideal candidate will collaborate across IT, engineering, and business functions to implement system enhancements, integrations, and automation, while improving workflows and ensuring contract compliance.
**What the right candidate will enjoy:** 
* Opportunity to work with cutting\-edge product development systems
* Collaboration across multiple business units and technology teams
* A fast\-paced, dynamic environment with opportunities for growth
**What type of experience does the right candidate have:** 
* Minimum of 3 years as a product owner in a technology organization
* Experience with product development applications such as PLM, PIM, or CLM
* Recent experience managing SaaS applications
* Strong background in Agile development environments
* Bachelor's degree in a related field
**What the responsibilities are of the right candidate:** 
* Serve as the subject matter expert for product development applications, researching capabilities and developing solutions
* Identify efficiencies and processes to improve product development operations
* Collaborate with IT, engineering, and business functions to implement system enhancements
* Partner with product development leads to create functional specifications
* Ensure seamless data flow between systems and downstream applications
* Define and improve workflows for managing product content and digital entitlements
* Manage title rights and royalties tracking in collaboration with legal and finance teams
* Work with data analytics teams to improve reporting and KPIs
* Communicate effectively with engineering and business systems developers to align priorities
* Conduct QA and user acceptance testing
* Resolve production issues and support escalations</t>
        </is>
      </c>
    </row>
    <row r="158">
      <c r="A158" t="inlineStr">
        <is>
          <t>li-4357583669</t>
        </is>
      </c>
      <c r="B158" t="inlineStr">
        <is>
          <t>Product Owner - Pickup</t>
        </is>
      </c>
      <c r="C158" t="inlineStr">
        <is>
          <t>Meijer</t>
        </is>
      </c>
      <c r="D158" t="inlineStr">
        <is>
          <t>linkedin</t>
        </is>
      </c>
      <c r="E158">
        <f>HYPERLINK("https://www.linkedin.com/jobs/view/4357583669", "https://www.linkedin.com/jobs/view/4357583669")</f>
        <v/>
      </c>
      <c r="F158" t="inlineStr"/>
      <c r="G158" t="inlineStr">
        <is>
          <t>Greater Jackson, MI Area</t>
        </is>
      </c>
      <c r="H158" t="inlineStr"/>
      <c r="I158"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Product Owner is a Subject Matter Expert (SME) responsible for overall technology advancements, store processes and overall development efforts for the Store Support Organization. This Product Owner will work very close with cross functional teams to define, develop, and launch transformative technology features/capabilities as well as in\-store solutions. This Product Owner is a key role within the Scaled Agile Framework (SAFe) that Meijer has adopted across multiple areas of the business. This role offers the unique opportunity to influence and create new in\-store and digital experiences that impact our Customers and Team Member, drive incremental sales and deliver Best in Class solutions for Meijer. Individuals in this role must embody SAFe Agile while demonstrating the ability to understand Customer and Team Member needs and have the aptitude for both technical and business requirements.
**What You’ll Be Doing**
* Responsible for the end\-state product/property experiences, which could include (but not limited to) Pickup, Shop \&amp; Scan, POS technology. Handheld/Mobile technology, App development, Customer Experience and managing new technologies to support the Digital and Retail Roadmap for our stores.
* Serves as a Subject Matter Expert (SME) for contributions towards the creation and development of project roadmaps, project strategy and planning process.
* Interprets customer data and Team Member feedback to identify opportunities to influence the digital experience by reducing friction in our solutions while increasing simplicity and efficiencies for our Customers and Team Members.
* Sees projects from start to finish, including detailed breakdown of features at the beginning, through measuring success post\-rollout.
* Conveys the vision and goals to the team for each new feature prioritized.
* Creates, owns and is measured against their agile team’s objectives for each 10 week program increment.
* Maintains and prioritizes their team’s backlog during the sprint planning process.
* Attends all regularly scheduled meetings as part of the SAFe framework, including sprint planning, sprint demos, system demos, retrospectives, and program increment planning events.
* Communicates status and progress externally.
* Plans and executes program/feature transitions with high customer impact as needed.
* Additional projects outside of the agile project teams as assigned.
**What You Bring With You (Qualifications)**
* Bachelor’s Degree or equivalent experience.
* 3\-5 years’ experience in Retail Leading teams, SAFe Agile work, and/or IT field.
* Experience working with technical teams required, preferably within an Agile (SAFe) framework.
* Experience in working within teams and cross\-functional partner relationships.
* Advanced Excel and PowerPoint experience.
* Demonstrated ability to deliver simple customer experience solutions.
* Strong written, editing, proofreading and oral communication skills.
* Strong presentation skills, comfort leading cross functional projects.
* Strong organizational, planning, and time management skills with ability to prioritize multiple/competing projects and assignments.
* Attention to detail with an ability to meet tight timelines.
* Strong problem solving ability and dealing with ambiguity.
* Strong work ethic complemented by a positive, can\-do attitude.
* Ability to communicate and interact with various divisions and levels of the organization.
* Exceptional ability to extract strategic insights from data and adjust and/or plan accordingly.
* May require travel to markets.
 We are committed to offering competitive pay that reflects market standards and ensures consistency within our organization.
 The pay range for this position is listed below.
 $72,500\.00 \- $114,500\.00
 This pay range represents the minimum and maximum base pay for the position, which is determined by factors such as market data, the qualifications required, the level of responsibilities associated with the role and other roles at this same level. Your specific pay rate within this range will be based on your experience, qualifications, and skills compared to the internal team you’ll be joining.
 We offer a comprehensive benefits package that includes medical, dental, vision, life insurance, a 401(k) plan with employer match, disability leave, and paid time off (PTO). In addition to these core benefits, we are committed to supporting your overall well\-being and career growth. Our offerings include a variety of programs designed to support your personal and professional development, such as paid parental leave, paid education assistance (including free education), a childcare subsidy and more. We are dedicated to creating a work environment that promotes work\-life balance, long\-term health and financial security, and continuous professional development</t>
        </is>
      </c>
    </row>
    <row r="159">
      <c r="A159" t="inlineStr">
        <is>
          <t>li-4357545093</t>
        </is>
      </c>
      <c r="B159" t="inlineStr">
        <is>
          <t>Associate Product Manager, Mobile</t>
        </is>
      </c>
      <c r="C159" t="inlineStr">
        <is>
          <t>First Due</t>
        </is>
      </c>
      <c r="D159" t="inlineStr">
        <is>
          <t>linkedin</t>
        </is>
      </c>
      <c r="E159">
        <f>HYPERLINK("https://www.linkedin.com/jobs/view/4357545093", "https://www.linkedin.com/jobs/view/4357545093")</f>
        <v/>
      </c>
      <c r="F159">
        <f>HYPERLINK("https://firstdue.zohorecruit.com/jobs/Careers/633658000010572007/Associate-Product-Manager-Mobile?source=CareerSite&amp;urlHash=vP6C", "https://firstdue.zohorecruit.com/jobs/Careers/633658000010572007/Associate-Product-Manager-Mobile?source=CareerSite&amp;urlHash=vP6C")</f>
        <v/>
      </c>
      <c r="G159" t="inlineStr"/>
      <c r="H159" t="inlineStr"/>
      <c r="I159" t="inlineStr">
        <is>
          <t>**Associate Product Manager, Mobile** 
**Location:** 
 North America / Remote 
 First Due's cutting\-edge Fire and EMS software solution provides an end\-to\-end platform for thousands of Fire and EMS agencies across North America. We're searching for an organized and detail\-oriented Associate Product Manager to support our mobile application as we continue to grow and develop. 
**About the Role** 
 This role combines product and project management, with ownership of the end\-to\-end mobile application experience. You'll drive execution of the mobile development team's roadmap while ensuring that other product teams building webviews for the mobile app adhere to mobile UX standards and deliver a cohesive user experience. 
**Key Responsibilities** 
* Own the holistic mobile app experience, ensuring consistency and quality across native features and embedded webviews built by other teams
* Manage day\-to\-day execution of the mobile team's development backlog, including sprint planning, tracking, and delivery coordination
* Partner with the mobile engineering team to ensure features are delivered on time and meet quality standards
* Coordinate with other product teams to review and validate webview implementations, ensuring they meet mobile design and performance standards before release
* Serve as the mobile experience advocate across the organization, providing guidance to teams on mobile\-specific requirements and constraints
* Review, validate, and prioritize mobile\-specific defects, working them into sprints appropriately
* Produce clear documentation of planned features as epics and user stories for the mobile team
* Collaborate with engineers and QA to ensure functional and visual design quality throughout the development process
* Gather and synthesize user feedback, analytics, and testing results specific to the mobile experience
* Participate in customer and prospect demos as needed; support RFP responses related to mobile capabilities
* Collaborate with Design and Marketing on mobile\-specific sales tools and collateral
**Qualifications and Experience** 
* 2\+ years of experience in product management, project management, or a related role at a SaaS company
* Strong project management skills with experience coordinating across multiple teams
* Experience working in an Agile development environment; familiarity with Scrum practices
* Proficiency with JIRA or similar tools for backlog and sprint management
* Understanding of mobile application development processes (iOS/Android), including hybrid/webview architectures
* Excellent written and verbal communication skills
* Highly detail\-oriented with strong organizational skills
* Ability to work independently in a collaborative, remote team environment
* Customer\-first mentality with genuine interest in solving user problems
* Experience in public safety, Govtech, or field\-service software a plus
* Relevant Bachelor's Degree or equivalent experience
 We welcome a diverse workforce! If you don’t fit all the qualifications for the job listed above but feel you bring unique experience and perspective that would serve this role and First Due well, we encourage you to apply.
 All
 applicants must be authorized to work for any US employer in the United States. Locality Media Inc. is unable to sponsor or transition sponsorship ownership of employment visas at this time. Hiring is contingent upon candidates successfully passing a criminal background check
**.** 
 As part of the I\-9 verification of authorization to work in the US, Locality Media Inc. participates in E\-Verify.
**Physical Demands and Work Environment** 
 This role is fully remote with minimal travel expectations at this time. Reasonable accommodation may be made to enable qualified employees and applicants to perform the essential functions as outlined above. If you require an accommodation during the interview process, please reach out to
 people@firstdue.com
 .
**Working at First Due** 
 First Due offers a comprehensive compensation and benefits package for eligible employees, including competitive pay, medical, dental, and vision coverage, FSA/HSA, 401(k), flexible PTO, a fully remote workplace, a technology stipend, opportunities for advancement, and other benefits and perks that sets our team apart. Visi
 t
 www.firstdue.com
 to learn more.
 If you are a resident of a state with wage transparency laws, please reach out to
*people@firstdue.com* 
 for a reasonable estimate of annual base compensation and any eligible incentive compensation.
 The actual compensation offered to successful candidates for roles may be higher or lower, based on non\-discriminatory criteria including but not limited to relevant professional experience, geographic location, knowledge, skills, and abilities.
*This range will be reviewed on a regular basis.* 
**About First Due** 
 First Due is re\-imagining Fire and EMS by providing a modern cloud\-based platform that allows agencies to run their entire operation in one place. From Fire Prevention, Pre\-Incident Planning, Incident Reporting, Scheduling, Asset Management, Reporting, Response and more, First Due is leading the public safety software industry in transforming public safety through next\-generation technology and innovation.
*Locality Media LLC dba First Due is an equal opportunity employer. We do not discriminate in any aspect of employment on the basis of race, religion, color, national origin, gender, sexual orientation, age, marital status, veteran status, or disability status, or any other protected status or class.* 
*We are committed to promoting an environment of respect, acceptance, diversity and inclusivity, and equal opportunity. Discrimination and harassment of any type in any form will not be tolerated.* 
*When you apply for a role at First Due, we will collect some personal data, including information from your application, resume, or LinkedIn profile. This information is used during the interview and candidate evaluation process for opportunities at First Due and is only shared internally. Please review our candidate privacy notice* 
*here* 
*.*</t>
        </is>
      </c>
    </row>
    <row r="160">
      <c r="A160" t="inlineStr">
        <is>
          <t>li-4368383545</t>
        </is>
      </c>
      <c r="B160" t="inlineStr">
        <is>
          <t>Product Manager, Developer Experience</t>
        </is>
      </c>
      <c r="C160" t="inlineStr">
        <is>
          <t>OpenHands</t>
        </is>
      </c>
      <c r="D160" t="inlineStr">
        <is>
          <t>linkedin</t>
        </is>
      </c>
      <c r="E160">
        <f>HYPERLINK("https://www.linkedin.com/jobs/view/4368383545", "https://www.linkedin.com/jobs/view/4368383545")</f>
        <v/>
      </c>
      <c r="F160" t="inlineStr"/>
      <c r="G160" t="inlineStr"/>
      <c r="H160" t="inlineStr"/>
      <c r="I160" t="inlineStr">
        <is>
          <t>**Who We Are**
 We’re building OpenHands, an open\-source AI platform that empowers engineering teams to accelerate development, automate workflows, and integrate intelligent coding assistance into real\-world software delivery.
 We are hiring a Product Manager, who will report to the Head of Product and work closely with customers, open source members, users, developer relations, and engineering.
**What You’ll Do**
* Own the product development lifecycle for the Developer Experience roadmap, from ideation to launch
* Analyze customer and user feedback to shape the direction of our interfaces, CLI, SDK, and developer integrations
* Work closely with our open source community to understand user needs and pain points
* Collaborate with engineering to define technical requirements and roadmap
* Drive product strategy and prioritization based on user research and market analysis
* Balance the needs of individual developers, enterprise customers, and our open source community
**What You Bring**
* 5\+ years of product management experience
* Strong technical background with hands\-on coding experience
* Experience building developer tools, APIs, or infrastructure products
* Track record of shipping successful products in collaboration with engineering teams
* Experience with open source communities and developer ecosystems
* Deep understanding of software development practices, tooling
* Strong analytical and problem\-solving capabilities
* Excellent written and verbal communication
* Data\-driven decision making
* Knowledge of LLMs and AI agents
* Interest in AI/LLM\-powered developer tools and open\-source software
**Why Join OpenHands**
* Competitive compensation: $160,000 – $210,000 base salary plus equity and bonus
* Remote\-first with flexible hours (core hours 12–4pm ET \| 4–8pm UTC)
* Fully covered U.S. health, vision, and dental insurance
* Unmetered PTO \+ holidays
* A culture built on kindness, candor, autonomy, and learning
**We Welcome All Applicants**
 We’re committed to building an inclusive, supportive environment where everyone can thrive. We celebrate diversity and do not discriminate based on race, color, religion, sex, national origin, age, disability, sexual orientation, gender identity, or any other protected characteristic. If you’re passionate about building great developer tools and excited about the future of AI\-powered software development, we’d love to hear from you.</t>
        </is>
      </c>
    </row>
    <row r="161">
      <c r="A161" t="inlineStr">
        <is>
          <t>li-4368371785</t>
        </is>
      </c>
      <c r="B161" t="inlineStr">
        <is>
          <t>Product Manager, Platform</t>
        </is>
      </c>
      <c r="C161" t="inlineStr">
        <is>
          <t>Brain Co.</t>
        </is>
      </c>
      <c r="D161" t="inlineStr">
        <is>
          <t>linkedin</t>
        </is>
      </c>
      <c r="E161">
        <f>HYPERLINK("https://www.linkedin.com/jobs/view/4368371785", "https://www.linkedin.com/jobs/view/4368371785")</f>
        <v/>
      </c>
      <c r="F161" t="inlineStr"/>
      <c r="G161" t="inlineStr"/>
      <c r="H161" t="inlineStr"/>
      <c r="I161"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We are looking for a Platform Product Manager to help shape how shared systems and foundations evolve as the company scales. The role focuses on spotting patterns across what teams are building, deciding when it makes sense to standardize, and ensuring foundations and shared components help teams move faster without adding overhead.
 You will work closely with engineering to balance speed and consistency, making thoughtful decisions about what should be shared and what should remain flexible. We are looking for someone with strong builder instincts, who knows when to step in, when to step back, and how to maximize overall impact.
 In This Role, You Will
* Identify repeated engineering patterns and delivery friction across products and customers.
* Determine when a shared system or standard should exist versus when work should remain product\-owned.
* Partner with engineering to define clear interfaces, ownership, and readiness expectations for shared systems.
* Ensure shared foundations and components become the easiest and safest path for teams to ship.
* Evaluate adoption and real\-world usage of shared systems and use that feedback to guide iteration.
* Keep platform processes lightweight and grounded in real delivery needs.
* Protect product team velocity by avoiding premature standardization or unnecessary coordination.
* Create clarity across teams by making ownership boundaries and expectations explicit.
 You Might Thrive in This Role If You
* Have shipped and scaled real systems and understand delivery tradeoffs.
* Bring a technical or builder mindset and strong product judgment.
* Know how to introduce standards without over\-constraining teams.
* Are comfortable operating in ambiguity and making high\-impact decisions with incomplete information.
* Communicate clearly across engineering and product.
* Bias toward speed, leverage, and practical outcomes over process.
 What Success Looks Like
* Product teams ship faster with less duplicated effort.
* Expanding a product to new customers or regions requires significantly less incremental work.
* Shared systems see broad, voluntary adoption because they are genuinely useful.
* Platform work reduces friction rather than introducing new bottlenecks.
* Decisions about standardization are clearly grounded in real usage and outcomes.</t>
        </is>
      </c>
    </row>
    <row r="162">
      <c r="A162" t="inlineStr">
        <is>
          <t>li-4357504656</t>
        </is>
      </c>
      <c r="B162" t="inlineStr">
        <is>
          <t>Principal Product Manager, Networks</t>
        </is>
      </c>
      <c r="C162" t="inlineStr">
        <is>
          <t>Skylo</t>
        </is>
      </c>
      <c r="D162" t="inlineStr">
        <is>
          <t>linkedin</t>
        </is>
      </c>
      <c r="E162">
        <f>HYPERLINK("https://www.linkedin.com/jobs/view/4357504656", "https://www.linkedin.com/jobs/view/4357504656")</f>
        <v/>
      </c>
      <c r="F162" t="inlineStr"/>
      <c r="G162" t="inlineStr"/>
      <c r="H162" t="inlineStr"/>
      <c r="I162" t="inlineStr">
        <is>
          <t>**About Skylo**
 Skylo is a global Non\-Terrestrial Network service provider based in Mountain View, CA, offering a service that allows smartphone and IoT cellular devices to connect directly over existing satellites. Skylo’s direct\-to\-device service is now live on millions of activated devices across five continents, with more than 60 million square kilometers of coverage, in partnership with multiple satellite operators, mobile network operators (MNOs), Tier\-1 chipset makers, and OEMs. Devices connected over satellite are managed and served by Skylo's commercial NTN vRAN, featuring a 3GPP standards\-based cloud\-native base station and core. Skylo provides an anywhere, anytime connectivity solution that seamlessly roams between terrestrial and satellite networks. Our focus is on enabling connected services for people outdoors and connected workflows across three main verticals: mass\-market consumer devices, automotive, and industrial IoT.
*This role is located Mountain View, CA* 
*where we are onsite 3 days a week in office.* 
*However we remain open to considering remote arrangements for the right candidate.*
**Summary Of How You Will Impact Skylo**
 Skylo is looking for a Principal Product Manager to define the commercial future of our network. You will be responsible for actively hunting for new market opportunities that our unique technology can unlock. You will sit at the intersection of Skylo’s engineering and the global market. Your mandate is to identify unique technical enablers—such as novel capabilities unlocked by standards in the future, or leverage internal research—and translate them into viable, end\-to\-end products. You will define the What and Why for our next generation of services, driving them from technical possibility to commercial reality across new verticals and unchartered markets.
**How You Will Contribute**
* You will look outward to the market to identify unmet customer needs and map them to Skylo’s emerging technical capabilities. You will identify problems that Skylo’s engineering team has solved and package them into sellable solutions.
* Go beyond established MNO use cases to identify and validate entirely new market verticals. You will take ownership of these new opportunities, driving the execution from the initial paper concept through to the first commercial pilot.
* Define the long\-term architectural path for Skylo’s network. You will evaluate high\-stakes strategic trade\-offs and determine how these choices create unique value propositions for new customer segments.
* Translate commercial objectives into clear engineering problems. You will define what success looks like for new services, moving beyond simple connectivity to define the end\-to\-end product experience, including SLAs, pricing models, and go\-to\-market packaging.
* Close the loop between technical feasibility and market appetite. You will continuously validate R\&amp;D concepts with customers, ensuring we invest engineering resources only in the capabilities that have a clear path to revenue.
**What We Look For**
* 15\+ years of related experience across product management, wireless systems engineering, telco strategy, M(V)NO/Telco ecosystem engagements (or 12\+ years with a Master’s degree).
* You have a track record of transforming technical capabilities (like Telco stacks) into sellable products. You can explain why a feature matters to a customer, not just how it works.
* Experience making complex architectural bets. You can articulate the pros and cons of different network topologies and how they affect the end\-user service experience.
* Expert\-level knowledge of the M(V)NO end\-to\-end stack, roaming interfaces, 3GPP, NTN, D2D with the ability to apply this knowledge for strategic product definition.
* Ability to define key performance indicators (KPIs) for network services and use that data to drive the next generation of product requirements.
**What We Offer**
 With employees working across three continents, Skylo is proud to be an equal opportunity employer dedicated to building an inclusive and diverse workforce. Our worldwide and inclusive culture encourages a flexible approach to work, and we also offer an attractive range benefits such as:
* Competitive compensation packages including a stock option based equity program
* Comprehensive benefits including medical, dental, vision, retirement plan
* Monthly allowances for wellness and education reimbursement
* A generous time off policy, holidays, and the opportunity to temporarily work abroad
* Once in a lifetime opportunity to be a part of developing and running world’s first commercial, live direct\-to\-device satellite network and service
* Access to world\-class team and talent across tech domains: software, hardware, chipsets, telecom, satellite and network virtualization
* Open, transparent, inclusive culture that blends the Silicon Valley, Nordic and South Asia characteristics
**Additional Information**
 The compensation range for this position is dependent on location. These ranges reflects the low and high end of the range Skylo reasonably and generally expects to pay the hired candidate in this role.
* Non–Bay Area (U.S.): $198,160 \- $210,545
* Bay Area, CA: $225,760 \- $239,870
**EEO Statement**
 Skylo is an equal\-opportunity employer and we celebrate diversity. We do not discriminate on the basis of race, religion, color, ancestry, national origin, caste, sex, sexual orientation, parent or caregiver status, political affiliation, gender, gender identity or expression, age, disability, medical condition, pregnancy, genetic makeup, marital status, or military service consistent with applicable federal, state, and local laws.
 We are also committed to providing reasonable accommodations for qualified individuals with disabilities and disabled veterans in our job application procedures. Please let us know if you need assistance or accommodation due to a disability.</t>
        </is>
      </c>
    </row>
    <row r="163">
      <c r="A163" t="inlineStr">
        <is>
          <t>li-4368047561</t>
        </is>
      </c>
      <c r="B163" t="inlineStr">
        <is>
          <t>Digital Product Manager</t>
        </is>
      </c>
      <c r="C163" t="inlineStr">
        <is>
          <t>MillerKnoll</t>
        </is>
      </c>
      <c r="D163" t="inlineStr">
        <is>
          <t>linkedin</t>
        </is>
      </c>
      <c r="E163">
        <f>HYPERLINK("https://www.linkedin.com/jobs/view/4368047561", "https://www.linkedin.com/jobs/view/4368047561")</f>
        <v/>
      </c>
      <c r="F163" t="inlineStr"/>
      <c r="G163" t="inlineStr">
        <is>
          <t>Zeeland, MI</t>
        </is>
      </c>
      <c r="H163" t="inlineStr"/>
      <c r="I163"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GENERAL PURPOSE
 The MillerKnoll Technology team is building a customer\-centric, digitally enabled business model to reshape the way our family of brands does business. We’re creating frictionless customer experiences through digital solutions across our platforms, and we need a Digital Product Manager focused on
 **Product Information Management (PIM)** 
 to help enable our
 **B2B and Dealer channels** 
 .
 As the Digital Product Manager for the
 **B2B/Dealer channel within our enterprise PIM platform** 
 , you will
 **own the channel roadmap and backlog** 
 , partnering closely with business leaders and delivery teams to
 **capture needs, lead discovery, translate needs into clear requirements** 
 , and
 **drive those requirements through delivery, rollout, and adoption** 
 . We are looking for a strategic, highly collaborative product leader with a strong understanding of the
 **B2B ecosystem and dealer network** 
 , as well as
 **product data, master data concepts, and system integrations** 
 . You will work with architecture, engineering, and data governance partners to ensure solutions are scalable across the enterprise while delivering measurable improvements for dealer users—such as
 **faster item setup, higher data quality, and more reliable downstream integrations** 
 .
**Essential Functions**
* Identifies 1st through final degree customer needs. Acts as the champion of the customer needs.
* Collaborates with product and engineering teams on both internal and external bugs and feature improvements.
* Defines product features and requirements. Prioritizes based on enterprise goals, technology and customer goals and needs.
* Uses influence and negotiation skills to create and advance a user first roadmap.
* Ensures that all necessary user acceptance, performance, and postproduction testing is conducted and documented according to MillerKnoll testing guidelines.
* Fosters a culture of customer\-centered design throughout the organization.
* Identifies opportunities and trends from the digital marketplace, analyzing relevant vendors and keeping an eye toward our competitive landscape.
* Manages vendor and stakeholder relationships, including RFP, contract negotiations, spend tracking, and external roadmap / upgrade notifcations.
* Researches and maintains knowledge of emerging technologies and how they may optimize current business practices.
* Utilizes analytics and customer research to measure product effectiveness and to direct future product development.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in IT or Business, or a related field, or an equivalent combination of education and experience.
* 3\-5 years of experience in product or delivery management, preferably within digital.
**Skills And Abilities**
* A passion for and understanding of digital products and marketplaces.
* Strong analytical skills with a deep understanding of product data.
* Experience in requirements analysis and definition.
* A deep understanding of the contemporary digital ecosystem.
* Excellent written and verbal communication skills with the ability to influence decision making and creative concepts.
* A history of delivering consistent results with a high attention to detail.
* The ability to use automation, communication, software, and tools in the Herman Miller office environment.
* The ability to perform all essential job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164">
      <c r="A164" t="inlineStr">
        <is>
          <t>li-4368048354</t>
        </is>
      </c>
      <c r="B164" t="inlineStr">
        <is>
          <t>Senior Product Manager</t>
        </is>
      </c>
      <c r="C164" t="inlineStr">
        <is>
          <t>SimplyInsured</t>
        </is>
      </c>
      <c r="D164" t="inlineStr">
        <is>
          <t>linkedin</t>
        </is>
      </c>
      <c r="E164">
        <f>HYPERLINK("https://www.linkedin.com/jobs/view/4368048354", "https://www.linkedin.com/jobs/view/4368048354")</f>
        <v/>
      </c>
      <c r="F164">
        <f>HYPERLINK("https://job-boards.greenhouse.io/si/jobs/7582875&amp;urlHash=BTUX", "https://job-boards.greenhouse.io/si/jobs/7582875&amp;urlHash=BTUX")</f>
        <v/>
      </c>
      <c r="G164" t="inlineStr"/>
      <c r="H164" t="inlineStr"/>
      <c r="I164" t="inlineStr">
        <is>
          <t>**At SimplyInsured we are on a mission to eliminate fear in health insurance.**
 Health insurance is complicated, expensive, and really important \- so it tends to create fear for most people; our goal is to reduce that fear as much as possible.
 We specifically work with small business owners who have the enormous task of purchasing the right type of insurance for their employees and their families. With more than 20,000 customers and several major partnerships, including NetSuite, Toast, and Square, we're growing quickly and disrupting this convoluted and confusing industry by making it more transparent and fully accessible to everyone. We got our start in the Y\-Combinator incubator, and have been funded by top\-tier investors at Polaris Partners, Bessemer Venture Partners, New York Life Ventures and AltaIR Capital.
**Job Summary**
 The Senior Product Manager will report directly to the CEO and work closely with our product, engineering, and operations teams to establish the direction for the future of our platform, helping us serve small businesses with their insurance needs through new integrated partnerships and new product development.
**What You’ll Do**
* Serve as a strategic Product leader for the launch of new integrated partnerships and new product development.
* You'll be responsible for gathering, structuring, and prioritizing product requirements from internal and external stakeholders
* Execute the roadmap across our technology stack to deliver industry\-leading service at scale
* Develop strong cross\-functional relationships to connect the product, the value proposition, and the audience
* Synthesize and summarize competitive intel, industry data, and market feedback into actionable insights for internal teams
* Bring ideas on best approaches to making our products more effective in new and innovative ways
* Partner with the engineer teams to bring the product vision to life with prototypes and mocks
**What You’ll Bring**
* 7\+ years of product management experience with senior\-level responsibilities and roadmap ownership
* Experience working in early\-stage startups (Fintech, SaaS, Healthtech, Insurtech)
* 0\-1 product development experience
* Hands\-on experience with consumer\-facing products for SaaS and/or marketplace products
* Experience developing creative solutions to complex problems
* Creative and analytical thinking
* Proactive problem solver
**What We Offer**
* Generous stock option packages
* Competitive compensation package with an annual discretionary bonus
* “Take what you need” time off plan
* 100% Company paid Medical, Dental, and Vision Insurance options for employees and family members
* 401k plan
* A values\-based culture that invests in employee success
* Remote first environment
**Compensation**
 The base salary range for this position is $150,000\-175,000\.
 We have a market\-based compensation structure. The salary for this position may vary based on a candidate's experience, industry expertise, technical skills, and location. The range provided is just one component of total compensation including, but not limited to bonus eligibility based upon the achievement of performance objectives and company stock options.
**Our Culture**
 We value radical transparency, feedback, bias to action, growth, and an obligation to dissent. Every opinion is respected, we hold each other to extremely high standards, we're driven by the diversity in our backgrounds, and unified by 100% alignment on our mission.
 Research shows that candidates from underrepresented backgrounds often don't apply for roles if they don't meet all the criteria. We strongly encourage you to apply if you're interested; we'd love to learn how you can amplify our team with your unique experience!
*We are an equal opportunity employer and value diversity at our company. We do not discriminate on the basis of race, religion, color, national origin, gender, sexual orientation, age, marital status, veteran status, or disability status.*</t>
        </is>
      </c>
    </row>
    <row r="165">
      <c r="A165" t="inlineStr">
        <is>
          <t>li-4357354679</t>
        </is>
      </c>
      <c r="B165" t="inlineStr">
        <is>
          <t>Product Manager</t>
        </is>
      </c>
      <c r="C165" t="inlineStr">
        <is>
          <t>Presidio</t>
        </is>
      </c>
      <c r="D165" t="inlineStr">
        <is>
          <t>linkedin</t>
        </is>
      </c>
      <c r="E165">
        <f>HYPERLINK("https://www.linkedin.com/jobs/view/4357354679", "https://www.linkedin.com/jobs/view/4357354679")</f>
        <v/>
      </c>
      <c r="F165" t="inlineStr"/>
      <c r="G165" t="inlineStr"/>
      <c r="H165" t="inlineStr"/>
      <c r="I165" t="inlineStr">
        <is>
          <t>**Presidio, Where Teamwork and Innovation Shape the Future**
 At Presidio, we’re at the forefront of a global technology revolution, transforming industries through cutting\-edge digital solutions and next\-generation AI. We empower businesses—and their customers—to achieve more through innovation, automation, and intelligent insights.
**The Role**
**Presidio, Where Teamwork and Innovation Shape the Future**
 At Presidio, we’re at the forefront of a global technology revolution, transforming industries through cutting\-edge digital solutions and next\-generation AI. We empower businesses—and their customers—to achieve more through innovation, automation, and intelligent insights.
**The Role**
 We are seeking an experienced Product Manager to lead the definition, development, launch, and support the lifecycle of key generative AI offerings, industry\-specific service accelerators within our Solution Engineering team at Presidio.
 This role combines deep product management expertise, Solution Engineering oversight and industry domain knowledge to create compelling solutions that accelerate client engagement and drive business growth. The successful candidate will own and support the end\-to\-end product lifecycle from ideation through launch.
 The right candidate can navigate through solution and service definitions, internal documentation (MRD/PRD), financial modeling inputs, and product and enablement collateral across Presidio's core industry teams. As we develop our product management functionality where products are services, this role is fundamental to our evolution.
 The Services Product Manager works closely with our key practice areas, portfolio, field sales, engineering leads, service delivery, finance, and marketing to ensure offerings are well\-articulated, scalable, and aligned with customer outcomes and market demand.
**Responsibilities Include**
**Product Development \&amp; Strategy**
* Solution Engineering \&amp; Accelerator Development: product Planning and oversight of Design and development industry\-specific service accelerators that address unique sector challenges and opportunities.
* Solution Engineering Oversight \- Collaborate with platform and development teams to inform backlog prioritization, feature requirements, and delivery milestones.
* Product Market Research: Conduct comprehensive market analysis to identify industry pain points, competitive landscape, and opportunity sizing.
* Product Roadmap: Create and maintain strategic product roadmaps aligned with business objectives and market demands.
* Stakeholder Collaboration: Partner closely with delivery teams, subject matter experts, and industry consultants to ensure accelerator relevance and viability.
**Product Go\-To\-Market**
* Product Feature \&amp; Value Framework: work in collaboration with Portfolio, Solution Engineering.
* Solution / Accelerator Budget Management \- Manage, track and ensure financial modeling and pricing logic are validated with Finance and SalesOps.
* Launch Planning: Lead cross\-functional launch initiatives, coordinating with marketing, sales, and delivery teams.
* Market Positioning: Create compelling value propositions that differentiate our accelerators in competitive markets. Collaborate with Product marketing and enablement to develop comprehensive go\-to\-market strategies for each industry accelerator, including positioning, messaging, and channel strategy.
* Performance Metrics: Define and track key success metrics for accelerator adoption and business impact.
**Industry Expertise**
* Domain Knowledge: Leverage deep industry understanding to inform product decisions and market strategies.
* Thought Leadership: Create industry\-specific content including whitepapers, case studies, and presentation.
* Industry Relationships: Build and maintain relationships with key industry stakeholders, analysts, and thought leaders.
* Regulatory Awareness: Stay current on industry regulations, compliance requirements, and emerging trends.
* Competitive Intelligence: Monitor competitive landscape and adjust strategies accordingly. Conduct ongoing competitive analysis and industry benchmarking to shape the longer\-term product roadmap.
**Product Delivery Readiness**
* Pre\-Sales Readiness \- support Field Sales, Solutions Architects, and Partner teams with presales messaging and RFP support.
* Delivery Readiness \- Collaborate with Service Delivery and Operations teams to document SLAs, delivery models, and handoffs.
* Product Documentation \- Define, maintain, and evolve an up\-to\-date repository of offering documentation, service offering documentation including internal playbooks, customer\-facing collateral, and pricing models.
* Product Lifecycle / Change Management \- Lead regular cross\-functional reviews to assess offering performance and backlog health. This includes serving as the voice of the offering internally and champion roadmap updates through the Presidio governance process.
**Required Background \&amp; Skills**
* Product Management: 6\-8 years of product management experience, preferably in B2B services, Technology or Services/Consulting environment. Experience working in cross\-functional product or portfolio teams.
* Industry Expertise: Deep understanding and experience in one or more of the following industries:
+ Financial Services
+ HCLS \| Healthcare – Payer/Provider and Life Sciences
+ Technology, Media \&amp; Entertainment (TME) \+ Gaming / Sports
+ Retail / Manufacturing
+ State, Local \&amp; Education (SLED)
* Go\-to\-Market: Proven track record of successful product launches and GTM
* Services Background: Experience with professional services, consulting, or solution development
* Project Management Best Practices: Familiarity with tools like Jira, Confluence, Salesforce, Excel, and Lucid chart or equivalent. Exposure to ITIL, Agile, and cloud\-native product lifecycle practices preferred.
* Application Development Best Practices \- Experience managing multiple application development, Network or cloud / data center solutions engineering engagement.
**Technical Skills**
* Cloud Providers / Hyperscalers \- Familiarity with modern cloud services, including areas such as: Azure, AWS, GCP and multi\-cloud solutions.
* Experience with Agile delivery models and backlog/epic/story writing.
* Analytics: Proficiency in market research, data analysis, and performance measurement tools.
* Documentation: Strong technical writing and documentation skills.
* Presentation: Excellent presentation and communication abilities for executive and client audiences.
* Project Management: Experience with agile methodologies and project management tools
**Core Competencies**
* Strategic \&amp; Analytical Thinking: Ability to translate market insights into actionable product strategies.
* Cross\-functional Leadership: Experience leading initiatives across multiple teams and stakeholders.
* Collaboration and Team work: Highly collaborative approach and mindset with the ability to interface across sales, delivery, and technical teams.
* Client Focus: Strong customer empathy and ability to translate client needs into product requirements.
* Business Acumen: Understanding of P\&amp;L responsibility and business model considerations.
* Financial fluency: can interpret cost models, margin analysis, and ROI logic.
* Adaptability: Ability to manage multiple offerings and competing priorities. Comfort with ambiguity and iterating with speed.
**Preferred Qualifications**
* Bachelor’s or equivalent Experience.
* MBA or Advanced Degree in relevant field preferred
* Consulting Experience with technology consulting firms or industry\-specific advisory roles
* Technology Background with understanding of emerging technologies (AI/ML, cloud, automation)
* Industry Certifications relevant to target verticals.
* Detail\-oriented: self\-motivated, and comfortable managing complexity.
* Speaking/Writing Experience at industry conferences or publications, Strong written and verbal com
**Physical Requirements**
 May involve periods of sitting and screen time. Limited travel (\&lt;10%) may be required to attend in\-person planning sessions or customer meetings.
**Your future at Presidio**
 Joining Presidio means stepping into a culture of trailblazers—thinkers, builders, and collaborators—who push the boundaries of what’s possible. With our expertise in AI\-driven analytics, cloud solutions, cybersecurity, and next\-gen infrastructure, we enable businesses to stay ahead in an ever\-evolving digital world.
 Here, your impact is real. Whether you're harnessing the power of Generative AI, architecting resilient digital ecosystems, or driving data\-driven transformation, you’ll be part of a team that is shaping the future.
**Ready to innovate? Let’s redefine what’s next—together.**
**About Presidio**
 At Presidio, speed and quality meet technology and innovation. Presidio is a trusted ally for organizations across industries with a decades\-long history of building traditional IT foundations and deep expertise in AI and automation, security, networking, digital transformation, and cloud computing. Presidio fills gaps, removes hurdles, optimizes costs, and reduces risk. Presidio’s expert technical team develops custom applications, provides managed services, enables actionable data insights and builds forward\-thinking solutions that drive strategic outcomes for clients globally.
 **For more information, visit www.presidio.com** 
**.**
 \*\*\*\*\*
 Applications will be accepted on a rolling basis.
*Presidio is an Equal Opportunity / Affirmative Action Employer / VEVRAA Federal Contractor. All qualified candidates will receive consideration for this position regardless of race, color, creed, religion, national origin, age, sex, citizenship, ethnicity, veteran status, marital status, disability, sexual orientation, gender identification or any other characteristic protected by applicable federal, state, and local statutes, regulations, and ordinances.*
*To read more about discrimination protections under Federal Law, please visit:* 
 https://www.dol.gov/ofccp/regs/compliance/posters/pdf/OFCCP\_EEO\_Supplement\_Final\_JRF\_QA\_508c.pdf
*If you have any difficulty using our online system and need an accommodation in the job application process due to a disability, please send an email to* 
*recruitment@presidio.com* 
*for assistance.*
*Presidio is a VEVRAA Federal Contractor requesting priority referrals of protected veterans for its openings. State Employment Services, please provide priority referrals to* 
*recruitment@presidio.com* 
*.*
*Notice to Massachusetts Candidates: It is unlawful in Massachusetts to require or administer a lie detector test as a condition of employment or continued employment. An employer who violates this law shall be subject to criminal penalties and civil liability.*
***Recruitment Agencies, Please Note:***
 Presidio does not accept unsolicited agency resumes/CVs. Do not forward resumes/CVs to our careers email address, Presidio employees or any other means. Presidio is not responsible for any fees related to unsolicited resumes/CVs.
***DCW***</t>
        </is>
      </c>
    </row>
    <row r="166">
      <c r="A166" t="inlineStr">
        <is>
          <t>li-4357484146</t>
        </is>
      </c>
      <c r="B166" t="inlineStr">
        <is>
          <t>Product Manager</t>
        </is>
      </c>
      <c r="C166" t="inlineStr">
        <is>
          <t>SoTalent</t>
        </is>
      </c>
      <c r="D166" t="inlineStr">
        <is>
          <t>linkedin</t>
        </is>
      </c>
      <c r="E166">
        <f>HYPERLINK("https://www.linkedin.com/jobs/view/4357484146", "https://www.linkedin.com/jobs/view/4357484146")</f>
        <v/>
      </c>
      <c r="F166" t="inlineStr"/>
      <c r="G166" t="inlineStr">
        <is>
          <t>Houston, TX</t>
        </is>
      </c>
      <c r="H166" t="inlineStr"/>
      <c r="I166" t="inlineStr">
        <is>
          <t>**Job Title: Product Manager** 
**Location: Houston, Texas** 
**Type: Full Time** 
 Our client is looking for a Product Manager to oversee a portfolio of product categories and support pricing, category strategy, supplier coordination, and customer‑focused solutions. This role plays a key part in maintaining core assortments, evaluating product performance, and driving business growth through strong internal and external partnerships.
**Key Responsibilities** 
**Product Pricing \&amp; Portfolio Management** 
* Support new item setup and ensure accurate system maintenance
* Recommend and implement updates to pricing structures
* Manage packaging needs and changes within assigned categories
* Maintain category documentation and change forms
* Conduct ongoing product evaluations to ensure compliance and monitor market trends
**Category Management \&amp; Product Development** 
* Apply a structured category management process to drive sales, deliver variety, and support innovation
* Identify opportunities to improve efficiency and optimize the product mix
**Financial Management** 
* Contribute insights to financial and business planning
* Ensure pricing accuracy and resolve discrepancies
* Manage supplier‑related billing, pricing, and service issues
**Supplier Management** 
* Participate in supplier business reviews
* Build strong supplier relationships through collaboration and issue resolution
* Lead processes related to assortment updates and supplier ship‑point changes in coordination with cross‑functional teams
**Customer Engagement** 
* Support sales teams with product presentations and tools
* Provide product, pricing, and assortment solutions to meet customer needs and drive growth
**Enterprise Support** 
* Assist in developing product knowledge materials and sales‑support tools
* Support corporate and field events as needed
* Perform additional tasks to support overall business results
**Qualifications** 
* Bachelor’s degree preferred
* Experience in merchandising, pricing, product management, customer service, or related fields
* Experience in product‑driven or foodservice‑related industries is an advantage
* Proficiency in Microsoft Excel (VLOOKUP, pivot tables, sorting, filtering)
* Familiarity with enterprise systems and reporting tools
* Strong analytical, organizational, and communication skills</t>
        </is>
      </c>
    </row>
    <row r="167">
      <c r="A167" t="inlineStr">
        <is>
          <t>li-4368058284</t>
        </is>
      </c>
      <c r="B167" t="inlineStr">
        <is>
          <t>AI Product Manager - Remote</t>
        </is>
      </c>
      <c r="C167" t="inlineStr">
        <is>
          <t>RemoteHunter</t>
        </is>
      </c>
      <c r="D167" t="inlineStr">
        <is>
          <t>linkedin</t>
        </is>
      </c>
      <c r="E167">
        <f>HYPERLINK("https://www.linkedin.com/jobs/view/4368058284", "https://www.linkedin.com/jobs/view/4368058284")</f>
        <v/>
      </c>
      <c r="F167" t="inlineStr"/>
      <c r="G167" t="inlineStr"/>
      <c r="H167" t="inlineStr"/>
      <c r="I167"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8">
      <c r="A168" t="inlineStr">
        <is>
          <t>li-4361205954</t>
        </is>
      </c>
      <c r="B168" t="inlineStr">
        <is>
          <t>Senior Product Manager - HealthTech - Greenfield</t>
        </is>
      </c>
      <c r="C168" t="inlineStr">
        <is>
          <t>FutureX.</t>
        </is>
      </c>
      <c r="D168" t="inlineStr">
        <is>
          <t>linkedin</t>
        </is>
      </c>
      <c r="E168">
        <f>HYPERLINK("https://www.linkedin.com/jobs/view/4361205954", "https://www.linkedin.com/jobs/view/4361205954")</f>
        <v/>
      </c>
      <c r="F168" t="inlineStr"/>
      <c r="G168" t="inlineStr">
        <is>
          <t>Miami, FL</t>
        </is>
      </c>
      <c r="H168" t="inlineStr"/>
      <c r="I168" t="inlineStr">
        <is>
          <t>We’re hiring a Senior Product Manager to own and scale a core product within a rapidly growing healthtech startup. This is a high\-impact role with direct exposure to senior leadership and a clear progression path to
 **Head of Product** 
 as the company continues to scale.
 You’ll lead product strategy, discovery, and execution across complex, regulated product areas, working closely with engineering, design, clinical, and commercial teams. The focus is on driving real outcomes—balancing speed, quality, and compliance in a fast\-moving environment.
**What you’ll do:** 
* Own product strategy and roadmap across multi\-team initiatives
* Translate company goals into clear product outcomes and success metrics
* Lead discovery through user research, data, and stakeholder collaboration
* Write clear product requirements and guide teams through delivery
* Navigate trade\-offs across scope, timing, and regulatory constraints
* Ensure products meet healthcare, privacy, and compliance standards
* Communicate progress and insights directly to leadership
**Required (non\-negotiable):** 
* **Proven product management experience within a healthtech startup focusing on mobile app's and integrations**
* Experience operating in regulated healthcare environments
* Ownership of complex product areas with measurable impact
* Comfort working in ambiguity and scaling environments
*Candidates without startup healthtech experience will not be considered.*</t>
        </is>
      </c>
    </row>
    <row r="169">
      <c r="A169" t="inlineStr">
        <is>
          <t>li-4368410804</t>
        </is>
      </c>
      <c r="B169" t="inlineStr">
        <is>
          <t>Product Manager, Operations</t>
        </is>
      </c>
      <c r="C169" t="inlineStr">
        <is>
          <t>Stride Soles</t>
        </is>
      </c>
      <c r="D169" t="inlineStr">
        <is>
          <t>linkedin</t>
        </is>
      </c>
      <c r="E169">
        <f>HYPERLINK("https://www.linkedin.com/jobs/view/4368410804", "https://www.linkedin.com/jobs/view/4368410804")</f>
        <v/>
      </c>
      <c r="F169" t="inlineStr"/>
      <c r="G169" t="inlineStr"/>
      <c r="H169" t="inlineStr"/>
      <c r="I169" t="inlineStr">
        <is>
          <t>**Company Description** 
 Stride Soles is a digital platform revolutionizing podiatry by connecting individuals with licensed podiatrists to provide custom\-designed orthotic insoles through a seamless virtual experience. Utilizing telehealth consultations, advanced gait analysis, and 3D modeling, Stride Soles delivers expert foot care that is accessible, affordable, and highly personalized. Our innovative approach eliminates the need for in\-person visits, empowering people to improve their foot health from the comfort of their homes.
**Role Description** 
 This is a full\-time, remote position. As a Product Manager, Operations at Stride Soles, you will oversee the development and optimization of operational processes and workflows. The role involves coordinating cross\-functional teams, implementing operational strategies, and continuously improving efficiency to support our product delivery. Your day\-to\-day tasks will include managing supply chain logistics, vendor partnerships, customer onboarding, and analyzing performance metrics for process improvement.
**Qualifications** 
* Experience in product management, project management, and operational strategy execution
* Strong analytical and problem\-solving skills with proficiency in data analysis tools and performance tracking
* Ability to lead cross\-functional teams and manage stakeholder communication effectively
* Knowledge of supply chain logistics, vendor management, and process optimization
* Experience with customer experience enhancement and onboarding processes
* Excellent written and verbal communication, organization, and multitasking skills
* Bachelor’s degree in Business Administration, Operations Management, or a related field (MBA is a plus)
* Previous experience in a health tech, e\-commerce, or consumer goods environment is advantageous
 Note: Job Pays $100,000 USD, with stock equity plans</t>
        </is>
      </c>
    </row>
    <row r="170">
      <c r="A170" t="inlineStr">
        <is>
          <t>li-4368402754</t>
        </is>
      </c>
      <c r="B170" t="inlineStr">
        <is>
          <t>Product Manager</t>
        </is>
      </c>
      <c r="C170" t="inlineStr">
        <is>
          <t>JMJ Phillip Group</t>
        </is>
      </c>
      <c r="D170" t="inlineStr">
        <is>
          <t>linkedin</t>
        </is>
      </c>
      <c r="E170">
        <f>HYPERLINK("https://www.linkedin.com/jobs/view/4368402754", "https://www.linkedin.com/jobs/view/4368402754")</f>
        <v/>
      </c>
      <c r="F170" t="inlineStr"/>
      <c r="G170" t="inlineStr">
        <is>
          <t>Toledo, Ohio Metropolitan Area</t>
        </is>
      </c>
      <c r="H170" t="inlineStr"/>
      <c r="I170" t="inlineStr">
        <is>
          <t>A well\-established manufacturer in the solar industry is seeking a Product Manager in the Toledo, Ohio area.
 Candidates Must Have:
* Bachelors degree in engineering; Masters preferred.
* 10\+ years of experience working in a manufacturing setting
* 2\+ years of experience in a product manager role
* Background working in semiconductor, renewable energy, electronics or related
* Experience overseeing product life cycle from start to finish</t>
        </is>
      </c>
    </row>
    <row r="171">
      <c r="A171" t="inlineStr">
        <is>
          <t>li-4352585659</t>
        </is>
      </c>
      <c r="B171" t="inlineStr">
        <is>
          <t>Digital Product Manager</t>
        </is>
      </c>
      <c r="C171" t="inlineStr">
        <is>
          <t>SquareTrade</t>
        </is>
      </c>
      <c r="D171" t="inlineStr">
        <is>
          <t>linkedin</t>
        </is>
      </c>
      <c r="E171">
        <f>HYPERLINK("https://www.linkedin.com/jobs/view/4352585659", "https://www.linkedin.com/jobs/view/4352585659")</f>
        <v/>
      </c>
      <c r="F171" t="inlineStr"/>
      <c r="G171" t="inlineStr">
        <is>
          <t>San Francisco, CA</t>
        </is>
      </c>
      <c r="H171" t="inlineStr"/>
      <c r="I171" t="inlineStr">
        <is>
          <t>**Company Description**
 SquareTrade/Allstate Protection Plans (“APP”) is the fastest growing company of its kind. We’re revolutionizing a $30b industry with service innovation and attention to customer satisfaction. We partner with some of the largest, most sophisticated retailers and carriers in the world (Home Depot, Walmart, Target, Amazon, Costco, and T\-Mobile to name a few), consistently win industry awards, have received tens of thousands of 5\-star reviews… and we’re just getting started. A member of the Allstate family, APP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Digital Product Manager to support strategic initiatives that accelerate our roadmap for troubleshooting and claim filing. As a Digital Product Manager, you will support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support and contribute to the strategic product vision, roadmap, and backlog to maximize enterprise and customer value.
 Beyond discovery, you will partner with engineering and global product teams to drive solutioning and reimagine the end\-to\-end experience. In this high\-impact role, you’ll define desired key results,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Contribute to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a curious, empathetic and customer obsessed mindset
* Communicate clearly and build trust by fostering strong relationships with stakeholders and ensuring alignment through transparent updates and collaboration.
* Use data to guide decisions, leveraging KPIs, customer feedback, and insights to support prioritization and influence product direction within the team.
* Engage in discovery and test\-and\-learn activities to validate assumptions and guide product direction
* Can decompose problems into manageable stories to then create and prioritize a clear backlog for the product team
* Can support roadmap execution, aligning work with the product vision and providing timely input during development cycles to keep progress on track.
* Can identify risks and concerns early along with identifying opportunities to deliver value
* Are flexible and adaptable, able to navigate ambiguity within your product and across the organization while maintaining focus on outcomes
**Qualifications**
* 2\+ years of experience as a product manager within a technology development environment
* Experience driving measurable business or product outcomes and breaking down work into iterative and incremental delivery to achieve those outcomes
* BA/BS Degree
**Nice to Have:**
* Knowledge of AI technologies (LLMs, GenAI, and Agentic AI)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$145K \- 170K
 SquareTrade estimates the possible base compensation for this role, if hired in the Denver, Colorado, to be in the range : $105K \- 130K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172">
      <c r="A172" t="inlineStr">
        <is>
          <t>li-4328812754</t>
        </is>
      </c>
      <c r="B172" t="inlineStr">
        <is>
          <t>Product Manager, Partner Trip Platform</t>
        </is>
      </c>
      <c r="C172" t="inlineStr">
        <is>
          <t>Waymo</t>
        </is>
      </c>
      <c r="D172" t="inlineStr">
        <is>
          <t>linkedin</t>
        </is>
      </c>
      <c r="E172">
        <f>HYPERLINK("https://www.linkedin.com/jobs/view/4328812754", "https://www.linkedin.com/jobs/view/4328812754")</f>
        <v/>
      </c>
      <c r="F172" t="inlineStr"/>
      <c r="G172" t="inlineStr">
        <is>
          <t>Mountain View, CA</t>
        </is>
      </c>
      <c r="H172" t="inlineStr"/>
      <c r="I17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73">
      <c r="A173" t="inlineStr">
        <is>
          <t>li-4357574185</t>
        </is>
      </c>
      <c r="B173" t="inlineStr">
        <is>
          <t>Product Manager</t>
        </is>
      </c>
      <c r="C173" t="inlineStr">
        <is>
          <t>Merative</t>
        </is>
      </c>
      <c r="D173" t="inlineStr">
        <is>
          <t>linkedin</t>
        </is>
      </c>
      <c r="E173">
        <f>HYPERLINK("https://www.linkedin.com/jobs/view/4357574185", "https://www.linkedin.com/jobs/view/4357574185")</f>
        <v/>
      </c>
      <c r="F173" t="inlineStr"/>
      <c r="G173" t="inlineStr"/>
      <c r="H173" t="inlineStr"/>
      <c r="I173" t="inlineStr">
        <is>
          <t>**Join a team dedicated to supporting the crucial mission of improving health outcomes.**
**At Merative, you can apply your skills – and grow new ones – with colleagues who have deep expertise in health and technology. Merative provides data, analytics and software for the health industry. Our clients include providers, health plans, employers, life sciences companies and governments around the world. With industry\-leading products and focused innovation, we help customers improve decision\-making and performance so that together, we drive real progress in health. Learn more at merative.com**
 We are seeking a Product Manager to own engagement and retention outcomes across our platform. In this high\-impact role, you will develop the product vision, strategy, and execution for experiences that deepen user engagement and drive long\-term retention. You will define what keeps users coming back, build the systems that deliver personalized value at the right moments, and measure success through rigorous experimentation.
 This is a hands\-on, data\-driven role where you will leverage AI and modern tooling to accelerate discovery, prototype solutions, and deliver measurable impact. You will partner closely with engineering, design, data science, and marketing to build experiences that transform casual users into loyal, engaged customers.
**Key Responsibilities**
* Own engagement and retention metrics: Define, track, and drive improvements to key engagement indicators (DAU/MAU, session frequency, feature adoption) and retention metrics (D1/D7/D30 retention, churn reduction, reactivation rates).
* Develop engagement strategy: Build the product vision and roadmap for experiences that deepen user engagement, including habit\-forming loops, personalized journeys, and contextual nudges that guide users toward value.
* Drive retention through product\-led initiatives: Design and execute strategies to reduce churn, increase stickiness, and re\-engage lapsed users through lifecycle marketing, personalization, and product interventions.
* Leverage AI to accelerate product development: Use AI\-powered tools for prototyping, data analysis, content generation, and experimentation. Apply AI to personalize user experiences and predict engagement patterns.
* Lead experimentation and optimization: Design and run rigorous A/B tests, analyze results, and iterate rapidly. Build frameworks for segmentation, targeting, and journey optimization in partnership with data science.
* Build engagement infrastructure: Lead the creation of foundational systems including contextual messaging, in\-app marketing surfaces, and personalization frameworks that scale across the product.
* Collaborate cross\-functionally: Partner with engineering, design, marketing, and analytics to deliver cohesive experiences. Influence stakeholders across the organization to align on engagement priorities.
* Translate insights into action: Use quantitative data to identify opportunities and qualitative research to understand user motivations. Turn insights into clear product requirements and user stories.
**Qualifications**
* 3\+ years of product management experience with a focus on engagement, retention, growth, or lifecycle product development.
* Proven track record of driving measurable improvements to engagement and retention metrics through experimentation and product iteration.
* Proficiency with AI tools: Demonstrated experience using AI for product development, including prototyping (Claude, Lovable, Cursor, Figma Make), data analysis, or building AI\-powered features.
* Strong analytical skills with ability to write SQL queries, interpret data, and make data\-driven decisions.
* Experience with A/B testing frameworks, funnel optimization, and cohort analysis.
* Understanding of behavioral psychology, habit formation, and user motivation frameworks.
* Excellent collaboration and communication skills; able to influence and align stakeholders across technical and business teams.
* Self\-starter who thrives in ambiguity and is biased toward action and outcomes.
**Bonus Qualifications**
* Experience building personalization frameworks, recommendation systems, or messaging infrastructure.
* Background in consumer products, SaaS, fintech, or healthcare technology.
* Experience with lifecycle marketing tools (Braze, Iterable, Customer.io) or product analytics platforms (Amplitude, Mixpanel).
* Track record of mentoring junior PMs or leading cross\-functional initiatives.
* Experience applying machine learning or predictive analytics to engagement or retention challenges.
**Compensation**
 The salary range provided in this job posting is intended to reflect the general market value for the position. The actual salary offered may vary based on factors such as the candidate’s experience, qualifications, skills, and the specific requirements of the role. This range may also be subject to change as market conditions evolve. We encourage open communication throughout the interview process to discuss compensation expectations. For base\-salary \+ commission sales roles, the range represents On\-Target Earnings.
 Min – Max :
 $115,360\.00 \- $173,040\.00 (USD)
**Benefits**
 The benefits described represent the current offerings at our organization, however, benefits are subject to change and may vary by location and employment status. We strive to provide a comprehensive benefits package that supports our employees’ health, wellness, and financial goals. Please note that benefits may be discussed in more detail during the hiring process.
* Remote first / work from home culture
* Flexible vacation to help you rest, recharge, and connect with loved ones
* Paid leave benefits
* Health, dental, and vision insurance
* 401k retirement savings plan
* Infertility benefits
* Tuition reimbursement, life insurance, EAP – and more!
*It is the policy of Merative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Merative will provide reasonable accommodations for qualified individuals with disabilities.*
*Merative participates in the federal E\-Verify program to confirm the identity and employment authorization of all newly hired employees. For further information about the E\-Verify program, please click here: http://www.uscis.gov/e\-verify/employees*</t>
        </is>
      </c>
    </row>
    <row r="174">
      <c r="A174" t="inlineStr">
        <is>
          <t>li-4357504304</t>
        </is>
      </c>
      <c r="B174" t="inlineStr">
        <is>
          <t>Product Owner, Manager</t>
        </is>
      </c>
      <c r="C174" t="inlineStr">
        <is>
          <t>Incident IQ</t>
        </is>
      </c>
      <c r="D174" t="inlineStr">
        <is>
          <t>linkedin</t>
        </is>
      </c>
      <c r="E174">
        <f>HYPERLINK("https://www.linkedin.com/jobs/view/4357504304", "https://www.linkedin.com/jobs/view/4357504304")</f>
        <v/>
      </c>
      <c r="F174" t="inlineStr"/>
      <c r="G174" t="inlineStr"/>
      <c r="H174" t="inlineStr"/>
      <c r="I174" t="inlineStr">
        <is>
          <t>**Company Overview:**
**About Us:**
 Atlanta\-based Incident IQ is the leading workflow management platform built exclusively for K\-12 districts. Trusted by over 2,000 districts, Incident IQ powers mission\-critical services for more than 12 million students and educators nationwide. By connecting technology and operational workflows, Incident IQ enables schools to streamline processes, reduce administrative burdens, and focus on what matters most: supporting students.
**Purpose:**
 Incident IQ is committed to creating a future where every K\-12 district operates with seamless efficiency. When operations are unified on a single platform, districts gain the clarity and control needed to build a stronger foundation for student success. We’re focused on delivering the tools, support, and partnerships that help make that vision a reality.
**Mission:**
 Incident IQ is on a mission to eliminate the friction of disconnected systems and clunky workflows that slow schools down. We’re reimagining the critical work that happens behind the scenes, bringing visibility, efficiency, and impact to the processes that keep classrooms running. By streamlining the complex, automating the routine, and surfacing the insights that matter most, we can create the conditions for educators to teach, students to thrive, and districts to shape the future of education.
**Product Owner, Manager Overview:**
 The Product Owner Manager owns the product side of delivery execution across multiple teams, ensuring predictable, on\-time releases and high\-quality outcomes. This role leads and develops a team of Product Owners, drives consistency in agile execution, and ensures strong backlog discipline, feature lifecycle management, capacity planning, and product usage analysis. Serving as a key connector between Product Strategy, Engineering, Design, Customer Success, and executive leadership, the Product Owner Manager provides clear visibility into delivery health, risks, capacity, and key product metrics, while acting as the primary escalation point for product delivery and support\-related issues.
**Product Owner, Manager Responsibilities:**
* Manage, coach, and develop a team of Product Owners to ensure high\-quality product execution and professional growth.
* Drive consistent execution of quarterly and 3\-month product roadmaps across multiple scrum teams.
* Own the product side of delivery, ensuring all product releases are planned, coordinated, and delivered on time.
* Serve as the primary point of contact for Customer Success escalations related to product delivery, and defects.
* Own the product side of support bug intake, prioritization, tracking, and resolution, ensuring timely communication and alignment with Engineering and Customer Success.
* Ensure Product Owners create clear, well\-defined user stories, requirements, and acceptance criteria.
* Establish and maintain best practices for backlog management, sprint execution, and agile ceremonies.
* Oversee feature tracking and lifecycle management from concept through release, adoption, and optimization.
* Ensure product usage tracking, dashboards, and analytics are defined, implemented, and actively used to inform decisions.
* Partner closely with Product Managers to translate product strategy into executable plans.
* Serve as an escalation point for delivery risks, dependencies, and prioritization challenges.
* Collaborate with Engineering, Design, and QA leadership to ensure alignment and delivery quality.
* Support go\-to\-market initiatives, including product launches and cross\-functional readiness.
* Continuously improve product delivery processes, tools, and workflows.
* Track capacity across multiple teams and proactively identify and adjust for constraints, risks, and shifting priorities to maintain delivery commitments.
* Provide executive\-level visibility into product delivery health, release readiness, capacity, risks, and key product metrics through clear reporting and communication.
* Act as a product ambassador internally and externally when needed.
**Product Owner, Manager Requirements:**
* 5\+ years of experience in product management or product ownership for SaaS, B2B software.
* 2\+ years of people management experience, including coaching and performance development.
* Strong understanding of Agile, Scrum, and/or SAFe methodologies.
* Proven ability to lead multiple teams and manage competing priorities.
* Exceptional communication, collaboration, and leadership skills.
* Strong analytical mindset with experience using data to inform decisions.
* Proficiency with product and project management tools (Azure DevOps, Confluence, Asana, Miro).
* Ability to thrive in a fast\-paced, ambiguous environment.
* BA/BS in Computer Science, Engineering, Information Systems, or a related field preferred.
* Experience with workflow management platforms or the K\-12 market is a plus.
**What makes Incident IQ different:**
* We facilitate whole\-person growth where employees can develop personally as well as professionally.
* We offer an energetic and collaborative environment; everyone’s opinion matters!
* We produce software that empowers K\-12 schools to run efficiently, allowing for a better classroom experience for students to THRIVE!
* We provide excellent work/life balance. Two amazing offices \- a Downtown Atlanta office location and one at Halcyon in Alpharetta!
 Incident IQ offers a competitive salary based on experience with a benefits package for full\-time employees that includes medical, dental, vision, life insurance, 401k match, and paid\-time off (PTO).
*Incident IQ is an Equal Opportunity Employer*</t>
        </is>
      </c>
    </row>
    <row r="175">
      <c r="A175" t="inlineStr">
        <is>
          <t>li-4368049309</t>
        </is>
      </c>
      <c r="B175" t="inlineStr">
        <is>
          <t>Product Manager - Contact Management</t>
        </is>
      </c>
      <c r="C175" t="inlineStr">
        <is>
          <t>Prove</t>
        </is>
      </c>
      <c r="D175" t="inlineStr">
        <is>
          <t>linkedin</t>
        </is>
      </c>
      <c r="E175">
        <f>HYPERLINK("https://www.linkedin.com/jobs/view/4368049309", "https://www.linkedin.com/jobs/view/4368049309")</f>
        <v/>
      </c>
      <c r="F175" t="inlineStr"/>
      <c r="G175" t="inlineStr"/>
      <c r="H175" t="inlineStr"/>
      <c r="I175" t="inlineStr">
        <is>
          <t>**About Prove**
 As the world moves to a mobile\-first economy, businesses need to modernize how they acquire, engage with and enable consumers. Prove’s phone\-centric identity tokenization and passive cryptographic authentication solutions reduce friction, enhance security and privacy across all digital channels, and accelerate revenues while reducing operating expenses and fraud losses. Over 1,000 enterprise customers use Prove’s platform to process 20 billion customer requests annually across industries, including banking, lending, healthcare, gaming, crypto, e\-commerce, marketplaces, and payments. For the latest updates from Prove, follow us on LinkedIn.
 Prove is driving the future of digital identity. We are looking for Provers who know how to make an impact. We’re talking self\-starting professionals who thrive in a fast\-paced environment, process information quickly, and make intelligent decisions. The work is challenging and requires not only smart but natural curiosity and tenacity. Teamwork is also important to us – we work together and play together.
 Prove has big plans, and we’re excited about the future. If this sounds like the place for you – come join our team!
**Title: Product Manager \- Contact Management**
**Department: Product**
**Reports To: VP, Product**
**FLSA Status: Exempt**
**Location: USA, Ireland or UK**
 As a
 **Product Manager, Contact Management** 
 you will be responsible for delivering a core set of components for Prove’s market leading phone\-based consumer identity experience. After launching our platform, we are looking for an energetic, inquisitive and inspirational candidate to take this service to the next level, ensuring that the right features are added at the right time and that its performance maintains or increases over time. This leans heavily into identity intelligence, understanding how identifiers persist through change events and helping our customers provide legitimate users a smooth experience while keeping fraudsters out.
 We want Prove to be known as a powerful, modern and simple brand to work with and your role will be key to making that happen. Day\-to\-day you will be working on developing our product strategy, a roadmap as well as authoring product specifications and attending scrum meetings with your engineering partners. This role is also responsible for ensuring that documentation is clear and that our services exceed expectations on ease of use and long\-term feature support.
 This individual works with cross functional teams including Finance, Technology, Sales, Data Engineering, Compliance, Info Sec, Implementation, Operations and other product managers to ensure that Prove consistently delivers and communicates excellence to our developer market.
**Key Responsibilities**
* You will be responsible for creating a strategy for the Contact Management function that is in keeping with the overall company strategy to bring trust to all digital interactions. This will include a mix of new and existing components of our platform.
* Create and execute on the roadmap to drive performance of your initiatives that support our customers’ business objectives
* Ensure cross\-functional teams are enabled to realize the benefits of our technology.
* Specify and design the metrics by which your initiatives will be assessed, reporting back to the wider team on the performance and outcomes of your product team’s work.
* Anticipate changes in priorities and product strategy and refine goals based on team, client feedback and trends.
* You will serve as the primary point of contact for Legal, Compliance, Support and others, to gather requirements, communicate the product vision and ensure smooth execution of the product roadmap.
* You will also lead a cross\-functional team that is responsible for delivering your platform components.
* Use analytical and problem solving skills to identify pain points and develop solutions.
* Act as a thought leader for Prove, providing direction and demonstrating strong ownership of your remit
* Performing other duties as assigned.
**Qualifications And Experience**
* 5\+ years experience in product management, product marketing, or equivalent experience in a technology context.
* Success at creating a product strategy and translating that into an exciting and ambitious roadmap.
* Demonstrated track record in crafting technical product positioning, messaging, content and programs.
* Strong consensus and relationship\-building skills, with experience marshaling resources across different functions of an organization.
* Excellent time management skills, ability to multitask, prioritize, and detail\-oriented.
* Exceptional verbal, written communication skills, presentation and public speaking skills.
* Comfortable with communicating complex ideas clearly regardless of the audience.
* Comfortable with ambiguity, and possess a hunger to learn and seek new challenges.
* Experience in high growth / pre\-IPO Technology companies is a plus as is working in agile working methodologies.
* Promoting, maintaining and enhancing our cultural values of humility, passion, inclusion and leadership.
* Exhibiting a strong passion for learning our products and markets through in\-house and external training.
 The anticipated salary range for this role in New York City is $130,000\- $160,000 plus variable commission. Offered salary will be determined by the applicant’s education, experience, knowledge, skills, geo\-location and abilities, as well as internal equity and alignment with market data.
**Benefits \&amp; Perks For FTE Provers**
* Competitive salaries \&amp; Bonus Plan (for eligible roles) and Equity Plan
* Modern Health for financial, mental, and physical wellness
* 401(k) Retirement Plan \&amp; Match (US Offices) and Local Country Pension (International Offices)
* Unlimited Vacation and Flexible hours
* Comprehensive medical benefits for you and your family ❤️
* Emotional \&amp; Physical Wellness – Access to wellness services (EAP \&amp; Prove Well\-Being Reimbursement)
* Bottomless snacks \&amp; beverages for certain office locations
* Daily GrubHub stipend for lunch if coming into the office (US Offices)
* A great place to work and connect with other talented Provers like yourself!
 Don’t meet every single requirement? Studies have shown that women and people of color are less likely to apply to jobs unless they meet every single qualification. At Prove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**Equal Opportunity Employment**
 Prove is an equal opportunity employer committed to providing equal employment opportunity for all people regardless of race, color, religion, gender or sexual orientation, age, marital status, national origin, citizenship status, disability, veteran status or other personal characteristics
**Privacy \&amp; Data Protection**
 When you are applying for a job at Prove, we collect and use your personal information in the job application process. To understand more about how Prove uses your personal information, please see our Recruitment Privacy Policy on our website.</t>
        </is>
      </c>
    </row>
    <row r="176">
      <c r="A176" t="inlineStr">
        <is>
          <t>li-4368425304</t>
        </is>
      </c>
      <c r="B176" t="inlineStr">
        <is>
          <t>Senior Product Manager - Customer Data Platform</t>
        </is>
      </c>
      <c r="C176" t="inlineStr">
        <is>
          <t>GEICO</t>
        </is>
      </c>
      <c r="D176" t="inlineStr">
        <is>
          <t>linkedin</t>
        </is>
      </c>
      <c r="E176">
        <f>HYPERLINK("https://www.linkedin.com/jobs/view/4368425304", "https://www.linkedin.com/jobs/view/4368425304")</f>
        <v/>
      </c>
      <c r="F176" t="inlineStr"/>
      <c r="G176" t="inlineStr">
        <is>
          <t>New York, NY</t>
        </is>
      </c>
      <c r="H176" t="inlineStr"/>
      <c r="I17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7">
      <c r="A177" t="inlineStr">
        <is>
          <t>li-4368374753</t>
        </is>
      </c>
      <c r="B177" t="inlineStr">
        <is>
          <t>Principal Solution Product Owner - Remote</t>
        </is>
      </c>
      <c r="C177" t="inlineStr">
        <is>
          <t>Prime Therapeutics</t>
        </is>
      </c>
      <c r="D177" t="inlineStr">
        <is>
          <t>linkedin</t>
        </is>
      </c>
      <c r="E177">
        <f>HYPERLINK("https://www.linkedin.com/jobs/view/4368374753", "https://www.linkedin.com/jobs/view/4368374753")</f>
        <v/>
      </c>
      <c r="F177" t="inlineStr"/>
      <c r="G177" t="inlineStr">
        <is>
          <t>Minneapolis, MN</t>
        </is>
      </c>
      <c r="H177" t="inlineStr"/>
      <c r="I177" t="inlineStr">
        <is>
          <t>At Prime Therapeutics (Prime), we are a different kind of PBM, with a purpose beyond profits and a unique ability to connect care for those we serve. Looking for a purpose\-driven career? Come build the future of pharmacy with us.
**Job Posting Title**
 Principal Solution Product Owner \- Remote
**Job Description**
 The Principal Solution Product Owner is responsible for delivering complex solution products that drive value for our customers. This role is part of a product development team and partners with engineering teams to work with customers to understand business problems, refine and prioritize the product backlog containing user stories, elicit and document software Product Discovery/Definition, and develop and validate solutions for development team members on a day\-to\-day basis. The Principal Solution Product Owner possesses knowledge of product and product delivery and acts as the primary interface with the Scrum Teams – leading best practices and innovation across all Product Owners.
**Responsibilities**
* Partner with the product managers and operations teams to manage and align product vision through discovery/definition and convert to actionable items on the backlog; accountable for prioritizing and sequencing the product backlog through feature mapping, user story creation, definition of acceptance criteria and loading into the feature/requirement tracking tool
* Transform the product vision from product management and operations teams into actionable product roadmap and releases; manage the product backlog, coordinating with stakeholders to align on expectations and visualize what items deliver the most value to the customer through the sequencing of the product backlog and release plans; accountable for the planning event as the main point of contact for questions and clarification of user stories
* Participate in: sprint planning to help shape the team's specific objectives for the upcoming sprint; daily stand ups to provide real time clarifications necessary to assist the team; the sprint review to show the working solutions completed; and the retrospective to contribute to improve how the team collaborates and works together
* Participate in program implementation planning to define and drive business value, objectives and outcome for the program increment
* Manage ongoing performance and usage of features and acts as point of contact for questions, concerns and suggestions; provide input on test strategy and test cases, being an advocate of quality solutions that meet or exceed defined customer expectations; perform reviews with key internal teams and commercial customers throughout the product lifecycle to ensure alignment on solution needs and product discovery/definition; ensure full\-stack product ownership, upkeep, maintenance and sustainability for the product
* Accountable for the product team delivering in alignment with business objectives, driving strong relationships with all development, internal groups, and customers in order to ensure timely and effective delivery of software features and defect resolution
* Engage with other product owners to develop and promote best practices and standards
* Accountable for identifying and prioritizing key product documentation as needed by aligning with other team members
* Facilitate long\-term working relationships with product management, technology teams, functional counterparts, third parties, customer service, go to market, and commercial customers
* Other duties as assigned
**Minimum Qualifications**
* Bachelor's degree in IT, Business, Healthcare Administration or related area of study, or equivalent combination of education and/or relevant work experience; High School diploma or GED is required
* 7 years of work experience leading business processes, system changes and/or similar relevant business experience
* Must be eligible to work in the United States without need for work visa or residency sponsorship
 Must be eligible to work in the United States without the need for work visa or residency sponsorship
**Additional Qualifications**
* Proven ability to influence at all levels of an organization
* Demonstrated application of strong market awareness and customer focus
* Demonstrated ownership of complex, timely decisions
* Proven ability to communicate technical and business information effectively to both technical and non\-technical people
* Demonstrated ability to create and manage complex development projects in a highly dynamic environment
* Demonstrated ability to pull together diverse teams to solve problems and pursue opportunities
* Skilled at change management and leading change
**Preferred Qualifications**
* Experience working in an agile environment
* Experience with commercial software design concepts, practices, and procedures
* 8 or more years of work experience writing Product Discovery/Definition for software in a Product Owner role
* SAFe Product Owner / Product Manager (POPM) Certification
* Experience with minimum viable product, Scrum, and/or Lean startup
* Experience developing Product Discovery/Definition for commercial software products
* User Experience (UX) Design experience
* Experience delivering on premise and cloud/mobility products
* Experience in Pharmacy Benefit Management (PBM) or related industry
* Strong technical background and experience with any of the following technologies and architectures: service\- oriented architecture, web services, databases, modeling and/or distributed computing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$108,000\.00 \- $184,000\.00 based on experience and skills.
 To review our Benefits, Incentives and Additional Compensation, visit our Benefits Page and click on the "Benefits at a glance" button for more detail (https://www.primetherapeutics.com/benefits).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t>
        </is>
      </c>
    </row>
    <row r="178">
      <c r="A178" t="inlineStr">
        <is>
          <t>li-4368037957</t>
        </is>
      </c>
      <c r="B178" t="inlineStr">
        <is>
          <t>Technical Product Manager, Data Platform</t>
        </is>
      </c>
      <c r="C178" t="inlineStr">
        <is>
          <t>RemoteHunter</t>
        </is>
      </c>
      <c r="D178" t="inlineStr">
        <is>
          <t>linkedin</t>
        </is>
      </c>
      <c r="E178">
        <f>HYPERLINK("https://www.linkedin.com/jobs/view/4368037957", "https://www.linkedin.com/jobs/view/4368037957")</f>
        <v/>
      </c>
      <c r="F178" t="inlineStr"/>
      <c r="G178" t="inlineStr"/>
      <c r="H178" t="inlineStr"/>
      <c r="I178"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9">
      <c r="A179" t="inlineStr">
        <is>
          <t>li-4362991966</t>
        </is>
      </c>
      <c r="B179" t="inlineStr">
        <is>
          <t>Product Manager</t>
        </is>
      </c>
      <c r="C179" t="inlineStr">
        <is>
          <t>U.S. Bank</t>
        </is>
      </c>
      <c r="D179" t="inlineStr">
        <is>
          <t>linkedin</t>
        </is>
      </c>
      <c r="E179">
        <f>HYPERLINK("https://www.linkedin.com/jobs/view/4362991966", "https://www.linkedin.com/jobs/view/4362991966")</f>
        <v/>
      </c>
      <c r="F179" t="inlineStr"/>
      <c r="G179" t="inlineStr">
        <is>
          <t>Englewood, CO</t>
        </is>
      </c>
      <c r="H179" t="inlineStr"/>
      <c r="I17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**Minimum Qualifications:**
* Product management experience.
**Additional detail:**
* Have working knowledge or familiarity with Open Systems Interconnection (OSI) technologies, including middleware, Application Programming Interfaces (APIs) and financial services software.
* Some knowledge of digital marketing \&amp; MarTech would be valuable (personalized recommendations, advertising networks, Adobe Analytics)
* Should be comfortable reviewing program performance data and making data\-driven decision for optimization
* Will be expected to work\-cross functionally to discuss Payments products/services with PMs and assess their viability for inclusion in the product recommendations program)
* Will be expected to review creative content, including partnering with Marketing and compliance
* Will be expected to partner with CX team on research and experience design.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80">
      <c r="A180" t="inlineStr">
        <is>
          <t>li-4368396462</t>
        </is>
      </c>
      <c r="B180" t="inlineStr">
        <is>
          <t>Sr Product Manager</t>
        </is>
      </c>
      <c r="C180" t="inlineStr">
        <is>
          <t>Illumina</t>
        </is>
      </c>
      <c r="D180" t="inlineStr">
        <is>
          <t>linkedin</t>
        </is>
      </c>
      <c r="E180">
        <f>HYPERLINK("https://www.linkedin.com/jobs/view/4368396462", "https://www.linkedin.com/jobs/view/4368396462")</f>
        <v/>
      </c>
      <c r="F180" t="inlineStr"/>
      <c r="G180" t="inlineStr">
        <is>
          <t>San Diego, CA</t>
        </is>
      </c>
      <c r="H180" t="inlineStr"/>
      <c r="I180"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**Summary**
 We are seeking a dynamic and strategic Senior Product Manager to manage key products and product lines within Illumina’s DNA library prep portfolio. In this role, you will drive product strategy, understand customer needs, and collaborate cross\-functionally to ensure commercial success of your product lines. The ideal candidate possesses deep knowledge in genomics and next\-generation sequencing (NGS), along with strong experience in product management.
**Responsibilities**
**Product Strategy**
* Develop and implement product strategies to ensure commercial success and align with business objectives.
* Utilize voice of customer (VOC) input and market research to address customer pain points and shape the product roadmap.
* Identify market trends, customer needs, and competitive gaps to inform portfolio direction.
* Communicate complex product strategies and technical concepts clearly to diverse stakeholders.
**Go\-to\-Market Execution**
* Develop pricing, positioning, and messaging strategies.
* Partner with marketing to create compelling collateral, technical content, and training materials.
* Support commercial teams with product education, sales enablement, and customer engagement initiatives.
**Lifecycle Management**
* Monitor product performance, customer feedback, and market dynamics.
* Drive continuous product improvements, manage obsolescence, and evaluate opportunities for portfolio growth.
**Champion Our Customers**
* Engage directly with customers, key opinion leaders (KOLs), and collaborators to gain deep insights.
* Share VOC and insights with internal teams to drive customer\-centric solutions.
* Advocate for customer needs throughout the organization.
**Requirements**
* Typically requires a minimum of 5 years of related experience with a Bachelor's degree; or 3 years and a Master's degree; or a PhD without experience; or equivalent work experience..
* Proven success managing complex product lifecycles and launching products in scientific or biotech environments.
* Strong understanding of the genomics market and NGS applications.
* Excellent written and verbal communication skills, with the ability to convey technical information to diverse audiences.
* Experience working in a matrixed organization with R\&amp;D, Operations, Finance, and Commercial teams.
 The estimated base salary range for the Sr Product Manager role based in the United States of America is: $107,700 \- $161,500\.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row>
    <row r="181">
      <c r="A181" t="inlineStr">
        <is>
          <t>li-4368423340</t>
        </is>
      </c>
      <c r="B181" t="inlineStr">
        <is>
          <t>Principal Product Manager - Customer Data Platform</t>
        </is>
      </c>
      <c r="C181" t="inlineStr">
        <is>
          <t>GEICO</t>
        </is>
      </c>
      <c r="D181" t="inlineStr">
        <is>
          <t>linkedin</t>
        </is>
      </c>
      <c r="E181">
        <f>HYPERLINK("https://www.linkedin.com/jobs/view/4368423340", "https://www.linkedin.com/jobs/view/4368423340")</f>
        <v/>
      </c>
      <c r="F181" t="inlineStr"/>
      <c r="G181" t="inlineStr">
        <is>
          <t>Seattle, WA</t>
        </is>
      </c>
      <c r="H181" t="inlineStr"/>
      <c r="I18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2">
      <c r="A182" t="inlineStr">
        <is>
          <t>li-4363651676</t>
        </is>
      </c>
      <c r="B182" t="inlineStr">
        <is>
          <t>Product Manager</t>
        </is>
      </c>
      <c r="C182" t="inlineStr">
        <is>
          <t>U.S. Bank</t>
        </is>
      </c>
      <c r="D182" t="inlineStr">
        <is>
          <t>linkedin</t>
        </is>
      </c>
      <c r="E182">
        <f>HYPERLINK("https://www.linkedin.com/jobs/view/4363651676", "https://www.linkedin.com/jobs/view/4363651676")</f>
        <v/>
      </c>
      <c r="F182" t="inlineStr"/>
      <c r="G182" t="inlineStr">
        <is>
          <t>Minneapolis, MN</t>
        </is>
      </c>
      <c r="H182" t="inlineStr"/>
      <c r="I18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**Minimum Qualifications:**
* Product management experience.
**Additional detail:**
* Have working knowledge or familiarity with Open Systems Interconnection (OSI) technologies, including middleware, Application Programming Interfaces (APIs) and financial services software.
* Some knowledge of digital marketing \&amp; MarTech would be valuable (personalized recommendations, advertising networks, Adobe Analytics)
* Should be comfortable reviewing program performance data and making data\-driven decision for optimization
* Will be expected to work\-cross functionally to discuss Payments products/services with PMs and assess their viability for inclusion in the product recommendations program)
* Will be expected to review creative content, including partnering with Marketing and compliance
* Will be expected to partner with CX team on research and experience design.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83">
      <c r="A183" t="inlineStr">
        <is>
          <t>li-4357364588</t>
        </is>
      </c>
      <c r="B183" t="inlineStr">
        <is>
          <t>Associate Product Manager</t>
        </is>
      </c>
      <c r="C183" t="inlineStr">
        <is>
          <t>Globus Medical</t>
        </is>
      </c>
      <c r="D183" t="inlineStr">
        <is>
          <t>linkedin</t>
        </is>
      </c>
      <c r="E183">
        <f>HYPERLINK("https://www.linkedin.com/jobs/view/4357364588", "https://www.linkedin.com/jobs/view/4357364588")</f>
        <v/>
      </c>
      <c r="F183">
        <f>HYPERLINK("https://globusmedical.wd5.myworkdayjobs.com/GMED_Careers/job/Audubon-PA/Associate-Product-Manager_JR105084?source=LinkedIn&amp;urlHash=_xBc", "https://globusmedical.wd5.myworkdayjobs.com/GMED_Careers/job/Audubon-PA/Associate-Product-Manager_JR105084?source=LinkedIn&amp;urlHash=_xBc")</f>
        <v/>
      </c>
      <c r="G183" t="inlineStr">
        <is>
          <t>King of Prussia, PA</t>
        </is>
      </c>
      <c r="H183" t="inlineStr"/>
      <c r="I183"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The Associate Product Manager is responsible for designing, developing, and managing activities for a specific product or group of products from product definition and planning through production, release and end of life. This position is the central resource with design, process, manufacturing, test, quality and marketing as the product(s) move from production through distribution
* Essential Functions:
* Collaborates with management to establish strategic plans and objectives
* Implements functional strategy and contributes to the development of organizational policies
* Develops sound mechanical, pre\-clinical, and clinical data of scientific merit on all technologies developed
* Performs and maintains a market analysis for each assigned product segment to identify new offerings and line extensions
* Creates and manages a project plan for each project in conjunction with the engineer
* Leads coordination and documentation of project team activities including kick\- off meetings, design review meetings, verification/validation and cadaver lab utilization
* Develops marketing plans for each product introduction
* Forecasts and oversees inventory management for all projects
* Ensures timely and high\-quality documentation of DHFs, DMRs, and DHRs for each project according to the company’s quality policy and regulatory bodies
* Develops technique guides, product literature, brochures, sales binders, and other sales support collateral
* Partners with operations and purchasing to source products through company supply chain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 Bachelor’s Degree with 0\-2 of related experience
* Excellent verbal and written communication skills
* Advanced project management skills
* Experience with new product introduction and lifecycle management
* Advanced critical thinking and problem\-solving skills
* Proficiency in using Microsoft Office products
* Ability to travel up to 20% of the time
*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 oriented and decisive. We overcome obstacles that arise in our quest to deliver solutions that will improve the lives of our customers and patients.
****Physical Demands:****
 The physical demands listed here are representative of those that must be met by and employee to successfully perform the essential functions of this job.
*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84">
      <c r="A184" t="inlineStr">
        <is>
          <t>li-4368366741</t>
        </is>
      </c>
      <c r="B184" t="inlineStr">
        <is>
          <t>Product Manager</t>
        </is>
      </c>
      <c r="C184" t="inlineStr">
        <is>
          <t>Sidley Austin LLP</t>
        </is>
      </c>
      <c r="D184" t="inlineStr">
        <is>
          <t>linkedin</t>
        </is>
      </c>
      <c r="E184">
        <f>HYPERLINK("https://www.linkedin.com/jobs/view/4368366741", "https://www.linkedin.com/jobs/view/4368366741")</f>
        <v/>
      </c>
      <c r="F184" t="inlineStr"/>
      <c r="G184" t="inlineStr">
        <is>
          <t>Chicago, IL</t>
        </is>
      </c>
      <c r="H184" t="inlineStr"/>
      <c r="I184" t="inlineStr">
        <is>
          <t>**Summary**
 The Product Manager is strategic, data\-driven, and customer\-centric role that will be responsible for supporting product vision and strategy, maintaining and executing roadmaps, and delivering features that solve customer problems and align with business goals. The Product Manager will be responsible for stakeholder engagement and backlog refinement in coordination with senior team members. The ideal candidate will bring a balance of strategic thinking and tactical execution, ensuring alignment with department and practice priorities.
**Duties And Responsibilities**
* Contribute to and help execute the product strategy and roadmap for AI\-powered practice solutions in alignment with the group and department goals.
* Maintain, communicate and provide feedback on the roadmap for assigned products, balancing near\-term customer needs with established long\-term team and department vision.
* Maintain working knowledge of AI/ML technologies as well as product delivery processes and practices to inform product decisions and foster innovation.
* Monitor customer feedback and AI trends to inform backlog priorities and suggest incremental improvements.
* Support key lifecycle activities for AI products, including requirements definition, delivery readiness and execution as well as product iteration.
* Define and prioritize product features based on customer needs, market research, and technical feasibility.
* Coordinate with cross\-departmental teams to ensure seamless delivery of AI projects.
* Collaborate with key stakeholders to understand their AI workloads, pain points, and future requirements.
* Help track and report on agreed KPIs and success metrics; support stakeholder reviews of outcomes.
* Engage with stakeholders to gather insights and feedback on AI solutions.
* Ensure that AI\-driven products address real\-world problems and provide measurable value.
* Develop creative solutions and make improvements to processes, programs, and policies to enhance the effectiveness and efficiency of AI\-driven products.
* Follow and reinforce responsible AI development practices to ensure ethical, transparent, and fair usage of AI technologies.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$135,000 – $150,000 if located in Illinois
**Qualifications**
 To perform this job successfully, an individual must be able to perform the Duties and Responsibilities (Duties) above satisfactorily and meet the requirements below. The requirements listed below are representative of the minimum knowledge, skill, and/or ability required. Reasonable accommodations will be made to enable individuals with disabilities to perform the essential functions of the job. If you need such an accommodation, please email staffrecruiting@sidley.com (current employees should contact Human Resources).
**Required**
 Education and/or Experience:
* Bachelor’s degree in Computer Science, Law or related field
* A minimum of 5 years product management or product development experience
* Experience with agile methodologies and product management tools
* Demonstrated ability to make data\-driven decisions
**Preferred**
* Master’s Degree in Computer Science, Engineering or related field
* Juris Doctor degree
* Experience in current technology trends
* Experience working with legal stakeholders or in legal technology
* Law firm or Professional services industry experience
**Other Skills And Abilities**
 The following will also be required of the successful candidate:
* Strong organizational skills
* Strong attention to detail
* Good judgment
* Strong interpersonal communication skills
* Strong analytical and problem\-solving skills
* Able to work harmoniously and effectively with others
* Able to preserve confidentiality and exercise discretion
* Able to work under pressure
* Able to manage multiple projects with competing deadlines and priorities
 Sidley Austin LLP is an Equal Opportunity Employer</t>
        </is>
      </c>
    </row>
    <row r="185">
      <c r="A185" t="inlineStr">
        <is>
          <t>li-4368404424</t>
        </is>
      </c>
      <c r="B185" t="inlineStr">
        <is>
          <t>Sr Product Manager</t>
        </is>
      </c>
      <c r="C185" t="inlineStr">
        <is>
          <t>Grainger</t>
        </is>
      </c>
      <c r="D185" t="inlineStr">
        <is>
          <t>linkedin</t>
        </is>
      </c>
      <c r="E185">
        <f>HYPERLINK("https://www.linkedin.com/jobs/view/4368404424", "https://www.linkedin.com/jobs/view/4368404424")</f>
        <v/>
      </c>
      <c r="F185" t="inlineStr"/>
      <c r="G185" t="inlineStr">
        <is>
          <t>Chicago, IL</t>
        </is>
      </c>
      <c r="H185" t="inlineStr"/>
      <c r="I185" t="inlineStr">
        <is>
          <t>**Work Location Type: Hybrid**
 Zoro is an eCommerce company that’s on a mission to help business owners get everything they need to run their businesses and thrive–from office supplies to power tools. But we’re way more than a website. We’re a team of great people with an award\-winning culture. Check us out and see for yourself!
**Compensation**
 The anticipated base pay compensation range for this position is $134,100\.00 to $223,500\.00 .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Zoro's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Zoro reserves the right to amend, modify, or terminate its compensation and benefit programs in its sole discretion at any time, consistent with applicable law.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**Position Details**
 We are looking for data product managers to help guide and chart a course for Grainger's enterprise data so that Grainger continues to be the destination for "the ones that get it done". The Senior Product Manager contributes to the data product strategy, vision, and roadmap of future products, with high degree of ownership over critical features and the customer experience. You will work with engineering, design, and operations to develop and launch innovative aspects of a product. You are creative and highly analytical, able to work in a matrix organization, can synthesize a variety of technologies and capabilities into products and applications that customers love. You will work on a hybrid basis out of our Chicago, IL office.
**You Will**
* Own and evolve a portfolio of trusted, reusable data products that enable confident decision\-making and generate actionable insights for Grainger teams and customers.
* Collaborate with Grainger’s product teams to deliver scalable, high\-impact data products that support visibility, automation, AI and Machine Learning use cases while uploading enterprise data governance and standards.
* Expand the North America eCommerce platform by adapting the existing product catalog tool to support operations, ensuring a seamless user experience.
* Collaborate with Grainger’s product teams to operationalize the integrated North America eCommerce platform, ensuring the product catalog tool is optimized for both US and Canada markets.
* Leverage data\-driven insights to develop business strategies and actionable recommendations that drive competitive advantage for Grainger, focusing on customer needs, market trends, and operational efficiencies.
* Identify and prioritize customer and internal team requirements, translating them into a clear product roadmap and detailed specifications that guide the development and evolution of the eCommerce platform.
* Guide team of engineers through structured work, provide ample business context and establish shared ownership of outcomes.
* Lead, communicate \&amp; coordinate product launches across all partners including business, product and engineering teams with consideration of schedule, risk management, escalation of issues and balances tradeoffs.
* Facilitate product review discussions with C\-Suite executives, landing the appropriate message for the audience.
* Partner with the analytics, UX, peer PMs and operational business leaders to deliver quality capabilities in a consistent cadence of releases and measure the business impact.
**You Have**
* Bachelor's Degree
* Master's Degree preferred
* 7\+ years experience as a Data Product Manager or related occupation. Experience must involve directing agile sprint team, working with design, analytics, AI/Machine Learning teams and business stakeholders and include demonstration of superior process design skills and delivering working software. preferred
* Demonstrated experience designing solutions to complex problems and delivering results by conceptualizing, building, or substantially modifying enterprise data capabilities preferably geared towards a B2B customer.
* Continuous improvement and innovation mindset that results in the understanding of latest technologies.
* Guide team members to accomplish outcomes.
* Ability to function with ambiguity and within a matrix organization and operate on a tight schedule.
* Problem solving \&amp; planning capabilities along with creative time management skills, high degree of ownership and help impact teams to act with urgency.
* Strong analytical and quantitative skills; ability to use hard data and metrics to back up assumptions when developing \&amp; presenting business cases to executive leadership and stakeholders.
*Zoro is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86">
      <c r="A186" t="inlineStr">
        <is>
          <t>li-4357515709</t>
        </is>
      </c>
      <c r="B186" t="inlineStr">
        <is>
          <t>Group Product Manager - Evisort AI</t>
        </is>
      </c>
      <c r="C186" t="inlineStr">
        <is>
          <t>Workday</t>
        </is>
      </c>
      <c r="D186" t="inlineStr">
        <is>
          <t>linkedin</t>
        </is>
      </c>
      <c r="E186">
        <f>HYPERLINK("https://www.linkedin.com/jobs/view/4357515709", "https://www.linkedin.com/jobs/view/4357515709")</f>
        <v/>
      </c>
      <c r="F186" t="inlineStr"/>
      <c r="G186" t="inlineStr">
        <is>
          <t>Boulder, CO</t>
        </is>
      </c>
      <c r="H186" t="inlineStr"/>
      <c r="I186"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Evisort AI team at Workday, which powers Document Intelligence AI and Workday’s CLM and Contract Intelligence offerings. powering Workday’s CLM and Contract Intelligence Offerings. Our mission is to change the way business deals get done.
**About The Role**
 You will orchestrate the vision, strategy, and roadmap execution within our suite of Contract Intelligence \&amp; Analytics features. Your leadership will be critical in realizing our innovative vision to deliver best\-in class\-AI at scale, to transform how major companies optimize and streamline key business processes related to negotiating and handling their contracts.
 Applying your expertise your role will be instrumental in advancing our initiatives and delivering outstanding value to business professionals world\-wide.
 Product Leadership \&amp; Collaboration:
* Create and implement a comprehensive product vision and strategy for the portfolio tailored to the business needs of a diverse set of enterprise customers
* Establish strong and positive relationships with engineering, data science, product management, design and product marketing teams to implement the vision, strategy and roadmap
* Partner with the Evisort data science team as they develop new artificial intelligence models, using domain knowledge to influence product decisions
* Collaborate closely with a diverse set of people including domain experts, technology teams, and external collaborators to align on specific needs of customers.
 Product Development:
* Be responsible for the ideation, design, and implementation of new AI products and features, incorporating generative and predictive AI technologies to address the various challenges at major companies
* Define product requirements based on industry trends, compliance standards, and customer feedback
* Clear articulation of various monetization strategies to increase revenue, coupled with tactical execution within Evisort’s Contract Intelligence portfolio to achieve these business goals
 Market Analysis:
* Stay informed about advancements in generative and predictive AI, machine learning, and the broader legal tech landscape
* Conduct market research to find opportunities and challenges unique to the targeted industry
**About You**
**Basic Qualifications**
* 10\+ years of experience in Product Management
* Deep domain expertise in generative AI, including a proven track record of assessing market opportunities and defining product strategies specifically for generative AI\-powered solutions.
* Extensive experience building and launching generative AI products, including proficiency with LLMs and other generative models
* 2\+ years of people leadership, management or mentorship
**Other Qualifications**
* Deep domain expertise in generative AI, including a proven track record of assessing market opportunities and defining product strategies specifically for generative AI\-powered solutions.
* Extensive experience building and launching generative AI products, including proficiency with LLMs and other generative models
* Experience defining and tracking key metrics for generative AI products, demonstrating a clear understanding of their business impact and value proposition.
* Experience as a former startup founder with a proven track record of bringing “0 to 1” features to market is an asset.
* Demonstrated domain knowledge in law, contract management, management consulting, or a degree in law is a bonus.
* Knowledgeable about legal contracts and particularly clause types and key data points, or able to quickly get up to speed on clause types and different contract data points.
* Ability to engage on technical decisions \- technical background a plus
* Familiarity with Large Language Models (LLMs), machine learning frameworks, and tools relevant to legal applications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CAN.BC.Vancouver
 Primary Location Base Pay Range: $137,400 CAD \- $206,000 CAD
 Additional US Location(s) Base Pay Range: $148,200 USD \- $264,000 USD
 Additional Considerations:
 If performed in Colorado, the pay range for this job is $156,000 \- $234,000 USD based on min and max pay range for that role if performed in CO.
 The application deadline for this role is the same as the posting end date stated as below:
 03/16/2026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187">
      <c r="A187" t="inlineStr">
        <is>
          <t>li-4368439234</t>
        </is>
      </c>
      <c r="B187" t="inlineStr">
        <is>
          <t>Sr Product Manager - Soft Goods</t>
        </is>
      </c>
      <c r="C187" t="inlineStr">
        <is>
          <t>Dunlop Sports Americas</t>
        </is>
      </c>
      <c r="D187" t="inlineStr">
        <is>
          <t>linkedin</t>
        </is>
      </c>
      <c r="E187">
        <f>HYPERLINK("https://www.linkedin.com/jobs/view/4368439234", "https://www.linkedin.com/jobs/view/4368439234")</f>
        <v/>
      </c>
      <c r="F187" t="inlineStr"/>
      <c r="G187" t="inlineStr">
        <is>
          <t>Huntington Beach, CA</t>
        </is>
      </c>
      <c r="H187" t="inlineStr"/>
      <c r="I187" t="inlineStr">
        <is>
          <t>**BASIC FUNCTION**
 The
 *Sr. Product Manager \- Soft Goods* 
 manages the Marketing team/function responsible for the soft goods product category. This includes various responsibilities throughout the product lifecycle, including product planning, product development oversight, and product marketing support. Among other things, the Sr. Product Manager \- Soft Goods will oversee and/or execute marketing research, business planning, interdepartmental coordination/collaboration, quantitative analysis, and documentation/information archiving.
**REPORTING RELATIONSHIPS**
 The
 *Sr. Product Manager \- Soft Goods –* 
 reports to VP – Product, Innovation, and Brand
 The
 *Sr. Product Manager \- Soft Goods* 
 HAS direct reports.
**Responsibilities**
*Sr. Product Manager \- Soft Goods* 
 is responsible for managing/leading the team responsible for:
 Product Planning of Soft Goods, Bags, Accessories (All brands)
* Marketing \&amp; field research for product development and product planning
+ Includes management of some marketing research and prototyping expenses.
* Gathering research and insights from sales trends, input from the field and customers to inform future product development.
* Audit and competitively benchmark products to ensure quality, design, and positioning meet the needs of consumer segment targets.
* Quantitative analysis on marketing, sales, and profitability trends.
* Plan and present the direction, strategy, and framework of soft goods, bags, and accessory products in product line reviews, seasonal kickoffs, and seasonal alignment meetings.
+ Ensure product plans follow brand books, guidelines, and brand strategy.
+ Work within process and in partnership with key stakeholders to plan, support, and justify future product launches.
* Support collaborations and partnerships.
* Support requests from SRI business planning teams to ensure successful global launch.
* Operate as primary point of contact and meeting representative at regular SRI product planning conference calls regarding clubs.
+ Ensure supplier agreements and quality requirements are met by working with SRI, Quality, and R\&amp;D counterparts.
* Monitor costs and gross profit targets for each product/new product plan.
* Work closely with Marketing, R\&amp;D, and outside vendors during product development to provide marketing and design support and to ensure products meet market and stakeholder requirements.
* Create design briefs with key marketing information to R\&amp;D design teams.
+ Assist in design surveying and product design research.
+ Ensure brief and direction has strong taste, meets brand strategy objectives, and aligns with needs and wants of target consumer segments.
* Creation, management, and archiving of all marketing/planning related documentation for product planning and operational setup (MSRs, PSRs, PIM Management)
+ Organize data and files in approved network/cloud locations.
* Respond to SRI global business inquiries (in video calls or email).
 Sales Support
* Assisting with training customer service on new soft good and accessory products.
* Ensure photo and sales samples arrive on time for prebooking windows and creative timelines.
* Support sales\-related product presentations and training. (Sales meetings (globally), key account training)
* Attend PGA Show trade show or other trade/dealer type functions to support products, brand, training or sales.
* Strategize and advise on SKUs and set makeups to ensure dealer/market needs are met. Collaborate with sales team and SRI to determine optimal SKUs.
 Creative Support
* Outline key product manual content to support creative team for all soft good products. Identify F\&amp;Bs, specs, and USPs of key products. Manage/archive all key specs and product\-related information.
* Outline/support R\&amp;D testing and/or third party testing firms to support marketing claims beneficial to promotion of the product.
* Review/confirm key documents prior to release for accuracy. (product manuals, catalogs, major websites, etc..)
* Outline key training content and sometimes videos to train dealers, fitters, and key partners.
* Support media relations questions and interviews as needed. Experts on products.
 Admin/legal
* Oversee name/trademark clearances. Support IP/Trademark team requests in US and Japan. Support and train RND to use current logos/trademarks.
* Ensure product compliance on labelling and tags (barcode locations, RFID, environmental information, etc...)
* Ensure prop 65, PFAs, and other compliance regulations.
* Manage/confirm BOMs/PSRs/PIM and item number setups with data entry/planning/sales teams.
 Management
* Develop staff/team members to execute the above responsibilities more professionally and more efficiently.
* Routine management responsibilities:
+ Manage time sheets in a timely manner (signing off on Monday of each week) with team members.
+ Manage travel approvals expense reports of team members in compliance with accounting rules.
+ Review and develop staff on regular intervals to ensure development and high\-quality work. Mitigate issues with underperforming staff with proactive management, PIP, improvement countermeasures, etc….working with HR management as needed.
* Support company sales growth and profitability improvement plans.
* Generally project management of special projects delegated by VP – Product, Innovation, and Brand or other executives.
* Ensure SRI and executive stakeholders’ business requirements are met.
* Work collaboratively between various departments to ensure successful product development and launches. (especially SRI teams, R\&amp;D, Sales/business planning, executives).
**TRAVEL**
 Moderate travel should be expected.
**Qualifications**
**EXPECATIONS AND MEASUREMENTS OF PERFORMANCE**
 Sr. Product Manager \- Soft Goods Of Dunlop Sports Americas Will Be Deemed To Be Performing In a Satisfactory Manner When The Following Are Being Accomplished
* Deadlines: Projects and tasks are effectively managed through completion in a timely fashion deadlines/milestones are met.
* Communication: All information, reports, and progress associated with projects and executions are communicated effectively with stakeholders.
* Quality of work: Content created is free from errors and aligned with brand position and strategy.
* Teamwork: projects and interactions with colleagues are constructive, collaborative, professional, respectful, and effective.
* Employee development and attitude: Employee shows growth in job knowledge, versatility, communication, and marketing skill and motivates direct reports to achieve the same.
* Service levels and responsiveness to SRI Global Business team and Sales Company Executives: service levels, response time, and levels of support to global initiatives.
 All of the expectations outlined above will be monitored by comparative assessments, interviews with managers/colleagues/direct reports, and evaluation by supervisor. When possible, objective quantitative measures will be used.
**Minimum Qualifications (Knowledge, Skills, And Abilities)**
* 7 years related work experience
* Bachelor’s degree in business, marketing, engineering or related field
* Proficient in MS Office, specifically Excel, Word, and PowerPoint
* Excellent oral and written communication skills
* Ability to analyze (proficient with spreadsheets)
* Well\-developed presentation skills
* Project Management and Business Administration Experience
* Familiarity with trademark and copyright law
* Golf and/or golf equipment expertise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and handle or feel objects, tools, or controls. The employee is occasionally required to stand; walk; sit; reach with hands and arms; and stoop, kneel, or crouch. The employee must occasionally lift and/or move up to 15 pounds. Specific vision abilities required by this position include close vision, distance vision, peripheral vision, and the ability to adjust focus. The noise level in the work environment is usually moderate.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t>
        </is>
      </c>
    </row>
    <row r="188">
      <c r="A188" t="inlineStr">
        <is>
          <t>li-4341274636</t>
        </is>
      </c>
      <c r="B188" t="inlineStr">
        <is>
          <t>Senior Product Manager</t>
        </is>
      </c>
      <c r="C188" t="inlineStr">
        <is>
          <t>Hometap</t>
        </is>
      </c>
      <c r="D188" t="inlineStr">
        <is>
          <t>linkedin</t>
        </is>
      </c>
      <c r="E188">
        <f>HYPERLINK("https://www.linkedin.com/jobs/view/4341274636", "https://www.linkedin.com/jobs/view/4341274636")</f>
        <v/>
      </c>
      <c r="F188" t="inlineStr"/>
      <c r="G188" t="inlineStr"/>
      <c r="H188" t="inlineStr"/>
      <c r="I188" t="inlineStr">
        <is>
          <t>Here at Hometap, we’re collaborative, passionate, and always ready to roll up our sleeves to create solutions that help people get more out of homeownership — and out of life. Our first product, a home equity investment, gives homeowners the opportunity to quickly access the equity they’ve built in their home to pay for what’s most important to them, from handling debt to finally making much\-needed renovations, without taking on debt.
 We work hard, and have some fun along the way, too. You don’t have to take our word for it: The Boston Globe and Forbes have recognized us as a great place to work, and we’ve been honored for our commitment to innovation in the fintech space by Inc., HousingWire, and more!
 In case you need any more convincing, we also provide competitive compensation, healthcare coverage, generous PTO, a meaningful equity package, and a strong culture with plenty of opportunities for team\-building and camaraderie.
 Interested in joining us on our mission to make homeownership less stressful and more accessible? We’d love to talk.
 Who You Are
 Hometap is seeking a data\-driven and strategic
 **Senior Product Manager** 
 to own key elements of the homeowner journey to accessing their home equity. Reporting to the Head of Digital Products, Origination, you’ll work closely with Sales, Investment Operations, Engineering, Design, Data, and Legal \&amp; Compliance to help evolve our tools and processes as we seek to bring new licensed products to market while balancing margin contribution, portfolio quality, and user experience. You are passionate about understanding customer needs and are eager to create scalable solutions that drive measurable business outcomes.
 You have strong analytical skills and customer empathy, a deep understanding of the mortgage space and the technical requirements to operate in a licensed lending environment, and a track record of implementing successful improvements to software. You thrive in fast\-paced environments and enjoy collaborating cross\-functionally to achieve ambitious goals.
 What You’ll Do
* Act as the product owner for the homeowner\- and staff\-facing experience and workflows required to apply for and originate licensed financial products
* Leverage qualitative and quantitative homeowner research to uncover pain points and areas of opportunity
* Collaborate with Engineering and Design to conceptualize and deliver new features for applying homeowners
* Collaborate with Legal and Compliance to translate legal and regulatory requirements into operational workflows
* Iterate on our homeowner experience, with an eye towards customer satisfaction and compliance
* Ensure compliance with Fair Lending laws, including ECOA and FHA, enable partnerships and data transfers using MISMO standards
* Test and scale incrementally with data analysis, A/B testing, phased rollouts, and user research
* Build and maintain dashboards to track KPIs, analyze user behavior, and surface actionable insights regularly
* Communicate insights and recommendations to key stakeholders across the organization, including senior leadership
 What You Bring
* 5\+ years of product management experience with direct experience with a regulated consumer financial company, mortgage experience preferred
* Familiarity with licensed lending operations, including the Truth\-in\-Lending Act, Equal Credit Opportunity Act, Fair Credit Reporting Act, Home Mortgage Disclosure Act, and UDAAP
* Bonus: Familiarity with state and federal lending examinations and supporting regulatory reporting requirements
* Excellent written and verbal communication skills, with the ability to influence cross\-functional teams and executive stakeholders
* Customer\-focused mindset with the ability to translate user needs into growth opportunities
* Business acumen to prioritize and advocate for work that balances conversion, efficiency, and investment decision quality
* Strong analytical skills and comfort working with data to make informed decisions; experience with tools like Heap, Tableau, or similar platforms a plus
* Self\-awareness and time management skills to balance multiple projects at once and know when to ask for help
 Our team is what makes us great. The salary range for this role is $170,000 \- $195,000, depending on your experience, skills, location, and other factors. You’ll also receive meaningful equity, so you can share in our growth and success. We offer generous medical, dental, and vision coverage, a work\-from\-home stipend, parental leave, and plenty of paid time off to recharge.
 Hometap is on a mission to make homeownership less stressful and more accessible. Our home equity investment product provides homeowners with a fast, simple, and straightforward way to access the equity in their home without taking out a loan or having to sell. By investing alongside homeowners, Hometap offers debt\-free cash in exchange for a share of their home’s future value — all without any monthly payments over the life of the investment. Through a combination of financial innovation and best\-in\-class customer service, Hometap enables people to get more from homeownership so they can get more from life.
 Hometap believes that our differences are what bring us together, and one of our biggest priorities is creating a diverse workplace that welcomes and values each team member’s unique perspective, background, and ideas. All roles here are filled based solely on candidates’ qualifications and our business needs.
 Hometap is an equal opportunity employer. We provide employment opportunities regardless of race, age, color, religion, sex, sexual orientation, gender, gender identity, gender expression, genetic information, national origin, pregnancy, marital, veteran, or disability status. If there is an accommodation that would support your ability to apply and interview with Hometap, please let us know by emailing work@hometap.com.</t>
        </is>
      </c>
    </row>
    <row r="189">
      <c r="A189" t="inlineStr">
        <is>
          <t>li-4357464329</t>
        </is>
      </c>
      <c r="B189" t="inlineStr">
        <is>
          <t>Product Manager, AI Solutions</t>
        </is>
      </c>
      <c r="C189" t="inlineStr">
        <is>
          <t>IBM</t>
        </is>
      </c>
      <c r="D189" t="inlineStr">
        <is>
          <t>linkedin</t>
        </is>
      </c>
      <c r="E189">
        <f>HYPERLINK("https://www.linkedin.com/jobs/view/4357464329", "https://www.linkedin.com/jobs/view/4357464329")</f>
        <v/>
      </c>
      <c r="F189" t="inlineStr"/>
      <c r="G189" t="inlineStr">
        <is>
          <t>University Park, TX</t>
        </is>
      </c>
      <c r="H189" t="inlineStr"/>
      <c r="I189"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We're looking for a Product Manager who can own the go\-to\-market strategy for our AI solutions—translating technical capabilities into market\-ready offerings and driving awareness across key channels. You'll work at the intersection of our delivery teams, sales organization, and the market, ensuring our AI practice is well\-positioned, clearly differentiated, and visible to the right audiences. This role combines traditional product management with product evangelism, requiring someone who can both define positioning and execute the programs that bring it to life.
 What You'll Do
 Product Strategy \&amp; Positioning
* Define and refine positioning for our AI solutions, working closely with delivery and
 sales teams to translate technical capabilities into compelling value propositions
* Develop go\-to\-market strategies for new and existing offerings, including
 competitive analysis and market segmentation
* Create enablement materials—demos, presentations, talk tracks, and reference
 architectures—that help sales teams communicate value effectively
* Document client outcomes and build a portfolio of success stories that demonstrate real\-world impact
* Champion our data\-driven methodology and A/B testing approach as key
 differentiators Market Engagement \&amp; Product Evangelism
* Own our market presence strategy across LinkedIn, YouTube, and relevant industry
 channels
* Develop and execute thought leadership programs that establish our team as
 recognized voices in AI and data
* Produce and oversee content that showcases our capabilities—including video
 demonstrations, technical deep\-dives, and episodic formats (podcasts, video
 series)
* Build visibility for senior practitioners through speaking opportunities, published
 content, and industry engagement
* Translate complex technical work into accessible narratives for different audiences
**Preferred Education**
 Bachelor's Degree
**Required Technical And Professional Expertise**
 What We're Looking For
* 3\-5 years experience in product management, technical product marketing, or solutions marketing in B2B technology—ideally in consulting, data, or AI
* Strong go\-to\-market instincts with a track record of launching or positioning technical products/services
* Ability to develop and execute content strategies that build market awareness
* Video production and editing capabilities (comfortable with tools like Premiere, DaVinci, CapCut, or similar)
* Deep understanding of technical concepts and ability to translate them into business value
* Self\-directed and entrepreneurial—you identify opportunities and execute without heavy oversight
* Collaborative mindset with experience working across technical and commercial teams
* Comfort managing technical stakeholders and synthesizing complex information
**Preferred Technical And Professional Experience**
 Nice to Have
* Experience building thought leadership programs for technical practitioners or executives
* Background in data, analytics, or AI technologies
* Track record producing podcasts, video series, or other episodic content
* Experience with AI\-assisted workflows and emerging tools
* Understanding of both backend infrastructure and frontend applications</t>
        </is>
      </c>
    </row>
    <row r="190">
      <c r="A190" t="inlineStr">
        <is>
          <t>li-4368412598</t>
        </is>
      </c>
      <c r="B190" t="inlineStr">
        <is>
          <t>Product Owner – Identity &amp; Access Management (IAM)</t>
        </is>
      </c>
      <c r="C190" t="inlineStr">
        <is>
          <t>Valorem Reply</t>
        </is>
      </c>
      <c r="D190" t="inlineStr">
        <is>
          <t>linkedin</t>
        </is>
      </c>
      <c r="E190">
        <f>HYPERLINK("https://www.linkedin.com/jobs/view/4368412598", "https://www.linkedin.com/jobs/view/4368412598")</f>
        <v/>
      </c>
      <c r="F190" t="inlineStr"/>
      <c r="G190" t="inlineStr"/>
      <c r="H190" t="inlineStr"/>
      <c r="I190"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$145,000 \- $175,000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1">
      <c r="A191" t="inlineStr">
        <is>
          <t>li-4368058312</t>
        </is>
      </c>
      <c r="B191" t="inlineStr">
        <is>
          <t>Product Owner, Integrations</t>
        </is>
      </c>
      <c r="C191" t="inlineStr">
        <is>
          <t>Plains Midstream Canada</t>
        </is>
      </c>
      <c r="D191" t="inlineStr">
        <is>
          <t>linkedin</t>
        </is>
      </c>
      <c r="E191">
        <f>HYPERLINK("https://www.linkedin.com/jobs/view/4368058312", "https://www.linkedin.com/jobs/view/4368058312")</f>
        <v/>
      </c>
      <c r="F191" t="inlineStr"/>
      <c r="G191" t="inlineStr">
        <is>
          <t>Houston, TX</t>
        </is>
      </c>
      <c r="H191" t="inlineStr"/>
      <c r="I191" t="inlineStr">
        <is>
          <t>Job Type:
 Regular
 Plains All American is an industry\-leading transportation and midstream provider specializing in transportation, storage, processing and marketing solutions for crude oil and natural gas liquids (NGLs). We own an extensive network of pipeline transportation, terminalling, storage and gathering assets in key crude oil and NGL producing basins and transportation corridors and at major market hubs in the United States and Canada. On average, Plains handles more than 6 million barrels per day of crude oil and NGL in its Transportation segment. The company is headquartered in Houston, Texas.
 We are looking for highly\-motivated individuals who enjoy working as part of a team in a dynamic and entrepreneurial work environment.
 This strategic role is responsible for maximizing the value of integration platforms and services at Plains. The Product Owner will guide and collaborate with internal IS teams and stakeholders to understand technical and business needs, maximize product value, and oversee delivery cycles. You will work on a collaborative delivery team comprised of internal employees, Contingent Workforce and Managed Services partners to support and optimize integration solutions at Plains.
 As a Product Owner, you will apply your in\-depth understanding of integration patterns (APIs, batch, event\-driven, middleware) and platform functionality to articulate, define, and advocate for the product vision and an effective technical roadmap based on our organization’s needs. This role acts as the voice of the internal IS customer, translating stakeholder needs into actionable tasks for the delivery team. The Product Owner plays a critical role in ensuring that integration platforms deliver measurable business outcomes and drive adoption by creating effective engagement strategies.
 The selected candidate will be eligible for company benefits including Medical, Dental, Vision, Paid Time Off (PTO), and Free Parking.
**Key Responsibilities**
* Product Ownership
+ Define, own, and iteratively manage the integration platform roadmap in line with stakeholder demands.
+ Apply technical expertise in integration to proactively engage with business stakeholders, assess requirements, and recommend optimal solutions. Ensure early alignment between business needs and technical deliverables, linking solution design to the product roadmap.
+ Manage and optimize the product backlog to maximize the value of the integration platform, prioritizing new features, technical improvements, and bug fixes.
+ Oversee the governance and prioritization process to ensure work items deliver business value and align with the product vision.
+ Understand internal IS stakeholder requirements and expectations to guide value\-driven delivery, prioritizing conversations to deeply understand user needs.
+ Ensure staff and vendor partners have clarity on product requirements and user expectations.
+ Oversee the agile approach and work closely to manage Contingent Workforce and Managed Services providers’ technical delivery, including sprint planning, reviews, retrospectives, and backlog refinement.
+ Maintain product health by ensuring the team follows appropriate processes (development, test, change management, etc.) to protect the stability of the environment.
+ Evaluate the work done by the delivery team and provide constant feedback.
+ Actively make decisions within your domain, focusing on activities that directly contribute to stated goals.
+ Make data\-driven decisions rather than decisions based on feelings.
* Business and Stakeholder Management
+ Lead product governance across internal IS stakeholders.
+ Organize work scope, budget, and time, weighing priorities and making work item trade\-offs according to the needs and objectives of business value and the product roadmap.
+ Work with broader IS groups (infrastructure, cybersecurity, service desk) to support effective delivery.
+ Serve as the primary link between IS users and delivery staff, ensuring buy\-in from leadership/users on all major decisions and strategies, and clear instructions and deliverables to the delivery team.
+ Build strong relationships with stakeholders to foster trust and facilitate demand\-shaping conversations focused on business needs.
+ Educate and mentor team members and key users on integration platforms, business value streams, and best practices.
+ Articulate the vision and business value of designing, building, supporting, and sustaining the integration platform.
+ Lead value realization discussions with stakeholders to ensure product investments deliver tangible business outcomes.
+ Facilitate escalation processes with Managed Services Providers.
+ Communicate clearly and concisely with a focus on achieving stated goals.
+ Share information openly and communicate potential problems early.
* Agile Product Delivery and Collaboration
+ Apply Agile principles to manage product delivery cycles, including sprint planning, retrospectives, and backlog refinement.
+ Ensure team collaboration and work closely with the Scrum Master to keep delivery on track.
+ Set clear expectations for product sprints and guide supporting Contingent Workforce and Managed Services partners.
+ Provide feedback on the roadmap and communicate with the product manager to ensure development efforts align with the broader product strategy.
+ Lead organizational change to ensure successful product adoption.
+ Develop and execute adoption plans to ensure integration platforms are fully utilized by end\-users and contribute to value realization.
+ Track adoption metrics and user feedback, leveraging these insights to drive continuous improvement.
+ Prioritize tasks that deliver the greatest value.
**Knowledge, Skills, And Experience Required**
* Strong technical acumen in integration technologies (APIs, ESB, ETL, batch jobs, event\-driven architecture) and experience with cloud integration platforms (e.g., Azure Integration Services, MuleSoft).
* Demonstrated leadership, stakeholder management, and communication skills, with the ability to build relationships, influence, and clearly articulate technical and business concepts.
* Proven ability to manage product roadmaps, prioritize and execute multiple tasks, and deliver measurable outcomes in a fast\-paced, Agile environment.
* Familiarity with Agile/Scrum methodologies and tools (such as Azure DevOps), product lifecycle management, and DevOps/CI\-CD practices.
* Experience coordinating with Contingent Workforce and Managed Services partners, and managing vendor relationships.
* Knowledge of security standards, compliance, and change management to ensure successful product adoption and platform stability.
* Customer\-driven mindset, ownership of outcomes, and commitment to continuous improvement and value delivery.
* Cleared criminal history (background) and satisfactory reference checks
* Compliance with the Company’s drug and alcohol policy including pre\-employment D\&amp;A testing.
* This position is not eligible for employment\-based visa sponsorship. Applicants must be authorized to work in the U.S. for the duration of their employment
**Education**
* College diploma or university degree in the field of computer science, information systems, business administration, or related domain.
* Minimum 5 years of experience in a Product Owner, BA, Scrum Master, or Product Specialist capacity, or a similar role within technology\-driven organizations.
* Certification in Agile methodologies (e.g., Certified Scrum Product Owner (CSPO), SAFe Product Manager) is an asset.
 \#Plains
 At Plains, our employees are our most valuable asset. Hard work is rewarded with competitive compensation and a top\-tier benefits program designed to keep our employees safe, healthy and happy. We work hard to deliver the best results to our stakeholders and we also respect our employees need for personal and family time, which is reflected in our benefits program.
 Salary details estimated by job boards such as Indeed, Glassdoor, and LinkedIn do not represent Plains’ compensation structure. We thank all candidates for their interest; however, only those selected for an interview will be contacted.
 By submitting your resume, you consent to the collection, use and necessary disclosure of the personal information provided during the application and selection process. Learn more.</t>
        </is>
      </c>
    </row>
    <row r="192">
      <c r="A192" t="inlineStr">
        <is>
          <t>li-4356889018</t>
        </is>
      </c>
      <c r="B192" t="inlineStr">
        <is>
          <t>Product Owner</t>
        </is>
      </c>
      <c r="C192" t="inlineStr">
        <is>
          <t>Chubb</t>
        </is>
      </c>
      <c r="D192" t="inlineStr">
        <is>
          <t>linkedin</t>
        </is>
      </c>
      <c r="E192">
        <f>HYPERLINK("https://www.linkedin.com/jobs/view/4356889018", "https://www.linkedin.com/jobs/view/4356889018")</f>
        <v/>
      </c>
      <c r="F192" t="inlineStr"/>
      <c r="G192" t="inlineStr">
        <is>
          <t>Simsbury, CT</t>
        </is>
      </c>
      <c r="H192" t="inlineStr"/>
      <c r="I192" t="inlineStr">
        <is>
          <t>**Job Description**
 One of Chubb’s most advanced AI analytics products is looking for an Analytics Product Owner to help build, design, and deploy the capability to multiple insurance products across the globe. This role will work closely with business \&amp; analytics leadership to change the future of portfolio management at Chubb. We are looking for a highly motivated, experienced insurance data science professional to help shape the future of analytics at our company.
**Job Description**
* Create analytics solutions to drive efficiency throughout portfolio management process for multiple business units and insurance products
* Align with senior executives to scope, manage, and deliver scalable AI assets
* Lead model reviews with analytics and business stakeholders, clearly articulating complex models to business leadership teams
* Manage delivery of cross functional teams consisting of data scientists, data engineers, machine learning engineers, and software engineers
* Analyze the output of models, delegating questions to junior data scientists
* Stay current with product specific trends throughout the industry
* Act as a subject matter expert and provide guidance to the project team throughout the project lifespan. This includes (but not limited to)
+ Knowing which sources of data to explore
+ Identifying and communicating the key trends, data limitations and business stakeholders to the project team
+ Scoping the business problem out so that the project team can determine the best model/analysis/solution
+ Assess reasonability of the data and/or model prior to sharing with the key business stakeholders
* Collaborate with other Product Owners and Portfolio Managers to ensure any related projects/dependencies are identified and met
* Create presentations to business to showcase product capabilities and project status in clear, direct language
**Qualifications**
* Masters Degree in a quantitative field or credited actuary (FCAS/ACAS)
* 5\+ years’ professional experience in advanced analytics at a P\&amp;C insurance company
* Ability to critically think and understand new algorithms quickly
* Mastery of machine learning algorithms and advanced modeling techniques
* 1\+ years experience leading data science modeling projects
* Thought leader in how to use data and analytics to address business requirements, current and future looking
* Ability to think strategically, execute tactically, and take initiatives, with an attention to detail mindset
* Ability to effectively understand data, analyze results, draw insights and conclusions, and recommend appropriate actions in an atmosphere of fact\-based decision\-making
 The pay range for the role is $103,400 to $170,700\.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**About Us**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row>
    <row r="193">
      <c r="A193" t="inlineStr">
        <is>
          <t>li-4368397917</t>
        </is>
      </c>
      <c r="B193" t="inlineStr">
        <is>
          <t>Product Owner (AI &amp; Insurance Innovation)</t>
        </is>
      </c>
      <c r="C193" t="inlineStr">
        <is>
          <t>Insurance Office of America</t>
        </is>
      </c>
      <c r="D193" t="inlineStr">
        <is>
          <t>linkedin</t>
        </is>
      </c>
      <c r="E193">
        <f>HYPERLINK("https://www.linkedin.com/jobs/view/4368397917", "https://www.linkedin.com/jobs/view/4368397917")</f>
        <v/>
      </c>
      <c r="F193" t="inlineStr"/>
      <c r="G193" t="inlineStr">
        <is>
          <t>Uinta County, WY</t>
        </is>
      </c>
      <c r="H193" t="inlineStr"/>
      <c r="I193"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194">
      <c r="A194" t="inlineStr">
        <is>
          <t>li-4368408639</t>
        </is>
      </c>
      <c r="B194" t="inlineStr">
        <is>
          <t>Product Owner – Identity &amp; Access Management (IAM)</t>
        </is>
      </c>
      <c r="C194" t="inlineStr">
        <is>
          <t>Valorem Reply</t>
        </is>
      </c>
      <c r="D194" t="inlineStr">
        <is>
          <t>linkedin</t>
        </is>
      </c>
      <c r="E194">
        <f>HYPERLINK("https://www.linkedin.com/jobs/view/4368408639", "https://www.linkedin.com/jobs/view/4368408639")</f>
        <v/>
      </c>
      <c r="F194" t="inlineStr"/>
      <c r="G194" t="inlineStr">
        <is>
          <t>Philadelphia, PA</t>
        </is>
      </c>
      <c r="H194" t="inlineStr"/>
      <c r="I194"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5">
      <c r="A195" t="inlineStr">
        <is>
          <t>li-4368403759</t>
        </is>
      </c>
      <c r="B195" t="inlineStr">
        <is>
          <t>Product Owner (AI &amp; Insurance Innovation)</t>
        </is>
      </c>
      <c r="C195" t="inlineStr">
        <is>
          <t>Insurance Office of America</t>
        </is>
      </c>
      <c r="D195" t="inlineStr">
        <is>
          <t>linkedin</t>
        </is>
      </c>
      <c r="E195">
        <f>HYPERLINK("https://www.linkedin.com/jobs/view/4368403759", "https://www.linkedin.com/jobs/view/4368403759")</f>
        <v/>
      </c>
      <c r="F195" t="inlineStr"/>
      <c r="G195" t="inlineStr">
        <is>
          <t>Casper, WY</t>
        </is>
      </c>
      <c r="H195" t="inlineStr"/>
      <c r="I195"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196">
      <c r="A196" t="inlineStr">
        <is>
          <t>li-4368376975</t>
        </is>
      </c>
      <c r="B196" t="inlineStr">
        <is>
          <t>Product Manager</t>
        </is>
      </c>
      <c r="C196" t="inlineStr">
        <is>
          <t>Emerson</t>
        </is>
      </c>
      <c r="D196" t="inlineStr">
        <is>
          <t>linkedin</t>
        </is>
      </c>
      <c r="E196">
        <f>HYPERLINK("https://www.linkedin.com/jobs/view/4368376975", "https://www.linkedin.com/jobs/view/4368376975")</f>
        <v/>
      </c>
      <c r="F196" t="inlineStr"/>
      <c r="G196" t="inlineStr">
        <is>
          <t>Marshalltown, IA</t>
        </is>
      </c>
      <c r="H196" t="inlineStr"/>
      <c r="I196" t="inlineStr">
        <is>
          <t>**Job Description**
 We are an equal opportunity employer looking for a leader to be responsible for controlling valve product lifecycle from concept to obsolescence, who develops and implements product management and marketing strategies to achieve sales, profitability, and customer service goals!
 This role will be based in our Marshalltown, IA location. In this role, you will work globally with customers, sales, world area marketing, and engineering team members to manage the lifecycle of the current products, define, develop, and launch new products, product modifications, and buyout strategies to increase market share and expand into new markets.
 In addition, you will be responsible for driving and analyzing market trends, market research, competitive updates, technical differentiation and driving business opportunities for the product portfolio. As the global leader, you will bring forward and champion these opportunities from the World Area into the Business Units. Other responsibilities will include detailed understanding and management of the Financial and business performance on Gross Profit, Average Unit Price Mix, Price and Unit volumes for the product portfolio.
 Emerson offers generous benefits, and flexible work schedules, and we are committed to a diverse workforce!
**In This Role, Your Responsibilities Will Be:**
* Understand Portfolio Uses in the Market
+ Maintain a knowledge base of competitive products on the market
+ Understanding Customer Use cases for product expansions
+ Finding new opportunities for existing products in existing or new markets
+ Travel to customer sites for face\-to\-face interaction
* Improve financial performance
+ Profitability improvement, supply chain resiliency, global reach
+ Lead time initiatives
+ Product enhancements and reinventions to extend the product lifecycle
+ Assist in the analysis of business trends, such as bookings, market participation, run rates, quote conversion rates, etc., and propose corrective strategies where applicable.
+ Work with country sales organizations to develop and ensure Product tiering strategies are implemented at the country level to improve wins in both volume and profit
* Drive Product Awareness and Technical Expertise
+ Act as Product spokesperson, create technical papers, speak at trade shows, share success stories
+ Work with Marcom on sales collateral to extend product awareness in the marketplace
+ Develop user documentation and marketing material
+ Serve as subject matter expert to solve issues
+ Train Sales and Service personnel (product and market segment focus)
+ Train Education Services personnel and support coursework development
**Who You Are:**
 Has a track record of exceeding goals optimally. Pushes self and helps others achieve results. Encourages the open expression of diverse ideas and opinions.
**For This Role, You Will Need:**
* Bachelor's Degree in Engineering or Marketing with 5\+ years of industry experience OR MBA with a technical undergraduate with 2\+ years of industry experience
* Engineering background or related experience needed to investigate and develop customer application/product needs, conduct competitive analysis, and develop product specifications and general product improvements consistent with market needs
* Experience with Industrial Business to Business sales
* Experience in process engineering, sales, or marketing
* Understand process control or similar business, have a good knowledge of the marketplace, competitive product customers, and applications
* Solid understanding of commercial and technical applications of control valves or similar products.
* Ability to effectively communicate with technical experts and non\-technical salespeople
* Capable of developing strong global relationships
* Strong communication skills to create a clear vision, customer value proposition, and sales intermediary value proposition
* Strong organizational skills
* Ability to maintain a keen attention to detail, multitask, and work well under pressure
* Legal authorization to work in the United States \- sponsorship will not be provided for this position
**Preferred Qualifications That Set You Apart:**
* MBA
* 5\+ years of industry experience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**Our Location:**
 Marshalltown, Iowa, combines the charm of a close\-knit community with the conveniences of a thriving city. Located in central Iowa, less than an hour from both Des Moines and Ames, Marshalltown offers easy access to urban amenities while providing a variety of local outdoor recreation activities like hiking, biking, golf, swimming, and exploring local parks. With its affordable cost of living, excellent schools, and vibrant diverse local culture, Marshalltown is a welcoming place to call home!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97">
      <c r="A197" t="inlineStr">
        <is>
          <t>li-4367278892</t>
        </is>
      </c>
      <c r="B197" t="inlineStr">
        <is>
          <t>Senior Innovation Product Manager - Benefits</t>
        </is>
      </c>
      <c r="C197" t="inlineStr">
        <is>
          <t>Business Centric Technology</t>
        </is>
      </c>
      <c r="D197" t="inlineStr">
        <is>
          <t>linkedin</t>
        </is>
      </c>
      <c r="E197">
        <f>HYPERLINK("https://www.linkedin.com/jobs/view/4367278892", "https://www.linkedin.com/jobs/view/4367278892")</f>
        <v/>
      </c>
      <c r="F197" t="inlineStr"/>
      <c r="G197" t="inlineStr">
        <is>
          <t>Plano, TX</t>
        </is>
      </c>
      <c r="H197" t="inlineStr"/>
      <c r="I197" t="inlineStr">
        <is>
          <t>Our Plano, TX\- based client is hiring a Senior Innovation Product Manager to play a pivotal role in building a new employee benefits business from the ground up. This is a true zero\-to\-one opportunity. You’ll lead early\-stage discovery and definition work—researching the market, validating customer needs, shaping product concepts, and helping determine what this business should become. In close partnership with a senior business leader, you’ll help shape and validate the foundation of a new employee benefits offering.
 This is a direct\-hire position working on\-site in Plano, TX, with 35 days of remote work per year.
**COMP**
 : Up to $186K OTE depending on candidates'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\&amp; back\-up childcare
**WHAT YOU’LL DO:**
* Partner with senior business leadership to research, define, and evaluate potential employee benefits products and services
* Conduct market \&amp; competitive research to assess target segments, customer needs \&amp; overall opportunity size
* Lead customer \&amp; client discovery efforts, including interview planning, synthesis \&amp; identification of unmet needs
* Translate research into clear problem statements, product concepts, and early solution direction
* Build and maintain a structured product roadmap and backlog, including MVP and future\-state concepts
* Collaborate with internal teams to design, prototype, and test early\-stage solutions
* Evaluate and recommend vendors and technology platforms required to support a benefits brokerage business
* Define and document high\-level data, reporting, and BI requirements to support future execution
* Identify key risks, dependencies, and tradeoffs across product, operating model, technology, and data
* Partner with IT, Finance, Legal, Compliance, and Operations to enable informed planning and decision\-making
* Prepare clear, concise, and well\-structured materials for executive review and discussion
**WHAT YOU’LL BRING:**
* Bachelor’s Degree required; advanced degrees or certifications (AIPMM, Pragmatic Institute, IDEO, etc.) are a plus
* 7\+ years of experience in product management, strategy, or innovation roles—ideally within regulated industries such as employee benefits, insurance, or healthcare
* 2\+ years of experience in the employee benefits ecosystem (e.g., carriers, brokers, vendors, consultants, or employers)
* Proven success leading early\-stage, ambiguous, or zero\-to\-one initiatives, particularly in B2B or services\-based products
* Strong ability to turn market research, customer insights, and business analysis into clear product direction and leadership\-ready documentation
* Experience building product roadmaps, backlogs, and requirements for complex, regulated offerings
* Excellent written and verbal communication skills, especially with executive audiences
 APPLY TODAY! CP \# 8534</t>
        </is>
      </c>
    </row>
    <row r="198">
      <c r="A198" t="inlineStr">
        <is>
          <t>li-4368419635</t>
        </is>
      </c>
      <c r="B198" t="inlineStr">
        <is>
          <t>Product Owner (AI &amp; Insurance Innovation)</t>
        </is>
      </c>
      <c r="C198" t="inlineStr">
        <is>
          <t>Insurance Office of America</t>
        </is>
      </c>
      <c r="D198" t="inlineStr">
        <is>
          <t>linkedin</t>
        </is>
      </c>
      <c r="E198">
        <f>HYPERLINK("https://www.linkedin.com/jobs/view/4368419635", "https://www.linkedin.com/jobs/view/4368419635")</f>
        <v/>
      </c>
      <c r="F198">
        <f>HYPERLINK("https://ioausa.wd5.myworkdayjobs.com/IOA_Careers/job/Longwood-FL/Product-Owner\u002d\u002dAI\u002d\u002d-Insurance-Innovation-_R-1035?source=LinkedIn&amp;urlHash=mJ5J", "https://ioausa.wd5.myworkdayjobs.com/IOA_Careers/job/Longwood-FL/Product-Owner\u002d\u002dAI\u002d\u002d-Insurance-Innovation-_R-1035?source=LinkedIn&amp;urlHash=mJ5J")</f>
        <v/>
      </c>
      <c r="G198" t="inlineStr">
        <is>
          <t>Melbourne, FL</t>
        </is>
      </c>
      <c r="H198" t="inlineStr"/>
      <c r="I198"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199">
      <c r="A199" t="inlineStr">
        <is>
          <t>li-4368410644</t>
        </is>
      </c>
      <c r="B199" t="inlineStr">
        <is>
          <t>Product Owner – Identity &amp; Access Management (IAM)</t>
        </is>
      </c>
      <c r="C199" t="inlineStr">
        <is>
          <t>Valorem Reply</t>
        </is>
      </c>
      <c r="D199" t="inlineStr">
        <is>
          <t>linkedin</t>
        </is>
      </c>
      <c r="E199">
        <f>HYPERLINK("https://www.linkedin.com/jobs/view/4368410644", "https://www.linkedin.com/jobs/view/4368410644")</f>
        <v/>
      </c>
      <c r="F199" t="inlineStr"/>
      <c r="G199" t="inlineStr"/>
      <c r="H199" t="inlineStr"/>
      <c r="I199"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$145,000 \- $175,000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0">
      <c r="A200" t="inlineStr">
        <is>
          <t>li-4352575480</t>
        </is>
      </c>
      <c r="B200" t="inlineStr">
        <is>
          <t>Product Manager, Consumer Goods</t>
        </is>
      </c>
      <c r="C200" t="inlineStr">
        <is>
          <t>FUJIFILM America</t>
        </is>
      </c>
      <c r="D200" t="inlineStr">
        <is>
          <t>linkedin</t>
        </is>
      </c>
      <c r="E200">
        <f>HYPERLINK("https://www.linkedin.com/jobs/view/4352575480", "https://www.linkedin.com/jobs/view/4352575480")</f>
        <v/>
      </c>
      <c r="F200">
        <f>HYPERLINK("https://uscareers-fujifilm.icims.com/jobs/36682/product-manager,-consumer-goods/job?hub=9&amp;mode=apply&amp;iis=LinkedIn&amp;iisn=LinkedIn&amp;urlHash=VBGH", "https://uscareers-fujifilm.icims.com/jobs/36682/product-manager,-consumer-goods/job?hub=9&amp;mode=apply&amp;iis=LinkedIn&amp;iisn=LinkedIn&amp;urlHash=VBGH")</f>
        <v/>
      </c>
      <c r="G200" t="inlineStr">
        <is>
          <t>Greenwood, SC</t>
        </is>
      </c>
      <c r="H200" t="inlineStr"/>
      <c r="I200" t="inlineStr">
        <is>
          <t>FUJIFILM North America Corporation Imaging Division Personalized Photo Products Group (PPPG) now makes more than 450 personalized items (such as coffee mugs, posters, framed prints, canvas wall décor and more). PPPG provides a turnkey, back\-end service of producing these items for a variety of retail and online customers. The Product Manager, 3PG Ecommerce will support the Direct\-to\-Consumer product experience for Fujifilm, serving as the internal driver of product development, packaging, and pricing strategy. This role will partner closely with Marketing, Ecommerce, and the broader 3PG team, as well as internal and external factories and box manufacturers to bring new products to market and deliver a compelling unboxing and brand experience that drives sales and profitability. The ideal candidate combines strong customer focus, creative thinking, manufacturing knowledge, and the ability to thrive in a fast\-paced, results\-driven environment.
 Hybrid position\- Must be based in either Valhalla, NY or Greenwood, SC.
**Company Overview**
 At FUJIFILM North America Corporation, we are many things to both consumers and business customers. We’re looking for passionate, mission\-driven people to help us continue to innovate.
 With five operating divisions, there’s a lot of opportunity to find your niche and make an impact. Perhaps you’ll click with our Imaging Division that provides one\-time\-use cameras, digital printing equipment, and instax™. Maybe you’ll get charged up about our Electronic Imaging Division that markets digital cameras, lenses, and accessories for content creators. Or, you might have your eye on our Optical Devices Division, which provides optical lenses for the broadcast, cinematography, videography, and industrial markets. You could be drawn to our Business Innovation Division—they develop office and commercial print solutions and enable digital transformation. And if you’re interested in tape, check out our Industrial Products Division—they develop data storage solutions.
 We offer a collegial culture and a flexible work environment. Our headquarters is in Valhalla, New York, a quaint town just one hour north of New York City.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**Responsibilities**
* Works with Research, Marketing and Product Development and third\-party suppliers to drive the development of new products from concept to implementation to launch and often sell in.
* Execute RFP’s to third\-party suppliers to ensure they meet the security requirements of our Ecommerce experiences as well as to drive competitive pricing.
* Conduct market research and competitor analysis to inform product strategy and positioning.
* Own the pricing guidelines and parameters to ensure that the D2C business does not disrupt/interfere with the B2B segment
* In conjunction with sales and marketing operations assist in the execution of business plans, promotions, marketing collateral and inserts, and packaging development to contribute and maximize the development of brand/business strategies.
* Collaborate with cross\-functional teams, global regions, operations, systems engineering, new product development, sales, and marketing, to drive product initiatives.
* Collaborate with finance in the process development and overall management of the accounting strategy and segmentation of this business.
* Work with suppliers and internal procurement team to ensure sustainability of packaging materials and support the D2C ecommerce marketing team to properly promote those attributes.
* Coordinate with Marketing and EHS to review product positioning and determine any additional testing required to support claims.
* Analyze demand forecasts submitted based on market trends, sales data, promotional plans and insights. Collaborate with manufacturing teams to ensure production aligns with demand forecasts.
* Monitor and report on financial performance, making recommendations for adjustments as necessary.
* Provides direction to the product content team on descriptions and naming, ensuring 3PG content is reflective of the current market.
* Collaborate with operations and marketing to develop targeted marketing promotions to support FNAC initiatives such as reduction of SLOB inventory, key areas for training leading up to peak season and sales targets.
* Gather and analyze customer feedback to inform product improvements and enhancements.
* Monitor key performance indicators (KPIs) to evaluate product success and make data\-driven decisions
* Facilitate deliverables of standard product photography, design templates and in conjunction with marketing execute photoshoot coordination and support
* Perform site audits to ensure accuracy of photography and descriptions
**Required Skills/Education**
* Experience: 3\-5 years product management experience.
* Consumer packaged goods experience
* Education: Bachelor’s degree in business or related field
* Industry experience preferred
* Experience with analyzing cost and impact of cost
**Desired Skills**
* Financial Reporting and Analysis
* PC Skills (MS Office Suite \- emphasis on Excel PowerPoint, and Word)
* Ability to understand the “technology” of photography. (Note: it is not expected that the individual have a photo background only that they have the ability to understand the information when presented/ trained.)
* Team Building and Public Speaking
* Generating Consumer \&amp; Market Insight
* Initiating Action
* Decision Making
* Formal Presentation
* Planning and Organizing
* Communicating Effectively
* Focusing on Customers
* Self\-Starter
* Adapting to Change
* Building Positive Working Relationships
* Initiating Improvements
* Taking Ownership and Accountability
**Salary And Benefits**
* $90,000 plus bonus, depending on experience
* Medical, Dental, Vision
* Life Insurance
* 401k
* Paid Time Off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(hlushrteam@fujifilm.com).</t>
        </is>
      </c>
    </row>
    <row r="201">
      <c r="A201" t="inlineStr">
        <is>
          <t>li-4357434300</t>
        </is>
      </c>
      <c r="B201" t="inlineStr">
        <is>
          <t>Product Manager, AI Solutions</t>
        </is>
      </c>
      <c r="C201" t="inlineStr">
        <is>
          <t>IBM</t>
        </is>
      </c>
      <c r="D201" t="inlineStr">
        <is>
          <t>linkedin</t>
        </is>
      </c>
      <c r="E201">
        <f>HYPERLINK("https://www.linkedin.com/jobs/view/4357434300", "https://www.linkedin.com/jobs/view/4357434300")</f>
        <v/>
      </c>
      <c r="F201">
        <f>HYPERLINK("https://ibmglobal.avature.net/en_US/careers/JobDetail?jobId=90925&amp;src=SN_LinkedIn&amp;source=LinkedIn&amp;urlHash=fxcq", "https://ibmglobal.avature.net/en_US/careers/JobDetail?jobId=90925&amp;src=SN_LinkedIn&amp;source=LinkedIn&amp;urlHash=fxcq")</f>
        <v/>
      </c>
      <c r="G201" t="inlineStr">
        <is>
          <t>Poughkeepsie, AR</t>
        </is>
      </c>
      <c r="H201" t="inlineStr"/>
      <c r="I201"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We're looking for a Product Manager who can own the go\-to\-market strategy for our AI solutions—translating technical capabilities into market\-ready offerings and driving awareness across key channels. You'll work at the intersection of our delivery teams, sales organization, and the market, ensuring our AI practice is well\-positioned, clearly differentiated, and visible to the right audiences. This role combines traditional product management with product evangelism, requiring someone who can both define positioning and execute the programs that bring it to life.
 What You'll Do
 Product Strategy \&amp; Positioning
* Define and refine positioning for our AI solutions, working closely with delivery and
 sales teams to translate technical capabilities into compelling value propositions
* Develop go\-to\-market strategies for new and existing offerings, including
 competitive analysis and market segmentation
* Create enablement materials—demos, presentations, talk tracks, and reference
 architectures—that help sales teams communicate value effectively
* Document client outcomes and build a portfolio of success stories that demonstrate real\-world impact
* Champion our data\-driven methodology and A/B testing approach as key
 differentiators Market Engagement \&amp; Product Evangelism
* Own our market presence strategy across LinkedIn, YouTube, and relevant industry
 channels
* Develop and execute thought leadership programs that establish our team as
 recognized voices in AI and data
* Produce and oversee content that showcases our capabilities—including video
 demonstrations, technical deep\-dives, and episodic formats (podcasts, video
 series)
* Build visibility for senior practitioners through speaking opportunities, published
 content, and industry engagement
* Translate complex technical work into accessible narratives for different audiences
**Preferred Education**
 Bachelor's Degree
**Required Technical And Professional Expertise**
 What We're Looking For
* 3\-5 years experience in product management, technical product marketing, or solutions marketing in B2B technology—ideally in consulting, data, or AI
* Strong go\-to\-market instincts with a track record of launching or positioning technical products/services
* Ability to develop and execute content strategies that build market awareness
* Video production and editing capabilities (comfortable with tools like Premiere, DaVinci, CapCut, or similar)
* Deep understanding of technical concepts and ability to translate them into business value
* Self\-directed and entrepreneurial—you identify opportunities and execute without heavy oversight
* Collaborative mindset with experience working across technical and commercial teams
* Comfort managing technical stakeholders and synthesizing complex information
**Preferred Technical And Professional Experience**
 Nice to Have
* Experience building thought leadership programs for technical practitioners or executives
* Background in data, analytics, or AI technologies
* Track record producing podcasts, video series, or other episodic content
* Experience with AI\-assisted workflows and emerging tools
* Understanding of both backend infrastructure and frontend applications</t>
        </is>
      </c>
    </row>
    <row r="202">
      <c r="A202" t="inlineStr">
        <is>
          <t>li-4368412651</t>
        </is>
      </c>
      <c r="B202" t="inlineStr">
        <is>
          <t>Product Owner (AI &amp; Insurance Innovation)</t>
        </is>
      </c>
      <c r="C202" t="inlineStr">
        <is>
          <t>Insurance Office of America</t>
        </is>
      </c>
      <c r="D202" t="inlineStr">
        <is>
          <t>linkedin</t>
        </is>
      </c>
      <c r="E202">
        <f>HYPERLINK("https://www.linkedin.com/jobs/view/4368412651", "https://www.linkedin.com/jobs/view/4368412651")</f>
        <v/>
      </c>
      <c r="F202" t="inlineStr"/>
      <c r="G202" t="inlineStr">
        <is>
          <t>Dawson, GA</t>
        </is>
      </c>
      <c r="H202" t="inlineStr"/>
      <c r="I202"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03">
      <c r="A203" t="inlineStr">
        <is>
          <t>li-4368400739</t>
        </is>
      </c>
      <c r="B203" t="inlineStr">
        <is>
          <t>Product Owner (AI &amp; Insurance Innovation)</t>
        </is>
      </c>
      <c r="C203" t="inlineStr">
        <is>
          <t>Insurance Office of America</t>
        </is>
      </c>
      <c r="D203" t="inlineStr">
        <is>
          <t>linkedin</t>
        </is>
      </c>
      <c r="E203">
        <f>HYPERLINK("https://www.linkedin.com/jobs/view/4368400739", "https://www.linkedin.com/jobs/view/4368400739")</f>
        <v/>
      </c>
      <c r="F203">
        <f>HYPERLINK("https://ioausa.wd5.myworkdayjobs.com/IOA_Careers/job/Longwood-FL/Product-Owner\u002d\u002dAI\u002d\u002d-Insurance-Innovation-_R-1035?source=LinkedIn&amp;urlHash=mJ5J", "https://ioausa.wd5.myworkdayjobs.com/IOA_Careers/job/Longwood-FL/Product-Owner\u002d\u002dAI\u002d\u002d-Insurance-Innovation-_R-1035?source=LinkedIn&amp;urlHash=mJ5J")</f>
        <v/>
      </c>
      <c r="G203" t="inlineStr">
        <is>
          <t>Biloxi, MS</t>
        </is>
      </c>
      <c r="H203" t="inlineStr"/>
      <c r="I203"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04">
      <c r="A204" t="inlineStr">
        <is>
          <t>li-4368416594</t>
        </is>
      </c>
      <c r="B204" t="inlineStr">
        <is>
          <t>Product Owner (AI &amp; Insurance Innovation)</t>
        </is>
      </c>
      <c r="C204" t="inlineStr">
        <is>
          <t>Insurance Office of America</t>
        </is>
      </c>
      <c r="D204" t="inlineStr">
        <is>
          <t>linkedin</t>
        </is>
      </c>
      <c r="E204">
        <f>HYPERLINK("https://www.linkedin.com/jobs/view/4368416594", "https://www.linkedin.com/jobs/view/4368416594")</f>
        <v/>
      </c>
      <c r="F204">
        <f>HYPERLINK("https://ioausa.wd5.myworkdayjobs.com/IOA_Careers/job/Longwood-FL/Product-Owner\u002d\u002dAI\u002d\u002d-Insurance-Innovation-_R-1035?source=LinkedIn&amp;urlHash=mJ5J", "https://ioausa.wd5.myworkdayjobs.com/IOA_Careers/job/Longwood-FL/Product-Owner\u002d\u002dAI\u002d\u002d-Insurance-Innovation-_R-1035?source=LinkedIn&amp;urlHash=mJ5J")</f>
        <v/>
      </c>
      <c r="G204" t="inlineStr">
        <is>
          <t>Akron, OH</t>
        </is>
      </c>
      <c r="H204" t="inlineStr"/>
      <c r="I204"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05">
      <c r="A205" t="inlineStr">
        <is>
          <t>li-4321477037</t>
        </is>
      </c>
      <c r="B205" t="inlineStr">
        <is>
          <t>Retirement Innovation Product Manager</t>
        </is>
      </c>
      <c r="C205" t="inlineStr">
        <is>
          <t>Business Centric Technology</t>
        </is>
      </c>
      <c r="D205" t="inlineStr">
        <is>
          <t>linkedin</t>
        </is>
      </c>
      <c r="E205">
        <f>HYPERLINK("https://www.linkedin.com/jobs/view/4321477037", "https://www.linkedin.com/jobs/view/4321477037")</f>
        <v/>
      </c>
      <c r="F205" t="inlineStr"/>
      <c r="G205" t="inlineStr">
        <is>
          <t>Plano, TX</t>
        </is>
      </c>
      <c r="H205" t="inlineStr"/>
      <c r="I205" t="inlineStr">
        <is>
          <t>We’re seeking a Retirement Innovation Product Manager to lead discovery, ideation, and development of new digital and non\-digital products and services in the retirement space. This role will focus on identifying unmet needs among owners and affluent employees of small and medium\-sized businesses, researching market trends, evaluating new technologies, and designing forward\-thinking solutions. Working cross\-functionally, you’ll bring structure to innovation by testing ideas, leading pilots, and preparing high\-potential concepts for broader launch. This is a direct\-hire, on\-site role in Plano, TX, with 35 remote days per year.
**COMPENSATION:**
 $154K\-$180 (Base \+ Bonus) depending on the candidate's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and back\-up childcare
**WHAT YOU’LL DO:**
* Research emerging trends, client needs, and competitive innovations across benefits and insurance
* Identify opportunities to better serve small business owners and employees
* Generate, validate, and prioritize new product concepts aligned with company growth goals
* Develop product briefs, market analyses, and business cases for new offerings
* Collaborate with internal teams to design, prototype, and test early\-stage solutions
* Lead pilots to assess product\-market fit, feasibility, and ROI
* Partner with client acquisition, operations, legal, and compliance to evaluate readiness and risk
* Contribute to the long\-term innovation product roadmap with senior leadership
**WHAT YOU’LL BRING:**
* Bachelor’s degree required; advanced degree or certifications preferred
* 5\+ years of experience in product management, strategy, or innovation roles
* 2\+ years in benefits, insurance, or a related regulated industry
* Strong working knowledge of modern product management frameworks
* Demonstrated success working with SMB clients or in small business environments
* Strong foundation in customer research, prototyping, and early\-stage development
* Exceptional written and verbal communication skills with executive presence
* Analytical thinker with the ability to evaluate product\-market fit and ROI
* Familiarity with digital advice platforms, financial planning tools, or RIA tech stacks is a plus
 APPLY TODAY! CP \# 8524</t>
        </is>
      </c>
    </row>
    <row r="206">
      <c r="A206" t="inlineStr">
        <is>
          <t>li-4368403758</t>
        </is>
      </c>
      <c r="B206" t="inlineStr">
        <is>
          <t>Product Owner (AI &amp; Insurance Innovation)</t>
        </is>
      </c>
      <c r="C206" t="inlineStr">
        <is>
          <t>Insurance Office of America</t>
        </is>
      </c>
      <c r="D206" t="inlineStr">
        <is>
          <t>linkedin</t>
        </is>
      </c>
      <c r="E206">
        <f>HYPERLINK("https://www.linkedin.com/jobs/view/4368403758", "https://www.linkedin.com/jobs/view/4368403758")</f>
        <v/>
      </c>
      <c r="F206">
        <f>HYPERLINK("https://ioausa.wd5.myworkdayjobs.com/IOA_Careers/job/Longwood-FL/Product-Owner\u002d\u002dAI\u002d\u002d-Insurance-Innovation-_R-1035?source=LinkedIn&amp;urlHash=mJ5J", "https://ioausa.wd5.myworkdayjobs.com/IOA_Careers/job/Longwood-FL/Product-Owner\u002d\u002dAI\u002d\u002d-Insurance-Innovation-_R-1035?source=LinkedIn&amp;urlHash=mJ5J")</f>
        <v/>
      </c>
      <c r="G206" t="inlineStr">
        <is>
          <t>Burlington, VT</t>
        </is>
      </c>
      <c r="H206" t="inlineStr"/>
      <c r="I206"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07">
      <c r="A207" t="inlineStr">
        <is>
          <t>li-4354642275</t>
        </is>
      </c>
      <c r="B207" t="inlineStr">
        <is>
          <t>Product Owner</t>
        </is>
      </c>
      <c r="C207" t="inlineStr">
        <is>
          <t>DriveCentric</t>
        </is>
      </c>
      <c r="D207" t="inlineStr">
        <is>
          <t>linkedin</t>
        </is>
      </c>
      <c r="E207">
        <f>HYPERLINK("https://www.linkedin.com/jobs/view/4354642275", "https://www.linkedin.com/jobs/view/4354642275")</f>
        <v/>
      </c>
      <c r="F207" t="inlineStr"/>
      <c r="G207" t="inlineStr">
        <is>
          <t>St Louis, MO</t>
        </is>
      </c>
      <c r="H207" t="inlineStr"/>
      <c r="I207" t="inlineStr">
        <is>
          <t>**Job Description** 
 We're looking for a Product Owner to join our dynamic Product Team and help drive the future of our industry\-leading CRM platform for automotive dealerships. In this role, you'll play a key part in contributing to the product roadmap, collaborating across teams and departments, and ensuring the successful execution and support of new features, enhancements, and projects that create real impact for our users.
**Who We Are** 
 DriveCentric is a premier customer relationship management (CRM) software company connecting automotive dealerships with customers in innovative and award\-winning ways. As the fastest\-growing software company in St. Louis and a Top Workplace for three consecutive years, we are expanding our Product Team.
**What You’ll Do** 
* Serve as the voice of the product, translating strategic goals into business requirements, facilitating product design, and championing product launches
* Collaborate with Users, Engineering, Customer Success, Sales, and Key Stakeholders to define, prioritize, and deliver product enhancements and solutions
* Manage the day\-to\-day execution of product bug fixes, features, and larger\-scale initiatives from concept to global release
* Manage third\-party partner communications and projects to ensure alignment with product goals and facilitate smooth collaboration
* Work closely with other Product Owners, the Director of Product, and key stakeholders to align product efforts with company goals and long\-term vision
* Champion a deep understanding of the product, customer needs, and market trends to help guide decision\-making
* Act as a communicator, coordinator, and advocate for product priorities across internal teams
**What We’re Looking For**
**Professional Experience** 
* 5\+ years of previous experience in a product\-focused role (Product Owner, Product Manager, or similar)
* 3\+ years of previous experience in a product\-focused role at an automotive SaaS company
* Experience working with third\-party integrations, APIs, and vendor partnerships
* Experience supporting go\-to\-market efforts like feature rollouts, training, and documentation
* Experience working in collaboration with Business Development and GTM Teams
**Technical Skils** 
* Experience with Atlassian JIRA products
* Experience with Figma Design products
* Experience working closely with software engineering teams, translating business requirements into light technical requirements
* Deep understanding of standard software development processes
* Ability to analyze user feedback and data to identify opportunities for product enhancements
**Core Competencies** 
* **Autonomy \&amp; Flexibility** 
 : Comfortable working autonomously and navigating ambiguity \- able to move initiatives forward without always having perfectly defined requirements
* **Communication Skills** 
 : Strong verbal and written communication abilities to effectively collaborate with cross\-functional teams and stakeholders
* **Task Versatility** 
 : Willingness to handle a wide variety of tasks, from strategy and documentation to QA and support coordination
* **Customer\-Facing** 
 : Comfortable engaging directly with customers to gather feedback, present solutions, and represent the product team in meetings or demos
* **Persuasion \&amp; Problem\-Solving** 
 : Ability to overcome objections and influence outcomes by clearly articulating value, navigating concerns, and adapting to challenges
**What We’re Looking For (Pluses)**
* Prior work in a startup, high\-growth environment
**Why Join Us?** 
 At DriveCentric, we foster an inviting, productive work culture that prioritizes customer satisfaction and rewards hard work. Employees are eligible to participate in the company's bonus program.
**Join Us:** 
 Take the next step in your career with DriveCentric and experience the rewards of being part of a rapidly growing, innovative team. We encourage you to take a moment to visit our LinkedIn page and watch a short video that showcases our office and culture. https://www.linkedin.com/posts/drivecentric\_drivecentric\-office\-activity\-7008146024963698688\-ftQU?utm\_source\=share\&amp;utm\_medium\=member\_ios
**Equal Opportunity Statement:** 
 DriveCentric is an Equal Opportunity Employer. We do not discriminate based on race, color, religion, sex, sexual orientation, gender identity, national origin, disability, veteran status, or other protected characteristics. All qualified applicants are encouraged to apply
**Benefits** 
 :
* Paid Time Off
* Nine (9\) Paid Holidays
* 401(k) plus employer match
* Health Insurance
* Flexible Spending Account
* Health Savings Account
* Dental Insurance
* Vision Insurance
* Short/Long\-Term Disability Insurance
* Employer\-paid Life Insurance
* Additional Voluntary Life Insurance
* Accident Insurance
* Critical Care Insurance
* Hospital Indemnity Insurance
* Employee Assistance Program
**Compensation Packag** 
 e:
* Bonus opportunities
**Schedule** 
 :
* 8\.5\-hour shift
* Day Shift
* Monday to Friday</t>
        </is>
      </c>
    </row>
    <row r="208">
      <c r="A208" t="inlineStr">
        <is>
          <t>li-4368418627</t>
        </is>
      </c>
      <c r="B208" t="inlineStr">
        <is>
          <t>Product Owner (AI &amp; Insurance Innovation)</t>
        </is>
      </c>
      <c r="C208" t="inlineStr">
        <is>
          <t>Insurance Office of America</t>
        </is>
      </c>
      <c r="D208" t="inlineStr">
        <is>
          <t>linkedin</t>
        </is>
      </c>
      <c r="E208">
        <f>HYPERLINK("https://www.linkedin.com/jobs/view/4368418627", "https://www.linkedin.com/jobs/view/4368418627")</f>
        <v/>
      </c>
      <c r="F208" t="inlineStr"/>
      <c r="G208" t="inlineStr">
        <is>
          <t>Brockton, MA</t>
        </is>
      </c>
      <c r="H208" t="inlineStr"/>
      <c r="I208"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09">
      <c r="A209" t="inlineStr">
        <is>
          <t>li-4368398930</t>
        </is>
      </c>
      <c r="B209" t="inlineStr">
        <is>
          <t>Product Owner (AI &amp; Insurance Innovation)</t>
        </is>
      </c>
      <c r="C209" t="inlineStr">
        <is>
          <t>Insurance Office of America</t>
        </is>
      </c>
      <c r="D209" t="inlineStr">
        <is>
          <t>linkedin</t>
        </is>
      </c>
      <c r="E209">
        <f>HYPERLINK("https://www.linkedin.com/jobs/view/4368398930", "https://www.linkedin.com/jobs/view/4368398930")</f>
        <v/>
      </c>
      <c r="F209">
        <f>HYPERLINK("https://ioausa.wd5.myworkdayjobs.com/IOA_Careers/job/Longwood-FL/Product-Owner\u002d\u002dAI\u002d\u002d-Insurance-Innovation-_R-1035?source=LinkedIn&amp;urlHash=mJ5J", "https://ioausa.wd5.myworkdayjobs.com/IOA_Careers/job/Longwood-FL/Product-Owner\u002d\u002dAI\u002d\u002d-Insurance-Innovation-_R-1035?source=LinkedIn&amp;urlHash=mJ5J")</f>
        <v/>
      </c>
      <c r="G209" t="inlineStr">
        <is>
          <t>DeLand, FL</t>
        </is>
      </c>
      <c r="H209" t="inlineStr"/>
      <c r="I209" t="inlineStr">
        <is>
          <t>**Job Description**
**Title: Product Owner (AI \&amp; Insurance Innovation) – Enterprise Systems**
**Fully Remote**
*Please note: If this position is posted as either fully remote and/or hybrid, in accordance with company policy, individuals residing within a 50\-mile radius of a branch location may be required to work onsite in a hybrid capacity as there may be occasions when on\-site presence is necessary to meet specific business needs. Additionally, our remote work policy includes having a dedicated, distraction\-free workspace. Remote work is not a substitute for childcare, elder care, or other personal responsibilities during working hours. To view our branch locations, please visit: ioausa.com/locations*
**About the Role:** 
 The Product Owner will play a pivotal role in driving the integration of Artificial Intelligence into IOA’s core product suite. Reporting to the Director of Product Management, you will lead initiatives that modernize critical areas such as back\-office automation, automated underwriting, touchless claims processing, and client engagement. This role requires a deep understanding of insurance industry workflows and the ability to translate business needs into actionable product strategies that deliver measurable impact.
**Key Responsibilities**
* Product Roadmap: Define and maintain a product roadmap aligned with organizational goals and vision.
* Discovery \&amp; Research: Conduct industry research and competitive analysis to inform feature development.
* Backlog Management: Prioritize and manage the product backlog to meet delivery milestones.
* Requirements Documentation: Create clear, concise product requirements, including functional specifications and process flows.
* User Stories: Develop high\-quality User Stories and acceptance criteria for development teams.
* Design Collaboration: Partner with UX Designers to create prototypes and wireframes.
* Sprint Leadership: Lead Sprint Planning, Daily Stand\-Ups, Sprint Demos, and Retrospectives.
* Backlog Grooming: Facilitate backlog refinement sessions to ensure clarity and prioritization.
* Cross\-Functional Alignment: Collaborate with technical teams to estimate development efforts and plan releases.
* Stakeholder Engagement: Work with clients and internal teams to define and negotiate requirements.
* Dependency Management: Identify and manage dependencies across teams and systems.
* Metrics Analysis: Analyze product performance metrics to identify areas for improvement and optimize conversion.
* Domain Expertise: Develop deep knowledge of core business functions, processes, and workflows.
* Technical Understanding: Maintain familiarity with core systems, applications, and technical platforms.
* Leadership \&amp; Communication: Influence stakeholders at all levels through strong organizational and communication skills.
**Ideal Candidate Qualifications**
* 3\+ years of experience as a Product Owner within the insurance industry.
* Proven track record of delivering AI\-driven products.
* Extensive experience leading Scrum teams and managing complex dependencies.
* Bachelor’s degree in Computer Science, Information Systems, Business, or equivalent industry experience in a relevant role.
* Strong understanding of software engineering principles.
* Demonstrated success in gathering and defining requirements.
* Innovative mindset with a commitment to continuous learning and improvement.
* Excellent written and verbal communication skills for both technical and business audiences.
* Relevant certifications in Product Management or related disciplines.
**Eligibility Requirement**
 Candidates must be legally authorized to work in the United States without the need for current or future visa sponsorship. This role does not support employment\-based visa sponsorship.
**What We Offer**
* Highly competitive pay rate based on relevant work experience.
* Compensation for travel and mileage.
* Respectful culture and work/family life balance
* Community service commitment
* Supportive teammates and a rewarding work environment
**What To Expect (Application Process)**
* 30\-Minute Phone Screen, Online Assessments, and Interview(s)
**Salary Range**
 The expected pay range for this position is $80,000 to $119,000 per year, depending on experience, relevant skills, and geographic location.
 Insurance Office of America is an equal opportunity employer. We celebrate diversity and are committed to creating an inclusive environment for all employees.</t>
        </is>
      </c>
    </row>
    <row r="210">
      <c r="A210" t="inlineStr">
        <is>
          <t>li-4368401424</t>
        </is>
      </c>
      <c r="B210" t="inlineStr">
        <is>
          <t>Principal Technical Product Manager</t>
        </is>
      </c>
      <c r="C210" t="inlineStr">
        <is>
          <t>Hewlett Packard Enterprise</t>
        </is>
      </c>
      <c r="D210" t="inlineStr">
        <is>
          <t>linkedin</t>
        </is>
      </c>
      <c r="E210">
        <f>HYPERLINK("https://www.linkedin.com/jobs/view/4368401424", "https://www.linkedin.com/jobs/view/4368401424")</f>
        <v/>
      </c>
      <c r="F210" t="inlineStr"/>
      <c r="G210" t="inlineStr">
        <is>
          <t>Spring, TX</t>
        </is>
      </c>
      <c r="H210" t="inlineStr"/>
      <c r="I210"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We are looking for an experienced and strategic
 **Principal Product Manager to lead the product lifecycle of our core infrastructure within Private Cloud.**
**This role requires a strong background in datacenter infrastructure hardware, along with deep experience in CPQ systems, SKU management, pricing strategies, and financial planning.** 
 You will partner cross\-functionally with engineering, supply chain, finance, and sales to define and deliver high\-value infrastructure offerings.
**Responsibilities**
* Own the end\-to\-end product strategy for Private Cloud hardware infrastructure: servers, storage systems, and networking equipment.
* Define and manage global product SKUs, configurations, and pricing structures for both standard and custom builds.
* Lead product lifecycle management, including new product introduction (NPI), transitions, and end\-of\-life planning.
* Collaborate with supply chain, manufacturing, and factory teams to align product specs with production capabilities and timelines.
* Partner with finance and operations to model cost structures, optimize margins, and forecast demand.
* Enable and support accurate CPQ (Configure Price Quote) processes across sales teams and channel partners.
* Drive decisions around sourcing, vendor selection, and inventory planning based on product and market strategy.
* Provide leadership across cross\-functional forums and serve as the SME on infrastructure hardware and operations.
**Education And Experience Required**
* Bachelor's degree or equivalent in computer science, engineering or related field of study. MBA or advanced degree in computer science or engineering preferred.
* 10\+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\#coreinfrastructure \#sku \#CPQ \#productlifecycle \#privatecloud \#SME \#hardware \#service \#storage \#networksystems \#datacenter \#infrastrucutureofferings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TCP\_05
 "The expected salary/wage range for this position is provided below. Actual offer may vary from this range based upon geographic location, work experience, education/training, and/or skill level.
 – United States of America: Annual Salary USD 160,000 \- 303,000 in Colorado // 152,000 \- 349,000 in Texas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11">
      <c r="A211" t="inlineStr">
        <is>
          <t>li-4361175299</t>
        </is>
      </c>
      <c r="B211" t="inlineStr">
        <is>
          <t>Product Manager</t>
        </is>
      </c>
      <c r="C211" t="inlineStr">
        <is>
          <t>Owens Corning</t>
        </is>
      </c>
      <c r="D211" t="inlineStr">
        <is>
          <t>linkedin</t>
        </is>
      </c>
      <c r="E211">
        <f>HYPERLINK("https://www.linkedin.com/jobs/view/4361175299", "https://www.linkedin.com/jobs/view/4361175299")</f>
        <v/>
      </c>
      <c r="F211" t="inlineStr"/>
      <c r="G211" t="inlineStr">
        <is>
          <t>West Chicago, IL</t>
        </is>
      </c>
      <c r="H211" t="inlineStr"/>
      <c r="I211" t="inlineStr">
        <is>
          <t>PURPOSE OF THE JOB
 The Product Manager is responsible for leading product strategy, execution, and performance across building industry market segments and customers. The role drives channel\-specific product planning, innovation, and lifecycle management to ensure growth, differentiation, and operational excellence in the retail or wholesale environment.
 Ideal candidate brings a strong understanding of the building materials industry, through a market back lens and creating opportunities throughout the value chain while having a technical product knowledge and the ability to lead cross\-functional teams.
**Reports to** 
 : Director, Exterior/Interior Doors
**Span of Control** 
 : Individual Contributor
**Job Responsibilities**
**PRODUCT STRATEGY and LIFECYCLE MANAGEMENT**
* Own the product portfolio of the doors business across retail or wholesale distribution channels
* Develop and execute channel\-specific product strategies, including new product introductions, line refreshes and discontinuations for select product category.
* Ensure alignment with brand positioning, customer needs, and competitive landscape that increases consumer willingness to pay to drive margin accretive plans.
**CHANNEL EXECUTION**
* Partner with sales, marketing, and operations to deliver compelling assortments that enhance shopper \&amp; customer journey and drive sales, while improving mix.
* Work with cross\-functional teams to ensure product setup, data accuracy, and content delivery across retail or wholesale distribution systems.
* Monitor performance metrics and drive actions to improve sales and margins.
**CROSS\-FUNCTIONAL COLLABORATION**
* Collaborate with engineering, supply chain, finance, and customer service to ensure product readiness and support.
* Work closely with marketing to develop product positioning, messaging, packaging, signage, and promotional materials tailored to each customer as needed.
* Serve as the voice of customer in product development and commercialization processes.
**MARKET \&amp; CUSTOMER INSIGHTS**
* Analyze market trends, consumer preferences, and competitive activity to inform product decisions.
* Conduct field visits, customer interviews, and performance reviews to identify opportunities and gaps.
* Translate insights into actional product enhancements and channel strategies.
**Job Requirements**
**MINIMUM QUALIFICATIONS** 
 :
* Bachelor’s degree in business, marketing, or related field (MBA preferred
* 5\+ years of experience in product management, building materials or home improvement retailer
* Proven success of managing product lifecycles
* Strong analytical, project management, and organizational skills
* Ability to travel as needed to customer meetings, trade shows, manufacturing locations and field visits
**Knowledge, Skills \&amp; Abilities**
* Channel Knowledge : Deep understanding of retail and/or wholesale distribution operations, systems and customer base.
* Product Management : Experience in managing product portfolios, launches, and lifecycle strategies.
* Cross\-Functional Leadership : Ability to lead and influence across sales, marketing, engineering, and operations.
* Systems and Data Knowledge: Familiarity with product information management systems, erp, and customer portals.
* Customer\-Centric Mindset : Focused on delivering value and ease of selling through retail and wholesale channels.
* Analytical Thinking : Strong skills in performance analysis and business case development.
**About Owens Corning**
 Owens Corning is a residential and commercial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
 Owens Corning is an equal opportunity employer. Except in limited circumstances such as formal apprenticeship programs, Owens Corning does not employ anyone under the age of 18\.</t>
        </is>
      </c>
    </row>
    <row r="212">
      <c r="A212" t="inlineStr">
        <is>
          <t>li-4338985905</t>
        </is>
      </c>
      <c r="B212" t="inlineStr">
        <is>
          <t>Product Manager, Identity Resolution &amp; Tagging Infrastructure</t>
        </is>
      </c>
      <c r="C212" t="inlineStr">
        <is>
          <t>Best Buy</t>
        </is>
      </c>
      <c r="D212" t="inlineStr">
        <is>
          <t>linkedin</t>
        </is>
      </c>
      <c r="E212">
        <f>HYPERLINK("https://www.linkedin.com/jobs/view/4338985905", "https://www.linkedin.com/jobs/view/4338985905")</f>
        <v/>
      </c>
      <c r="F212">
        <f>HYPERLINK("https://bestbuylinkedinslots.thejobnetwork.com/Job/601828032?etd=MUVP6CXQ22IN5RMAZXQPI2VK4B37BLRHP62APRAJJVCEDQNZLQQ5GEFCT27NV5FPWSWMVHOJZXKCMTJ4C42VKVX4MMEPX4DL4WZMBSWIUHA2EQMRHKLA%3d%3d%3d%3d&amp;urlHash=Fzc1", "https://bestbuylinkedinslots.thejobnetwork.com/Job/601828032?etd=MUVP6CXQ22IN5RMAZXQPI2VK4B37BLRHP62APRAJJVCEDQNZLQQ5GEFCT27NV5FPWSWMVHOJZXKCMTJ4C42VKVX4MMEPX4DL4WZMBSWIUHA2EQMRHKLA%3d%3d%3d%3d&amp;urlHash=Fzc1")</f>
        <v/>
      </c>
      <c r="G212" t="inlineStr">
        <is>
          <t>Minneapolis, MN</t>
        </is>
      </c>
      <c r="H212" t="inlineStr"/>
      <c r="I212" t="inlineStr">
        <is>
          <t>As the
 **Product Manager of Identity, Privacy \&amp; Tagging Infrastructure** 
 , you will lead the strategy, development, and execution of privacy\-safe identity solutions and robust tagging frameworks across Best Buy’s Retail Media Network, onsite and offsite. This role ensures accurate data capture to enable campaign attribution and audience insights while maintaining compliance, trust, and scalability in a rapidly evolving regulatory and technology landscape.
 You’ll collaborate with engineering, legal, analytics, privacy, engineering and compliance teams to define standards for identity resolution, consent management, and media instrumentation. Your work will enable future\-proof advertising capabilities, accurate measurement, and privacy\-first innovation.
 This role is remote eligible, which means you would work virtually from home or another non\-Best Buy location
**What You’ll Do**
* Be a key contributor to the product roadmap for identity resolution, consent management, and tagging infrastructure.
* Define and implement privacy\-safe tagging and beaconing strategies and solutions to support onsite and offsite signal capture.
* Collaborate with engineering and legal teams to operationalize privacy policies and ensure compliance with regulations (e.g., GDPR, CCPA).
* Ensure data quality and signal integrity through rigorous QA processes and monitoring systems.
* Evaluate and integrate third\-party identity, privacy, and tagging platforms
* Stay informed on regulatory changes and industry standards, contributing to internal documentation and product updates.
* Improve identity resolution by implementing technology to collect and link multiple identifiers and metadata, ensuring accurate data matching across systems.
* Launch data enrichment initiatives that incorporate Best Buy\-specific identifiers and vetted external sources to strengthen identity profiles.
* Define a measurement framework to understand the value of different data signals and data providers and partners.
**Basic Qualifications**
* 5\+ years of product management experience in digital advertising, identity platforms, or tagging infrastructure.
* 2\+ years of experience with privacy regulations (GDPR, CCPA) and their impact on advertising.
* 2 \+ years of experience with tagging technologies (e.g., Google Tag Manager, Tealium, IAS, etc.), beaconing systems, and identity resolution platforms (e.g., LiveRamp, Neustar).
* 2\+ years of experience with ad tech platforms and ecosystem technology including DSPs, SSPs, CDPs, ad servers, and similar.
* 2\+ years of experience in SQL and experience with cloud data platforms (e.g., GCP, AWS, Snowflake).
**Preferred Qualifications**
* Advanced degree in Computer Science, Data Privacy, or related field.
* Certifications in privacy or data protection (e.g., CIPP/US, CIPT).
* Experience supporting incrementality testing and conversion tracking through instrumentation.
* Experience in a closed media ecosystem like Google, Amazon, Meta, or similar
* Familiarity with consent management platforms and privacy\-safe data architecture.
* Proven ability to work cross\-functionally with engineering, legal, and analytics teams.
**What’s In It For You**
 We’re committed to helping our people thrive at work and at home. We offer generous benefits that address your total well\-being and provide support as you need it, especially at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(Engineering Department), Location: Minneapolis, MN \- 55423</t>
        </is>
      </c>
    </row>
    <row r="213">
      <c r="A213" t="inlineStr">
        <is>
          <t>li-4368383125</t>
        </is>
      </c>
      <c r="B213" t="inlineStr">
        <is>
          <t>Business Credit Card Product Manager</t>
        </is>
      </c>
      <c r="C213" t="inlineStr">
        <is>
          <t>Navigant Credit Union</t>
        </is>
      </c>
      <c r="D213" t="inlineStr">
        <is>
          <t>linkedin</t>
        </is>
      </c>
      <c r="E213">
        <f>HYPERLINK("https://www.linkedin.com/jobs/view/4368383125", "https://www.linkedin.com/jobs/view/4368383125")</f>
        <v/>
      </c>
      <c r="F213" t="inlineStr"/>
      <c r="G213" t="inlineStr">
        <is>
          <t>Smithfield, RI</t>
        </is>
      </c>
      <c r="H213" t="inlineStr"/>
      <c r="I213" t="inlineStr">
        <is>
          <t>**About The Role**
 The Business Credit Card Product Manager is primarily responsible for owning the end\-to\-end onboarding of business and corporate credit card programs \- from acquiring and sourcing new businesses with an application through closing, account origination, employee card setup, Business credit card online banking system enrollment, online Expense Management platform solution configuration, providing training on the solutions to the business and its employees, and providing ongoing support. Serves as the Subject Matter Expert and administrator for SpendTrack (business credit card online banking) and related systems, ensuring smooth program launches, strong adoption, accurate configurations, and excellent member experience. Develops and implements Business Credit Card product strategies to drive growth, conducting market research, collaborating with cross\-functional teams, managing external business relationships, and ensuring product performance and compliance.
**What You Will Do**
* Oversees the Corporate Card \&amp; Small Business Card Programs from end to end including the Sales Experience, Application, Fulfillment, New Account Setup, Implementation, Client Training, \&amp; Support.
* Generates new Small Business \&amp; Corporate credit card sales through Centers of Influence, identifying partnership opportunities for further business development opportunities.
* Accepts and actively works referrals from all channels; acts as the primary point of contact and SME for business \&amp; corporate credit card programs including collecting and process applications for business credit cards.
* Collaborates with Underwriting throughout the application lifecycle process; clarifies structure and responds to underwriting conditions, working with the members throughout and gathering additional documentation if necessary.
* Prepares \&amp; executes closing packages including requisite disclosures and agreements with members (in\-person or via DocuSign).
* Onboards new business accounts and employee cards in the system and enrolls businesses in SpendTrack .
* Serves as the SpendTrack Program Admin \&amp; SME for all businesses, assisting with issues, performing maintenance, and providing support.
* Enrolls and configures SpendTrack system setup including roles, permissions, workflows, and Expense Management if selected, setting up organizational parameters including cost centers, GL's, code values, and reporting.
* Conducts training of SpendTrack and Expense Management for Business Program Admins and cardholders, providing guides and FAQs to enable future self service.
* Develops and implements Business credit card product strategies and roadmaps in line with the Credit Union's overall business objectives to drive business card growth.
* Collaborates with cross\-functional teams including Commercial Banking, Cash Management, Marketing, Sales, and Operations to ensure successful product launches and ongoing product \&amp; portfolio management.
* Partners with Business Development Officers and Retail/Commercial Banking to upskill teams on Business credit card offerings and generate new incremental card business.
* Liaisons with Marketing as the product owner for Business Credit Card Programs; determines marketing strategies and assets required to successfully grow and manage the program.
* Works with small business and corporate clients to maximize their card programs and generate additional spend and interchange revenue, including driving top of wallet behavior and EMOB activities.
* Serves as the primary point of contact for complex issues from business and corporate clients including issues referred from branches/contact center. Works with internal teams to resolve issues and provides client resolution within all predetermined SLA's.
* Ensures full compliance with department procedures and Government agencies, adhering to all Regulatory and compliance requirements
* Performs all other duties as assigned by the VP, Credit Card Portfolio Manager.
**Qualifications**
***Education***
 This position requires a High School diploma or GED. A bachelor's degree in a business\-related field is preferred.
**Experience/Skills/Knowledge**
* A minimum of 3 years previous experience in the credit card industry or a related field required, preferably at a financial institution.
* Must have a demonstrated understanding of commercial/small business credit card products and retail banking with a proven track record of developing and managing successful products.
* Must have excellent verbal and written communication skills, telephone etiquette and strong interpersonal skills.
* Excellent organizational, analytical and problem\-solving skills required.
* Must possess strong service orientation skills in alignment with the credit union's mission and core values.
* Must have the ability to conduct presentations and training programs.
* Must have the ability to handle multiple projects/priorities simultaneously with an effective outcome.
* The ability to deal with highly confidential information is required.
* Must be PC proficient, including Microsoft Office (Word, Excel, PowerPoint, Outlook) and the Internet.
* Ability to function in a commercial office environment and utilize standard office equipment including but not limited to: fax, copier, telephone, etc. Some travel required. Ability to lift a minimum of 25lbs. e.g. file boxes
**About**
 People helping people is what makes Navigant Credit Union truly special. Our mission is to improve the financial well\-being of the families, businesses, and communities we serve, and have been since our founding in 1915\.
 At $4 billion in assets, Navigant Credit Union is the largest credit union in Rhode Island and third largest in New England. Our success is founded upon our community\-based values and our belief in putting people first. These are just a few of the reasons why Navigant Credit Union has been named "Rhode Island's Best Place to Work" year\-after\-year by the
 *Providence Business News* 
 .
 Our Core Values of "Leadership, Unity, Caring, and Integrity" are the guiding principles for our organization. They are the qualities and/or traits that we consider a high priority for Navigant Credit Union employees.
 Navigant Credit Union prides itself on investing in our workforce, while exceeding member expectations. We offer tremendous opportunities for professional development, career advancement, and a best\-in\-class benefits package including robust medical and dental plans, vision benefits, 401(k) with a generous employer match, tuition reimbursement, competitive salaries, paid volunteer days, and more.
 If you believe you'd be a great fit, and are interested in joining our team, check out our open positions and apply today!
***Job Posted by ApplicantPro***</t>
        </is>
      </c>
    </row>
    <row r="214">
      <c r="A214" t="inlineStr">
        <is>
          <t>li-4360724256</t>
        </is>
      </c>
      <c r="B214" t="inlineStr">
        <is>
          <t>Commercial Card Strategic Product Manager</t>
        </is>
      </c>
      <c r="C214" t="inlineStr">
        <is>
          <t>First Horizon Bank</t>
        </is>
      </c>
      <c r="D214" t="inlineStr">
        <is>
          <t>linkedin</t>
        </is>
      </c>
      <c r="E214">
        <f>HYPERLINK("https://www.linkedin.com/jobs/view/4360724256", "https://www.linkedin.com/jobs/view/4360724256")</f>
        <v/>
      </c>
      <c r="F214">
        <f>HYPERLINK("https://recruiting.ultipro.com/FIR1007FTN/JobBoard/c005ef3e-175a-49c4-ba29-9f431f673944/OpportunityDetail?opportunityId=3fff2726-802b-451a-864c-e62e5e828225&amp;source=LinkedIn&amp;urlHash=YvcH", "https://recruiting.ultipro.com/FIR1007FTN/JobBoard/c005ef3e-175a-49c4-ba29-9f431f673944/OpportunityDetail?opportunityId=3fff2726-802b-451a-864c-e62e5e828225&amp;source=LinkedIn&amp;urlHash=YvcH")</f>
        <v/>
      </c>
      <c r="G214" t="inlineStr">
        <is>
          <t>Dallas, TX</t>
        </is>
      </c>
      <c r="H214" t="inlineStr"/>
      <c r="I214" t="inlineStr">
        <is>
          <t>**Location:** 
 On site at location listed in job posting.
**Schedule** 
 Monday through Friday, 9:00am to 5:00PM
**Summary**
 The Commercial Card Strategic Project Manager manages strategic initiatives and projects related to the overall success of the Commercial Card team.
**Essential Duties And Responsibilities**
* Partner with Commercial Card Director, Product Manager and Client Experience Manager and for special projects
* Manage infrastructure improvements and workflow efficiencies
* Lead projects, mentor and coach teams for new functionality, releases and testing related to new Commercial Card initiatives
* Support initiatives to assess and improve the client experience with responsibilities including customer journey mapping, pain point identification and overall operational process improvement
* Represent Commercial Card in the broader departmental or enterprise projects and initiatives
* Establish a partnership and rapport with Commercial Card vendors to develop and test new enhancements and product functionality
* Build and maintain process and procedures related to implementations and support to ensure a quality onboarding experience, appropriate controls and oversight
* Maintain a high\-level understanding and possess the ability to navigate across the bank’s internal and customer facing systems
* Partner with TM Sales, TM Risk Management, Credit and others FH departments to document workflow, define/re\-engineer the service delivery process with a focus on simplicity and ease of doing business; establish key SLAs and metrics to measure success
* Evaluate/enhance/maintain client implementation and support documentation; create workflow tools to improve and automate the implementation process
* Possess and demonstrate a high level of professionalism and communicate in a clear, and concise manner
* Other duties as assigned
**Supervisory Responsibilities**
* None
**Qualifications**
 To perform this job successfully, an individual must be able to perform each essential duty satisfactorily. The requirements listed below are representative of the knowledge, skills, and/or abilities required.
* Bachelor’s degree in Business, Finance, Economics, Accounting, or related field
* 5 years of Commercial Card experience required.
* Previous product management, implementation or project management experience required
* Strong problem solving through ability to analyze qualitative, operational \&amp; financial data
* Strong interpersonal, influencing and relationship building skills; must demonstrate the ability to work cross functionally with a variety of different personality types
* Ability to concisely and effectively communicate with management
* High degree of adaptability \&amp; intellectual curiosity
* Thorough knowledge of Commercial Card, treasury management products, functions, support systems and related policies, procedures and regulatory issues
* Demonstrate initiative and innovation to resolve issues rapidly, able to influence others and committed to make changes as necessary
* Excellent written and verbal communication skills a must; candidate should be able to manage internal and external relationships effectively with the ability to articulate complex solutions to all stakeholders
* Strong planning, project organization skills and attention to detail
**Computer And Office Equipment Skills**
 Microsoft Office Suite
**CERTIFICATES, LICENSES, REGISTRATIONS (Ex: CPA, Series 6 or 7 license, etc)**
 Certified Purchasing Card Professional (CPCP), Certified Cash Manager (CCM) or Certified Treasury Professional (CTP) or Project Management Professional (PMP) preferred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215">
      <c r="A215" t="inlineStr">
        <is>
          <t>li-4368405097</t>
        </is>
      </c>
      <c r="B215" t="inlineStr">
        <is>
          <t>Product Manager, Logistics &amp; Transportation</t>
        </is>
      </c>
      <c r="C215" t="inlineStr">
        <is>
          <t>Avathon</t>
        </is>
      </c>
      <c r="D215" t="inlineStr">
        <is>
          <t>linkedin</t>
        </is>
      </c>
      <c r="E215">
        <f>HYPERLINK("https://www.linkedin.com/jobs/view/4368405097", "https://www.linkedin.com/jobs/view/4368405097")</f>
        <v/>
      </c>
      <c r="F215">
        <f>HYPERLINK("https://avathon.com/company/careers-job-listing/?gh_jid=4655250005&amp;gh_src=6c48dc325us&amp;urlHash=Rfgr", "https://avathon.com/company/careers-job-listing/?gh_jid=4655250005&amp;gh_src=6c48dc325us&amp;urlHash=Rfgr")</f>
        <v/>
      </c>
      <c r="G215" t="inlineStr">
        <is>
          <t>Pleasanton, CA</t>
        </is>
      </c>
      <c r="H215" t="inlineStr"/>
      <c r="I215"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We are seeking an experienced Product Manager to join our team as we develop cutting\-edge AI\-based Logistics Planning and Transportation Management software solutions. In this role, you will be responsible for leading the end\-to\-end product development process for our Logistics and Transportation product suite. You will work closely with cross\-functional teams and stakeholders to define product requirements and ensure successful implementation.
 As a Product Manager, you will drive product strategy and roadmap planning, considering market trends, competitor analysis, and customer feedback. You will collaborate with engineering teams to prioritize features, define user stories, and deliver roadmap items on time. Additionally, you will be responsible for defining and monitoring key performance indicators (KPIs) to measure product success and make data\-driven decisions.
**You Will**
* Drive product strategy and roadmap planning for Logistics, Transportation, and Global Trade Management solutions
* Define product requirements for shipment visibility, carrier management, and load optimization capabilities
* Lead the end\-to\-end product development process from ideation to launch
* Collaborate with engineering and data science teams to prioritize features for AI\-driven logistics automation
* Work on carrier onboarding, rating/routing, and shipment lifecycle management features
* Define requirements for global trade compliance including tariff classification, customs, and trade regulations
* Drive EDI integration capabilities and carrier collaboration workflows
* Gather customer feedback, contribute to proposals, provide input to product pricing, and help drive customer adoption
* Define and monitor key performance indicators (KPIs) to measure product success
* Present product updates and roadmap plans to stakeholders in a clear and concise manner
* Collaborate with sales and marketing teams to develop go\-to\-market strategies and support product launches
**You’ll Have**
* Bachelor’s degree in Computer Science, Engineering, Logistics, Supply Chain Management, or a related field; MBA is a plus
* 5\+ years of experience in product management, preferably delivering solutions within the Transportation or Logistics industry
* Strong understanding and experience of Logistics Planning, Transportation Management (TMS), Freight Optimization, Route Planning, or Warehouse Management (WMS)
* Knowledge of EDI standards and logistics data exchange (EDI 204, 214, 990, 997, etc.)
* Understanding of shipment lifecycle management (booking, tendering, tracking, POD, freight audit)
* Experience with logistics/transportation software (Oracle TMS, SAP TM, Blue Yonder, project44, FourKites, or similar)
* Knowledge of multimodal transportation (road, rail, ocean, air) and global trade management
* Proven track record of delivering successful software products and driving business growth
* Exceptional communication and presentation skills, with the ability to communicate complex ideas clearly and effectively
* Strong analytical and problem\-solving skills, with the ability to make data\-driven decisions
**Nice To Have**
* Experience with AI/ML\-driven logistics optimization and predictive ETA solutions
* Knowledge of HTS classification, duty/tariff calculation, and trade compliance automation
* Experience with denied party screening, sanctions, and export controls
* Understanding of FTA (Free Trade Agreement) and duty drawback processes
* Knowledge of real\-time visibility platforms and IoT integration
* Experience with agentic AI or autonomous logistics workflows
* Experience with carrier management, load optimization (FTL/LTL), and freight audit
* Startup experience preferred
**Salary Range: $140k\-$180k/year**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216">
      <c r="A216" t="inlineStr">
        <is>
          <t>li-4325280355</t>
        </is>
      </c>
      <c r="B216" t="inlineStr">
        <is>
          <t>Senior Staff Product Manager, Aurora Services</t>
        </is>
      </c>
      <c r="C216" t="inlineStr">
        <is>
          <t>Aurora</t>
        </is>
      </c>
      <c r="D216" t="inlineStr">
        <is>
          <t>linkedin</t>
        </is>
      </c>
      <c r="E216">
        <f>HYPERLINK("https://www.linkedin.com/jobs/view/4325280355", "https://www.linkedin.com/jobs/view/4325280355")</f>
        <v/>
      </c>
      <c r="F216" t="inlineStr"/>
      <c r="G216" t="inlineStr">
        <is>
          <t>San Francisco, CA</t>
        </is>
      </c>
      <c r="H216" t="inlineStr"/>
      <c r="I216"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This role will partner closely with our Hardware, Software, and Strategy teams to design our approach to troubleshooting and maintaining Aurora’s vehicles at scale. This role will also involve coordinating with hardware manufacturing partners, vehicle OEMs, and servicing partners to understand requirements, deliver high quality software, and establish support for maintenance activities on the road and at locations across the nation.
**In this role, you will**
* Develop a deep understanding of the needs and challenges of integrating self\-driving technology into a trucking fleet’s existing operations.
* Define product vision and roadmap, prioritizing features that deliver the most value to customers and align with business goals.
* Synthesize product usage data and user feedback into actionable user stories and product requirements for iterative improvement
* Work collaboratively with engineers, designers, operations, and business development to translate product requirements into user\-friendly software solutions.
* Manage a range of cross\-functional stakeholders while navigating key prioritization and timeline tradeoffs
* Stay up\-to\-date on the latest trends in self\-driving technology, fleet management technology, and the logistics industry.
**Required Qualifications**
* 7\+ years in software product management, with a proven track record of successfully launching and managing commercially successful software products.
* Solid technical aptitude and an ability to understand technical designs, software development lifecycle, challenges and risks.
* High level of comfort working in ambiguity. Must be able to define the unknown, create structure and manage change.
* Solid leadership experience with cross\-functional teams in service of a large workstream.
* Experience collaborating with Design, Engineering, and Data to bring product requirements and user experiences to life, while maximizing ROI.
* Ability to clearly articulate complex technical concepts to non\-technical audiences in written and verbal communication.
* Passion for self\-driving technology and its potential to revolutionize the transportation industry.
**Desirable Qualifications**
* Bachelor’s degree in Computer Science (or other technical education) or equivalent practical experience.
* Experience designing software used to manage vehicle maintenance and repairs.
* 3\+ years in the logistics and/or supply chain industries.
* Experience shipping products to enterprise\-sized customers.
* Experience with self\-driving technology or other AI\-based applications.
 The base salary range for this position is $197\-$285K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17">
      <c r="A217" t="inlineStr">
        <is>
          <t>li-4368077125</t>
        </is>
      </c>
      <c r="B217" t="inlineStr">
        <is>
          <t>Senior Product Manager, Flex and Installments Products (Global)</t>
        </is>
      </c>
      <c r="C217" t="inlineStr">
        <is>
          <t>Visa</t>
        </is>
      </c>
      <c r="D217" t="inlineStr">
        <is>
          <t>linkedin</t>
        </is>
      </c>
      <c r="E217">
        <f>HYPERLINK("https://www.linkedin.com/jobs/view/4368077125", "https://www.linkedin.com/jobs/view/4368077125")</f>
        <v/>
      </c>
      <c r="F217" t="inlineStr"/>
      <c r="G217" t="inlineStr">
        <is>
          <t>San Francisco, CA</t>
        </is>
      </c>
      <c r="H217" t="inlineStr"/>
      <c r="I21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Senior Product Manager, Flex and Installments Products will drive the definition, delivery, and optimization of Visa’s Flex and Installments product portfolio—including Visa Flexible Credential, Visa Installment Credential, Visa Installment Solutions, and future product lines. This role supports both Issuance and Acceptance use cases, ensuring Visa delivers cohesive, scalable, and modernized installment and flexible payment experiences across the ecosystem.
 You will shape end‑to‑end product capabilities that serve large issuers, fintechs, acquirers, merchants, processors, and strategic partners. In partnership with cross‑functional teams—including Product Strategy, Solution Enablement, Platform Products, Tokens, Architecture, and Engineering—you will build and scale products that improve checkout experiences, unlock new revenue opportunities, and expand Visa’s position across global markets.
 Success in this role requires strong product sense, structured problem\-solving, technical fluency, the ability to navigate complexity, and excellent communication skills. You must be able to synthesize business needs across diverse stakeholders, translate them into clear product requirements, and guide technical teams through implementation. This includes reading, understanding, and maintaining technical documentation, API guides, and implementation materials.
 This is a global role, requiring the ability to balance regional variations with cohesive global platform priorities.
**Key Responsibilities \&amp; Expectations**
**Product Ownership \&amp; Strategy** 
* Own and deliver enhancements for defined areas within the Flex and Installments suite across both Issuance and Acceptance.
* Shape product roadmaps grounded in ecosystem needs, technical feasibility, and measurable business impact.
* Synthesize complex problem spaces into actionable product decisions and clear prioritization frameworks.
**Integrated Ecosystem Experiences**
* Develop and support end‑to‑end capabilities across the four‑party model, enabling seamless issuer, merchant, and cardholder experiences.
* Champion user experience improvements across digital checkout, tokenized experiences, wallets, BNPL flows, and merchant/issuer integrations.
**Product Development \&amp; Technical Collaboration**
* Author high‑quality requirements, user stories, and acceptance criteria that effectively guide engineering teams.
* Partner closely with Architecture, Engineering, and Token teams to align on solution design, APIs, data models, SLAs, and resilience/security considerations.
* Navigate technical trade\-offs, manage dependencies, and support estimation practices (e.g., T\-shirt sizing).
* Maintain and update technical documentation, including implementation guides, integration specs, and partner\-facing materials.
**Execution \&amp; Delivery**
* Lead product initiatives from concept through launch, managing scope, timelines, and cross\-functional alignment.
* Balance new feature development with platform quality, scalability, and technical debt considerations.
**Stakeholder Engagement \&amp; Communication**
* Communicate complex concepts clearly and effectively to technical and non\-technical audiences.
* Partner with global regions, client\-facing teams, and external partners (issuers, acquirers, processors, fintechs, merchants).
* Provide SME support for client discussions, solutioning, and implementation.
**Performance Monitoring \&amp; Optimization**
* Track product performance, analyze adoption, and drive iterations using qualitative and quantitative insights.
* Translate performance trends and market feedback into actionable improvements.
 This is a hybrid position. Expectations of 3 days in office Tuesday, Wednesdays and Thursdays at a minimum.
**Qualifications**
 Basic Qualifications
* 8 or more years of relevant work experience with a Bachelor’s Degree or at least 5 years of experience with an Advanced Degree (e.g. Masters, MBA, JD, MD) or 2 years of work experience with a PhD
**Preferred Qualifications**
* 9 or more years of relevant work experience with a Bachelor’s Degree or 7 or more relevant years of experience with an Advanced Degree (e.g. Masters, MBA, JD, MD) or 3 or more years of experience with a PhD
* roduct management experience in payments, fintech, commerce technology, or related technical domains.
* Strong understanding of the payments ecosystem, including tokenization, checkout flows, BNPL/Installments, network processing, and the four\-party model.
* Demonstrated technical aptitude—comfortable reading technical documentation, understanding APIs, data flows, and system interactions.
* Proven ability to translate complex business needs and technical constraints into clear, testable product requirements.
* Experience maintaining and improving technical documentation and partner implementation guides.
* Exceptional problem\-solving skills and product sense, with the ability to break down ambiguous problem spaces.
* Effective, structured communicator able to influence teams and stakeholders across regions and functions.
* Experience managing complex cross\-functional initiatives and delivering products at scale.
* Strong analytical skills and experience using data to guide product decisions.
* Customer\-first mindset with the ability to identify unmet needs and propose pragmatic, value\-driven solutions.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$169,100 to $270,800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18">
      <c r="A218" t="inlineStr">
        <is>
          <t>li-4368043995</t>
        </is>
      </c>
      <c r="B218" t="inlineStr">
        <is>
          <t>Product Manager- MVS Hardware</t>
        </is>
      </c>
      <c r="C218" t="inlineStr">
        <is>
          <t>Luminator Technology Group</t>
        </is>
      </c>
      <c r="D218" t="inlineStr">
        <is>
          <t>linkedin</t>
        </is>
      </c>
      <c r="E218">
        <f>HYPERLINK("https://www.linkedin.com/jobs/view/4368043995", "https://www.linkedin.com/jobs/view/4368043995")</f>
        <v/>
      </c>
      <c r="F218" t="inlineStr"/>
      <c r="G218" t="inlineStr">
        <is>
          <t>Plano, TX</t>
        </is>
      </c>
      <c r="H218" t="inlineStr"/>
      <c r="I218" t="inlineStr">
        <is>
          <t>**🌟 Be a Part of Something Bigger!** 
**🌟**
 At
 **Luminator Technology Group** 
 , we believe we are
 **Better Together** 
 . We always put the
 **Customer First** 
 , focus on achieving
 **Results** 
 , strive to
 **Be the Best** 
 , and foster a culture of
 **Respect \&amp; Trust** 
 .
 We are on a mission to innovate and revolutionize global transportation technology. Luminator is a global leader spanning over 85 countries and nearly 1,000 employees
 Luminator is seeking a
 **Product Manager\- MVS Hardware, that** 
 is responsible for the full lifecycle and performance of Luminator’s Mobile Video Surveillance (MVS) hardware products, including in\-vehicle recorders, cameras, cellular routers, and AI\-enabled devices. This role works closely with cross\-functional teams to deliver integrated solutions for public transit agencies and ensures that all hardware seamlessly aligns with Luminator’s software platforms and the operational demands of transit environments.
 ***Please note: We are not able to offer visa sponsorship of any kind (including H‑1B, TN, F‑1, OPT, CPT, or other work authorization visas) for this position.***
**What You’ll Do**
* Product Strategy \&amp; Roadmap: Develop and communicate a market‑driven product vision and 12–18\-month hardware roadmap. Identify strategic investments through market trends, customer feedback, and competitive analysis. Ensure alignment with Luminator’s software platform strategy.
* Requirements \&amp; Market Analysis: Conduct market research and customer discovery to understand transit agency needs. Translate insights into clear, feasible hardware requirements in coordination with sales and engineering (hardware, firmware, software).
* Cross‑Functional Leadership: Collaborate across engineering, sales, regional management, and other teams to drive coordinated development and delivery. Bridge hardware and software initiatives to ensure a unified product suite.
* Product Development Guidance: Oversee hardware development from concept through prototyping, design, testing, and production. Manage backlog prioritization, cross‑team dependencies, and release schedules. Ensure on‑time, on‑budget delivery with high quality.
* User Experience \&amp; Deployment Design: Champion user‑centric design to ensure hardware is straightforward to install, operate, and maintain. Optimize physical design elements and ensure an intuitive combined hardware–software experience for maintenance, IT, and operations staff.
* Competitive Analysis: Monitor competitor offerings and emerging technologies to identify threats and opportunities. Use insights to refine roadmap and maintain product differentiation.
* Go‑to‑Market Strategy: Develop and execute go‑to‑market plans, including positioning, pricing, and sales enablement. Partner with Finance and Sales on pricing and business cases. Lead launch activities and cross‑functional readiness.
* Product Lifecycle Management: Manage hardware from introduction through upgrades, revisions, and end‑of‑life. Make data‑driven decisions on revisions, legacy support, warranty strategies, and timing of transitions to minimize customer disruption.
* Testing, Compliance \&amp; Manufacturing: Work with QA, compliance, and operations to ensure rigorous testing, required certifications, and high production quality. Coordinate with supply chain on sourcing, component changes, and manufacturing issues.
* Product Delivery \&amp; Deployment: Partner with program management and operations to align release schedules, inventory, and customer deployment timelines. Support sales and project teams in ensuring smooth rollouts and resolving installation challenges.
**Knowledge**
* Sales and Marketing — Knowledge of principles and methods for showing, promoting, and selling products or services. This includes marketing strategy and tactics, product demonstration, sales techniques, and sales control systems.
* Administration and Management — Knowledge of business and management principles involved in strategic planning, resource allocation, human resources modeling, leadership technique, production methods, and coordination of people and resources.
* Customer and Personal Service — Knowledge of principles and processes for providing customer and personal services. This includes customer needs assessment, meeting quality standards for services, and evaluation of customer satisfaction.
* Communications and Media — Knowledge of media production, communication, and dissemination techniques and methods. This includes alternative ways to inform and entertain via written, oral, and visual media.
**Skills**
* Complex Problem Solving — Identifying complex problems and reviewing related information to develop and evaluate options and implement solutions.
* Critical Thinking — Using logic and reasoning to identify the strengths and weaknesses of alternative solutions, conclusions, or approaches to problems.
* Judgment and Decision Making — Considering the relative costs and benefits of potential actions to choose the most appropriate one.
* Operations Analysis — Analyzing needs and product requirements to create a design.
* Active Learning — Understanding the implications of new information for both current and future problem\-solving and decision\-making.
**Abilities**
* Oral Comprehension — The ability to listen to and understand information and ideas presented through spoken words and sentences.
* Oral Expression — The ability to communicate information and ideas in speaking so others will understand.
* Written Comprehension — The ability to read and understand information and ideas presented in writing.
* Deductive Reasoning — The ability to apply general rules to specific problems to produce answers that make sense.
* Fluency of Ideas — The ability to come up with a number of ideas about a topic (the number of ideas is important, not their quality, correctness, or creativity).
**Technical Skills**
* Deep industry knowledge of on\-board video surveillance hardware used in public transportation.
* Strong technical background and understanding of hardware engineering principles.
* Familiarity with video surveillance and networking technologies, including camera imaging/optics, video encoding \&amp; storage (e.g. DVR/NVR systems), wireless communication, and cellular connectivity (4G/5G routers).
* Practical knowledge of communication methods, protocols, and options (wired, wireless, TCP/IP)
* Familiarity with relevant regulations and industry standards for hardware devices across various geographic regions (NA, EMEA, APAC, LATAM), including certification processes (FCC, UL, CE, RED or similar), cybersecurity standards for connected devices, and regional transit requirements.
* Demonstrated success in complex, technical hardware product development and launching innovative products from concept to market.
* Data\-driven and iterative mindset with experience using product metrics to guide decision\-making, including OKRs and/or KPIs.
* Ability to thrive in a fast\-paced, dynamic environment and manage multiple projects simultaneously.
* Experience with agile development methodologies and project management tools.
* Familiarity with user experience design principles and market research techniques.
* A strategic mindset with a passion for staying up to date with the latest industry trends and technologies.
* Strong interpersonal and communication skills; experience in effectively communicating key data, including presentations to senior management, Board members, Committee members or other outside partners.
**Experience**
* 5 \+ years of experience in hardware product management required, preferably with IoT devices or electronic systems.
* Prior experience in managing mobile or transportation industry products strongly preferre
**Education:** 
**Bachelor’s degree in engineering** 
 or related field preferred. Advanced degree preferred. Experience may be acceptable in lieu of degree.
**Other Requirements**
* Strong knowledge of quality systems and processes.
* Expertise in structured Root Cause/Countermeasure Problem Solving methodologies (such as 8D, 5W2H, A3, or others).
* Practical knowledge and leadership experience in lean management system preferred.
* Excellent written and verbal communication skills, with the ability to draft procedures and lead customer calls.
* Proficient in reading and interpreting drawings, specifications, and technical documents.
* Capable of leading cross\-functional teams and effectively training others.
* Process\-oriented, analytical, and detail\-focused.
* Ability to perform well in a fast\-paced multi\-tasking environment.
**Why You’ll Love Working At Luminator**
* Competitive compensation with career growth potential.
* Generous time off: Vacation and sick time, 10 company holidays, and 2 floating holidays.
* Educational Assistance Program: Robust reimbursement program for professional growth.
* Health and wellness: Medical, dental, and vision coverage
* 401k match
* Benefits effective on Day One.
* Find out more about us by visiting our Life@Luminator page!
*It is the policy of Luminator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Luminator prohibits any such discrimination or harassment.*
*The above described responsibilities and requirements are a general guide for the role you are applying for and are not all inclusive of the job requirements.*
*Luminator Technology Group does not accept staffing agency candidates for our postings.*
*All positions posted are required to be in office unless otherwise posted.*</t>
        </is>
      </c>
    </row>
    <row r="219">
      <c r="A219" t="inlineStr">
        <is>
          <t>li-4368182152</t>
        </is>
      </c>
      <c r="B219" t="inlineStr">
        <is>
          <t>HPC/AI Product Manager</t>
        </is>
      </c>
      <c r="C219" t="inlineStr">
        <is>
          <t>Hewlett Packard Enterprise</t>
        </is>
      </c>
      <c r="D219" t="inlineStr">
        <is>
          <t>linkedin</t>
        </is>
      </c>
      <c r="E219">
        <f>HYPERLINK("https://www.linkedin.com/jobs/view/4368182152", "https://www.linkedin.com/jobs/view/4368182152")</f>
        <v/>
      </c>
      <c r="F219" t="inlineStr"/>
      <c r="G219" t="inlineStr">
        <is>
          <t>Spring, TX</t>
        </is>
      </c>
      <c r="H219" t="inlineStr"/>
      <c r="I21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Independently leads and drives the end\-to\-end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10\+ years minimum experience
**Knowledge And Skills**
* Extensive team skills and ability to cross functionally drive/influence work through others, ability to mentor and lead teams to achieve results for complex, ambiguous projects.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\#unitedstates \#HPC \#ai \#mustrelocate \#Principal \#product \#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TCP\_05
 "The expected salary/wage range for this position is provided below. Actual offer may vary from this range based upon geographic location, work experience, education/training, and/or skill level.
 – United States of America: Annual Salary USD 152,000 \- 349,000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20">
      <c r="A220" t="inlineStr">
        <is>
          <t>li-4368055159</t>
        </is>
      </c>
      <c r="B220" t="inlineStr">
        <is>
          <t>Program Manager, IT (1.5 year assignment)</t>
        </is>
      </c>
      <c r="C220" t="inlineStr">
        <is>
          <t>Universal Orlando Resort</t>
        </is>
      </c>
      <c r="D220" t="inlineStr">
        <is>
          <t>linkedin</t>
        </is>
      </c>
      <c r="E220">
        <f>HYPERLINK("https://www.linkedin.com/jobs/view/4368055159", "https://www.linkedin.com/jobs/view/4368055159")</f>
        <v/>
      </c>
      <c r="F220" t="inlineStr"/>
      <c r="G220" t="inlineStr">
        <is>
          <t>Orlando, FL</t>
        </is>
      </c>
      <c r="H220" t="inlineStr"/>
      <c r="I220" t="inlineStr">
        <is>
          <t>****JOB SUMMARY:****
 The Program Manager will be responsible for planning and execution of multiple technology initiatives for UDX Operations and Technology. This role will be a mix of hands\-on program and project management across multiple initiatives. This role will be responsible for providing supervision, cross\-functional leadership and strategic direction on all aspects of the program.
 The role will focus on developing and managing program plans defining the implementation of application and infrastructure needs aligned to multiple business groups. This could include Creative Media, Studio, Core Operations, Marketing \&amp; Sales, Revenue Operations, Merchandising, Food \&amp; Beverage, Finance, and Human Resources. The Program Manager will be responsible for working with teams to ensure alignment on proposed solutions and will serve as the point of contact on programs, initiatives, and established budgets; in addition to creating project plans, resource plans, risk identification, risk mitigation, and timelines. This role also comprises of international project work including, but not limited to, Universal Studios Japan and New Ventures global projects across Digital \&amp; O\&amp;T Platforms.
****MAJOR RESPONSIBILITIES:****
* Develop \&amp; manage project plans, high\-level milestones, GANTT charts, resource plans, and supporting budgets.
* Oversee processes, PI Planning, and Program execution including creation and ownership of timelines and budgets. Facilitate changes to plans and the impacts of those changes, including budgets
* Provide input to avoid Program bottlenecks. Escalate impediments and manage risks by providing mitigation recommendations
* Communicate Program Information, status, and key health metrics to stakeholders. Facilitate inter\-team communication and resolution of Program\-level dependencies
* Run status meetings and/or scrum team ceremonies (daily standups, backlog refinement, sprint planning, retrospectives, etc. as needed)
* Understands and actively participates in Environmental, Health \&amp; Safety responsibilities by following established UO policy, procedures, training and team member involvement activities.
* Performs other duties as assigned.
****EDUCATION:****
* Bachelor’s degree or higher required.
* Information Technology or technical degree preferred
****EXPERIENCE:****
* 5\+ years of experience as a Senior Project Manager or Program Manager.
* 2\+ years of experience supporting/ managing multiple Project Managers or Scrum Masters simultaneously
* PMP and CSM certs are preferred;
* or equivalent combination of education and experience.
****ADDITIONAL INFORMATION:****
* Proven oral, written, and business presentation skills.
* Demonstrated success at building team relationships and partnerships across organizational lines
* Self\-motivated \&amp; accountable, with a high level of commitment to responsibility.
* Excellent interpersonal, verbal and written communication skills; ability to work across multiple groups.
* Schedule flexibility is needed to meet time zone needs.
* Reasonable accommodation may be made to enable individuals with disabilities to perform the essential functions.
* Consistent attendance is a job requirement.
* This role is responsible for working across many departments and locations of Universal Destinations and Experiences. The role will work effectively \&amp; positively in a highly complex and dynamic working environment. Will need to balance a broad set of priorities and ensure HR system and the related integration supports the business.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2025 Universal Studios. All rights reserved. EOE</t>
        </is>
      </c>
    </row>
    <row r="221">
      <c r="A221" t="inlineStr">
        <is>
          <t>li-4368373407</t>
        </is>
      </c>
      <c r="B221" t="inlineStr">
        <is>
          <t>Enterprise Program Manager</t>
        </is>
      </c>
      <c r="C221" t="inlineStr">
        <is>
          <t>Meter Corp Limited</t>
        </is>
      </c>
      <c r="D221" t="inlineStr">
        <is>
          <t>linkedin</t>
        </is>
      </c>
      <c r="E221">
        <f>HYPERLINK("https://www.linkedin.com/jobs/view/4368373407", "https://www.linkedin.com/jobs/view/4368373407")</f>
        <v/>
      </c>
      <c r="F221" t="inlineStr"/>
      <c r="G221" t="inlineStr">
        <is>
          <t>San Francisco, CA</t>
        </is>
      </c>
      <c r="H221" t="inlineStr"/>
      <c r="I221" t="inlineStr">
        <is>
          <t>This Enterprise Program Manager role leads the rollout of Meter’s network infrastructure to demanding environments in North America and beyond. You’ll manage a program that coordinates time\-sensitive, technically rigorous, and operationally complex work on a continuous, global scale. Your work will build a foundation for Meter’s capacity to scale enterprise delivery without compromising quality or cost.
 What success looks like
 From day one, you will influence how Meter delivers enterprise\-scale infrastructure. You’ll define playbooks for enterprise partners and customers alike, coach new program leads, and build the systems to make execution dependable and predictable. Your work will anchor one of Meter’s core strengths: delivering consistently in complex, distributed, real\-world environments.
 What your day\-to\-day will look like
* Close oversight of rollout execution. You’ll stay close to install progress across sites, ensuring that we deliver sites on\-time, within budget, and measuring up to Meter’s standards. You’ll spot execution gaps early and work with our customers and partners to implement high\-leverage improvements across the program. For example, you should expect to spend significant time on\-site to understand the breadth of our operational challenges. Based on that understanding, you might drive install costs down by designing and implementing streamlined workflows, or create technology solutions (e.g., dashboards, field applications) to make site work more automated, reliable, and lower\-touch.
* Risk management. You’ll identify and address meaningful risks to schedules, budget, and customer trust, making informed tradeoffs when necessary. For example, you might make a difficult decision to replace a sub\-par vendor; or you may build the case for Meter to create and fill new roles to support customer programs. Ultimately, in situations where you’re not certain about the best path forward, you’ll act with agency and authority when you seek guidance from leadership, pairing escalations with business context and clear assessments of expected impacts.
* Cross\-functional delivery and accountability. A program of this magnitude involves many interdependent teams – across business and technical functions, both inside and outside of Meter. You’ll keep these teams aligned and productive: by resolving ambiguity, clarifying ownership, and setting clear expectations. You will also track significant cross\-functional dependencies, for example firmware release cycles that impact customer deadlines, or implementation data that is material to our hardware forecasts and supply chain operations.
 Who you are
* You’ve led complex programs or large projects relevant to networking, infrastructure, or other physical deployments.
* You’re comfortable working with engineers and technical partners—you can ask rigorous questions, identify problematic assumptions, and uphold quality without being a technical expert.
* You’ve worked with enterprise customers or national/global partners on programs with clear budgets, schedules, and deliverables.
* You are skilled at balancing multiple priorities. You know how to move quickly without letting quality or cost slip.
 Please note there will be some ongoing site travel, including some international travel, required in this role.
 Why Meter?
 The internet runs the world. Every email you send, purchase you make, video call you join—it’s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Our bet with Meter is simple: we will all use the internet more than we do today. We believe we have the definitive networking stack in place to enable business to do so as seamlessly and reliably as any modern utility.
**Compensation**
* The estimated pay range for this role is $150,000 \- $190,000\.
* Additionally, this role is eligible to participate in Meter's equity plan.
 By applying to this job you acknowledge that you've read and understood Meter's Job Applicant Privacy Notice.</t>
        </is>
      </c>
    </row>
    <row r="222">
      <c r="A222" t="inlineStr">
        <is>
          <t>li-4368385132</t>
        </is>
      </c>
      <c r="B222" t="inlineStr">
        <is>
          <t>Commercial Card/Payments Product Manager Senior</t>
        </is>
      </c>
      <c r="C222" t="inlineStr">
        <is>
          <t>Huntington National Bank</t>
        </is>
      </c>
      <c r="D222" t="inlineStr">
        <is>
          <t>linkedin</t>
        </is>
      </c>
      <c r="E222">
        <f>HYPERLINK("https://www.linkedin.com/jobs/view/4368385132", "https://www.linkedin.com/jobs/view/4368385132")</f>
        <v/>
      </c>
      <c r="F222" t="inlineStr"/>
      <c r="G222" t="inlineStr">
        <is>
          <t>Farmers Branch, TX</t>
        </is>
      </c>
      <c r="H222" t="inlineStr"/>
      <c r="I222"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223">
      <c r="A223" t="inlineStr">
        <is>
          <t>li-4320242183</t>
        </is>
      </c>
      <c r="B223" t="inlineStr">
        <is>
          <t>Senior Technical Product Manager, Data and Product Security</t>
        </is>
      </c>
      <c r="C223" t="inlineStr">
        <is>
          <t>Octane®</t>
        </is>
      </c>
      <c r="D223" t="inlineStr">
        <is>
          <t>linkedin</t>
        </is>
      </c>
      <c r="E223">
        <f>HYPERLINK("https://www.linkedin.com/jobs/view/4320242183", "https://www.linkedin.com/jobs/view/4320242183")</f>
        <v/>
      </c>
      <c r="F223" t="inlineStr"/>
      <c r="G223" t="inlineStr"/>
      <c r="H223" t="inlineStr"/>
      <c r="I223" t="inlineStr">
        <is>
          <t>Octane is unlocking the power of financial products for merchants and consumers. Our cutting\-edge technology and innovative financial products empower businesses with more control and flexibility, enabling them to deliver seamless digital experiences, drive customer loyalty, and build long\-term value.
 Octane supports merchants throughout the sales cycle: connecting dealerships with high\-intent buyers, driving transparent, fast, and easy closings with award\-winning technology, and providing on\-going customer care with superior loan servicing.
 Founded in 2014, Octane supports over 60 OEM partner brands and over 4,000 dealer partners, and has a team of over 600\. Visit www.octane.co.
 We are seeking a highly motivated and experienced Senior Technical Product Manager to lead our Data \&amp; Product Security initiatives. This is a unique opportunity to shape the future of security across our organization, working collaboratively with diverse stakeholders to define and execute a comprehensive data security roadmap. This high\-impact role offers significant growth potential for a visionary product professional passionate about safeguarding our most critical assets.
**Responsibilities**
* Define and drive the product strategy for the controls that protect our most sensitive data (PII, financial, company confidential) across Octane’s platform, partners, and data systems. You will own the roadmap of initiatives to minimize data, application and process threat vectors, balancing robust protection with developer velocity and internal and external customer experience.
* Partner closely with Security, Engineering, Platform/Infra, Data Platform, Legal, Risk, Capital Markets, and Sales to deliver secure‑by‑default, enterprise‑grade features and policies that keep our data secure. This is a high‑impact IC role with significant cross‑functional influence and room for growth as Octane continues to scale.
* Set the vision \&amp; roadmap for Octane’s data security, data governance platforms spanning the full data lifecycle: classification, collection, storage, processing, access, sharing, and deletion/retention.
* Measure \&amp; improve with clear KPIs/SLOs (e.g., PII obfuscation, encryption coverage, key rotation compliance, audit log completeness, time‑to‑remediate).
* Embed security in the SDLC: threat modeling (like STRIDE, MITRE), design reviews, paved‑road patterns, secure defaults, and friction‑free guardrails in CI/CD.
* Collaborate across data: work with the Data Platform on data masking/synthetic data for dev/test, lineage, governance, data residency, and safe analytics. Aware of privacy implications in financial servicing and protecting our customers.
* Own outcomes: author crisp PRDs, ruthlessly prioritize, run high‑signal experiments, align stakeholders, and ship iteratively.
* Set a security\-first mindset: help further engineering and stakeholder best practices by ensuring the data security is top\-of\-mind.
**Requirements**
* 10 years of related experience is preferred but 5\+ years is required with a Bachelor’s degree or equivalent along with 4 \+ years in Product Management and 2\+ years focused on security, data protection, platform, or identity products in cloud environments or, 8 years and a Master’s degree; or a PhD with 5 years experience; or equivalent experience.
* Strong technical fluency in modern cloud security (preferably AWS: KMS/CloudHSM, IAM, Secrets Manager), encryption and key management patterns, tokenization, and secrets hygiene.
* Working knowledge of auth/federation (OAuth2/OIDC/SAML), provisioning (SCIM), and authorization models (RBAC/ABAC, policy‑as‑code). Experience delivering internal platforms/SDKs adopted by multiple product teams; passion for developer experience.
* Excellent product craft: problem framing, PRDs, metrics, sequencing, and stakeholder communication from engineers to executives.
**Preferred Skills**
* Fintech, lending, payments, or consumer credit background.
* Experience with DLP, egress controls, data classification/governance, and retention/expungement workflows.
* Hands‑on background as an engineer or in AppSec/Platform Security; or relevant certifications (e.g., CISSP, CISM, CCSP, CIPP/US)
**Compensation:** 
 The role described above offers a base salary of $140,000 to $190,000\. Your offer will be based on the alignment of your qualifications with the requirements of the job, location, and internal equity. In addition to the above\-mentioned salary, Total Rewards include a stock option package, and benefits as outlined below.
**Benefits**
* Robust Health Care Plans (Medical, Dental \&amp; Vision)
* Generous Parental Leave
* Flexible Time Off (FTO) Policy \- Time off when you need it.
* Retirement Plan (401K) with company match
* Educational Assistance/Tuition Reimbursement up to $3K/year
* Life Insurance (Basic, Voluntary \&amp; AD\&amp;D)
* Short Term/Long Term Disability
* Robust Ancillary benefits including accident insurance, hospital insurance etc.
* Powersports Safety Benefit
* Wellhub (Gympass) Wellness Benefit
**Disclaimer** 
 :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*Octane Lending is an equal opportunity employer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t>
        </is>
      </c>
    </row>
    <row r="224">
      <c r="A224" t="inlineStr">
        <is>
          <t>li-4368080091</t>
        </is>
      </c>
      <c r="B224" t="inlineStr">
        <is>
          <t>Technical Program Manager, Mechanical Supplier Quality</t>
        </is>
      </c>
      <c r="C224" t="inlineStr">
        <is>
          <t>Google</t>
        </is>
      </c>
      <c r="D224" t="inlineStr">
        <is>
          <t>linkedin</t>
        </is>
      </c>
      <c r="E224">
        <f>HYPERLINK("https://www.linkedin.com/jobs/view/4368080091", "https://www.linkedin.com/jobs/view/4368080091")</f>
        <v/>
      </c>
      <c r="F224">
        <f>HYPERLINK("https://careers.google.com/jobs/results/102630584785740486-technical-program-manager/?src=Online/LinkedIn/linkedin_us&amp;utm_source=linkedin&amp;utm_medium=jobposting&amp;utm_campaign=contract&amp;urlHash=NGf2", "https://careers.google.com/jobs/results/102630584785740486-technical-program-manager/?src=Online/LinkedIn/linkedin_us&amp;utm_source=linkedin&amp;utm_medium=jobposting&amp;utm_campaign=contract&amp;urlHash=NGf2")</f>
        <v/>
      </c>
      <c r="G224" t="inlineStr">
        <is>
          <t>Chicago, IL</t>
        </is>
      </c>
      <c r="H224" t="inlineStr"/>
      <c r="I224" t="inlineStr">
        <is>
          <t>**Minimum qualifications:**
* Bachelor's degree in a technical field, or equivalent practical experience.
* 5 years of experience in program management.
* Experience in quality assurance and quality execution.
* Experience with manufacturing and supply chain processes.
**Preferred qualifications:**
* 5 years of experience managing cross\-functional or cross\-team projects.
* Experience in one or more of the following: quality engineering, manufacture quality engineering, supplier quality engineering, supplier management.
* Experience with new product introduction.
* Ability to travel up to 75% as necessary.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directly with suppliers managing end to end quality of complex mechanical infrastructure systems to solve complex product quality and process issues across the full product lifecycle (e.g., pre\-FR through end of life).
* Conduct audits and inspections of supplier production facilities, and statistically connect production line metrics and audits to field performance.
* Articulate quality improvement activities to reduce variability, improve predictability, responsiveness, and output quality, and monitor factory witness and acceptance testing. Perform 8D failure analysis to execute systemic corrective actions with demonstrated preventative solutions.
* Manage validation of suppliers' build/test processes and ensure they're meeting Google requirements. Validate supplier product life cycle auality deliverables defined by Google and leverage industry quality standards such as PPAP.
* Collaborate with design engineers, commodity managers, manufacturing engineers, operation program managers, and product managers to drive high quality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5">
      <c r="A225" t="inlineStr">
        <is>
          <t>li-4368418857</t>
        </is>
      </c>
      <c r="B225" t="inlineStr">
        <is>
          <t>Science/Engineering Program Manager 1/2</t>
        </is>
      </c>
      <c r="C225" t="inlineStr">
        <is>
          <t>Los Alamos National Laboratory</t>
        </is>
      </c>
      <c r="D225" t="inlineStr">
        <is>
          <t>linkedin</t>
        </is>
      </c>
      <c r="E225">
        <f>HYPERLINK("https://www.linkedin.com/jobs/view/4368418857", "https://www.linkedin.com/jobs/view/4368418857")</f>
        <v/>
      </c>
      <c r="F225">
        <f>HYPERLINK("https://lanl.jobs/search/jobdetails/scienceengineering-program-manager-12/b058350f-aa48-43fe-b895-8ce1bd057497?utm_medium=paid_job_board&amp;utm_campaign=linkedin_paid&amp;utm_source=linkedin&amp;urlHash=C0K0", "https://lanl.jobs/search/jobdetails/scienceengineering-program-manager-12/b058350f-aa48-43fe-b895-8ce1bd057497?utm_medium=paid_job_board&amp;utm_campaign=linkedin_paid&amp;utm_source=linkedin&amp;urlHash=C0K0")</f>
        <v/>
      </c>
      <c r="G225" t="inlineStr">
        <is>
          <t>Los Alamos, NM</t>
        </is>
      </c>
      <c r="H225" t="inlineStr"/>
      <c r="I225" t="inlineStr">
        <is>
          <t>**What You Will Do**
 The Detonation Science \&amp; Technology Group (Q\-6\) is seeking Science/Engineering Program Managers (PM) to join our Program Management team here at Los Alamos National Laboratory.
 In this role, you will be at the forefront of advancing our nation's defense capabilities, leveraging your expertise to ensure the effectiveness of our nation's premier strategic deterrent. The Program Management team provides leadership and oversight of business and programmatic operations to ensure each team within our portfolio has the resources and support needed to meet our institutional goals. Successful candidates will support their assigned teams through all stages of each project and serve as an important liaison between their team leads and important internal Laboratory stakeholders such as the Integrated Schedule, design, fabrication, assembly, and test execution teams. The PM may be expected to collaborate (including occasional travel) with sites across the Nuclear Security Enterprise.
 The Program Management team is just one of the many teams in Q\-6 applying a broad range of skills in response to emerging threats.
 In Q\-6, we responsively address emerging national security challenges through simultaneous technical and programmatic excellence and innovation in the development of future weapons systems with our laboratory and national defense partners. Our teams focus on effective design, development, and peer review of future weapons systems with an emphasis on improved performance, safety, and agility in support of our nation's foremost defense missions.
 In Q\-6, we are committed to innovation and value diverse skills and experience.
 We thrive on a blend of experiences, ideas, and skills, allowing us to tackle complex challenges with creative and effective solutions.
 Key responsibilities:
* Program Leadership: Support technical and project leads for all projects in an assigned portfolio to execute complex technical and operational scope on small to mid\-sized projects, ensuring alignment with group priorities and customer requirements.
* Tactical Planning: Develop and implement tactical plans and schedules to ensure stable funding for all assigned team members, and facilitate on\-time, on\-budget project execution.
* Risk Mitigation: Manage risks throughout assigned portfolio and participate in development of risk mitigation strategies in conjunction with project and group leadership.
* Stakeholder communication: Serve as a liaison with internal Laboratory stakeholders such as the integrated schedule team, design engineering, machining, assembly, and test execution groups. Provide regular project updates through group and program office reporting mechanisms.
****What You Need****
**Minimum Job Requirements:**
**Science \&amp; Engineering Program Manager 1 ($94,500\-$154,600\)**
* Entry\-level knowledge of program management of scientific or engineering scope, including defining program work scope, schedules, budgets, priorities, and performance milestones; developing cost, scope, and schedule baselines; reporting cost and schedule variance; and managing change control and risk.
* Entry\-level knowledge of the science or engineering discipline of the assigned portfolio(s).
* Ability to develop and nurture internal relationships and interact effectively with all levels of internal personnel
* Ability to think critically to support negotiations, resolve conflict, and mitigate project risk in partnership with project, team and group leadership.
* Communication: Excellent oral and written communication and presentation skills \&amp; experience.
**Additional Job Requirements**
**Science \&amp; Engineering Program Manager 2 ($114,700\-$191,200\)**
* Working knowledge of and experience in program management of scientific or engineering scope, including defining program work scope, schedules, budgets, priorities, and performance milestones; developing cost,
* scope and schedule baselines; reporting cost and schedule variance; and managing change control and risk.
* Working knowledge of the science or engineering discipline of the assigned portfolio(s).
* Ability to serve as the primary interface with one or more mid\-level or external customers to establish project/program scope, budget, deliverables, and communications plans.
* Demonstrated experience in conflict resolution and risk mitigation in a project setting.
**Education/Experience at lower level:**
 Position requires a Bachelor's Degree in a science, engineering or related field, from an accredited institution and 2 years of directly related technical and program management experience; or an equivalent combination of education and technical experience directly related to the occupation.
**Education/Experience at higher level:**
 Position requires a Bachelor's Degree in a science, engineering or related field, from an accredited institution and 5 years of directly related technical and program management experience; or an equivalent combination of education and technical experience directly related to the occupation.
**Desired Qualifications:**
* Active DOE "Q" or other Top\-Secret clearance
* Formal project management training or education with the ability to obtain a Project Management Professional certification within 2 years.
* Knowledge of industry standard financial policies and principles including forecasting and scheduling programs such as P6, Microsoft Projects, Jira, Confluence.
* Experience working with Weapons Engineering and Weapons Physics organizations.
* Knowledge of nuclear weapons, NNSA facilities, or DoD customers that support the U.S. stockpile.
* Demonstrated experience with a variety of written correspondence, reports, procedures, and directives.
* Project Management Professional (PMP) Certification is preferred.
**Work Location:** 
 The work location for this position is onsite and located in Los Alamos, NM. All work locations are at the discretion of management.
**Essential Job Functions (can perform with or without reasonable accommodation):**
* Ability to speak
* Reading vision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 This position will be expected to travel frequently to support technical and programmatic meetings.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226">
      <c r="A226" t="inlineStr">
        <is>
          <t>li-4354402328</t>
        </is>
      </c>
      <c r="B226" t="inlineStr">
        <is>
          <t>PwC Tech Product Owner Senior Associate</t>
        </is>
      </c>
      <c r="C226" t="inlineStr">
        <is>
          <t>PwC</t>
        </is>
      </c>
      <c r="D226" t="inlineStr">
        <is>
          <t>linkedin</t>
        </is>
      </c>
      <c r="E226">
        <f>HYPERLINK("https://www.linkedin.com/jobs/view/4354402328", "https://www.linkedin.com/jobs/view/4354402328")</f>
        <v/>
      </c>
      <c r="F226" t="inlineStr"/>
      <c r="G226" t="inlineStr">
        <is>
          <t>Silicon Valley, CA</t>
        </is>
      </c>
      <c r="H226" t="inlineStr"/>
      <c r="I226"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7">
      <c r="A227" t="inlineStr">
        <is>
          <t>li-4366900512</t>
        </is>
      </c>
      <c r="B227" t="inlineStr">
        <is>
          <t>Identity and Access Management (CIAM) Product Owner I</t>
        </is>
      </c>
      <c r="C227" t="inlineStr">
        <is>
          <t>TD</t>
        </is>
      </c>
      <c r="D227" t="inlineStr">
        <is>
          <t>linkedin</t>
        </is>
      </c>
      <c r="E227">
        <f>HYPERLINK("https://www.linkedin.com/jobs/view/4366900512", "https://www.linkedin.com/jobs/view/4366900512")</f>
        <v/>
      </c>
      <c r="F227" t="inlineStr"/>
      <c r="G227" t="inlineStr">
        <is>
          <t>Charlotte, NC</t>
        </is>
      </c>
      <c r="H227" t="inlineStr"/>
      <c r="I227" t="inlineStr">
        <is>
          <t>**Work Location:**
 Charlotte, Caroline du Nord, États\-Unis d'Amérique
**Hours**
 40
**Pay Details**
 $91,000 \- $136,240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Fonctions des services habilitants de l’entreprise
**Job Description**
 The Identity and Access Management (CIAM)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Qualification**
* Bachelor's degree in computer science, Information Technology, Cybersecurity, Business, or related field.
* Familiarity with CIAM concepts \&amp; technologies:
+ Understanding of Authentication and Authorization to protocols (OAuth, SAML, OpenID)
+ Knowledge of Customer Identity and Access Management Systems and Technologies (Ping, OTP, MFA, etc)
+ Basic understanding of cybersecurity, identity proofing and authentication principles (NIST, FIDO)
* 3\+ years Product Owner or Agile related delivery experience including but not limited to:
+ Experience working with Agile tools e.g., Confluence \&amp; Jira
+ Experience writing user stories and requirements
+ Managing roadmap and respective backlog
* Awareness of data protection regulations such as GDPR, CCPA, or HIPAA is a plus.
* Certified Scrum Product Owner (CSPO) certification and project management experience considered an asset.
 \#Hybrid \#TDCyberSecurity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228">
      <c r="A228" t="inlineStr">
        <is>
          <t>li-4360775624</t>
        </is>
      </c>
      <c r="B228" t="inlineStr">
        <is>
          <t>Senior Manager, Product Manager, Retail Bank Migration Lead</t>
        </is>
      </c>
      <c r="C228" t="inlineStr">
        <is>
          <t>Capital One</t>
        </is>
      </c>
      <c r="D228" t="inlineStr">
        <is>
          <t>linkedin</t>
        </is>
      </c>
      <c r="E228">
        <f>HYPERLINK("https://www.linkedin.com/jobs/view/4360775624", "https://www.linkedin.com/jobs/view/4360775624")</f>
        <v/>
      </c>
      <c r="F228" t="inlineStr"/>
      <c r="G228" t="inlineStr">
        <is>
          <t>Wilmington, DE</t>
        </is>
      </c>
      <c r="H228" t="inlineStr"/>
      <c r="I228" t="inlineStr">
        <is>
          <t>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As a Product Manager focusing on Bank Modernization you will be reimagining our Consumer Bank to create game\-changing customer experiences and business outcomes. You will build platforms and services that deliver real\-time data at scale. As the leader for the Migration pod, you will define and execute a strategy to seamlessly transition our end consumers to the new Core Banking Platform. We have a long journey ahead and are excited to bring on leaders to design \&amp; build our future.
 Specific responsibilities include, but are not limited to:
* Define and deliver the product strategy for migrating end consumers to the new Core Banking Platform
* Design and support validation techniques to ensure a smooth migration from legacy to modern platform
* Work closely with business and tech partner teams to define requirements and measures of success
* Prioritize the product backlog to maximize business and customer outcomes
* Incorporate design thinking and analytics to inform product and customer journey design
* Maintain an analyzed backlog of work, refining the near term deliverables/epics with Tech.
* Support technology teams with escalation and resolution of impediments
* Deploy go\-to\-market strategies to ensure customers can navigate onboarding tools and steps
* Serve as the connection between customers, partners, Capital One’s mission, and your team
 We want you if you are:
* Passionate about building impactful products and enjoy putting yourself in the shoes of customers
* Looking to leverage AI to the fullest extent allowed to improve the thoroughness and efficiency of your work
* You are able to concisely describe problems to ensure teams understand them and lead teams to solve those problems
* You understand the needs of data scientists, machine learning engineers and/or business decision analysts
* You have experience building or working with enterprise platforms with wide\-ranging capabilities
* You are a continuous learner who revels in asking “dumb questions” and can get up to speed on Technology quickly
* You are experienced working in an Agile environment and delivering incremental priorities to maximize value over time
* You enjoy zooming out to understand the big picture and derive satisfaction from thinking strategically
* You have excellent oral and written communication skills
* You are an avid networker to best support customers and work with partner platforms (EMP \&amp; GenAI Platform) to ensure our services are aligned with their lifecycles and strategies.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9">
      <c r="A229" t="inlineStr">
        <is>
          <t>li-4368421016</t>
        </is>
      </c>
      <c r="B229" t="inlineStr">
        <is>
          <t>Technical Program Manager, Planning, Cell Manufacturing</t>
        </is>
      </c>
      <c r="C229" t="inlineStr">
        <is>
          <t>Tesla</t>
        </is>
      </c>
      <c r="D229" t="inlineStr">
        <is>
          <t>linkedin</t>
        </is>
      </c>
      <c r="E229">
        <f>HYPERLINK("https://www.linkedin.com/jobs/view/4368421016", "https://www.linkedin.com/jobs/view/4368421016")</f>
        <v/>
      </c>
      <c r="F229" t="inlineStr"/>
      <c r="G229" t="inlineStr">
        <is>
          <t>Austin, TX</t>
        </is>
      </c>
      <c r="H229" t="inlineStr"/>
      <c r="I229" t="inlineStr">
        <is>
          <t>**What To Expect**
 Tesla’s 4680 team’s goal is to change the cell manufacturing industry by making the most energy dense and cost\-effective battery cells in the most cutting edge, compact and energy efficient factories in the world. Tesla is looking for a highly motivated Technical Program Manager to support our capacity expansion project planning globally. The TPM will be responsible for developing and maintaining our 4680 global capacity plan (near term and long team), which will be used for critical strategic planning decisions.
 The ideal candidate will have production planning experience and experience launching factories across different locations at rapid speed. The individual will possess the ability to deep dive into and critique manufacturing plan assumptions (yield, speed, availability, etc.) and help draw useful conclusions to drive company planning decisions.
**What You'll Do**
- Global strategic planning coordination (material supply vs. cell build plans vs. vehicle demand)
- Measure and closely track production throughput and yield projections vs. actual performance (build attainment, yields and availability attainment), compare site to site and report out
- Respond to unanticipated changes and look for solutions – e.g. production shortfall vs. schedule or material shortages, sharing material / product site to site
- Sync with local production planners regularly to check site performance and identify / escalate any production risks to global leadership team
- Drive workflow from site build plan changes to downstream consumer and upstream supplier communication
- Determine resource needs \- people, capital, equipment \- determine and track deliverables, identify risks and drive mitigations across all stages of the project
- Develop and manage project budget, track and control costs, determine and mitigate risks to costs, timelines and project scope
**What You'll Bring**
- Degree in Engineering OR equivalent experience and evidence of exceptional ability
- Experience in manufacturing, finance, supply chain management or related field
- Ability to work well under pressure, manage competing demands and meet tight deadlines with strong follow through
- Excellent analytical and problem\-solving skills. Ability to evaluate and analyze data to enable operational decision\-making or present clear recommendations to leadership
- Passionate and high energy, with the diplomacy and cooperative style necessary to positively influence others
- Detail oriented with strong record\-keeping and organizational skills
- Ability to write, speak and present effectively and persuasively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230">
      <c r="A230" t="inlineStr">
        <is>
          <t>li-4357575026</t>
        </is>
      </c>
      <c r="B230" t="inlineStr">
        <is>
          <t>Program Manager - PMO</t>
        </is>
      </c>
      <c r="C230" t="inlineStr">
        <is>
          <t>Software Guidance &amp; Assistance, Inc. (SGA, Inc.)</t>
        </is>
      </c>
      <c r="D230" t="inlineStr">
        <is>
          <t>linkedin</t>
        </is>
      </c>
      <c r="E230">
        <f>HYPERLINK("https://www.linkedin.com/jobs/view/4357575026", "https://www.linkedin.com/jobs/view/4357575026")</f>
        <v/>
      </c>
      <c r="F230" t="inlineStr"/>
      <c r="G230" t="inlineStr">
        <is>
          <t>Seattle, WA</t>
        </is>
      </c>
      <c r="H230" t="inlineStr"/>
      <c r="I230" t="inlineStr">
        <is>
          <t>Software Guidance \&amp; Assistance, Inc. (SGA) is searching for a
 **Program Manager** 
 for a
 **contract** 
 assignment with one of our premier financial services clients in
 **Seattle, NY or New York, NY.**
 The Program Manager will be a key member of the growing and dynamic Project Management Office. This role will work across multiple business and technology teams and be chiefly responsible for structuring, planning, and executing high visibility and high priority strategic enterprise initiatives. This person will manage both programs and individual projects to drive technology and business transformation.
 As Program Manager, you will bring engineering, business objectives, and best\-of\-breed technologies together and play a critical role in leading initiatives through needs analysis, iterative implementation of solutions, and measuring impact of those solutions as we deliver on our ambitious vision. This role is highly cross\-functional and will require a strategic thinker comfortable with ensuring cross\-departmental alignment; building tools, processes, and capacity to achieve the organization's goals. The position will report to the Director, Project Management Office but will be closely partnered with executive business and IT stakeholders, a diverse set of team members across both organizations, and PMO colleagues with whom you will plan for and monitor a complex set of dependencies.
**Job Responsibilities**
* Drive effective teamwork, prioritization, communication, collaboration, and commitment across multiple disparate groups with competing priorities while maintaining strong business relationships.
* Lead the effective and efficient delivery of large complex cross\-functional projects and manage all implementation activities for concurrent work\-streams.
* Ability to create and communicate project metrics, schedule, and status to the entire organization.
* Understand and negotiate needs and expectations of multiple stakeholders while adapting to competing priorities, organizational changes, and new responsibilities.
* Anticipate bottlenecks, identify risk, provide escalation management, anticipate and make tradeoffs, and balance the business needs versus technical constraints.
* Provide and support the implementation of business solutions by building relationships and partnerships with key stakeholders.
* Maximize resources for the greater good of the organization.
* Demonstrated ability to compose clear and concise written communication. Comfortable, clear, and articulate presenting to multiple levels of the organization, from individual contributors to Executive Committee members.
* Expertise with business and process documentation; identify, create, and facilitate design changes by conducting business and systems process analysis and design at a complex level.
* Demonstrated ability to create appropriate business requirements and acceptance criteria.
* Ensure consistency with and application of PMO standards, processes, and controls across projects.
**Required Skills**
* Bachelor's degree required; Master's degree preferred
* 7\+ years of Project/Program Management experience required, with proven ability to manage multiple related and concurrent workstreams
* Excellent listening, presentation, written and verbal communication skills.
* Proven delivery background with experience in all program/project phases – plan, initiate, elaborate, design, build, test, and implement.
* Strong communication and interpersonal skills, including negotiation and conflict resolution.
* Strong analytical and problem\-solving skills, ability to multitask and handle interruptions.
* Not afraid to get involved in complex issues to drive problem solving, and rapidly get to solutions.
* Must be a self\-starter with the ability to "manage upward "; ability to self\-manage; able to think on your feet and exercise good judgment and decision making. Must pay attention to details.
* PMP or Project Management certification strongly preferred.
* Financial Services background is a plus.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231">
      <c r="A231" t="inlineStr">
        <is>
          <t>li-4368438216</t>
        </is>
      </c>
      <c r="B231" t="inlineStr">
        <is>
          <t>Senior Technical Program Manager, Martech</t>
        </is>
      </c>
      <c r="C231" t="inlineStr">
        <is>
          <t>GEICO</t>
        </is>
      </c>
      <c r="D231" t="inlineStr">
        <is>
          <t>linkedin</t>
        </is>
      </c>
      <c r="E231">
        <f>HYPERLINK("https://www.linkedin.com/jobs/view/4368438216", "https://www.linkedin.com/jobs/view/4368438216")</f>
        <v/>
      </c>
      <c r="F231" t="inlineStr"/>
      <c r="G231" t="inlineStr">
        <is>
          <t>Dallas, TX</t>
        </is>
      </c>
      <c r="H231" t="inlineStr"/>
      <c r="I2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highly experienced
 **Senior Program Manager** 
 to drive execution excellence across a complex portfolio of
 **Marketing Technology initiatives** 
 . This role owns the operating rhythm, cross\-team coordination, dependency management, delivery predictability, and executive visibility across multiple product and platform teams.
 You will partner directly with senior product leaders, engineering, AI, marketing, legal, compliance, privacy, and operations teams to ensure programs land on time, at quality, and at scale. This role is ideal for a systems thinker who thrives in ambiguity, manages large cross\-functional portfolios, and brings rigor to execution without slowing teams down.
 Success will be measured by improved delivery predictability, faster cross\-team execution, reduced operational risk, and high confidence from executive stakeholders.
 This is a hybrid position, requiring on\-site presence 2\-3 days a week at one of the following locations: Palo Alto, CA; Seattle, WA; Chevy Chase, MD, Dallas, TX, Manhattan, NY.
**Key Responsibilities**
**Portfolio Program Leadership**
* Own end\-to\-end program management across a portfolio of Marketing Technology and Growth initiatives (messaging automation platform (emails, notifications, SMS, etc) experimentation platforms, personalization, AI , analytics, SEO/AEO, data platforms).
* Translate strategic roadmaps into integrated execution plans with clear milestones, dependencies, risks, and resource alignment.
* Drive operating cadence across the portfolio: quarterly planning, roadmap reviews, execution health reviews, MBRs/QBRs, and executive updates.
**Cross\-Functional Orchestration**
* Align product, engineering, analytics, marketing, security, privacy, legal, and operations stakeholders toward shared delivery goals.
* Proactively surface and resolve cross\-team dependencies, resourcing conflicts, and sequencing constraints.
* Facilitate crisp decision\-making and tradeoff alignment at the right altitude.
**Execution Excellence \&amp; Delivery Predictability**
* Establish standardized program management practices: milestone tracking, risk management, change control, capacity planning, and delivery forecasting.
* Drive consistent execution metrics: on\-time delivery, scope stability, throughput, risk burn\-down, and operational readiness.
* Identify systemic execution bottlenecks and continuously improve operating mechanisms.
**Risk, Compliance \&amp; Operational Readiness**
* Ensure regulatory, privacy, security, and compliance requirements are integrated early into program planning and execution.
* Partner with legal, security, and governance teams to manage reviews, approvals, and launch readiness.
* Drive production readiness, go\-live coordination, and post\-launch retrospectives.
**AI \&amp; Platform Enablement Programs**
* Manage cross\-cutting AI and platform initiatives that span multiple teams and require tight coordination (data readiness, model deployment, experimentation infrastructure, observability, governance).
* Track AI program maturity across data quality, model readiness, infrastructure stability, and compliance controls.
**Executive Communication \&amp; Visibility**
* Build clear executive\-level narratives on portfolio health, risks, tradeoffs, and investment impact.
* Produce concise dashboards, status reports, and operating reviews aligned to leadership expectations.
* Anticipate escalations and proactively manage executive alignment.
**Basic Qualifications**
* 7\+ years of program or technical program management experience leading large cross\-functional initiatives.
* Proven track record managing complex portfolios with multiple teams and interdependencies.
* Strong operational rigor in planning, execution tracking, and risk management.
* Excellent stakeholder management and executive communication skills.
* Experience operating in fast\-paced, ambiguous environments.
* Bachelor’s degree or equivalent practical experience.
**Preferred Qualifications**
* Experience leading programs in Marketing Technology, AdTech, Growth platforms, Data platforms, or AI/ML platforms.
* Familiarity with agile delivery models, scaled planning frameworks, and modern engineering practices.
* Strong systems thinking with the ability to connect strategy to execution.
* Comfort working with technical architecture concepts, data pipelines, and platform dependencies.
* Experience in regulated or compliance\-driven environments (financial services, insurance, healthcare).
* PMP, PgMP, or similar certification a plus (not required)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2">
      <c r="A232" t="inlineStr">
        <is>
          <t>li-4368401617</t>
        </is>
      </c>
      <c r="B232" t="inlineStr">
        <is>
          <t>Senior Hardware Technical Program Manager</t>
        </is>
      </c>
      <c r="C232" t="inlineStr">
        <is>
          <t>ChargePoint</t>
        </is>
      </c>
      <c r="D232" t="inlineStr">
        <is>
          <t>linkedin</t>
        </is>
      </c>
      <c r="E232">
        <f>HYPERLINK("https://www.linkedin.com/jobs/view/4368401617", "https://www.linkedin.com/jobs/view/4368401617")</f>
        <v/>
      </c>
      <c r="F232" t="inlineStr"/>
      <c r="G232" t="inlineStr">
        <is>
          <t>Campbell, CA</t>
        </is>
      </c>
      <c r="H232" t="inlineStr"/>
      <c r="I232" t="inlineStr">
        <is>
          <t>**About Us**
 With electric vehicles expected to be nearly 30% of new vehicle sales by 2025 and more than 50% by 2040, electric mobility is becoming a reality. ChargePoint (NYSE: CHPT) is at the center of this revolution, powering one of the world's leading EV charging networks and a comprehensive set of hardware, software and mobile solutions for every charging need across North America and Europe. We bring together drivers, businesses, automakers, policymakers, utilities and other stakeholders to make e\-mobility a global reality.
 Since our founding in 2007, ChargePoint has focused solely on making the transition to electric easy for businesses, fleets and drivers. ChargePoint offers a once\-in\-a\-lifetime opportunity to create an all\-electric future and a trillion\-dollar market.
 At ChargePoint, we foster a positive and productive work environment by committing to live our values of Be Courageous, Charge Together, Love our Customers, Operate with Openness, and Relentlessly Pursue Awesome. These values guide how we show up every day, align, and work together to build a brighter future for all of us.
 Join the team that is building the EV charging industry and make your mark on how people and goods will get everywhere they need to go, in any context, for generations to come.
 Reports To
 Manager, Technical Program Management
 What You Will Be Doing
 In this highly visible role, you will be the factory expert in manufacturing processes
 **,** 
 yields, and overall factory readiness for engineering NPI builds and mass production. You will drive day\-to\-day operations with our Contract Manufacturers (CMs) and ensure delivery of top\-quality products through close collaboration with cross\-functional teams. You will be the primary representative of technical operations to the broader ChargePoint team, ensuring the factory is set up for success and scalability. You will be responsible for collaborating with engineering, defining build schedules, and communicating with cross\-functional teams/leadership on the status of factory builds.
 What You Will Bring to ChargePoint
* **Manufacturing \&amp; Process Development:**
+ Work with internal cross\-functional teams to ensure products are optimized for manufacturability, cost, supply chain flexibility, and efficiency (DFx).
+ Manage New Product Introduction (NPI) builds (pre\-proto through PVT) for PCBA and FATP lines.
+ Develop assembly tooling/automation equipment with manufacturing partners and optimize capacity lines.
+ Monitor assembly traceability and manufacturing data requirements at supplier \&amp; CM sites.
* **Performance Monitoring \&amp; Improvement:**
+ Monitor performance (yield, throughput) of sustaining lines globally.
+ Ensure proper implementation of engineering changes at the factory.
+ Drive production process improvements to achieve quality, cost, and yield goals.
+ Plan production capacity with sufficient capex and factory layout to meet production demand volumes
+ Troubleshoot hardware test, reliability, or quality issues during engineering or production builds
**Requirements**
* Bachelor's degree in engineering or equivalent practical experience.
* 8\+ years of hands\-on experience in fast\-paced PCBA/FATP product design and commercialization companies.
* Experience in DFx methodologies and in\-depth knowledge of quality methodologies (statistical analysis, DOE, FMEA).
* Ability to perform root cause analysis and resolve problems effectively.
* Experience with Continuous Process Improvement, Kanban, and Lean manufacturing principles.
* Program management experience with excellent written and verbal English communication skills.
* Ability to communicate succinctly and effectively across functions, working with limited supervision to drive issues to closure.
* Excellent debugging skills and ability to solve problems under pressure.
* Flexibility and adaptability to work in a dynamic startup environment.
* Ability to travel up to 25% internationally and domestically.
**Preferred Qualifications**
* Experience with the Arena PLM system.
* Experience with Confluence and JIRA.
* Experience with Tool Design/NX/similar CAD software
 Location
 Campbell, CA
 ChargePoint is committed to fair and equitable compensation practices. The targeted US salary range for roles at this operating level is $150,000 to $180,000\. This range represents base salary and does not reflect equity, benefits, or variable pay where applicable. Actual base salaries are based on several factors unique to each candidate, including but not limited to skill set, experience, certifications, and specific work location.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t>
        </is>
      </c>
    </row>
    <row r="233">
      <c r="A233" t="inlineStr">
        <is>
          <t>li-4368431248</t>
        </is>
      </c>
      <c r="B233" t="inlineStr">
        <is>
          <t>Program Manager 2 (Additive Manufacturing)</t>
        </is>
      </c>
      <c r="C233" t="inlineStr">
        <is>
          <t>AEVEX</t>
        </is>
      </c>
      <c r="D233" t="inlineStr">
        <is>
          <t>linkedin</t>
        </is>
      </c>
      <c r="E233">
        <f>HYPERLINK("https://www.linkedin.com/jobs/view/4368431248", "https://www.linkedin.com/jobs/view/4368431248")</f>
        <v/>
      </c>
      <c r="F233" t="inlineStr"/>
      <c r="G233" t="inlineStr">
        <is>
          <t>Tampa, FL</t>
        </is>
      </c>
      <c r="H233" t="inlineStr"/>
      <c r="I233" t="inlineStr">
        <is>
          <t>**Work Arrangement**
 Onsite with occasional travel.
**Job Overview**
 The Program Manager II (PM2\) is responsible for independently managing small\-to\-medium complexity programs and leading major workstreams within larger programs under the guidance of a Senior Program Manager. The PM2 plays a key role in driving program execution, coordinating cross\-functional teams, and ensuring cost, schedule, and performance objectives are met. This position supports unmanned systems programs that may incorporate additive manufactured components, rapid prototyping, and accelerated development and production cycles.
 The PM2 is expected to demonstrate increasing autonomy, sound judgment, and leadership while serving as a primary interface for internal teams and, as assigned, external customers.
**Essential Functions**
* Manage assigned programs or program workstreams, ensuring execution against cost, schedule, and performance commitments.
* Develop, maintain, and execute Integrated Master Schedules (IMS), coordinating dependencies across engineering, manufacturing, test, quality, and supply chain.
* Serve as the primary day\-to\-day point of contact for internal stakeholders and, as assigned, customers.
* Coordinate execution of programs incorporating additive manufactured components, including supplier coordination, schedule integration, configuration management, and readiness tracking.
* Track program budgets, forecasts, and actuals; identify variances and recommend corrective actions.
* Lead program risk and opportunity management activities, including development and execution of mitigation plans.
* Prepare and deliver program status reports, internal reviews, and customer briefings.
* Coordinate subcontractor and vendor activities, including development of statements of work, schedule tracking, and performance oversight.
* Ensure program compliance with safety, quality, regulatory, and contractual requirements.
* Support proposal development and capture activities by developing schedules, cost inputs, and execution strategies; may lead discrete proposal work packages.
* Mentor PM1s and support development of junior program staff.
* Perform other duties as assigned.
* Regular and reliable attendance on a full time basis \- Responsible for exhibiting professional behavior with both internal and external business associates that reflects positively on the company and is consistent with the company's policies and practices.
* Embodies AEVEX’s cultural values and aligns daily actions with department goals and company culture.
**Qualifications And Competencies**
* Solid understanding of program management principles, processes, and best practices.
* Proficiency in Microsoft Office applications, including Excel, PowerPoint, and Word; strong working knowledge of Microsoft Project required.
* Demonstrated experience developing and managing Integrated Master Schedules (IMS) for technical programs.
* Strong verbal and written communication skills with the ability to engage effectively with technical teams, leadership, and customers.
* Proven ability to manage multiple priorities and resolve issues in a dynamic, fast\-paced environment.
* Analytical and solution\-oriented, with the ability to assess technical, schedule, and cost impacts and take proactive action.
* Demonstrated ownership, accountability, and follow\-through.
* Experience working in aerospace, defense, unmanned systems environments preferred.
* Experience supporting or managing programs involving additive manufacturing processes, rapid prototyping, or low\-rate production preferred.
**Leadership Competencies**
* Directs and provides expert knowledge in the day\-to\-day function of the department.
* Identifies, recruits, and retains top\-notch talent.
* Champions AEVEX’s culture and empowers employees to take responsibility for their jobs and goals.
* Coaches, mentors, engage and develop the team, including overseeing new employee onboarding and providing career development planning and learning opportunities.
* Sets performance standards and encourages employee engagement and results through delegation, continuous feedback, goal setting, and performance management.
* Maintains transparent communication. Appropriately communicates organization information through department meetings, one\-on\-one meetings, and appropriate email, and regular interpersonal communication.
* Provides oversight and direction to the employees in accordance with AEVEX’s policies and procedures.
* Ability to be an agile and adaptive leader who consistently meets challenges head\-on and ensures organizational success by building effective professional relationships with senior executives and peers.
**Education/Certifications**
* Bachelor’s degree in Engineering, Aerospace, Mechanical, Systems Engineering, Business, or a related discipline required.
* Master’s degree in Engineering, Program Management, or Business Administration preferred.
* Project Management Professional (PMP), Certified Associate in Project Management (CAPM), or DAU\-equivalent certification preferred or in progress.
* Familiarity with aerospace standards and frameworks such as AS9100, DoD acquisition processes, and systems engineering fundamentals preferred.
* Exposure to additive manufacturing standards, tools, or training (ASTM, SAE, or similar) is a plus.
**Experience**
* 7\+ or more years Program/Project Management experience.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the employee is:
 Frequently required to sit, and to reach to use computers and other office equipment
**Security Clearance**
* Secret DoD clearance and ability to obtain/maintain TS/SCI, U.S. Citizenship required.
**About AEVEX**
 AEVEX, headquartered in Solana Beach, California, supports the U.S. national security mission and partner nation needs around the world by providing full\-spectrum aviation, remote sensing, and analysis solutions. The company's capabilities include custom design and engineering; rapid prototyping; sensor integration and sustainment; aircraft modification and certification; flight test instrumentation and support; mission operations service; advanced intelligence data processing, exploitation, and dissemination solutions; and tailored hardware and software mission\-system tools. AEVEX uses agile and customized approaches to rapidly define, develop, and deliver specialized solutions for airborne special mission needs for the U.S. Government, partner nations, and commercial businesses. AEVEX has major offices in California, Florida, North Carolina, Ohio, and Virginia.
*AEVEX provides a full suite of comprehensive benefits, including a 401(k)\-retirement plan, comprehensive Medical, Dental, Vision, Disability and Life insurance group coverage with a portion of the premiums paid by the company, professional development funds, and an Employee Assistance Plan (EAP) with counseling, legal help, child and elder care support, among other benefits for qualified employees.*
**Equal Employment Opportunity**
 AEVEX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t>
        </is>
      </c>
    </row>
    <row r="234">
      <c r="A234" t="inlineStr">
        <is>
          <t>li-4368081035</t>
        </is>
      </c>
      <c r="B234" t="inlineStr">
        <is>
          <t>Technical Program Manager, EXR Construction, DCDE Central Operations</t>
        </is>
      </c>
      <c r="C234" t="inlineStr">
        <is>
          <t>Google</t>
        </is>
      </c>
      <c r="D234" t="inlineStr">
        <is>
          <t>linkedin</t>
        </is>
      </c>
      <c r="E234">
        <f>HYPERLINK("https://www.linkedin.com/jobs/view/4368081035", "https://www.linkedin.com/jobs/view/4368081035")</f>
        <v/>
      </c>
      <c r="F234">
        <f>HYPERLINK("https://careers.google.com/jobs/results/116661504207397574-technical-program-manager/?src=Online/LinkedIn/linkedin_us&amp;utm_source=linkedin&amp;utm_medium=jobposting&amp;utm_campaign=contract&amp;urlHash=_HFR", "https://careers.google.com/jobs/results/116661504207397574-technical-program-manager/?src=Online/LinkedIn/linkedin_us&amp;utm_source=linkedin&amp;utm_medium=jobposting&amp;utm_campaign=contract&amp;urlHash=_HFR")</f>
        <v/>
      </c>
      <c r="G234" t="inlineStr">
        <is>
          <t>New York, NY</t>
        </is>
      </c>
      <c r="H234" t="inlineStr"/>
      <c r="I234" t="inlineStr">
        <is>
          <t>Note: By applying to this position you will have an opportunity to share your preferred working location from the following:
 **Reston, VA, USA; Alameda, CA, USA; Columbus, OH, USA; The Dalles, OR, USA; New York, NY, USA; Pryor Creek, OK, USA; Reno, NV, USA** 
 .
 **Minimum qualifications:**
* Bachelor's degree in Mechanical Engineering, Engineering/Construction Management, Project Delivery, or equivalent practical experience.
* 5 years of experience in program or project management.
* 5 years of experience working with data centers or other mission critical equipment/environments in engineering and construction.
* 5 years of experience managing process improvement or construction programs.
**Preferred qualifications:**
* Master’s degree in Mechanical Engineering, or a related field.
* 5 years of experience managing cross\-functional or cross\-team projects.
* Experience managing engineering/construction projects, including experience collaborating across different stakeholder teams.
* Knowledge of large\-scale mission\-critical infrastructure systems.
* Ability to gather requirements, prioritize tasks, organize resources, and achieve goals.
* Ability to be detail\-oriented with follow\-through capabilities for updating business leadership on project conditions.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Data Center Design and Engineering (DCDE) Central Operations team is looking for a highly motivated Program Manager with demonstrated Construction and Mechanical Engineering experience.
 As a DCDE Central Operations \- EXR (Execution Readiness) Construction Program Manager you will be deeply involved in multiple strategic and tactical projects and programs focused on improving our data center planning and execution. You will partner with the ML PMO and EXR Teams and directly with DCDE Leadership, our internal partners, internal stakeholders and vendors to ensure improvement initiatives are supported. You will develop project and programmatic mitigation opportunities, developing presentation and protocol materials for approvals and, once approved, official distribution of materials for project and program application. You will contribute to business initiatives of our delivery OKRs and communicate with Leadership the opportunities, improvements, and learnings of fleet acceleration progress.
 This role will be based at a DCDE office or campus; and requires travel to various construction sites.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Prioritize safety as a primary concern across construction activities while strictly adhering to Google’s culture and values.
* Monitor progress, risks, and mitigations to ensure successful delivery, reporting status directly to DCDE Central Operations Leadership.
* Develop communication and rollout strategies for site findings, partnering with ExR Engineering to advance awareness and mitigation.
* Partner with stakeholders (ExR, ML PMO, DCTS, FeP, Supply, DCOPs) to gain record approvals.
* Leverage cross\-functional partnerships to drive potential fleet\-wide application of improvement recommendations.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5">
      <c r="A235" t="inlineStr">
        <is>
          <t>li-4357495157</t>
        </is>
      </c>
      <c r="B235" t="inlineStr">
        <is>
          <t>Sr. Channel Integrity Program Manager (Remote)</t>
        </is>
      </c>
      <c r="C235" t="inlineStr">
        <is>
          <t>CrowdStrike</t>
        </is>
      </c>
      <c r="D235" t="inlineStr">
        <is>
          <t>linkedin</t>
        </is>
      </c>
      <c r="E235">
        <f>HYPERLINK("https://www.linkedin.com/jobs/view/4357495157", "https://www.linkedin.com/jobs/view/4357495157")</f>
        <v/>
      </c>
      <c r="F235" t="inlineStr"/>
      <c r="G235" t="inlineStr"/>
      <c r="H235" t="inlineStr"/>
      <c r="I23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CrowdStrike’s Ethics \&amp; Legal Compliance (ELC) team is seeking a Sr. Channel Integrity Program Manager to design, lead, and evolve the Channel Integrity Program. Aligned with our vision to move from reactive risk management to anticipatory oversight, you will develop predictive frameworks to safeguard CrowdStrike’s global partner ecosystem from bribery, corruption, fraud, and trade\-related risks. This role is a critical pillar in protecting what we build while fostering a vibrant and ethical channel.
***Location Requirement:** 
 This role is open to candidates based remotely within the United States, with a strong preference for individuals located near one of our U.S. office locations or large metros in the Southeast.*
****What You’ll Do:****
 Reporting to the Assistant General Counsel, Ethics \&amp; Legal Compliance, you will be the architect of our next\-generation channel monitoring and engagement strategy. By integrating predictive analytics with high\-touch field engagement, you will ensure we anticipate and mitigate issues before they occur.
 Channel Risk Identification \&amp; Assessment
* Partner with data and analytics teams to deploy automation and AI\-driven/machine learning models that enhance proactive ABAC, fraud, and trade\-related risk detection.
* Use internal data sources (e.g., Salesforce) to identify deal and partner red flags, typologies, and actionable insights.
* Support due diligence and monitoring of partners and third parties, with a focus on identifying elevated channel risks.
* Analyze internal data to identify irregularities or patterns signaling fraud, corruption, or other channel risks.
* Monitor pricing and deal structures to identify and prevent improper conduct.
 Channel Risk Mitigation \&amp; Control Development
* Lead transactional and channel risk reviews to ensure compliance and mitigate risks.
* Investigate findings, identify root causes, and recommend process or control enhancements.
* Collaborate with other functions to embed preventive controls in business systems (e.g., Salesforce).
* Strengthen partner due diligence and screening processes through automation, analytics, and risk\-based workflows.
* Develop compliance trainings for partners.
 Channel Integrity Program Development
* Maintain compliance policies, procedures, and controls addressing bribery, corruption, fraud, sanctions, and export control risks.
* Stay familiar with ABAC, fraud, and global trade regulations (e.g., OFAC, EAR, EU sanctions), incorporating best practices into program design.
 Internal Advisory \&amp; Reporting
* Integrate within business units to understand operations and provide targeted compliance guidance.
* Help develop and deliver training for go\-to\-market teams on compliance requirements, risks, and best practices.
* Summarize findings, trends, and KPIs.
****What You’ll Need:****
* Bachelor’s degree in Finance, Law, Business Administration, Data Science, or related field.
* 12\+ years in compliance, trade controls (sanctions/export), fraud/ABAC risk management, or internal audit in a multinational environment.
* Experience with SaaS or cybersecurity preferred, as well as industries that sell through two\-tier distribution models.
* Familiarity with ABAC, fraud, and trade risk domains with practical knowledge of transaction monitoring processes and channel risk mitigation.
* Demonstrated ability to audit, assess, and investigate deal\-related and partner risks such as deal documentation and pricing.
* Experience using data science tools and methods to analyze complex data sets, derive insights, and make data\-informed recommendations.
* Experience embedding compliance controls into core business systems
* Professional certifications preferred, including Certified Fraud Examiner (CFE), Certified Analytics Professional (CAP), Certified Anti\-Money Laundering Specialist (CAMS), Certified Internal Auditor (CIA), Certified Public Accountant (CPA), or equivalent.
****Bonus Points:****
* Self\-starter comfortable as both a builder (program design) and operator (day\-to\-day execution).
* Ability to build cross functional partnerships to drive results.
* Experience in working, managing, and driving cross\-functional projects to completion.
* Excellent problem\-solving skills with attention to detail, able to balance multiple priorities and adapt to changing business needs.
* Strong communication skills, with the ability to present data\-driven insights to technical and non\-technical audiences.
* Motivated by new challenges and fast\-evolving priorities.
* Travel as required.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$130,000 \- $200,000 per year, with eligibility for bonuses, equity grants and a comprehensive benefits package that includes health insurance, 401k and paid time off.
 For detailed information about the U.S. benefits package, please click here.
 Expected Close Date of Job Posting is:04\-02\-2026,
****Bonus Points:****
* Self\-starter comfortable as both a builder (program design) and operator (day\-to\-day execution).
* Ability to build cross functional partnerships to drive results.
* Experience in working, managing, and driving cross\-functional projects to completion.
* Excellent problem\-solving skills with attention to detail, able to balance multiple priorities and adapt to changing business needs.
* Strong communication skills, with the ability to present data\-driven insights to technical and non\-technical audiences.
* Motivated by new challenges and fast\-evolving priorities.
* Travel as required.</t>
        </is>
      </c>
    </row>
    <row r="236">
      <c r="A236" t="inlineStr">
        <is>
          <t>li-4368403218</t>
        </is>
      </c>
      <c r="B236" t="inlineStr">
        <is>
          <t>Technology Program Manager</t>
        </is>
      </c>
      <c r="C236" t="inlineStr">
        <is>
          <t>Panasonic Energy Corporation of North America</t>
        </is>
      </c>
      <c r="D236" t="inlineStr">
        <is>
          <t>linkedin</t>
        </is>
      </c>
      <c r="E236">
        <f>HYPERLINK("https://www.linkedin.com/jobs/view/4368403218", "https://www.linkedin.com/jobs/view/4368403218")</f>
        <v/>
      </c>
      <c r="F236" t="inlineStr"/>
      <c r="G236" t="inlineStr">
        <is>
          <t>De Soto, KS</t>
        </is>
      </c>
      <c r="H236" t="inlineStr"/>
      <c r="I236" t="inlineStr">
        <is>
          <t>**Overview**
 Do you want to join a team that's changing the world? Do you have a strong background as a Technology Program Manager? Then we're looking for you! Check out the job description and apply now! Put your skills to meaningful use, gain unique experience, and work with world\-class team members with diverse backgrounds and expertise who share the same vision. Join the PECNA team today!
**Responsibilities**
 https://www.youtube.com/watch?v\=0tMgKm\_71qs
 (
 *by clicking this link you are being referred to an external site that is not part of Panasonic* 
 )
**Meet the Recruiter: Eric Laffey**
**Summary**
 Join us at Panasonic Energy as we expand to De Soto, Kansas, where we’re building the world’s largest lithium\-ion battery factory. This is an exciting opportunity to grow your career while contributing to the future of electric vehicles. As part of our team, you’ll help push the limits of battery technology, enhancing performance and efficiency in sustainable transportation.
 Our state\-of\-the\-art facility, just outside the Kansas City Metro, will be a hub for innovation in green energy solutions. If you're passionate about sustainability and eager to contribute to the electric vehicle revolution, we invite you to be part of our dynamic team. Join us and make a meaningful impact on the future of energy and transportation.
**Job Summary**
 The Technology Program Manager leads a portfolio of related projects that drive strategic initiatives, operational efficiency, and capital expansion within a high\-volume lithium\-ion battery manufacturing environment. In this role, the Technology Program Manager will be tasked to develop, execute, and deliver on project plans, driving multiple technology projects simultaneously, and communicating on status, risks, and process changes.
 In addition to overseeing program\-level execution, this role includes direct people management responsibilities for Project Managers and PMO Analysts. The Program Manager ensures alignment across functions, manages interdependencies, and provides strategic and tactical direction to both project teams and senior stakeholders. This position is ideal for a hands\-on leader who thrives in a dynamic, fast\-paced environment and brings a strong combination of technical fluency, communication ability, and leadership experience.
**Essential Duties**
**Functional Leadership \&amp; Operations:**
* Lead enterprise manufacturing technology programs including MES, SCADA, IIoT, data analytics, integrations, automation, and infrastructure
* Define and manage program scope, success criteria, deliverables, budgets, and resource plans across a portfolio of interrelated projects
* Create, maintain, and govern integrated master schedules to ensure alignment across engineering, operations, procurement, and construction activities
* Track and report program\-level KPIs, ensuring timely milestone delivery, issue resolution, and performance transparency
* Optimize resource allocation and sequencing to balance capacity, cost, and schedule constraints while maximizing program outcomes
**Strategic Alignment \&amp; Continuous Improvement**
* Identify and manage program interdependencies, prioritizing initiatives to align with strategic objectives and operational timelines
* Apply program\-level insights, metrics, and lessons learned to continuously refine project delivery approaches and PMO best practices
* Identify opportunities to improve program governance, reporting cadence, and workflow standardization across the portfolio
* Support long\-term planning by aligning program execution with evolving business needs and capital strategy
**Team Development \&amp; Knowledge Sharing**
* Lead, coach, and develop Project Managers and PMO Analysts through performance management, goal setting, and career development planning
* Foster a culture of accountability, collaboration, and continuous improvement across program and project teams
* Ensure consistent application of PMO standards, tools, templates, and methodologies across all managed projects
* Promote knowledge sharing and capability building within the PMO to strengthen program delivery maturity
**Cross\-Functional Collaboration \&amp; Stakeholder Engagement**
* Lead and coordinate cross\-functional teams across engineering, operations, procurement, construction, and external partners
* Serve as the primary liaison between program teams and senior leadership, providing clear, data\-driven program status and performance updates
* Facilitate steering committee meetings, stakeholder reviews, and executive briefings
* Translate complex technical and operational information into clear, actionable communications for diverse audiences
* Translate manufacturing requirements into technology delivery plans
**Quality, Safety, Compliance, \&amp; Risk Management**
* Identify and manage program\-wide risks and issues, developing mitigation plans and escalating appropriately to leadership
* Ensure program execution complies with company policies, regulatory requirements, and EHS standards
* Ensure compliance with internal controls, security policies, and regulatory requirements (ISO, ISM, SOX, IEC, etc.)
* Maintain program documentation, governance artifacts, and audit readiness to support internal and external reviews
* Reinforce a strong safety, quality, and compliance mindset across all program activities
**Supervisory Responsibilities**
* Provides direct supervision to Project Managers and PMO Analysts, including work assignment, performance oversight, training, and adherence to safety and operational standards
**Personal Protective Equipment (PPE) Requirements**
* To ensure health and safety in the workplace and for employee protection, wearing PPE is required and includes equipment such as a full Tyvek suit, safety shoes, gloves, safety glasses, face mask, and a full hazmat suit that includes a respirator. A respirator fit test will be required based on functional area.
***The foregoing description is not intended and should not be construed to be an exhaustive list of all responsibilities, skills, efforts, or work conditions associated with the job. It is intended to be an accurate reflection of the general nature and level of the job. In addition, employees are expected to participate in cross\-training and may be assigned responsibilities in other areas as business needs evolve.***
**Qualifications**
**Qualifications \- Required and/or Preferred**
**Required**
* Bachelor’s degree in Engineering, Business, Information Technology, Computer Science, or related technical/operations field. Relevant work experience may be substituted for required education
**Preferred**
* Master’s degree (e.g., MBA, MS in Engineering Management, Project Management) or equivalent
* Project Management Professional (PMP), Program Management Professional (PgMP) certification, or equivalent
* Lean Six Sigma Green Belt or Black Belt
* Agile / SAFe certification
* ITIL, ISA/IEC 62443, or manufacturing systems certifications
**Essential Qualifications**
* 5\+ years of progressive project or program management leadership experience
* Working knowledge of software delivery lifecycle
* Proven experience managing enterprise\-scale programs (SAP, MES, SCADA, Data Platforms, Infrastructure, Cybersecurity, Automation, Cloud, IioT, etc)
* Strong understanding of IT/OT convergence and manufacturing operations
* Experience managing multi\-site deployments and complex vendor ecosystems
* Experience working with cross\-functional IT and OT teams in manufacturing or operations environments
* Demonstrated success leading complex, multi\-project programs in technical, construction, or manufacturing settings
* Strong understanding of program governance, budgeting, and risk management across interdependent projects
* Excellent communication, interpersonal, and conflict\-resolution skills
* Proficiency in project/program management tools (e.g., Smartsheet, MS Project, Power BI, JIRA)
* Ability to influence across functional boundaries and operate effectively in matrixed environments
* Must have working\-level knowledge of the English language, including reading, writing, and speaking English
* Alignment to Panasonic’s seven (7\) core principles (contribution to society, fairness and honesty, cooperation and team spirit, untiring effort for improvement, courtesy and humility, adaptability, gratitude)
**Preferred Qualifications**
* 10\+ years of progressive program management leadership experience
* SAP S/4 Hana experience
* IT/OT architecture and integration
* Experience in capital\-intensive or high\-volume manufacturing environments such as batteries, energy storage, automotive, or electronics
* Familiarity with Lean, Six Sigma, Agile, or hybrid project management methodologies
* Proven track record of leading teams through transformation, scaling, or process improvement
**Benefits \&amp; Perks \- What's In It For You**
 Panasonic Energy prioritizes total well\-being and offers comprehensive benefits options to support physical, emotional, financial, social, and environmental health:
* Health Benefits – Offering medical, dental, vision, prescription plans, plus Health Savings Account and Flexible Spending Account options.
* Voluntary Benefits – Life, accident, critical illness, disability, legal, identity theft, and pet insurance.
* Panasonic Retirement Savings \&amp; Investment Plan (PRSIP) – 401(k) plan with company matching contributions and immediate vesting.
* Paid Time\-Off Benefits – Vacation, holidays, personal days, sick leave, volunteer, and parental \&amp; caregiver leave.
* Educational Assistance – Tuition reimbursement for job\-related courses after six months of service.
* Health Management and Wellbeing Programs –Lifestyle Spending Account, EAP, virtual health management, chronic condition, neurodiversity, tobacco cessation, substance abuse support, and life stage and fertility resources. Available to eligible employees starting the first day of the month following your start date. Eligibility for each benefit may vary based on employment status, location, and length of service.
* Employee Recognition Program \- High5 employee recognition and awards platform, quarterly and annual employee recognition
* Annual Bonus Program \- Opportunity for an annual performance\-based bonus.
* On\-site Food Options: Several on\-site cafes, plentiful snack and beverage kitchens, revolving on\-site vendor visits and employee events.
**Where You'll Be**
 For our onsite roles, Panasonic Energy is committed to fostering an ideal working environment that goes beyond the conventional. We understand the significance of moments that matter in your onsite experience, and we prioritize creating a workspace that not only promotes productivity but also ensures a fulfilling and positive work atmosphere. Join us at Panasonic Energy, where your onsite presence is valued, and we strive to make each moment count in your professional journey.
**Who We Are**
 Meet Panasonic Energy! At Panasonic Energy, you'll do work that matters as we are dedicated to transforming the world through the acceleration of sustainable energy. By producing safe, high\-quality lithium\-ion batteries, you become part of a team that plays a crucial role in creating technologies that move us.
 Our journey began in 2017, and now, as the world's largest lithium\-ion battery factory, we are expanding operations to De Soto, Kansas, providing you with the opportunity to experience career growth in more ways than one.
 As an innovative thinker, you'll thrive here, as we continually push the boundaries of lithium\-ion battery technology and production capabilities to enhance efficiency and performance in EVs.
 Being part of Panasonic Energy means positively contributing to society, aligning with our commitment to building a better world through sustainable energy solutions.
 We care about what you care about, fostering an environment where your contributions make a meaningful impact on the future of energy and transportation. Join us and be part of a team that values your work, encourages innovation, and actively contributes to a positive societal impact.
 In addition to an environment that is as innovative as our products, we offer competitive salaries and benefits.
**We Take Opportunity Seriously**
 At Panasonic Energy, we are committed to a workplace that genuinely fosters inclusion and belonging. Fairness and Honesty have been part of our core values for more than 100 years and we are proud of our diverse culture as an equal opportunity employer.
 We understand that your career search may look different than others and embrace the professional, personal, educational, and volunteer opportunities through which people gain experience. If you are actively looking or starting to explore new opportunities, submit your application!
**Supplemental Information**
 Pre\-employment drug testing is required.
 Qualified applicants will receive consideration for employment without regard to race, color, religion, sex, national origin, disability, protected veteran status or other characteristics protected by law. All qualified individuals are required to perform the essential functions of the job with or without reasonable accommodation.
*Due to the high volume of responses, we will only be able to respond to candidates of interest. All candidates must have valid authorization to work in the U.S. without restriction.*
 Thank you for your interest in Panasonic Energy Corporation of North America.
 R\-103985</t>
        </is>
      </c>
    </row>
    <row r="237">
      <c r="A237" t="inlineStr">
        <is>
          <t>li-4354792114</t>
        </is>
      </c>
      <c r="B237" t="inlineStr">
        <is>
          <t>PwC Tech Product Owner Senior Associate</t>
        </is>
      </c>
      <c r="C237" t="inlineStr">
        <is>
          <t>PwC</t>
        </is>
      </c>
      <c r="D237" t="inlineStr">
        <is>
          <t>linkedin</t>
        </is>
      </c>
      <c r="E237">
        <f>HYPERLINK("https://www.linkedin.com/jobs/view/4354792114", "https://www.linkedin.com/jobs/view/4354792114")</f>
        <v/>
      </c>
      <c r="F237">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37" t="inlineStr">
        <is>
          <t>Tulsa, OK</t>
        </is>
      </c>
      <c r="H237" t="inlineStr"/>
      <c r="I237"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8">
      <c r="A238" t="inlineStr">
        <is>
          <t>li-4357355443</t>
        </is>
      </c>
      <c r="B238" t="inlineStr">
        <is>
          <t>Program Manager II</t>
        </is>
      </c>
      <c r="C238" t="inlineStr">
        <is>
          <t>Sierra Nevada Corporation</t>
        </is>
      </c>
      <c r="D238" t="inlineStr">
        <is>
          <t>linkedin</t>
        </is>
      </c>
      <c r="E238">
        <f>HYPERLINK("https://www.linkedin.com/jobs/view/4357355443", "https://www.linkedin.com/jobs/view/4357355443")</f>
        <v/>
      </c>
      <c r="F238" t="inlineStr"/>
      <c r="G238" t="inlineStr">
        <is>
          <t>Hagerstown, MD</t>
        </is>
      </c>
      <c r="H238" t="inlineStr"/>
      <c r="I238" t="inlineStr">
        <is>
          <t>Are you looking to advance your career and flex your leadership and program management skills in a fast\-paced and rewarding organization? Join us! As a Program Manager II, you will support the business objectives at SNC. You will be responsible for total Program Integration Management of multiple complex projects, major systems and subcontractors with specifically focused responsibility for customer relationship, cost, schedule and technical planning, tracking and reporting, technical execution, and ensuring overall program performance objectives are achieved. You will typically manage programs of $20M or greater with varying development scope, greater than medium complexity and requiring high customer interaction. Cost and Schedule considerations are of higher risk to the company. You will supervise the work of program and project staff and be responsible for add\-on work and proposal tasks from first customer interaction, defining requirements, basis of estimates, negotiation and contract award. You will participate in business resource planning/tracking in coordination with other corporate entities and responsible to formulate a team that can fulfill program requirements. You will be responsible for ensuring program issues and problems are identified, tracked, and resolved; and for program risk management and ensuring risks are identified, mitigated, tracked, and managed. You'll be responsible for conducting routine meetings, interfacing on project/program status, developing proposals, researching/fact\-finding, coordinating audits, and negotiating with project/program stakeholders to ensure enterprise initiatives meet cost, budget, and schedule constraints. You'll support the Program Director and Business Operations in fulfilling their responsibilities for the Business Area.
 The Mission Solutions and Technologies (MST) business area provides affordable, turn\-key command/control, communications, integrated ISR, force protection and security solutions worldwide. The MST team has a long legacy of supporting the Department of Defense, Department of Homeland Security, commercial and international customers with years of experience in platform operations, engineering and full lifecycle management across domains – air, land, sea, space and cyber.
**Qualifications You Must Have**
* Bachelor's degree in Business, Finance, Project Management, Management, Engineering or related field
* Typically 8\+ years of progressive experience in project or program management
* Typically 3\+ years leading medium scale project scope spanning 1\-2 years, while leading teams made up of 5\+ cross functional team members
* Experience with the evaluation of requests for proposals and/or quotes. Experience with preparing, reviewing, and submitting proposals and/or quotes.
* Experience with managing a complex project or larger program.
* Experience in team building, time management, conflict resolution, communication, briefing, presentation, strategic thinking, marketing, and literacy in the program management disciplines.
* Demonstrated financial acumen to ensure decisions are fiscally sound and responsible.
* Requires ability to execute coordination of all elements of a program, i.e., Program integration management. Perform task coordination, resource development, stakeholder identification, etc.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Requires ability to manage complex situations, delegate authority, lead and inspire your team, drive innovative thinking, instill collaboration, drive for success, challenge status quo, and demonstrate the ability to adapt to dynamic situations
* Ability to Obtain / Maintain Secret Clearance
**Qualifications We Prefer**
* Experience managing international programs, such as: direct involvement with U.S. Export Controls (ITAR/EAR), foreign certification authorities.
* Experience managing programs involving aircraft modification.
* Experience in Airborne Intelligence, Surveillance, and Reconnaissance (A\-ISR)
* Experience in presenting or briefing to executive leadership
* Project Management Professional (PMP) Certification (will not be considered in lieu of required experience)
* Advanced degree in Business, Management, Engineering or related field (may be considered in lieu of 1 year of required project/program management experience)
* Understanding of Federal Acquisition Regulations (FAR) and Defense Federal Acquisition Regulations (DFARS)
* Working knowledge of Program Management Institute Program Body of Knowledge (PMBOK)
* Managing projects using Capability Maturity Model Integration (CMMI), agile and or spiral development models
* Managing projects requiring Earned Value Management
* Understanding with application tools and data architectures
* Ability to reinforce the usage \&amp; application of Corporate PM tools.
* Ability to participate in PM process \&amp; tool improvement initiatives for the Business Area.
* Ability to keep program management informed of function \&amp; process changes within project controls.
* Ability to enhance program management expertise in the staff
* Ability to establish new \&amp; further refining existing templates, tools, \&amp; guidelines for program documentation \&amp; execution
* Experience with ensuring compliance with approved Corporate and ISO 9001:2000 Policies and Processes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Estimated Starting Salary Range: $130,442\.85 \- $179,358\.93\. Compensation varies depending on a wide array of factors, such as candidates' key skills, relevant work experience, and education/training/certifications. The disclosed range estimate may be adjusted for any applicable geographic differential associated with the location at which the position may be filled.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239">
      <c r="A239" t="inlineStr">
        <is>
          <t>li-4368404397</t>
        </is>
      </c>
      <c r="B239" t="inlineStr">
        <is>
          <t>Principal Technical Program Manager</t>
        </is>
      </c>
      <c r="C239" t="inlineStr">
        <is>
          <t>Hewlett Packard Enterprise</t>
        </is>
      </c>
      <c r="D239" t="inlineStr">
        <is>
          <t>linkedin</t>
        </is>
      </c>
      <c r="E239">
        <f>HYPERLINK("https://www.linkedin.com/jobs/view/4368404397", "https://www.linkedin.com/jobs/view/4368404397")</f>
        <v/>
      </c>
      <c r="F239">
        <f>HYPERLINK("https://careers.hpe.com/us/en/job/1201250/Principal-Technical-Program-Manager?utm_source=linkedin&amp;urlHash=far9", "https://careers.hpe.com/us/en/job/1201250/Principal-Technical-Program-Manager?utm_source=linkedin&amp;urlHash=far9")</f>
        <v/>
      </c>
      <c r="G239" t="inlineStr">
        <is>
          <t>Chippewa Falls, WI</t>
        </is>
      </c>
      <c r="H239" t="inlineStr"/>
      <c r="I23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**Ready to shape the future of supercomputing?** 
 At Hewlett Packard Enterprise (HPE), we’re building the world’s most powerful HPC and AI systems—like Frontier and Aurora—to solve humanity’s toughest challenges. Join us as a
 **Technical Program Manager (TPM)** 
 and lead programs that push the limits of innovation.
**What You’ll Do**
* Own the full program lifecycle—scope, schedule, and budget.
* Align cross\-functional teams (hardware, software, supply chain, partners like NVIDIA, AMD, Intel).
* Build integrated schedules, manage risks, and resolve dependencies.
* Communicate status and decisions clearly to executives and stakeholders.
* Apply technical expertise in HPC/AI architecture (GPUs, interconnects, cooling, system software) to guide decisions.
**What You Bring**
* Bachelors in CS, EE, or related field; 5\+ years in technical program management or engineering.
* Experience with NPI lifecycle and large\-scale systems.
* Preferred: Advanced degree, HPC/AI experience, hardware/software knowledge.
 \#unitedstates \#Hybrid\-LI \#highperformancecompute
**Additional Skills**
 Accountability, Accountability, Active Learning, Active Listening, Bias, Business Decisions, Business Development, Business Metrics, Business Performance, Business Strategies, Calendar Management, Coaching, Computer Literacy, Creativity, Critical Thinking, Cross\-Functional Teamwork, Design Thinking, Empathy, Follow\-Through, Growth Mindset, Intellectual Curiosity (Inactive), Leadership, Long Term Planning, Managing Ambiguity, Personal Initiative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Business Planning
**Job Level**
 Master
 "The expected salary/wage range for this position is provided below. Actual offer may vary from this range based upon geographic location, work experience, education/training, and/or skill level.
 – United States of America: Annual Salary USD 126,000 \- 239,000 in Colorado // 119,500 \- 275,000 in Texas \&amp; Wisconsin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40">
      <c r="A240" t="inlineStr">
        <is>
          <t>li-4368418098</t>
        </is>
      </c>
      <c r="B240" t="inlineStr">
        <is>
          <t>Sr. Project/Program Manager – Timekeeping &amp; Workforce Software -  (Only on W2)</t>
        </is>
      </c>
      <c r="C240" t="inlineStr">
        <is>
          <t>Miracle Software Systems, Inc</t>
        </is>
      </c>
      <c r="D240" t="inlineStr">
        <is>
          <t>linkedin</t>
        </is>
      </c>
      <c r="E240">
        <f>HYPERLINK("https://www.linkedin.com/jobs/view/4368418098", "https://www.linkedin.com/jobs/view/4368418098")</f>
        <v/>
      </c>
      <c r="F240" t="inlineStr"/>
      <c r="G240" t="inlineStr">
        <is>
          <t>Dearborn, MI</t>
        </is>
      </c>
      <c r="H240" t="inlineStr"/>
      <c r="I240" t="inlineStr">
        <is>
          <t>We,
 **(Miracle Software Systems, Inc),** 
 are actively looking for
 **"Sr. Project/Program Manager – Timekeeping \&amp; Workforce Software"** 
 to work
 **\#Full\-Time / Contract on W2 with our Direct Client.** 
**\-\-\-\-\-\-\-\-\-\-\-\-\-\-\-\-\-\-\-\-\-\-\-\-\-\-\-\-\-\-\-\-\-\-\-\-\-\-\-\-\-\-\-\-\-\-\-\-\-\-\-\-\-\-\-\-\-\-\-\-\-\-\-\-\-\-\-\-\-\-\-\-\-\-\-\-\-\-\-\-\-\-\-\-\-\-\-\-\-\-\-\-\-\-\-\-\-\-\-\-\-\-\-\-\-\-\-\-\-\-\-\-\-\-\-\-\-\-\-\-\-\-\-\-\-\-\-\-\-\-\-\-\-\-\-\-\-\-** 
**Position Description:**
 The Timekeeping Modernization Product Group delivers and supports critical systems for managing time, absence, and workforce management functions essential for paying hourly employees. Our objective is to modernize these systems, improve long\-term sustainability by reducing technology complexity, introducing industry\-standard capabilities, and simplifying business processes. In this hybrid Project/Product Manager role, you will own the "how" while shaping the "what"—driving end\-to\-end delivery of WorkForce Software (WFS) while contributing to the product vision that will modernize how manages its hourly workforce. You'll leverage advanced skills in Jira, SharePoint, MS Teams, and Microsoft 365 to own delivery planning while contributing to product vision, roadmaps, and backlog management. The position requires strong attention to detail and the ability to synthesize complex information into concise updates for technical and executive audiences. Key Responsibilities Project Management Own end\-to\-end delivery planning, including risk, issue, and change management for modernized workforce management solutions \- specifically WorkForce Software configuration. Develop detailed project plans outlining what work needs to be done, when, and by whom. Coordinate delivery timing across multiple project teams, ensuring seamless data flow between WFS, HRIS, and Payroll systems. Provide executive\-level timeline reports (e.g., Gantt charts), including parallel run schedules and system cutover plans. Follow change control management protocols for system upgrades and configuration shifts. Product Management Collaborate with Product Management leadership and Business Owners to understand needs, validate solutions, and translate strategic ideas into measurable specifications and requirement documentation. Contribute to product vision, strategy, and functional/non\-functional roadmaps for the Timekeeping Modernization portfolio. Own and prioritize the product backlog, ensuring success of integrated products across WFS, HRIS, and Payroll systems. Validate that sagas and epics are broken into clear, concise, complete, and testable user stories or tasks. Communication \&amp; Governance Drive Program and Project Governance, bridging technical developers and business\-side Timekeeping Modernization and Payroll leads. Lead L3 project status meetings and prepare support documents for L2 and L1 governance meetings, capturing notes, follow\-ups, and next steps. Assign actions and decisions on cross\-project/program dependencies, particularly regarding vendor management, third\-party software integration, data migration, and system integration milestones. Agile Leadership \&amp; Continuous Improvement Champion Agile methodologies and lead daily stand\-ups. Own Agile ceremony artifacts for sprint prioritization, release management, and communications. Participate in strategic roadmap discussions, stakeholder alignment sessions, and requirements prioritization.
**Skills Required:**
 Software Development Lifecycle, Workforce Management, Problem Solving, Technical Analysis, Cross\-functional, Program Analysis, Program Manage PM's \&amp; Projects, Program manager, Program Management, Project Documentation, Project Management, Project Manager, Project Planning, Jira, Budgets/Timing, Financial Reporting. Specialist Exp: 6 years in IT; 3 years in Program Mgmt., Expert in Proj Mgr
**Experience Preferred:**
 Own Agile ceremony artifacts for prioritization, release management, and deployment communications. leverage experience as a Deployment or Release Manager alongside advanced skills in Jira, SharePoint, MS Teams, and Microsoft 365 to own delivery planning while contributing to product vision, roadmaps, and backlog management. Function as the Release Manager, overseeing the deployment lifecycle and ensuring stable system cutovers.
**Education Required:**
 Bachelor's Degree
**\-\-\-\-\-\-\-\-\-\-\-\-\-\-\-\-\-\-\-\-\-\-\-\-\-\-\-\-\-\-\-\-\-\-\-\-\-\-\-\-\-\-\-\-\-\-\-\-\-\-\-\-\-\-\-\-\-\-\-\-\-\-\-\-\-\-\-\-\-\-\-\-\-\-\-\-\-\-\-\-\-\-\-\-\-\-\-\-\-\-\-\-\-\-\-\-\-\-\-\-\-\-\-\-\-\-\-\-\-\-\-\-\-\-\-\-\-\-\-\-\-\-\-\-\-\-\-\-\-\-\-\-\-\-\-\-\-\-** 
**About Miracle Software Systems:** 
 Miracle Software Systems, Inc. is Premier Partner of IBM and a National Implementation Partner of SAP since 1998\. Been in business for the last 30 years specializing on SAP Implementations, SOA / EAI / B2B Technologies. We are also a reseller of IBM Software Products. We are a Global Systems Integrator with Presence in 6 Countries. We also have a Large Offshore Facility located in India. We specialize on BPM tools like IBM Lombardi / BPM7\.5 and also have a large Sterling Commerce Practice. We also have a large E\-Commerce Practice based on IBM Portals / WebSphere Commerce Server. Miracle B2B Practice has been built on WTX / Gentran / Data Power / WPG / Trading Manager / Sterling GIS and other leading Products in the Market. We are based out of Novi, Michigan.
 If interested please send your updated resume and details to
 **\#pcheedi@miraclesoft.com** 
 or call me at
 **\#248\-233\-3625** 
 .</t>
        </is>
      </c>
    </row>
    <row r="241">
      <c r="A241" t="inlineStr">
        <is>
          <t>li-4368400725</t>
        </is>
      </c>
      <c r="B241" t="inlineStr">
        <is>
          <t>Program Manager - gBETA at Marshall's iCenter</t>
        </is>
      </c>
      <c r="C241" t="inlineStr">
        <is>
          <t>gener8tor</t>
        </is>
      </c>
      <c r="D241" t="inlineStr">
        <is>
          <t>linkedin</t>
        </is>
      </c>
      <c r="E241">
        <f>HYPERLINK("https://www.linkedin.com/jobs/view/4368400725", "https://www.linkedin.com/jobs/view/4368400725")</f>
        <v/>
      </c>
      <c r="F241" t="inlineStr"/>
      <c r="G241" t="inlineStr">
        <is>
          <t>Huntington, WV</t>
        </is>
      </c>
      <c r="H241" t="inlineStr"/>
      <c r="I241" t="inlineStr">
        <is>
          <t>\*\*\*In order to be considered for this position, please apply directly on our careers page:
 https://www.gener8tor.com/careers?gh\_jid\=5789882004
**Program Manager \- gBETA at Marshall's iCenter** 
 Location: Huntington, WV area (or willing to relocate)
 Salary: $60,000\-$70,000
 Reports to: gBETA Managing Director
**Description** 
 Are you ready to find and work with the best and brightest entrepreneurs? Do you get excited about supporting startups so they can bring new innovations to life? Are you passionate about supporting the startup ecosystem in West Virginia? If so, this position is for you.
 gener8tor fosters innovation ecosystems through its accelerator programs, venture capital funds, and skills\-based workforce initiatives. With a strong track record of supporting high\-growth companies, gener8tor has expanded across the U.S. and internationally, building partnerships with governments, corporations, universities, and economic development organizations to drive entrepreneurship and economic impact. gener8tor operates accelerators across 45 cities, 25 states and 3 countries, working with more than 300 startups per year. To date, gener8tor has worked with more than 1,500 startups that have cumulatively gone on to raise more than $2B in financing and employ more than 11,000 people.
 The Program Manager (PM) will lead the gALPHA and gBETA at Marshall’s iCenter accelerator programs. The PM recruits and selects companies and executes programming tailored to researchers and entrepreneurs solving problems across all industries. The PM will coach startups and create networks and introductions for three annual accelerator cohorts. The gALPHA program is four weeks and will take place in Huntington, WV with most program components delivered in person. The gBETA program is seven weeks and will be delivered via a hybrid format with primarily virtual programming and in\-person kick\-off and showcase events in Huntington, WV. Outside of the formal accelerator program, the PM will continue to work with accelerator alumni, recruit and hold office hours with startups and actively participate in the West Virginia startup community, building relationships with stakeholders, mentors and investors.
 As a member of the gener8tor team, you will be an essential part of our overall global platform. The full gener8tor platform connects startup founders, musicians, researchers, artists, investors, universities and corporations Your support as our gBETA at Marshall’s iCenter PM will impact startups in West Virginia through working specifically with startup founders in collaboration with a network of partners, mentors and investors.
 Success for the Program Manager means fully owning the day\-to\-day logistics and operations of the gBETA program end\-to\-end. This includes managing the operational components of founder recruitment, interview and selection; sourcing and engaging mentors and investors; and coordinating weekly programming such as 1:1 startup meetings, Lunch \&amp; Learns, cohort community\-building events, and mentor/investor networking. The PM also leads planning and execution for major milestones, including program kickoff and the end\-of\-program showcase.
 A successful PM will also be an effective coach and connector for the community and startups they interact with. This looks like network\-building, finding, evaluating and convincing the most high\-potential startups to join the program, serving as the lead coach in the program for the selected startups and helping them with their business, network and growth needs, and effectively supporting the startups in achieving their goals such as customer growth and fundraising.
 The PM leads program execution under the guidance of the Managing Director and collaborates closely with gener8tor’s centralized support teams to deliver a consistent, high\-quality experience across all program components.
**At gener8tor we…** 
* **See genius in every community.** 
 We believe the company has a chance to accomplish a generational challenge in bridging genius with opportunity.
* **Never self\-defeat** 
 and have a “play to win” mentality. We revolve everything we do around helping the entrepreneurs in our programs.
* **Are curious.** 
 We work hard to find hidden gems others overlook.
* **Believe no job is beneath us.** 
 We wipe down the tables and load up the U\-Hauls with enthusiasm. Work as a team to get $\#!^ done!
* **Strive for “that guy emailed me.”** 
 Based on a story from our founders, we share a commitment to take a bottom\-up approach to building strong, personal, 1\-1 relationships. We believe that the best way to quality is through quantity.
*Our values* 
***are core to how we work***
*. If they don’t resonate with you, this role might not be the right fit.* 
**Responsibilities** 
**Recruitment and base building:** 
* Recruit startup applicants and lead the selection process for three cohorts annually.
* Capture 40\+ eligible applications per cohort, executing gener8tor’s established recruitment strategies.
* Find and develop relationships with 30\+ mentors, 25\+ investors and other industry/ecosystem partners who can help support the programs and participating companies.
* Lead base building efforts, attending meetings with key investors and mentors to ensure consistent support of our gBETA at Marshall’s iCenter partners.
* Schedule and attend office hours with startups
**Program execution and founder support (three accelerator programs per year: one gALPHA and two gBETAs):** 
* Manage logistics and ensure the operational success of all aspects of gBETA at Marshall’s iCenter.
* Ensure all program KPIs are met.
* Actively plan and participate in all aspects of the gener8tor accelerator program including, but not limited to recruitment, team meetings, Mentor Swarms, Investor Swarms, Lunch \&amp; Learns and networking events.
* Serve as the primary point of contact and day\-to\-day coach for participating startups, helping founders set goals, maintain momentum, and make progress against key milestones.
* Provide structured 1:1 guidance and accountability to founders on topics such as customer discovery, traction and pitching/storytelling, business model refinement, and fundraising readiness.
* Connect founders to the right mentors, investors, customers, and ecosystem resources based on their specific needs, and ensure follow\-through on introductions and next steps.
* Continuously support gener8tor and gBETA at Marshall’s iCenter alumni.
* Be the \#1 cheerleader for the startup ecosystems and the startups and entrepreneurs we work with.
**Measure and Report Program Metrics and Operations:** 
* Work with cohort participants and alumni to gather and track data and metrics related to the progress and outcomes of the startups.
* Gather and track data and metrics related to the progress and outcomes of the program.
* Analyze and report data and metrics to the Managing Director, and in turn our partners and gener8tor broadly.
**Stakeholder Engagement:** 
* Manage relationships with our gBETA at Marshall’s iCenter partners.
* Attend regular meetings with our partners.
* Provide weekly update reporting.
**Community Involvement:** 
* Represent gener8tor, Marshall’s iCenter and the West Virginia startup community; actively participate in the startup ecosystem by attending events and building relationships.
**gener8tor Support:** 
* Contribute to the gener8tor team’s broader initiatives, including supporting other accelerator programs, engaging in ecosystem\-building efforts, and assisting with strategic projects as needed.
**Requirements** 
* Demonstrated ability to own complex programs end\-to\-end, including recruitment, logistics, stakeholder coordination, and delivery.
* Strong organizational and execution skills with a track record of getting things done in fast\-moving environments.
* Excellent written and verbal communication skills; able to represent the program professionally to founders, partners, mentors, and investors.
* Ability to recruit, persuade, and retain high\-quality founders into a competitive accelerator program.
* Deep curiosity about startups, innovation, and the realities of building companies outside of major venture hubs.
* Willingness to become deeply embedded in and be a visible champion of the West Virginia startup ecosystem.
* Relationship\-driven: you enjoy 1:1 outreach, follow\-up, and long\-term relationship building.
* Comfortable being both strategic and scrappy \- equally willing to wipe down tables, run events, and have hard conversations with founders.
* Willingness to work some nights and weekends and travel up to 25% as required by program needs.
* Past experience as a founder, program/project manager or supporting an accelerator, incubator or venture fund is recommended.
**Apply** 
**To apply, submit your resume directly on our careers page.**</t>
        </is>
      </c>
    </row>
    <row r="242">
      <c r="A242" t="inlineStr">
        <is>
          <t>li-4368059887</t>
        </is>
      </c>
      <c r="B242" t="inlineStr">
        <is>
          <t>Technical Program Manager, EXR Construction, DCDE Central Operations</t>
        </is>
      </c>
      <c r="C242" t="inlineStr">
        <is>
          <t>Google</t>
        </is>
      </c>
      <c r="D242" t="inlineStr">
        <is>
          <t>linkedin</t>
        </is>
      </c>
      <c r="E242">
        <f>HYPERLINK("https://www.linkedin.com/jobs/view/4368059887", "https://www.linkedin.com/jobs/view/4368059887")</f>
        <v/>
      </c>
      <c r="F242" t="inlineStr"/>
      <c r="G242" t="inlineStr">
        <is>
          <t>Reno, NV</t>
        </is>
      </c>
      <c r="H242" t="inlineStr"/>
      <c r="I242" t="inlineStr">
        <is>
          <t>Note: By applying to this position you will have an opportunity to share your preferred working location from the following:
 **Reston, VA, USA; Alameda, CA, USA; Columbus, OH, USA; The Dalles, OR, USA; New York, NY, USA; Pryor Creek, OK, USA; Reno, NV, USA** 
 .
 **Minimum qualifications:**
* Bachelor's degree in Mechanical Engineering, Engineering/Construction Management, Project Delivery, or equivalent practical experience.
* 5 years of experience in program or project management.
* 5 years of experience working with data centers or other mission critical equipment/environments in engineering and construction.
* 5 years of experience managing process improvement or construction programs.
**Preferred qualifications:**
* Master’s degree in Mechanical Engineering, or a related field.
* 5 years of experience managing cross\-functional or cross\-team projects.
* Experience managing engineering/construction projects, including experience collaborating across different stakeholder teams.
* Knowledge of large\-scale mission\-critical infrastructure systems.
* Ability to gather requirements, prioritize tasks, organize resources, and achieve goals.
* Ability to be detail\-oriented with follow\-through capabilities for updating business leadership on project conditions.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Data Center Design and Engineering (DCDE) Central Operations team is looking for a highly motivated Program Manager with demonstrated Construction and Mechanical Engineering experience.
 As a DCDE Central Operations \- EXR (Execution Readiness) Construction Program Manager you will be deeply involved in multiple strategic and tactical projects and programs focused on improving our data center planning and execution. You will partner with the ML PMO and EXR Teams and directly with DCDE Leadership, our internal partners, internal stakeholders and vendors to ensure improvement initiatives are supported. You will develop project and programmatic mitigation opportunities, developing presentation and protocol materials for approvals and, once approved, official distribution of materials for project and program application. You will contribute to business initiatives of our delivery OKRs and communicate with Leadership the opportunities, improvements, and learnings of fleet acceleration progress.
 This role will be based at a DCDE office or campus; and requires travel to various construction sites.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Prioritize safety as a primary concern across construction activities while strictly adhering to Google’s culture and values.
* Monitor progress, risks, and mitigations to ensure successful delivery, reporting status directly to DCDE Central Operations Leadership.
* Develop communication and rollout strategies for site findings, partnering with ExR Engineering to advance awareness and mitigation.
* Partner with stakeholders (ExR, ML PMO, DCTS, FeP, Supply, DCOPs) to gain record approvals.
* Leverage cross\-functional partnerships to drive potential fleet\-wide application of improvement recommendations.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3">
      <c r="A243" t="inlineStr">
        <is>
          <t>li-4367279754</t>
        </is>
      </c>
      <c r="B243" t="inlineStr">
        <is>
          <t>Program Manager - Member Networks</t>
        </is>
      </c>
      <c r="C243" t="inlineStr">
        <is>
          <t>Vizient, Inc</t>
        </is>
      </c>
      <c r="D243" t="inlineStr">
        <is>
          <t>linkedin</t>
        </is>
      </c>
      <c r="E243">
        <f>HYPERLINK("https://www.linkedin.com/jobs/view/4367279754", "https://www.linkedin.com/jobs/view/4367279754")</f>
        <v/>
      </c>
      <c r="F243">
        <f>HYPERLINK("https://careers.vizientinc.com/careers/job/446716334984?source=LinkedIn&amp;urlHash=K827", "https://careers.vizientinc.com/careers/job/446716334984?source=LinkedIn&amp;urlHash=K827")</f>
        <v/>
      </c>
      <c r="G243" t="inlineStr">
        <is>
          <t>Irving, TX</t>
        </is>
      </c>
      <c r="H243" t="inlineStr"/>
      <c r="I243"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support the day\-to\-day activities for a portfolio of peer networks offerings, industry content and services that advance member education, knowledge exchange, collaboration and elevate the overall member experience. You will support the pharmacy member network and pharmacy executive groups to support overall member engagement.
**Responsibilities**
* Maintain and build knowledge of member network and Vizient offerings to keep members informed through network events and interactions, member e\-mails, newsletters, and digital content.
* Recommend actions to improve member engagement, track and monitor network participation, satisfaction, and engagement metrics and provide analytics insight on trends.
* Manage virtual Community Platform, and member network rosters in customer relationship management database (CRM). Coordinate new member orientation communications. Analyze engagement; recommend and own improvement strategies.
* Manage and optimize Network calendar for rolling 3\-years, coordinating dates with members, leading communication (e.g. calendar invitations, attendance confirmations, etc.)
* Spearhead and actively engage in internal workgroups aimed at process improvement, member engagement strategy and enhanced team efficiency.
* Analyzes meeting content summaries and results, captures meeting follow\-up actions.
* Develop network budget forecasts, track and manage meeting expenses.
* Audit accuracy of member engagement and network participation reports.
* Plan and execute in\-person and virtual meetings (e.g. project workplan, logistics, SMEs, content, prep, calendar management, member experience, communications, etc.)
**Qualifications**
* Relevant degree preferred.
* 2 or more years of experience in program management or equivalent is required.
* Health care experience preferred, including leading teams and projects.
* Strong interpersonal relationship and client management experience required, including building collaborative internal stakeholder connections and relationships.
* Demonstrated ability to initiate, manage deadlines, multiple projects and timelines.
* Proficiency using Salesforce or similar CRM tool preferred.
* Proven written and verbal communication skills.
* Working use of ChatGPT, digital meeting engagement tools/software and other AI technology required.
* Advanced experience with excel, and related analytics to insight is required.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$68,500\.00 to $116,300\.00\.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244">
      <c r="A244" t="inlineStr">
        <is>
          <t>li-4368413774</t>
        </is>
      </c>
      <c r="B244" t="inlineStr">
        <is>
          <t>Subcontract Program Manager</t>
        </is>
      </c>
      <c r="C244" t="inlineStr">
        <is>
          <t>Parsons Corporation</t>
        </is>
      </c>
      <c r="D244" t="inlineStr">
        <is>
          <t>linkedin</t>
        </is>
      </c>
      <c r="E244">
        <f>HYPERLINK("https://www.linkedin.com/jobs/view/4368413774", "https://www.linkedin.com/jobs/view/4368413774")</f>
        <v/>
      </c>
      <c r="F244">
        <f>HYPERLINK("https://parsons.wd5.myworkdayjobs.com/Search/job/US\u002d\u002d-Remote-Any-Location/Subcontract-Program-Manager_R175140-1/apply?source=LinkedIn&amp;urlHash=9FEq", "https://parsons.wd5.myworkdayjobs.com/Search/job/US\u002d\u002d-Remote-Any-Location/Subcontract-Program-Manager_R175140-1/apply?source=LinkedIn&amp;urlHash=9FEq")</f>
        <v/>
      </c>
      <c r="G244" t="inlineStr">
        <is>
          <t>Virginia, United States</t>
        </is>
      </c>
      <c r="H244" t="inlineStr"/>
      <c r="I244"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We're looking for a
 **Subcontract Program Manager** 
 who will serve as the lead for an integrated set of subcontractors and matrixed\-in subject matter expert support. You'll be joining a growing team to help modernize the US industrial defense.
**What You'll Be Doing**
* Responsible for the cost, schedule and technical performance of the subcontractors and suppliers throughout program performance
* Serves as the Cost Account Manager (CAM) for supply chain related expenditures to the programs; tracking proposed costs versus executed costs/quotes meticulously against performance
* Bridges coordination and alignment between Technical Teams, the Program Office, and Supply Chain providing information and assistance regarding procurement programs and services; receives and responds to complaints and questions relating to assigned area of responsibility; reviews problems and recommends corrective actions
* Actively engages during the proposal and business development phase to define subcontractor and supplier work that accurately capture the scale, scope and schedule of project design and delivery needs.
* Analyzes risk during proposals and incorporates appropriate cost risk assessments for specific commodities or subcontracts as needed. Assists in the development of subcontract insurance, bonding and risk requirements based on subcontractor scope of work.
* Works with Supply Chain and Project Management teams to compile Statements of Work (SOWs), Sole Source Justifications, Technical Evaluations, and assist in Price Analyses by providing independent estimates and make vs buy decisions as needed.
* Conducts capability assessments of the supplier base and builds relationships with the supply base to aid in determining self\-perform or subcontractor perform decisions
* Evaluates subcontractor and supplier bids and leads or participates in source selection. Ensures selected subcontractors and suppliers are the correct fit for supply chain compliance and program execution.
* Collaborates with Program Team and Supply Chain team to establish payment terms and contract types such as Firm\-Fixed\-Price (FFP), Cost\-Plus\-Fixed\-Fee (CPPF), Time \&amp; Materials (T\&amp;M), etc.
* Develops framework and schedules that support on time program performance that includes requisition releases plans, sounds lead time analysis and performance through to closure. Coordinates with assigned Subcontracts Administrator and Buyer to release RFPs and gather appropriate documentation from the program team to ensure compliance and agile teamwork.
* Maintains accurate records and files; develops storage of records for program and technical updates, schedules, SDRLs, and other deliverables. Works with Supply Chain to ensure suppliers are maintaining contractual compliance throughout period of performance.
* Provides written and photographical documentation for all subcontractor work activities daily in documenting subcontractor progress and performance, including deficiencies associated with resources, labor productivity, equipment utilization, quality, and safety compliance consistent with the needs to document and defend change order and claims.
* Assists in analyzing the Prime Contract to determine appropriate flow\-down clauses
* Develops a Supplier Scorecard Quarterly Business Review (QBRs) Program in partnership with Supply Chain measuring key subcontractors and suppliers on cost, schedule, quality, safety, customer responsiveness and any other key metrics as the business determines is essential for the sector’s success.
* Analyzes cost / price elements in contractor proposals, bids, amendments or change orders. Regularly analyzes subcontractor and supplier costs during QBRs to ensure pricing remains in line with industry/commodity standards.
* Attends/leads meetings with subcontractor partners and internal stakeholders.
* Review invoices for approval based on work performed by suppliers or subcontractors.
* Provide oversight of subcontractors/supplier’ compliance to their quality control plan, including inspection requirements and reporting. Work and communicate effectively with onsite customer representatives to assure a continuous and uninterrupted workflow. Coordinate with the project quality assurance manager on all quality matters including those requiring their timely participation and attention to assure the project’s contract quality objectives and reporting are achieved.
* Address material issues or subcontractor work problems identified by Quality Assurance by working closely with QA teams, Programs staff, and Supply Chain personnel; issue necessary notices/documentation accordingly.
* Liaise with Engineering to address technical questions from supply chain, subcontractors, or suppliers
* Develops process for Supply Chain related Requests for Equitable Adjustment (REAs).
* Partners with Supply Chain to ensure that programs are aligned with CPSR guidelines, policies and regulations.
* Stay current and knowledgeable on Parsons’ policies, Federal Acquisition Regulations and the various federal agency regulations required to maintain financial, contractual and procurement compliance.
* Performs other related duties as assigned.
**What Required Skills You'll Bring**
* Knowledge of principles and practices of federal contracting, FAR / DFAR supply chain management, CSPR guidelines and policies, and PMI Project Management Practices.
* 4\-year degree in Engineering, Business, or related field, and 15 years of related work experience, including some experience in firm fixed price projects over $50M.
* Principles, practices, and techniques of procurement and contract administration.
* Principles and practices of sound financial management policies and procedures.
* Strong ties with CONUS subcontractors able to execute subcontracts in excess of $20M.
* Familiarity with market pricing comparable and pricing indices for merit shop labor, material, and equipment.
* Organizational and management practices as applied to the analysis, evaluation, development, and implementation of programs, policies, and procedures.
* Applicable federal, state, and local laws, regulatory codes, ordinances, and procedures relevant to assigned area of responsibility.
* Modern office practices, methods, and computer equipment and applications related to the work.
* English usage, grammar, spelling, vocabulary, and punctuation.
**What Desired Skills You'll Bring**
* Perform programmatic administrative and management activities
* Conduct research on a wide variety of administrative topics including subcontracting policies, and procedures.
* Analyze, interpret, summarize, and present administrative and technical information and data in an effective manner.
* Research, analyze, and evaluate new service delivery and improvements in operations, methods, procedures, and techniques.
* Develop relationship with new subcontracting partners able to effectively support the execution of Federal construction operations.
* Travel for meetings with internal team members and external subcontractors, not anticipated to exceed 2 trips per month.
* Prepare clear and concise reports, correspondence, policies, procedures, and other written materials.
* Interpret, apply, explain, and ensure compliance with applicable federal, state, and local policies, procedures, laws, and regulations.
* Effectively representing Parsons in contacts with governmental agencies, community groups, and various business, professional, educational, regulatory, and legislative organizations.
* Establish and maintain a variety of filing, record keeping, and tracking systems.
* Organize and prioritize a variety of projects and multiple tasks in an effective and timely manner; organize own work, set priorities, and meet critical time deadlines.
* Operate and maintain modern office equipment, including computer equipment and specialized software applications programs.
* Effectively communicate in\-person, over the telephone, and in writing.
* Use tact, initiative, prudence, and independent judgment within general policy and legal guidelines in politically sensitive situations.
* Establish, maintain, and foster positive and effective working relationships with those contacted in the course of work.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245">
      <c r="A245" t="inlineStr">
        <is>
          <t>li-4368039382</t>
        </is>
      </c>
      <c r="B245" t="inlineStr">
        <is>
          <t>Program Manager BHT</t>
        </is>
      </c>
      <c r="C245" t="inlineStr">
        <is>
          <t>Community Bridges</t>
        </is>
      </c>
      <c r="D245" t="inlineStr">
        <is>
          <t>linkedin</t>
        </is>
      </c>
      <c r="E245">
        <f>HYPERLINK("https://www.linkedin.com/jobs/view/4368039382", "https://www.linkedin.com/jobs/view/4368039382")</f>
        <v/>
      </c>
      <c r="F245" t="inlineStr"/>
      <c r="G245" t="inlineStr">
        <is>
          <t>Albuquerque, NM</t>
        </is>
      </c>
      <c r="H245" t="inlineStr"/>
      <c r="I245" t="inlineStr">
        <is>
          <t>Community Bridges, Inc. (CBI) is an integrated behavioral healthcare agency offering a variety of different programs throughout Arizona. CBI provides residential, outpatient, inpatient, patient\-centered medical homes, medication\-assisted treatment, and crisis services to individuals experiencing crisis, opioid use disorder, homelessness, and mental illness.
**Program Manager BHT**
 Community Bridges, Inc. (CBI) is an integrated behavioral healthcare organization offering a full continuum of care, including variety of programs throughout Arizona, Oklahoma and District of Columbia. CBI provides residential, outpatient, inpatient, patient\-centered medical homes, medication\-assisted treatment, and crisis services to individuals experiencing crisis, opioid use disorder, homelessness, and mental illness.
 CBI is the premiere non\-profit fully integrated healthcare provider of substance use and behavioral health programs in Arizona, including prevention, education and treatment using cutting\-edge, nationally recognized, evidence\-based models.
**Job Summary**
 The Community Bridges, Inc., (CBI) Program Manager oversees the day to day clinical and business operations of their assigned site/program(s). The Program manager’s primary role is to oversee staff who are working with members to obtain and maintain housing in the community as well as increase income stability. The Program Manager will ensure that staff are providing quality support services and housing resources to all clients and guide staff in understanding program processes and services available for their target population/demographic. The Program Manager is responsible for building a cohesive team that works collaboratively with internal teams as well as community stakeholders to provide quality care. The Program Manager will be responsible for tracking necessary client paperwork and referrals through reporting and will submit reports and deliverables to leadership as required.
**Skills/Requirements**
* Highschool diploma or GED required. Associates Degree or higher in a field related to behavioral health preferred.
* 1\-3 year of experience in the behavioral health required.
* Lived experience in recovery from mental health and/or substance use disorders, homelessness, family members and veterans preferred.
* Behavioral Health Technician (BHT) in accordance with A.A.C. R9\-10\-101\.33 and CBI Clinical Policies and Procedures, is required.
* Current Driver’s License (valid and in good standing).
* Clear 39\-month Motor Vehicle Record.
* Peer Certification preferred.
**CBI Offers an excellent benefits package!**
* Generous PTO accrual (5 weeks!),
* Medical, Dental, Vision, Disability, Life, Supplemental plans
* Hospital indemnity/ Critical Illness,
* Pet Insurance,
* Dependent Care Savings, Health Care Savings,
* 401K with employer match \- 100% vested upon enrollment,
* Wellness programs,
* Tuition Reimbursement and Scholarship Programs, incentives, and more!
* Very Competitive pay rates
 CBI is growing and expanding our services!
* We are experiencing tremendous growth in this time. As an essential service provider, we value all our employees and their careers in the clinical field.
* \*For the past four years, The Phoenix Business Journal has recognized CBI as one of the top ten healthiest mid\-size employers in the Valley! \*
 CBI Values your Career and have lots of growth opportunities!
 Our staff experience tremendous professional growth through ongoing training and support. Our team is supported by strong and competent leadership. The leadership at CBI is committed to ongoing professional development for their staff. Come join our team of passionate individuals who are serious about making a difference in the lives of our patients and the communities we serve.
 About our Culture, commitment to employees!
* We are looking for driven and compassionate individual’s that thrive in an upbeat and safe working environment. We dedicate a lot of thought and effort into work life balance as well as our competitive composition structure.
* We know life happens, that’s why we all start with a 5\-week PTO plan as well as a wide range of unique benefits!
 Our Facilities.
 Our 26 locations are all state\-of\-the\-art facility that provides top notch integrated care. We are proud to adhere to a “no wrong door” treatment approach that allows our staff to dramatically improve the quality of life for the patients in their care.
 CBI treats patients from all different walks of life and believes in maintaining the dignity of human life. Recovery is Possible!
**CBI Offers an excellent benefits package!**
* Medical, Dental, Vision, Disability, Life, Supplemental plans \- Hospital indemnity/ Critical Illness, Pet Insurance, Dependent Care Savings, Health Care Savings, 401K with employer match \- 100% vested upon enrollment, Generous PTO accrual, Wellness programs, Tuition Reimbursement and Scholarship Programs, incentives, and more!
* For the past four years, The Phoenix Business Journal has recognized CBI as one of the top ten healthiest mid\-size employers in the Valley.
**CBI treats patients from all different walks of life and believes in maintaining the dignity of human life. Recovery is possible!**</t>
        </is>
      </c>
    </row>
    <row r="246">
      <c r="A246" t="inlineStr">
        <is>
          <t>li-4368061067</t>
        </is>
      </c>
      <c r="B246" t="inlineStr">
        <is>
          <t>Sr. Screening Program Manager</t>
        </is>
      </c>
      <c r="C246" t="inlineStr">
        <is>
          <t>Kraken</t>
        </is>
      </c>
      <c r="D246" t="inlineStr">
        <is>
          <t>linkedin</t>
        </is>
      </c>
      <c r="E246">
        <f>HYPERLINK("https://www.linkedin.com/jobs/view/4368061067", "https://www.linkedin.com/jobs/view/4368061067")</f>
        <v/>
      </c>
      <c r="F246">
        <f>HYPERLINK("https://jobs.ashbyhq.com/kraken.com/9e11fbc4-eb81-4292-a723-71182056c9ff/application?utm_source=LinkedIn&amp;urlHash=ca8H", "https://jobs.ashbyhq.com/kraken.com/9e11fbc4-eb81-4292-a723-71182056c9ff/application?utm_source=LinkedIn&amp;urlHash=ca8H")</f>
        <v/>
      </c>
      <c r="G246" t="inlineStr"/>
      <c r="H246" t="inlineStr"/>
      <c r="I246"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fully remote role reports to the Kraken’s Chief Sanctions Officer (CSO). As the Sanctions Screening Program Manager, you will play a critical role within Kraken’s Global Sanctions Compliance function and report to senior sanctions leadership. This role is responsible for the
 **design, execution, and continuous enhancement of Kraken’s sanctions screening program** 
 , including name screening, transaction screening, geo\-controls, evasion detection, and related technical controls across Kraken and its global subsidiaries. This is an individual contributor role, but requires extensive leadership experience as communications, documentation, partnership, and strategy are key to success, as well as time management.
 You will lead sanctions screening strategy, controls, program optimization, and regulatory readiness while partnering closely with Compliance Technology, Engineering, Product, Legal, and Operations. This role requires deep expertise in global sanctions regulations, screening technologies, data\-driven risk management, and the ability to operate effectively in a fast\-paced, highly regulated, and evolving crypto environment.
 This is a hands\-on role requiring strong ownership, strategic thinking, and the ability to both lead initiatives and execute independently.
**The opportunity**
* Own and manage Kraken’s global sanctions screening program, including name screening, transaction monitoring, geo\-blocking, sanctions evasion detection, and related technical controls; maintain and enhance screening frameworks to meet global regulatory expectations while supporting scalability and efficiency.
* Design and execute screening strategy to support regulatory compliance, business growth, product launches, and global expansion.
* Partner with Compliance, Risk, and Engineering to lead and execute tuning efforts for sanctions screening tooling and related controls; partner with Engineering to develop, prioritize, and execute the sanctions screening roadmap, including vendor management and system/control enhancements.
* Participate in annual and ad\-hoc enterprise, product, and sanctions risk assessments with a focus on screening\-related risks; identify emerging sanctions risks, control gaps, and data quality issues, perform root cause analyses, and recommend corrective actions.
* Collaborate with Product, Engineering, Legal, Client Engagement, and Finance to embed sanctions screening requirements into new and existing products; assist Sanctions peers in the completion of Product Risk Assessments, specific to sanctions controls and risk mitigants.
* Lead business requirements documentation (BRDs) for sanctions screening initiatives and effectively translate compliance needs to technical teams.
* Support regulatory exams, audits, testing, and inquiries related to sanctions screening controls and systems; provide sanctions screening advisory and guidance to leadership, regional compliance partners, and cross\-functional stakeholders.
* Drive process improvements, documentation quality, and program maturity across all sanctions screening verticals.
**Skills You Should HODL**
* 5\+ years of experience in sanctions compliance, with a strong focus on screening systems and controls (or equivalent experience as a data scientist); knowledgeable on string search algorithms, compliance data, and/or controls.
* Knowledge of global sanctions regimes (OFAC, EU, UK, UN, and other jurisdictions) and expert knowledge of sanctions screening technologies and controls, including name screening, transaction screening, IP/geo controls, evasion detection, and blockchain analytics.
* Proven experience owning or managing sanctions screening programs (or similar) for a global organization.
* Demonstrated ability to author detailed business requirements and partner effectively with engineering and technology teams; strong analytical skills, including experience with SQL, Python, or similar tools for ad\-hoc analysis and investigations.
* Experience supporting regulatory exams, audits, and enforcement\-related inquiries.
* Excellent written and verbal communication skills, with the ability to communicate horizontally and vertically; strong organizational skills with the ability to manage multiple priorities in a fast\-paced environment.
* High degree of integrity, discretion, and ability to handle confidential information; comfortable navigating ambiguity, context switching, and evolving regulatory expectations.
* Bachelor’s degree or equivalent practical experience.
**Nice to haves**
* Experience reviewing sanctions enforcement actions and translating regulatory expectations into short\- and long\-term controls; experience monitoring regulatory sanctions updates and driving screening enhancements.
* Experience managing sanctions screening vendors and platforms.
* Working knowledge of blockchain technology and cryptocurrency ecosystems.
* Background in statistics, data science, or quantitative risk analysis.
* Experience supporting global operations across multiple jurisdictions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2026-02-03T01:11:06Z</dcterms:created>
  <dcterms:modified xsi:type="dcterms:W3CDTF">2026-02-03T01:11:06Z</dcterms:modified>
</cp:coreProperties>
</file>