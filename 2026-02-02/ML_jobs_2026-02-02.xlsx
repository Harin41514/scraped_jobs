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in-725a19746a345b10</t>
        </is>
      </c>
      <c r="B2" t="inlineStr">
        <is>
          <t>Copilot AI Engineer</t>
        </is>
      </c>
      <c r="C2" t="inlineStr">
        <is>
          <t>Stefanini</t>
        </is>
      </c>
      <c r="D2" t="inlineStr">
        <is>
          <t>indeed</t>
        </is>
      </c>
      <c r="E2" t="inlineStr"/>
      <c r="F2" t="inlineStr"/>
      <c r="G2" t="inlineStr">
        <is>
          <t>New York, NY, US</t>
        </is>
      </c>
      <c r="H2" s="2" t="n">
        <v>46055</v>
      </c>
      <c r="I2" t="inlineStr">
        <is>
          <t>**We are looking for an AI Engineer \- Copilot for a Trading Company in New York City!** 
**Job Details:** 
* 3\-month contract, Contract\-to\-Hire
* Onsite/Remote Setup in 55 Hudson Yards, New York, NY 10001
* W2, with benefits
* Payrate negotiable upon interview
**Job Description:** 
* We are looking for an AI Engineer who specializes in Microsoft 365 Copilot to help configure and optimize our AI\-driven applications. The ideal candidate will have a deep understanding of the M365 platform, its features, and how they integrate seamlessly to enhance user experience. This role requires a professional who can ensure compliance with security protocols while maximizing the potential of AI tools within the organization.
* Key Responsibilities:
* Copilot Configuration: Design, configure, and optimize Microsoft 365 Copilot to meet the specific needs of the organization, ensuring smooth integration with existing workflows and applications.
* Feature Integration: Collaborate with cross\-functional teams to understand how various features within the M365 ecosystem work together, and develop strategies to enhance productivity through AI\-driven solutions.
* Security Management: Assess and implement security measures related to the use of Copilot, ensuring compliance with organizational policies and industry standards. Stay updated on best practices for data privacy and security in AI applications.
* User Training and Support: Develop training materials and conduct workshops to educate team members on how to effectively utilize Copilot features, ensuring user adoption and proficiency.
* Monitoring and Optimization: Continuously monitor the performance of AI applications, analyze usage data, and identify opportunities for improvement to enhance functionality and user experience.
* Collaboration: Work closely with IT and security teams to address any potential risks associated with AI deployment and implement necessary controls.
**Qualifications:** 
* Bachelor’s or Master’s degree in Computer Science, Artificial Intelligence, Data Science, or a related field.
* Proven experience working with Microsoft 365 Copilot, including configuration and feature integration.
* Strong understanding of the M365 ecosystem and its applications (e.g., Word, Excel, Teams, SharePoint).
* Knowledge of AI technologies and frameworks, with a focus on practical applications in a business context.
* Familiarity with security protocols and best practices related to AI and data handling.
* Excellent problem\-solving skills and the ability to work collaboratively in a fast\-paced environment.
* Strong communication skills, with the ability to explain complex technical concepts to non\-technical stakeholders.
**Preferred Qualifications:** 
* Experience in developing and implementing AI solutions in an enterprise environment.
* Certifications related to Microsoft technologies (e.g., Microsoft Certified: Azure AI Engineer Associate).
* Familiarity with machine learning frameworks and tools.
Job Type: Contract
Pay: $50\.00 \- $70\.00 per hour
Expected hours: 40 per week
Benefits:
* Dental insurance
* Health insurance
* Paid time off
* Vision insurance
Application Question(s):
* Are you a visa candidate or under a c2c employer?
Experience:
* Microsoft Copilot: 2 years (Required)
* AI Engineering: 2 years (Required)
* Power Automate: 1 year (Required)
Work Location: In person</t>
        </is>
      </c>
    </row>
    <row r="3">
      <c r="A3" t="inlineStr">
        <is>
          <t>in-659d648843716442</t>
        </is>
      </c>
      <c r="B3" t="inlineStr">
        <is>
          <t>Senior AI/ML Engineer, Tools &amp; Infrastructure</t>
        </is>
      </c>
      <c r="C3" t="inlineStr">
        <is>
          <t>Apple</t>
        </is>
      </c>
      <c r="D3" t="inlineStr">
        <is>
          <t>indeed</t>
        </is>
      </c>
      <c r="E3" t="inlineStr"/>
      <c r="F3" t="inlineStr"/>
      <c r="G3" t="inlineStr">
        <is>
          <t>Cupertino, CA, US</t>
        </is>
      </c>
      <c r="H3" s="2" t="n">
        <v>46054</v>
      </c>
      <c r="I3" t="inlineStr">
        <is>
          <t>Come join a creative engineering team devoted to making our products more durable through data\-driven insights. We're looking for a senior AI/ML engineer to lead the development of intelligent applications and systems that unlock the power of our hardware test data and enable hardware engineers to create their own software tools. In this role, you'll architect and build scalable AI/ML\-driven software to help take our department's capabilities to the next level. You'll work with hardware and software engineering teams throughout Apple to design robust AI/ML applications, implement production\-grade AI pipelines, iterate based on evolving requirements, and provide input on technical strategy. The tools and platforms you build will power processes, analytics, and workflows that directly influence the design of future products. This is a hands\-on work environment where engineers are expected to be self\-motivated and proficient with a wide range of AI/ML technologies, while dedicating time to leading contractor teams, driving projects forward, presenting to executive leadership, and delivering excellent solutions for Apple.  
**Description**  
In this role you'll architect and implement AI/ML software applications and platforms for the Reliability department at Apple. You’ll provide technical leadership and bridge the gap between business needs and production software, delivering tools that automate workflows and surface novel insights for the organization.","responsibilities":"Architect and build robust, full\-stack AI/ML applications using modern software engineering best practices, leveraging Python\-based services (FastAPI), containerized deployments on Kubernetes, scalable data stores (Postgres/Timescale with vector search), and production\-grade ML platforms for training, evaluation, and serving, while providing technical leadership across projects.  
Lead and mentor a team of external contractors, providing architectural guidance, code reviews, and daily direction to ensure fast, high\-quality delivery.  
Drive the scope of engineering projects independently, identifying new opportunities, defining requirements, and managing the full project lifecycle from concept to deployment.  
Apply machine learning algorithms and statistical methods to solve complex business problems, focusing on rapid prototyping followed by high\-quality production delivery.  
Design and implement MLOps workflows to ensure applications are scalable, monitoring their performance and reliability in production environments.  
Cultivate strong partnerships across engineering and business teams, acting as both a visionary and translator between software and non\-software audiences.  
Act as the primary point of contact for stakeholders, tailoring communication to multidisciplinary audiences while delivering regular updates on project roadmaps.  
Present complex technical narratives and data\-driven insights effectively to executive leadership through clear, high\-impact presentations and visualizations.  
**Preferred Qualifications**  
M.S. in Computer Science, Software Engineering, Computer Engineering, Machine Learning, or related field  
Passion for quality and attention to detail; proactive in researching and assessing emerging technologies (AI/ML models, protocols, and techniques), and integrating them into production  
Experience designing and operating MLOps workflows in cloud\-native environments, including CI/CD for ML systems, model versioning and promotion, scalable batch and online inference, and monitoring of data quality, model performance, and system reliability in production  
Track record of successfully growing the scope of engineering projects from initial proof\-of\-concept to organization\-wide adoption  
6\+ years experience and strong foundation in Software Engineering fundamentals, including data structures, algorithms, object\-oriented design, and proficiency in building production\-quality applications  
Experience with Python (FastAPI), PyTorch, Hugging Face, and Spark to deploy production\-level platforms on Kubernetes with end\-to\-end observability, MLflow tracking, and vector\-enabled data stores (e.g. Postgres/Timescale)  
Experience with computer vision technologies and techniques, especially for segmentation, anomaly detection, and objective grading is a plus  
**Minimum Qualifications**  
B.S. in Computer Science, Software Engineering, Computer Engineering, Machine Learning, or related field  
4\+ years experience and strong foundation in Software Engineering fundamentals, including data structures, algorithms, object\-oriented design, and proficiency in building production\-quality applications in Python  
2\+ years expertise in AI Engineering, using modern ML frameworks to design and deploy production\-level platforms with end\-to\-end observability using vector\-enabled data stores (e.g. Postgres/Timescale)  
Demonstrated leadership experience with the ability to lead contractors, mentor peers, and manage technical resources effectively  
Proven ability to drive projects independently: defining scope, collaborating with stakeholders, negotiating requirements, and driving projects to completion  
Solid understanding of Machine Learning algorithms, with the ability to select and implement the right model or approach for the problem at hand  
Excellent communication and presentation skills, with the ability to articulate complex technical concepts to diverse audiences and influence decision\-making  
Thrives in fast\-paced, evolving environments\-quickly pivots priorities while maintaining data integrity and reliability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
      <c r="A4" t="inlineStr">
        <is>
          <t>in-bfab7c657fd0cb95</t>
        </is>
      </c>
      <c r="B4" t="inlineStr">
        <is>
          <t>AIML - Sr Machine Learning Engineer, Data and ML Innovation</t>
        </is>
      </c>
      <c r="C4" t="inlineStr">
        <is>
          <t>Apple</t>
        </is>
      </c>
      <c r="D4" t="inlineStr">
        <is>
          <t>indeed</t>
        </is>
      </c>
      <c r="E4" t="inlineStr"/>
      <c r="F4" t="inlineStr"/>
      <c r="G4" t="inlineStr">
        <is>
          <t>Cupertino, CA, US</t>
        </is>
      </c>
      <c r="H4" s="2" t="n">
        <v>46054</v>
      </c>
      <c r="I4" t="inlineStr">
        <is>
          <t>Do you want to play a part in the next revolution in Foundation Models? Contribute to model hill climbing for Apple Intelligence features that leverage Apple Foundation Models, and work with the people who built the intelligent products that helps millions of people get things done \- just by asking or typing!  
The vision for the AI/ML FM Data organization is to improve Foundation Models by leveraging data from a variety of sources: crawl, license, vendor and internal crowd\-sourcing. As a Sr ML Engineering on the team, you will drive ML innovations, identify key opportunity areas where data can play a crucial role and experiment with various data augmentation strategies to improve model training efficiency and performance..  
**Description**  
We are looking for people with a track record in building models and model\-driven products to affect user experiences. Join us, and impact hundreds of millions of customers across billions of their interactions with foundation model powered Apple Intelligence features, that are available on iPhone, iPad, HomePod, Mac, Watch, CarPlay, and tv across more than 30 languages.  
* Algorithm development: Define signals that are important in prompts, responses and CoT reasoning steps. These usually require a fine\-tuned model for specific use cases.
* Model evaluation: Understand the importance of a balanced eval\-set. Ability to perform error analysis to figure out how to improve model capabilities.
* Ablation experiments: Test your data augmentation strategies via ablation experiments. Comfortable debugging training errors, and tune hyper\-parameters and data mixture to achieve desired outcome.
* Data processing and data filtering: Ability to efficiently process and filter very large amounts of data, often times messy.
**Preferred Qualifications**  
Hands on experiences with different phases in LLM model training, including LoRA, SFT, RLHF, reward modeling.  
A good communicator with clear and concise, active listening and empathy skills.  
Are self\-motivated and curious. Strive to continually learn on the job.  
Have demonstrated creative and critical thinking with an innate drive to improve how things work. Have a high tolerance for ambiguity.  
**Minimum Qualifications**  
5\+ years of hands on ML engineering experiences.  
Master or PhDs in Computer Science, Electric Engineering or Mathematics.  
Have prior experience as an ML modeler/scientist/researcher. Knowledgeable in classic machine learning algorithms (SVM, Random Forest, Naive Bayes, KNN etc), as well as comfortable with more modern deep learning frameworks (PyTorch, Tensorflow, Jax).  
Familiarity with multi\-modal data and large models including image and video.  
Possess strong software engineering skills and mindset. Have a high bar for engineering code quality and scalability.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
      <c r="A5" t="inlineStr">
        <is>
          <t>in-0caa4b2b48177823</t>
        </is>
      </c>
      <c r="B5" t="inlineStr">
        <is>
          <t>AIML - Machine Learning Engineer- Health AI</t>
        </is>
      </c>
      <c r="C5" t="inlineStr">
        <is>
          <t>Apple</t>
        </is>
      </c>
      <c r="D5" t="inlineStr">
        <is>
          <t>indeed</t>
        </is>
      </c>
      <c r="E5" t="inlineStr"/>
      <c r="F5" t="inlineStr"/>
      <c r="G5" t="inlineStr">
        <is>
          <t>Cupertino, CA, US</t>
        </is>
      </c>
      <c r="H5" s="2" t="n">
        <v>46054</v>
      </c>
      <c r="I5" t="inlineStr">
        <is>
          <t>The Health AI team is at the forefront of machine learning and health science at Apple. We are a close\-knit team of highly accomplished, deeply technical research scientists, software engineers and machine learning engineers passionate about delivering innovative technologies that impact millions of users. We are looking for a senior engineer passionate about solving real\-world problems in the health domain that make a difference in our customers' lives.  
**Description**  
In this role, you will use your skills and experience in ML and deep learning to design, implement, tune and evaluate machine learning models and algorithms to solve ambitious problems involving unique data and objectives including state of the art generative AI models and tools. The successful candidate should possess excellent interpersonal skills and ability to work multi\-functionally to apply novel research at the intersection of Health and ML into customer features.  
**Preferred Qualifications**  
PhD preferred  
Ability to thrive in fast\-paced environment, deal with uncertainty, and adapt to new and changing requirements  
Proven track record of contributing to diverse teams in a collaborative environment  
A passion for building outstanding and innovative products. This position involves a wide variety of interdisciplinary skills  
**Minimum Qualifications**  
* 10\+ years of overall software development experience
* 5\+ years experience in hands\-on experience in state\-of\-the\-art machine learning and deep learning as applied to large\-scale datasets
* Strong background in generative models, natural language processing, and large language models
* Proficiency working with large scale models using modern machine learning packages (e.g. TensorFlow, PyTorch, Jax, Huggingface)
* Experience in leading a team and track record of multi\-functional collaboration to deliver customer\-facing features in production
* MS/Ph.D. in Computer Science, Machine Learning, or related fields or equivalent qualification.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
      <c r="A6" t="inlineStr">
        <is>
          <t>in-95332e366789c1c1</t>
        </is>
      </c>
      <c r="B6" t="inlineStr">
        <is>
          <t>Senior Full Stack Developer - Agentic AI Engineer</t>
        </is>
      </c>
      <c r="C6" t="inlineStr">
        <is>
          <t>Agile Defense, Inc.</t>
        </is>
      </c>
      <c r="D6" t="inlineStr">
        <is>
          <t>indeed</t>
        </is>
      </c>
      <c r="E6" t="inlineStr"/>
      <c r="F6" t="inlineStr"/>
      <c r="G6" t="inlineStr">
        <is>
          <t>McLean, VA, US</t>
        </is>
      </c>
      <c r="H6" s="2" t="n">
        <v>46054</v>
      </c>
      <c r="I6" t="inlineStr">
        <is>
          <t>At Agile Defense we know that action defines the outcome and new challenges require new solutions. That’s why we always look to the future and embrace change with an unmovable spirit and the courage to build for what comes next.  
Our vision is to bring adaptive innovation to support our nation's most important missions through the seamless integration of advanced technologies, elite minds, and unparalleled agility—leveraging a foundation of speed, flexibility, and ingenuity to strengthen and protect our nation’s vital interests.  
Requisition \#: 1394
Job Tittle: Senior Full Stack Developer – Agentic AI and Data Engineer (2\)
Location: McLean, VA
Clearance and eligibility:* Clearance optional but preferred (Active Secret or TS/SCI eligibility a plus)
* U.S. Citizenship strongly preferred due to potential clearance requirements
* Ability to work within DoD IL5\+ environments (e.g., Azure IL5, Google GovCloud) once credentialed
Role summary:  
We’re hiring a Senior Full Stack Developer a high\-impact Agentic AI Prototype program with the Chief Digital and AI Office (CDAO). You’ll work under the Senior Technical Lead to design, build, and demonstrate secure, production\-ready agentic AI capabilities in DoD\-designated cloud environments. You’ll contribute across the stack, from robust system prompts and agent logic to secure API integrations and live data connectors delivering working prototypes that meet Gov milestone acceptance.  
Key responsibilities:* Build agentic AI capabilities end\-to\-end:
o Implement agent logic with LangChain/LangGraph (tool use, function calling, state management, logical branching)
o Develop robust system prompts, prompt libraries, and agent personas aligned to mission workflows
o Integrate commercial model SDKs (Gemini Enterprise, Anthropic for Gov, Grok Enterprise) and cloud inference services (Vertex AI, Bedrock)
o Build a metadata catalog/platform (MCP) that indexes sources, exposes search and serving APIs, and integrates with agent workflows
o Implement data quality, profiling, lineage, and access controls; optimize for discovery and retrieval efficiency* Cloud and data integration:
o Implement secure API access and data ingestion pipelines for structured and unstructured sources in IL5 cloud environments
o Build live data connectors and operational pipelines exercised by agents during demos* Software engineering and DevSecOps:
o Write high\-quality, testable code (Python and TypeScript/JavaScript preferred), build services and microservices, and contribute to CI/CD pipelines
o Implement automated tests, logging/observability, and security controls aligned to DoD SRG IL5, FedRAMP High, and RMF principles* Agile delivery:
o Execute sprint plans, participate in agile ceremonies, and deliver incremental capabilities that meet acceptance criteria
o Prepare demo artifacts and conduct live demonstrations for Government Product Owner and stakeholders* Documentation and transition:
o Contribute to technical documentation, code repositories, prompt libraries, and maintenance procedures for ATO\-ready posture and follow\-on production  
Required qualifications:* 7\+ years of software engineering experience with 3\+ years building production\-grade full stack AI systems
* Hands\-on experience developing agentic AI solutions using frameworks like LangChain/LangGraph, including advanced prompt engineering
* Proficiency in Python and TypeScript/JavaScript; experience with REST/gRPC, OpenAPI, microservices, and event\-driven patterns
* Experience integrating cloud model services (Vertex AI, Bedrock) and enterprise AI SDKs (Gemini Enterprise, Anthropic for Gov)
* Strong cloud experience (Azure or Google Cloud); familiarity with containers/Kubernetes, identity and access control, secrets management
* Data engineering experience: secure API integrations, ETL/ELT pipelines, working with both structured and unstructured data
* Practical DevSecOps: CI/CD, automated testing, observability, SBOM/signing, secure software supply chain
Preferred qualifications:* Experience in IL5/IL6 or other regulated environments; familiarity with RMF/ATO processes
* Experience with RAG pipelines, embeddings, and vector databases (pgvector, Pinecone, Weaviate)
* Knowledge of metadata catalog systems (DataHub/OpenMetadata) or custom indexing/search services
* Prior work with DoD or IC stakeholders and mission\-centric AI workflows
* Experience delivering outcome\-based milestones in Agile programs
Role success metrics:* Demonstrated mission utility, reliability, and security compliance of agent capabilities
* Code quality, test coverage, and operational stability in secure cloud environments
* Effective collaboration with Technical Lead, teammates, and non\-traditional subcontractor teams
Work location and travel:* Primary work will be remote but within Government\-designated secure cloud environments; occasional onsite meetings in the National Capital Region may be required. Limited travel to Contractor site in Northern Virginia as needed.
Employees of Agile Defense are our number one priority, and the importance we place on our culture here is fundamental. Our culture is alive and evolving, but it always stays true to its roots. Here, you are valued as a family member, and we believe that we can accomplish great things together. Agile Defense has been highly successful in the past few years due to our employees and the culture we create together.  
What makes us Agile? We call it the 6Hs, the values that define our culture and guide everything we do. Together, these values infuse vibrancy, integrity, and a tireless work ethic into advancing the most important national security and critical civilian missions. It's how we show up every day. It's who we are.  
We also believe in supporting our employees by offering a competitive and comprehensive benefits package. To explore the benefits we offer, please visit our website under the Careers section. **Happy** \- Be Infectious.
Happiness multiplies and creates a positive and connected environment where motivation and satisfaction have an outsized effect on everything we do. **Helpful** \- Be Supportive.
Being helpful is the foundation of teamwork, resulting in a supportive atmosphere where collaboration flourishes, and collective success is celebrated. **Honest** \- Be Trustworthy.
Honesty serves as our compass, ensuring transparent communication and ethical conduct, essential to who we are and the complex domains we support. **Humble** \- Be Grounded.
Success is not achieved alone, humility ensures a culture of mutual respect, encouraging open communication, and a willingness to learn from one another and take on any task. **Hungry** \- Be Eager.
Our hunger for excellence drives an insatiable appetite for innovation and continuous improvement, propelling us forward in the face of new and unprecedented challenges. **Hustle** \- Be Driven.
Hustle is reflected in our relentless work ethic, where we are each committed to going above and beyond to advance the mission and achieve success. **Equal Opportunity Employer/Protected Veterans/Individuals with Disabilities**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
      <c r="A7" t="inlineStr">
        <is>
          <t>in-9bee5f2094186fb6</t>
        </is>
      </c>
      <c r="B7" t="inlineStr">
        <is>
          <t>Data Architect - Data Engineer III - AI/ML Engineer</t>
        </is>
      </c>
      <c r="C7" t="inlineStr">
        <is>
          <t>Truist</t>
        </is>
      </c>
      <c r="D7" t="inlineStr">
        <is>
          <t>indeed</t>
        </is>
      </c>
      <c r="E7" t="inlineStr"/>
      <c r="F7" t="inlineStr"/>
      <c r="G7" t="inlineStr">
        <is>
          <t>US</t>
        </is>
      </c>
      <c r="H7" s="2" t="n">
        <v>46054</v>
      </c>
      <c r="I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1\. Bachelor's degree and 8\+ years of experience in a quantitative field such as Finance, Mathematics, Analytics, Data Science, Computer Science, or Engineering.  
2\. Demonstrated knowledge and skill in strategic data assets warehousing and transactional application data concepts and technology.  
3\. Proven experience with data engineering and ability to manage large data volumes.  
4\. Demonstrate understanding of data analytics life cycle methodologies including data cleansing and preparation methodologies  
5\. Strong familiarity with data extraction in a variety of environments (e.g., SQL, SAS, etc.).  
6\. Experience in managing multiple projects with tight deadlines in a collaborative environment.  
7\. Maintain a high level of competency in analytical principles, tools, and techniques.
Preferred Qualifications:
1\. Master's degree in field such as Finance, Mathematics, Analytics, Data Science, Computer Science, or Engineering.
2\. 10\+ years of experience in a quantitative field such as Finance, Mathematics, Analytics, Data Science, Computer Science or Engineering
3\. Strong foundation in Python and basic experience with ML libraries such as Scikit‑learn, TensorFlow, PyTorch, or HuggingFace.
4\. Understanding of machine learning concepts: dataset preparation, training/validation, evaluation, and inference.
5\. Familiarity with cloud fundamentals (AWS or Azure), containers (Docker), Git, and command‑line workflows.
6\. Eagerness to learn AWS AgentCore, Azure Service Fabric, and enterprise‑scale AI application development.
7\. Ability to write clean, maintainable code and follow software engineering best practices.
8\.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8">
      <c r="A8" t="inlineStr">
        <is>
          <t>in-9420489c72003dd4</t>
        </is>
      </c>
      <c r="B8" t="inlineStr">
        <is>
          <t>Applied Scientist, Amazon Special Projects</t>
        </is>
      </c>
      <c r="C8" t="inlineStr">
        <is>
          <t>Amazon.com</t>
        </is>
      </c>
      <c r="D8" t="inlineStr">
        <is>
          <t>indeed</t>
        </is>
      </c>
      <c r="E8" t="inlineStr"/>
      <c r="F8" t="inlineStr"/>
      <c r="G8" t="inlineStr">
        <is>
          <t>Boston, MA, US</t>
        </is>
      </c>
      <c r="H8" s="2" t="n">
        <v>46026</v>
      </c>
      <c r="I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in-cccee52a39379b94</t>
        </is>
      </c>
      <c r="B9" t="inlineStr">
        <is>
          <t>Applied Scientist, Amazon Special Projects</t>
        </is>
      </c>
      <c r="C9" t="inlineStr">
        <is>
          <t>Amazon.com</t>
        </is>
      </c>
      <c r="D9" t="inlineStr">
        <is>
          <t>indeed</t>
        </is>
      </c>
      <c r="E9" t="inlineStr"/>
      <c r="F9" t="inlineStr"/>
      <c r="G9" t="inlineStr">
        <is>
          <t>Seattle, WA, US</t>
        </is>
      </c>
      <c r="H9" s="2" t="n">
        <v>46026</v>
      </c>
      <c r="I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in-c3dc4f985a665ad3</t>
        </is>
      </c>
      <c r="B10" t="inlineStr">
        <is>
          <t>Applied Scientist, Last Mile Delivery Automation</t>
        </is>
      </c>
      <c r="C10" t="inlineStr">
        <is>
          <t>Amazon.com</t>
        </is>
      </c>
      <c r="D10" t="inlineStr">
        <is>
          <t>indeed</t>
        </is>
      </c>
      <c r="E10" t="inlineStr"/>
      <c r="F10" t="inlineStr"/>
      <c r="G10" t="inlineStr">
        <is>
          <t>Santa Clara, CA, US</t>
        </is>
      </c>
      <c r="H10" s="2" t="n">
        <v>46026</v>
      </c>
      <c r="I1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in-461efb684ca8b5c7</t>
        </is>
      </c>
      <c r="B11" t="inlineStr">
        <is>
          <t>Applied Scientist, Last Mile Delivery Automation</t>
        </is>
      </c>
      <c r="C11" t="inlineStr">
        <is>
          <t>Amazon.com</t>
        </is>
      </c>
      <c r="D11" t="inlineStr">
        <is>
          <t>indeed</t>
        </is>
      </c>
      <c r="E11" t="inlineStr"/>
      <c r="F11" t="inlineStr"/>
      <c r="G11" t="inlineStr">
        <is>
          <t>Bellevue, WA, US</t>
        </is>
      </c>
      <c r="H11" s="2" t="n">
        <v>46026</v>
      </c>
      <c r="I1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in-453326d54034cf41</t>
        </is>
      </c>
      <c r="B12" t="inlineStr">
        <is>
          <t>Sr. Applied Scientist, Amazon Ads</t>
        </is>
      </c>
      <c r="C12" t="inlineStr">
        <is>
          <t>Amazon.com</t>
        </is>
      </c>
      <c r="D12" t="inlineStr">
        <is>
          <t>indeed</t>
        </is>
      </c>
      <c r="E12" t="inlineStr"/>
      <c r="F12" t="inlineStr"/>
      <c r="G12" t="inlineStr">
        <is>
          <t>Boston, MA, US</t>
        </is>
      </c>
      <c r="H12" s="2" t="n">
        <v>45998</v>
      </c>
      <c r="I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
      <c r="A13" t="inlineStr">
        <is>
          <t>in-562f405fd9c242f6</t>
        </is>
      </c>
      <c r="B13" t="inlineStr">
        <is>
          <t>Sr. Applied Scientist, Amazon Ads</t>
        </is>
      </c>
      <c r="C13" t="inlineStr">
        <is>
          <t>Amazon.com</t>
        </is>
      </c>
      <c r="D13" t="inlineStr">
        <is>
          <t>indeed</t>
        </is>
      </c>
      <c r="E13" t="inlineStr"/>
      <c r="F13" t="inlineStr"/>
      <c r="G13" t="inlineStr">
        <is>
          <t>Tukwila, WA, US</t>
        </is>
      </c>
      <c r="H13" s="2" t="n">
        <v>45998</v>
      </c>
      <c r="I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
      <c r="A14" t="inlineStr">
        <is>
          <t>in-6ded563a594e7e8b</t>
        </is>
      </c>
      <c r="B14" t="inlineStr">
        <is>
          <t>Sr. Applied Scientist, Amazon Ads</t>
        </is>
      </c>
      <c r="C14" t="inlineStr">
        <is>
          <t>Amazon.com</t>
        </is>
      </c>
      <c r="D14" t="inlineStr">
        <is>
          <t>indeed</t>
        </is>
      </c>
      <c r="E14" t="inlineStr"/>
      <c r="F14" t="inlineStr"/>
      <c r="G14" t="inlineStr">
        <is>
          <t>Palo Alto, CA, US</t>
        </is>
      </c>
      <c r="H14" s="2" t="n">
        <v>45998</v>
      </c>
      <c r="I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
      <c r="A15" t="inlineStr">
        <is>
          <t>in-66d624568caa3d5c</t>
        </is>
      </c>
      <c r="B15" t="inlineStr">
        <is>
          <t>Sr. Applied Scientist, Amazon Ads</t>
        </is>
      </c>
      <c r="C15" t="inlineStr">
        <is>
          <t>Amazon.com</t>
        </is>
      </c>
      <c r="D15" t="inlineStr">
        <is>
          <t>indeed</t>
        </is>
      </c>
      <c r="E15" t="inlineStr"/>
      <c r="F15" t="inlineStr"/>
      <c r="G15" t="inlineStr">
        <is>
          <t>Brooklyn, NY, US</t>
        </is>
      </c>
      <c r="H15" s="2" t="n">
        <v>45998</v>
      </c>
      <c r="I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
      <c r="A16" t="inlineStr">
        <is>
          <t>in-9188a8c57ba132cb</t>
        </is>
      </c>
      <c r="B16" t="inlineStr">
        <is>
          <t>Sr. Applied Scientist, Amazon Ads</t>
        </is>
      </c>
      <c r="C16" t="inlineStr">
        <is>
          <t>Amazon.com</t>
        </is>
      </c>
      <c r="D16" t="inlineStr">
        <is>
          <t>indeed</t>
        </is>
      </c>
      <c r="E16" t="inlineStr"/>
      <c r="F16" t="inlineStr"/>
      <c r="G16" t="inlineStr">
        <is>
          <t>Boulder, CO, US</t>
        </is>
      </c>
      <c r="H16" s="2" t="n">
        <v>45998</v>
      </c>
      <c r="I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
      <c r="A17" t="inlineStr">
        <is>
          <t>in-432c604e456c48be</t>
        </is>
      </c>
      <c r="B17" t="inlineStr">
        <is>
          <t>Sr. Applied Scientist, Amazon Ads</t>
        </is>
      </c>
      <c r="C17" t="inlineStr">
        <is>
          <t>Amazon.com</t>
        </is>
      </c>
      <c r="D17" t="inlineStr">
        <is>
          <t>indeed</t>
        </is>
      </c>
      <c r="E17" t="inlineStr"/>
      <c r="F17" t="inlineStr"/>
      <c r="G17" t="inlineStr">
        <is>
          <t>Seattle, WA, US</t>
        </is>
      </c>
      <c r="H17" s="2" t="n">
        <v>45998</v>
      </c>
      <c r="I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
      <c r="A18" t="inlineStr">
        <is>
          <t>in-460b2ffda989262b</t>
        </is>
      </c>
      <c r="B18" t="inlineStr">
        <is>
          <t>Sr. Applied Scientist, Amazon Ads</t>
        </is>
      </c>
      <c r="C18" t="inlineStr">
        <is>
          <t>Amazon.com</t>
        </is>
      </c>
      <c r="D18" t="inlineStr">
        <is>
          <t>indeed</t>
        </is>
      </c>
      <c r="E18" t="inlineStr"/>
      <c r="F18" t="inlineStr"/>
      <c r="G18" t="inlineStr">
        <is>
          <t>Sunnyvale, CA, US</t>
        </is>
      </c>
      <c r="H18" s="2" t="n">
        <v>45998</v>
      </c>
      <c r="I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
      <c r="A19" t="inlineStr">
        <is>
          <t>in-8555e05937fe4520</t>
        </is>
      </c>
      <c r="B19" t="inlineStr">
        <is>
          <t>Sr. Applied Scientist, Amazon Ads</t>
        </is>
      </c>
      <c r="C19" t="inlineStr">
        <is>
          <t>Amazon.com</t>
        </is>
      </c>
      <c r="D19" t="inlineStr">
        <is>
          <t>indeed</t>
        </is>
      </c>
      <c r="E19" t="inlineStr"/>
      <c r="F19" t="inlineStr"/>
      <c r="G19" t="inlineStr">
        <is>
          <t>Corvallis, OR, US</t>
        </is>
      </c>
      <c r="H19" s="2" t="n">
        <v>45998</v>
      </c>
      <c r="I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
      <c r="A20" t="inlineStr">
        <is>
          <t>in-891d71de8e1612b8</t>
        </is>
      </c>
      <c r="B20" t="inlineStr">
        <is>
          <t>Sr. Applied Scientist, Amazon Ads</t>
        </is>
      </c>
      <c r="C20" t="inlineStr">
        <is>
          <t>Amazon.com</t>
        </is>
      </c>
      <c r="D20" t="inlineStr">
        <is>
          <t>indeed</t>
        </is>
      </c>
      <c r="E20" t="inlineStr"/>
      <c r="F20" t="inlineStr"/>
      <c r="G20" t="inlineStr">
        <is>
          <t>New York, NY, US</t>
        </is>
      </c>
      <c r="H20" s="2" t="n">
        <v>45998</v>
      </c>
      <c r="I2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
      <c r="A21" t="inlineStr">
        <is>
          <t>in-23602e6c1670ace0</t>
        </is>
      </c>
      <c r="B21" t="inlineStr">
        <is>
          <t>Sr. Applied Scientist, Amazon Ads</t>
        </is>
      </c>
      <c r="C21" t="inlineStr">
        <is>
          <t>Amazon.com</t>
        </is>
      </c>
      <c r="D21" t="inlineStr">
        <is>
          <t>indeed</t>
        </is>
      </c>
      <c r="E21" t="inlineStr"/>
      <c r="F21" t="inlineStr"/>
      <c r="G21" t="inlineStr">
        <is>
          <t>Santa Monica, CA, US</t>
        </is>
      </c>
      <c r="H21" s="2" t="n">
        <v>45998</v>
      </c>
      <c r="I2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
      <c r="A22" t="inlineStr">
        <is>
          <t>in-18c9ca8d98f05235</t>
        </is>
      </c>
      <c r="B22" t="inlineStr">
        <is>
          <t>Applied Scientist, ML Compiler</t>
        </is>
      </c>
      <c r="C22" t="inlineStr">
        <is>
          <t>Amazon Web Services</t>
        </is>
      </c>
      <c r="D22" t="inlineStr">
        <is>
          <t>indeed</t>
        </is>
      </c>
      <c r="E22" t="inlineStr"/>
      <c r="F22" t="inlineStr"/>
      <c r="G22" t="inlineStr">
        <is>
          <t>Cupertino, CA, US</t>
        </is>
      </c>
      <c r="H22" s="2" t="n">
        <v>45993</v>
      </c>
      <c r="I2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in-8708da68e39fce39</t>
        </is>
      </c>
      <c r="B23" t="inlineStr">
        <is>
          <t>Senior Applied Scientist, Locomotion, Amazon Industrial Robotics</t>
        </is>
      </c>
      <c r="C23" t="inlineStr">
        <is>
          <t>Amazon.com</t>
        </is>
      </c>
      <c r="D23" t="inlineStr">
        <is>
          <t>indeed</t>
        </is>
      </c>
      <c r="E23" t="inlineStr"/>
      <c r="F23" t="inlineStr"/>
      <c r="G23" t="inlineStr">
        <is>
          <t>Reading, MA, US</t>
        </is>
      </c>
      <c r="H23" s="2" t="n">
        <v>45992</v>
      </c>
      <c r="I2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in-44b72f3ed83d586b</t>
        </is>
      </c>
      <c r="B24" t="inlineStr">
        <is>
          <t>Senior Applied Scientist, Locomotion, Amazon Industrial Robotics</t>
        </is>
      </c>
      <c r="C24" t="inlineStr">
        <is>
          <t>Amazon.com</t>
        </is>
      </c>
      <c r="D24" t="inlineStr">
        <is>
          <t>indeed</t>
        </is>
      </c>
      <c r="E24" t="inlineStr"/>
      <c r="F24" t="inlineStr"/>
      <c r="G24" t="inlineStr">
        <is>
          <t>Reading, MA, US</t>
        </is>
      </c>
      <c r="H24" s="2" t="n">
        <v>45992</v>
      </c>
      <c r="I2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in-3fed52b5cb2ab0eb</t>
        </is>
      </c>
      <c r="B25" t="inlineStr">
        <is>
          <t>Sr. Machine Learning Engineer, AGIF | Finetuning</t>
        </is>
      </c>
      <c r="C25" t="inlineStr">
        <is>
          <t>Amazon.com</t>
        </is>
      </c>
      <c r="D25" t="inlineStr">
        <is>
          <t>indeed</t>
        </is>
      </c>
      <c r="E25" t="inlineStr"/>
      <c r="F25" t="inlineStr"/>
      <c r="G25" t="inlineStr">
        <is>
          <t>Bellevue, WA, US</t>
        </is>
      </c>
      <c r="H25" s="2" t="n">
        <v>45984</v>
      </c>
      <c r="I2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in-cb3345318e0cf708</t>
        </is>
      </c>
      <c r="B26" t="inlineStr">
        <is>
          <t>Sr. Machine Learning Engineer, AGIF | Finetuning</t>
        </is>
      </c>
      <c r="C26" t="inlineStr">
        <is>
          <t>Amazon.com</t>
        </is>
      </c>
      <c r="D26" t="inlineStr">
        <is>
          <t>indeed</t>
        </is>
      </c>
      <c r="E26" t="inlineStr"/>
      <c r="F26" t="inlineStr"/>
      <c r="G26" t="inlineStr">
        <is>
          <t>Sunnyvale, CA, US</t>
        </is>
      </c>
      <c r="H26" s="2" t="n">
        <v>45984</v>
      </c>
      <c r="I2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in-89cae57e19cd7f4e</t>
        </is>
      </c>
      <c r="B27" t="inlineStr">
        <is>
          <t>Sr. Machine Learning Engineer, AGIF | Finetuning</t>
        </is>
      </c>
      <c r="C27" t="inlineStr">
        <is>
          <t>Amazon.com</t>
        </is>
      </c>
      <c r="D27" t="inlineStr">
        <is>
          <t>indeed</t>
        </is>
      </c>
      <c r="E27" t="inlineStr"/>
      <c r="F27" t="inlineStr"/>
      <c r="G27" t="inlineStr">
        <is>
          <t>New York, NY, US</t>
        </is>
      </c>
      <c r="H27" s="2" t="n">
        <v>45984</v>
      </c>
      <c r="I2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in-394ffec30cd9e4e6</t>
        </is>
      </c>
      <c r="B28" t="inlineStr">
        <is>
          <t>Senior Applied Scientist, Artificial General Intelligence</t>
        </is>
      </c>
      <c r="C28" t="inlineStr">
        <is>
          <t>Amazon.com</t>
        </is>
      </c>
      <c r="D28" t="inlineStr">
        <is>
          <t>indeed</t>
        </is>
      </c>
      <c r="E28" t="inlineStr"/>
      <c r="F28" t="inlineStr"/>
      <c r="G28" t="inlineStr">
        <is>
          <t>Sunnyvale, CA, US</t>
        </is>
      </c>
      <c r="H28" s="2" t="n">
        <v>45980</v>
      </c>
      <c r="I2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in-0a3eeeed25da530b</t>
        </is>
      </c>
      <c r="B29" t="inlineStr">
        <is>
          <t>Senior Applied Scientist, Artificial General Intelligence</t>
        </is>
      </c>
      <c r="C29" t="inlineStr">
        <is>
          <t>Amazon.com</t>
        </is>
      </c>
      <c r="D29" t="inlineStr">
        <is>
          <t>indeed</t>
        </is>
      </c>
      <c r="E29" t="inlineStr"/>
      <c r="F29" t="inlineStr"/>
      <c r="G29" t="inlineStr">
        <is>
          <t>Seattle, WA, US</t>
        </is>
      </c>
      <c r="H29" s="2" t="n">
        <v>45980</v>
      </c>
      <c r="I2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in-e2b4d27d259182dd</t>
        </is>
      </c>
      <c r="B30" t="inlineStr">
        <is>
          <t>Senior Applied Scientist, Artificial General Intelligence</t>
        </is>
      </c>
      <c r="C30" t="inlineStr">
        <is>
          <t>Amazon.com</t>
        </is>
      </c>
      <c r="D30" t="inlineStr">
        <is>
          <t>indeed</t>
        </is>
      </c>
      <c r="E30" t="inlineStr"/>
      <c r="F30" t="inlineStr"/>
      <c r="G30" t="inlineStr">
        <is>
          <t>New York, NY, US</t>
        </is>
      </c>
      <c r="H30" s="2" t="n">
        <v>45980</v>
      </c>
      <c r="I3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in-52fc4454c925eca4</t>
        </is>
      </c>
      <c r="B31" t="inlineStr">
        <is>
          <t>Senior Applied Scientist, Artificial General Intelligence</t>
        </is>
      </c>
      <c r="C31" t="inlineStr">
        <is>
          <t>Amazon.com</t>
        </is>
      </c>
      <c r="D31" t="inlineStr">
        <is>
          <t>indeed</t>
        </is>
      </c>
      <c r="E31" t="inlineStr"/>
      <c r="F31" t="inlineStr"/>
      <c r="G31" t="inlineStr">
        <is>
          <t>Boston, MA, US</t>
        </is>
      </c>
      <c r="H31" s="2" t="n">
        <v>45980</v>
      </c>
      <c r="I3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in-12c6d467e44c49a8</t>
        </is>
      </c>
      <c r="B32" t="inlineStr">
        <is>
          <t>Applied Scientist II, SPB Advertiser Guidance</t>
        </is>
      </c>
      <c r="C32" t="inlineStr">
        <is>
          <t>Amazon.com</t>
        </is>
      </c>
      <c r="D32" t="inlineStr">
        <is>
          <t>indeed</t>
        </is>
      </c>
      <c r="E32" t="inlineStr"/>
      <c r="F32" t="inlineStr"/>
      <c r="G32" t="inlineStr">
        <is>
          <t>New York, NY, US</t>
        </is>
      </c>
      <c r="H32" s="2" t="n">
        <v>45980</v>
      </c>
      <c r="I3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in-c801e6d4d67fbc86</t>
        </is>
      </c>
      <c r="B33" t="inlineStr">
        <is>
          <t>Applied Scientist II, SPB Advertiser Guidance</t>
        </is>
      </c>
      <c r="C33" t="inlineStr">
        <is>
          <t>Amazon.com</t>
        </is>
      </c>
      <c r="D33" t="inlineStr">
        <is>
          <t>indeed</t>
        </is>
      </c>
      <c r="E33" t="inlineStr"/>
      <c r="F33" t="inlineStr"/>
      <c r="G33" t="inlineStr">
        <is>
          <t>Palo Alto, CA, US</t>
        </is>
      </c>
      <c r="H33" s="2" t="n">
        <v>45980</v>
      </c>
      <c r="I3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in-d204ad6b86d663e0</t>
        </is>
      </c>
      <c r="B34" t="inlineStr">
        <is>
          <t>Applied Scientist II, SPB Advertiser Guidance</t>
        </is>
      </c>
      <c r="C34" t="inlineStr">
        <is>
          <t>Amazon.com</t>
        </is>
      </c>
      <c r="D34" t="inlineStr">
        <is>
          <t>indeed</t>
        </is>
      </c>
      <c r="E34" t="inlineStr"/>
      <c r="F34" t="inlineStr"/>
      <c r="G34" t="inlineStr">
        <is>
          <t>Seattle, WA, US</t>
        </is>
      </c>
      <c r="H34" s="2" t="n">
        <v>45980</v>
      </c>
      <c r="I3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in-6cc1ade06631bac6</t>
        </is>
      </c>
      <c r="B35" t="inlineStr">
        <is>
          <t>Principal Applied Scientist, Sponsored Products and Brands</t>
        </is>
      </c>
      <c r="C35" t="inlineStr">
        <is>
          <t>Amazon.com</t>
        </is>
      </c>
      <c r="D35" t="inlineStr">
        <is>
          <t>indeed</t>
        </is>
      </c>
      <c r="E35" t="inlineStr"/>
      <c r="F35" t="inlineStr"/>
      <c r="G35" t="inlineStr">
        <is>
          <t>Seattle, WA, US</t>
        </is>
      </c>
      <c r="H35" s="2" t="n">
        <v>45979</v>
      </c>
      <c r="I3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in-cfeb9adecd34b30c</t>
        </is>
      </c>
      <c r="B36" t="inlineStr">
        <is>
          <t>Principal Applied Scientist, Sponsored Products and Brands</t>
        </is>
      </c>
      <c r="C36" t="inlineStr">
        <is>
          <t>Amazon.com</t>
        </is>
      </c>
      <c r="D36" t="inlineStr">
        <is>
          <t>indeed</t>
        </is>
      </c>
      <c r="E36" t="inlineStr"/>
      <c r="F36" t="inlineStr"/>
      <c r="G36" t="inlineStr">
        <is>
          <t>New York, NY, US</t>
        </is>
      </c>
      <c r="H36" s="2" t="n">
        <v>45979</v>
      </c>
      <c r="I3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in-8360cfbaa20a8358</t>
        </is>
      </c>
      <c r="B37" t="inlineStr">
        <is>
          <t>Sr. Applied Scientist, AGI Foundations</t>
        </is>
      </c>
      <c r="C37" t="inlineStr">
        <is>
          <t>Amazon.com</t>
        </is>
      </c>
      <c r="D37" t="inlineStr">
        <is>
          <t>indeed</t>
        </is>
      </c>
      <c r="E37" t="inlineStr"/>
      <c r="F37" t="inlineStr"/>
      <c r="G37" t="inlineStr">
        <is>
          <t>Boston, MA, US</t>
        </is>
      </c>
      <c r="H37" s="2" t="n">
        <v>45978</v>
      </c>
      <c r="I3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in-2c12014c8c48afcb</t>
        </is>
      </c>
      <c r="B38" t="inlineStr">
        <is>
          <t>Sr. Applied Scientist, AGI Foundations</t>
        </is>
      </c>
      <c r="C38" t="inlineStr">
        <is>
          <t>Amazon.com</t>
        </is>
      </c>
      <c r="D38" t="inlineStr">
        <is>
          <t>indeed</t>
        </is>
      </c>
      <c r="E38" t="inlineStr"/>
      <c r="F38" t="inlineStr"/>
      <c r="G38" t="inlineStr">
        <is>
          <t>New York, NY, US</t>
        </is>
      </c>
      <c r="H38" s="2" t="n">
        <v>45978</v>
      </c>
      <c r="I3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in-f44d0888a621baab</t>
        </is>
      </c>
      <c r="B39" t="inlineStr">
        <is>
          <t>Sr. Applied Scientist, AGI Foundations</t>
        </is>
      </c>
      <c r="C39" t="inlineStr">
        <is>
          <t>Amazon.com</t>
        </is>
      </c>
      <c r="D39" t="inlineStr">
        <is>
          <t>indeed</t>
        </is>
      </c>
      <c r="E39" t="inlineStr"/>
      <c r="F39" t="inlineStr"/>
      <c r="G39" t="inlineStr">
        <is>
          <t>Bellevue, WA, US</t>
        </is>
      </c>
      <c r="H39" s="2" t="n">
        <v>45978</v>
      </c>
      <c r="I3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in-6455c99474fd6cf6</t>
        </is>
      </c>
      <c r="B40" t="inlineStr">
        <is>
          <t>Sr. Applied Scientist, AGI Foundations</t>
        </is>
      </c>
      <c r="C40" t="inlineStr">
        <is>
          <t>Amazon.com</t>
        </is>
      </c>
      <c r="D40" t="inlineStr">
        <is>
          <t>indeed</t>
        </is>
      </c>
      <c r="E40" t="inlineStr"/>
      <c r="F40" t="inlineStr"/>
      <c r="G40" t="inlineStr">
        <is>
          <t>Sunnyvale, CA, US</t>
        </is>
      </c>
      <c r="H40" s="2" t="n">
        <v>45978</v>
      </c>
      <c r="I4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in-b8b957fbcfe5e562</t>
        </is>
      </c>
      <c r="B41" t="inlineStr">
        <is>
          <t>Applied Scientist II, Robotics and ML, Amazon Industrial Robotics</t>
        </is>
      </c>
      <c r="C41" t="inlineStr">
        <is>
          <t>Amazon.com</t>
        </is>
      </c>
      <c r="D41" t="inlineStr">
        <is>
          <t>indeed</t>
        </is>
      </c>
      <c r="E41" t="inlineStr"/>
      <c r="F41" t="inlineStr"/>
      <c r="G41" t="inlineStr">
        <is>
          <t>Reading, MA, US</t>
        </is>
      </c>
      <c r="H41" s="2" t="n">
        <v>45975</v>
      </c>
      <c r="I4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in-657debdcfd8a42c3</t>
        </is>
      </c>
      <c r="B42" t="inlineStr">
        <is>
          <t>Applied Scientist II, Robotics and ML, Amazon Industrial Robotics</t>
        </is>
      </c>
      <c r="C42" t="inlineStr">
        <is>
          <t>Amazon.com</t>
        </is>
      </c>
      <c r="D42" t="inlineStr">
        <is>
          <t>indeed</t>
        </is>
      </c>
      <c r="E42" t="inlineStr"/>
      <c r="F42" t="inlineStr"/>
      <c r="G42" t="inlineStr">
        <is>
          <t>Reading, MA, US</t>
        </is>
      </c>
      <c r="H42" s="2" t="n">
        <v>45975</v>
      </c>
      <c r="I4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in-f8a0cd2b60d93429</t>
        </is>
      </c>
      <c r="B43" t="inlineStr">
        <is>
          <t>Principal Applied Scientist, Amazon AGI</t>
        </is>
      </c>
      <c r="C43" t="inlineStr">
        <is>
          <t>Amazon.com</t>
        </is>
      </c>
      <c r="D43" t="inlineStr">
        <is>
          <t>indeed</t>
        </is>
      </c>
      <c r="E43" t="inlineStr"/>
      <c r="F43" t="inlineStr"/>
      <c r="G43" t="inlineStr">
        <is>
          <t>Boston, MA, US</t>
        </is>
      </c>
      <c r="H43" s="2" t="n">
        <v>45964</v>
      </c>
      <c r="I4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in-36bae29b67131862</t>
        </is>
      </c>
      <c r="B44" t="inlineStr">
        <is>
          <t>Principal Applied Scientist, Amazon AGI</t>
        </is>
      </c>
      <c r="C44" t="inlineStr">
        <is>
          <t>Amazon.com</t>
        </is>
      </c>
      <c r="D44" t="inlineStr">
        <is>
          <t>indeed</t>
        </is>
      </c>
      <c r="E44" t="inlineStr"/>
      <c r="F44" t="inlineStr"/>
      <c r="G44" t="inlineStr">
        <is>
          <t>San Francisco, CA, US</t>
        </is>
      </c>
      <c r="H44" s="2" t="n">
        <v>45964</v>
      </c>
      <c r="I4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in-8de5c571f3e4e07b</t>
        </is>
      </c>
      <c r="B45" t="inlineStr">
        <is>
          <t>Sr. Applied Scientist, AGI Foundations</t>
        </is>
      </c>
      <c r="C45" t="inlineStr">
        <is>
          <t>Amazon.com</t>
        </is>
      </c>
      <c r="D45" t="inlineStr">
        <is>
          <t>indeed</t>
        </is>
      </c>
      <c r="E45" t="inlineStr"/>
      <c r="F45" t="inlineStr"/>
      <c r="G45" t="inlineStr">
        <is>
          <t>Boston, MA, US</t>
        </is>
      </c>
      <c r="H45" s="2" t="n">
        <v>45963</v>
      </c>
      <c r="I4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in-1584ee689f7560c2</t>
        </is>
      </c>
      <c r="B46" t="inlineStr">
        <is>
          <t>Sr. Applied Scientist, AGI Foundations</t>
        </is>
      </c>
      <c r="C46" t="inlineStr">
        <is>
          <t>Amazon.com</t>
        </is>
      </c>
      <c r="D46" t="inlineStr">
        <is>
          <t>indeed</t>
        </is>
      </c>
      <c r="E46" t="inlineStr"/>
      <c r="F46" t="inlineStr"/>
      <c r="G46" t="inlineStr">
        <is>
          <t>New York, NY, US</t>
        </is>
      </c>
      <c r="H46" s="2" t="n">
        <v>45963</v>
      </c>
      <c r="I4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in-1757851b79289ee0</t>
        </is>
      </c>
      <c r="B47" t="inlineStr">
        <is>
          <t>Sr. Applied Scientist, AGI Foundations</t>
        </is>
      </c>
      <c r="C47" t="inlineStr">
        <is>
          <t>Amazon.com</t>
        </is>
      </c>
      <c r="D47" t="inlineStr">
        <is>
          <t>indeed</t>
        </is>
      </c>
      <c r="E47" t="inlineStr"/>
      <c r="F47" t="inlineStr"/>
      <c r="G47" t="inlineStr">
        <is>
          <t>Bellevue, WA, US</t>
        </is>
      </c>
      <c r="H47" s="2" t="n">
        <v>45963</v>
      </c>
      <c r="I4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in-d98ae598ddd131a0</t>
        </is>
      </c>
      <c r="B48" t="inlineStr">
        <is>
          <t>Sr. Applied Scientist, Sponsored Product Off-Search</t>
        </is>
      </c>
      <c r="C48" t="inlineStr">
        <is>
          <t>Amazon.com</t>
        </is>
      </c>
      <c r="D48" t="inlineStr">
        <is>
          <t>indeed</t>
        </is>
      </c>
      <c r="E48" t="inlineStr"/>
      <c r="F48" t="inlineStr"/>
      <c r="G48" t="inlineStr">
        <is>
          <t>Seattle, WA, US</t>
        </is>
      </c>
      <c r="H48" s="2" t="n">
        <v>45963</v>
      </c>
      <c r="I4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in-18f817671219aa36</t>
        </is>
      </c>
      <c r="B49" t="inlineStr">
        <is>
          <t>Sr. Applied Scientist, Sponsored Product Off-Search</t>
        </is>
      </c>
      <c r="C49" t="inlineStr">
        <is>
          <t>Amazon.com</t>
        </is>
      </c>
      <c r="D49" t="inlineStr">
        <is>
          <t>indeed</t>
        </is>
      </c>
      <c r="E49" t="inlineStr"/>
      <c r="F49" t="inlineStr"/>
      <c r="G49" t="inlineStr">
        <is>
          <t>New York, NY, US</t>
        </is>
      </c>
      <c r="H49" s="2" t="n">
        <v>45963</v>
      </c>
      <c r="I4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in-d24c98d4697d3f34</t>
        </is>
      </c>
      <c r="B50" t="inlineStr">
        <is>
          <t>Applied Scientist, AWS Agentic AI</t>
        </is>
      </c>
      <c r="C50" t="inlineStr">
        <is>
          <t>Amazon Web Services</t>
        </is>
      </c>
      <c r="D50" t="inlineStr">
        <is>
          <t>indeed</t>
        </is>
      </c>
      <c r="E50" t="inlineStr"/>
      <c r="F50" t="inlineStr"/>
      <c r="G50" t="inlineStr">
        <is>
          <t>New York, NY, US</t>
        </is>
      </c>
      <c r="H50" s="2" t="n">
        <v>45962</v>
      </c>
      <c r="I5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in-b6279755768c57c1</t>
        </is>
      </c>
      <c r="B51" t="inlineStr">
        <is>
          <t>Applied Scientist, AWS Agentic AI</t>
        </is>
      </c>
      <c r="C51" t="inlineStr">
        <is>
          <t>Amazon Web Services</t>
        </is>
      </c>
      <c r="D51" t="inlineStr">
        <is>
          <t>indeed</t>
        </is>
      </c>
      <c r="E51" t="inlineStr"/>
      <c r="F51" t="inlineStr"/>
      <c r="G51" t="inlineStr">
        <is>
          <t>Seattle, WA, US</t>
        </is>
      </c>
      <c r="H51" s="2" t="n">
        <v>45962</v>
      </c>
      <c r="I5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in-6928e6ce7a2cf801</t>
        </is>
      </c>
      <c r="B52" t="inlineStr">
        <is>
          <t>Applied Scientist, AWS Agentic AI</t>
        </is>
      </c>
      <c r="C52" t="inlineStr">
        <is>
          <t>Amazon Web Services</t>
        </is>
      </c>
      <c r="D52" t="inlineStr">
        <is>
          <t>indeed</t>
        </is>
      </c>
      <c r="E52" t="inlineStr"/>
      <c r="F52" t="inlineStr"/>
      <c r="G52" t="inlineStr">
        <is>
          <t>Santa Clara, CA, US</t>
        </is>
      </c>
      <c r="H52" s="2" t="n">
        <v>45962</v>
      </c>
      <c r="I5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in-e2203a1f69c157ed</t>
        </is>
      </c>
      <c r="B53" t="inlineStr">
        <is>
          <t>Applied Scientist, Prime Video - Content Understanding, Localization &amp; Enrichment Team</t>
        </is>
      </c>
      <c r="C53" t="inlineStr">
        <is>
          <t>Amazon.com</t>
        </is>
      </c>
      <c r="D53" t="inlineStr">
        <is>
          <t>indeed</t>
        </is>
      </c>
      <c r="E53" t="inlineStr"/>
      <c r="F53" t="inlineStr"/>
      <c r="G53" t="inlineStr">
        <is>
          <t>Seattle, WA, US</t>
        </is>
      </c>
      <c r="H53" s="2" t="n">
        <v>45943</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54">
      <c r="A54" t="inlineStr">
        <is>
          <t>in-1f8be9b92e64400b</t>
        </is>
      </c>
      <c r="B54" t="inlineStr">
        <is>
          <t>Applied Scientist, Prime Video - Content Understanding, Localization &amp; Enrichment Team</t>
        </is>
      </c>
      <c r="C54" t="inlineStr">
        <is>
          <t>Amazon.com</t>
        </is>
      </c>
      <c r="D54" t="inlineStr">
        <is>
          <t>indeed</t>
        </is>
      </c>
      <c r="E54" t="inlineStr"/>
      <c r="F54" t="inlineStr"/>
      <c r="G54" t="inlineStr">
        <is>
          <t>San Francisco, CA, US</t>
        </is>
      </c>
      <c r="H54" s="2" t="n">
        <v>45943</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55">
      <c r="A55" t="inlineStr">
        <is>
          <t>in-d0777cec65baf7a1</t>
        </is>
      </c>
      <c r="B55" t="inlineStr">
        <is>
          <t>Principal Applied Scientist, Advertiser Growth, Amazon Sponsored Products &amp; Brands</t>
        </is>
      </c>
      <c r="C55" t="inlineStr">
        <is>
          <t>Amazon.com</t>
        </is>
      </c>
      <c r="D55" t="inlineStr">
        <is>
          <t>indeed</t>
        </is>
      </c>
      <c r="E55" t="inlineStr"/>
      <c r="F55" t="inlineStr"/>
      <c r="G55" t="inlineStr">
        <is>
          <t>New York, NY, US</t>
        </is>
      </c>
      <c r="H55" s="2" t="n">
        <v>45942</v>
      </c>
      <c r="I5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in-ed40477f9267cacb</t>
        </is>
      </c>
      <c r="B56" t="inlineStr">
        <is>
          <t>Principal Applied Scientist, Advertiser Growth, Amazon Sponsored Products &amp; Brands</t>
        </is>
      </c>
      <c r="C56" t="inlineStr">
        <is>
          <t>Amazon.com</t>
        </is>
      </c>
      <c r="D56" t="inlineStr">
        <is>
          <t>indeed</t>
        </is>
      </c>
      <c r="E56" t="inlineStr"/>
      <c r="F56" t="inlineStr"/>
      <c r="G56" t="inlineStr">
        <is>
          <t>Palo Alto, CA, US</t>
        </is>
      </c>
      <c r="H56" s="2" t="n">
        <v>45942</v>
      </c>
      <c r="I5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in-0020fe00b60d1c5c</t>
        </is>
      </c>
      <c r="B57" t="inlineStr">
        <is>
          <t>Principal Applied Scientist, Advertiser Growth, Amazon Sponsored Products &amp; Brands</t>
        </is>
      </c>
      <c r="C57" t="inlineStr">
        <is>
          <t>Amazon.com</t>
        </is>
      </c>
      <c r="D57" t="inlineStr">
        <is>
          <t>indeed</t>
        </is>
      </c>
      <c r="E57" t="inlineStr"/>
      <c r="F57" t="inlineStr"/>
      <c r="G57" t="inlineStr">
        <is>
          <t>Seattle, WA, US</t>
        </is>
      </c>
      <c r="H57" s="2" t="n">
        <v>45942</v>
      </c>
      <c r="I5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in-343be43447acf924</t>
        </is>
      </c>
      <c r="B58" t="inlineStr">
        <is>
          <t>Applied Scientist</t>
        </is>
      </c>
      <c r="C58" t="inlineStr">
        <is>
          <t>Amazon.com</t>
        </is>
      </c>
      <c r="D58" t="inlineStr">
        <is>
          <t>indeed</t>
        </is>
      </c>
      <c r="E58" t="inlineStr"/>
      <c r="F58" t="inlineStr"/>
      <c r="G58" t="inlineStr">
        <is>
          <t>Palo Alto, CA, US</t>
        </is>
      </c>
      <c r="H58" s="2" t="n">
        <v>45939</v>
      </c>
      <c r="I5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in-5a55147d4fbcc6be</t>
        </is>
      </c>
      <c r="B59" t="inlineStr">
        <is>
          <t>Sr. Applied Scientist, SPB Advertiser Guidance</t>
        </is>
      </c>
      <c r="C59" t="inlineStr">
        <is>
          <t>Amazon.com</t>
        </is>
      </c>
      <c r="D59" t="inlineStr">
        <is>
          <t>indeed</t>
        </is>
      </c>
      <c r="E59" t="inlineStr"/>
      <c r="F59" t="inlineStr"/>
      <c r="G59" t="inlineStr">
        <is>
          <t>Seattle, WA, US</t>
        </is>
      </c>
      <c r="H59" s="2" t="n">
        <v>45939</v>
      </c>
      <c r="I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in-3e10760beefb53be</t>
        </is>
      </c>
      <c r="B60" t="inlineStr">
        <is>
          <t>Sr. Applied Scientist, SPB Advertiser Guidance</t>
        </is>
      </c>
      <c r="C60" t="inlineStr">
        <is>
          <t>Amazon.com</t>
        </is>
      </c>
      <c r="D60" t="inlineStr">
        <is>
          <t>indeed</t>
        </is>
      </c>
      <c r="E60" t="inlineStr"/>
      <c r="F60" t="inlineStr"/>
      <c r="G60" t="inlineStr">
        <is>
          <t>Palo Alto, CA, US</t>
        </is>
      </c>
      <c r="H60" s="2" t="n">
        <v>45939</v>
      </c>
      <c r="I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in-d640f811da2335c8</t>
        </is>
      </c>
      <c r="B61" t="inlineStr">
        <is>
          <t>Applied Scientist</t>
        </is>
      </c>
      <c r="C61" t="inlineStr">
        <is>
          <t>Amazon.com</t>
        </is>
      </c>
      <c r="D61" t="inlineStr">
        <is>
          <t>indeed</t>
        </is>
      </c>
      <c r="E61" t="inlineStr"/>
      <c r="F61" t="inlineStr"/>
      <c r="G61" t="inlineStr">
        <is>
          <t>New York, NY, US</t>
        </is>
      </c>
      <c r="H61" s="2" t="n">
        <v>45939</v>
      </c>
      <c r="I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in-6287389df456eeb3</t>
        </is>
      </c>
      <c r="B62" t="inlineStr">
        <is>
          <t>Sr. Applied Scientist, SPB Advertiser Guidance</t>
        </is>
      </c>
      <c r="C62" t="inlineStr">
        <is>
          <t>Amazon.com</t>
        </is>
      </c>
      <c r="D62" t="inlineStr">
        <is>
          <t>indeed</t>
        </is>
      </c>
      <c r="E62" t="inlineStr"/>
      <c r="F62" t="inlineStr"/>
      <c r="G62" t="inlineStr">
        <is>
          <t>New York, NY, US</t>
        </is>
      </c>
      <c r="H62" s="2" t="n">
        <v>45939</v>
      </c>
      <c r="I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in-eb836a60a47a24df</t>
        </is>
      </c>
      <c r="B63" t="inlineStr">
        <is>
          <t>Applied Scientist</t>
        </is>
      </c>
      <c r="C63" t="inlineStr">
        <is>
          <t>Amazon.com</t>
        </is>
      </c>
      <c r="D63" t="inlineStr">
        <is>
          <t>indeed</t>
        </is>
      </c>
      <c r="E63" t="inlineStr"/>
      <c r="F63" t="inlineStr"/>
      <c r="G63" t="inlineStr">
        <is>
          <t>Seattle, WA, US</t>
        </is>
      </c>
      <c r="H63" s="2" t="n">
        <v>45939</v>
      </c>
      <c r="I6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in-2c0d2a9019e9eeef</t>
        </is>
      </c>
      <c r="B64" t="inlineStr">
        <is>
          <t>Applied Scientist II, Prime Video - Personalization and Discovery Science, Personalization and Discovery Science</t>
        </is>
      </c>
      <c r="C64" t="inlineStr">
        <is>
          <t>Amazon.com</t>
        </is>
      </c>
      <c r="D64" t="inlineStr">
        <is>
          <t>indeed</t>
        </is>
      </c>
      <c r="E64" t="inlineStr"/>
      <c r="F64" t="inlineStr"/>
      <c r="G64" t="inlineStr">
        <is>
          <t>Seattle, WA, US</t>
        </is>
      </c>
      <c r="H64" s="2" t="n">
        <v>45930</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in-d07e3a02a1bab229</t>
        </is>
      </c>
      <c r="B65" t="inlineStr">
        <is>
          <t>Applied Scientist II, Prime Video - Personalization and Discovery Science, Personalization and Discovery Science</t>
        </is>
      </c>
      <c r="C65" t="inlineStr">
        <is>
          <t>Amazon.com</t>
        </is>
      </c>
      <c r="D65" t="inlineStr">
        <is>
          <t>indeed</t>
        </is>
      </c>
      <c r="E65" t="inlineStr"/>
      <c r="F65" t="inlineStr"/>
      <c r="G65" t="inlineStr">
        <is>
          <t>Sunnyvale, CA, US</t>
        </is>
      </c>
      <c r="H65" s="2" t="n">
        <v>45930</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in-901111b5dd2e9b48</t>
        </is>
      </c>
      <c r="B66" t="inlineStr">
        <is>
          <t>Applied Scientist II, Prime Video - Personalization and Discovery Science, Personalization and Discovery Science</t>
        </is>
      </c>
      <c r="C66" t="inlineStr">
        <is>
          <t>Amazon.com</t>
        </is>
      </c>
      <c r="D66" t="inlineStr">
        <is>
          <t>indeed</t>
        </is>
      </c>
      <c r="E66" t="inlineStr"/>
      <c r="F66" t="inlineStr"/>
      <c r="G66" t="inlineStr">
        <is>
          <t>New York, NY, US</t>
        </is>
      </c>
      <c r="H66" s="2" t="n">
        <v>45930</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in-a9fbda6a89e0f4d3</t>
        </is>
      </c>
      <c r="B67" t="inlineStr">
        <is>
          <t>Senior Applied Scientist, Sponsored Products and Brands</t>
        </is>
      </c>
      <c r="C67" t="inlineStr">
        <is>
          <t>Amazon.com</t>
        </is>
      </c>
      <c r="D67" t="inlineStr">
        <is>
          <t>indeed</t>
        </is>
      </c>
      <c r="E67" t="inlineStr"/>
      <c r="F67" t="inlineStr"/>
      <c r="G67" t="inlineStr">
        <is>
          <t>Seattle, WA, US</t>
        </is>
      </c>
      <c r="H67" s="2" t="n">
        <v>45922</v>
      </c>
      <c r="I6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in-5b7ef94b3dd12aa9</t>
        </is>
      </c>
      <c r="B68" t="inlineStr">
        <is>
          <t>Senior Applied Scientist, Sponsored Products and Brands</t>
        </is>
      </c>
      <c r="C68" t="inlineStr">
        <is>
          <t>Amazon.com</t>
        </is>
      </c>
      <c r="D68" t="inlineStr">
        <is>
          <t>indeed</t>
        </is>
      </c>
      <c r="E68" t="inlineStr"/>
      <c r="F68" t="inlineStr"/>
      <c r="G68" t="inlineStr">
        <is>
          <t>New York, NY, US</t>
        </is>
      </c>
      <c r="H68" s="2" t="n">
        <v>45922</v>
      </c>
      <c r="I6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in-2a61c46e0d709c92</t>
        </is>
      </c>
      <c r="B69" t="inlineStr">
        <is>
          <t>Applied Scientist, Workplace Health &amp; Safety</t>
        </is>
      </c>
      <c r="C69" t="inlineStr">
        <is>
          <t>Amazon.com</t>
        </is>
      </c>
      <c r="D69" t="inlineStr">
        <is>
          <t>indeed</t>
        </is>
      </c>
      <c r="E69" t="inlineStr"/>
      <c r="F69" t="inlineStr"/>
      <c r="G69" t="inlineStr">
        <is>
          <t>Nashville, TN, US</t>
        </is>
      </c>
      <c r="H69" s="2" t="n">
        <v>45917</v>
      </c>
      <c r="I6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in-614ab1f926a522ff</t>
        </is>
      </c>
      <c r="B70" t="inlineStr">
        <is>
          <t>Applied Scientist, Workplace Health &amp; Safety</t>
        </is>
      </c>
      <c r="C70" t="inlineStr">
        <is>
          <t>Amazon.com</t>
        </is>
      </c>
      <c r="D70" t="inlineStr">
        <is>
          <t>indeed</t>
        </is>
      </c>
      <c r="E70" t="inlineStr"/>
      <c r="F70" t="inlineStr"/>
      <c r="G70" t="inlineStr">
        <is>
          <t>Bellevue, WA, US</t>
        </is>
      </c>
      <c r="H70" s="2" t="n">
        <v>45917</v>
      </c>
      <c r="I7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in-44a6de9321486f2d</t>
        </is>
      </c>
      <c r="B71" t="inlineStr">
        <is>
          <t>Applied Scientist II, Prime Video - Personalization and Discovery Science</t>
        </is>
      </c>
      <c r="C71" t="inlineStr">
        <is>
          <t>Amazon.com</t>
        </is>
      </c>
      <c r="D71" t="inlineStr">
        <is>
          <t>indeed</t>
        </is>
      </c>
      <c r="E71" t="inlineStr"/>
      <c r="F71" t="inlineStr"/>
      <c r="G71" t="inlineStr">
        <is>
          <t>New York, NY, US</t>
        </is>
      </c>
      <c r="H71" s="2" t="n">
        <v>45881</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in-f4bcd01181ba0c53</t>
        </is>
      </c>
      <c r="B72" t="inlineStr">
        <is>
          <t>Sr. Applied Scientist, Prime Video - Personalization and Discovery Science</t>
        </is>
      </c>
      <c r="C72" t="inlineStr">
        <is>
          <t>Amazon.com</t>
        </is>
      </c>
      <c r="D72" t="inlineStr">
        <is>
          <t>indeed</t>
        </is>
      </c>
      <c r="E72" t="inlineStr"/>
      <c r="F72" t="inlineStr"/>
      <c r="G72" t="inlineStr">
        <is>
          <t>Sunnyvale, CA, US</t>
        </is>
      </c>
      <c r="H72" s="2" t="n">
        <v>45881</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in-af0440f9dbe0fd07</t>
        </is>
      </c>
      <c r="B73" t="inlineStr">
        <is>
          <t>Applied Scientist II, Prime Video - Personalization and Discovery Science</t>
        </is>
      </c>
      <c r="C73" t="inlineStr">
        <is>
          <t>Amazon.com</t>
        </is>
      </c>
      <c r="D73" t="inlineStr">
        <is>
          <t>indeed</t>
        </is>
      </c>
      <c r="E73" t="inlineStr"/>
      <c r="F73" t="inlineStr"/>
      <c r="G73" t="inlineStr">
        <is>
          <t>Seattle, WA, US</t>
        </is>
      </c>
      <c r="H73" s="2" t="n">
        <v>45881</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in-258bb0921a973e5c</t>
        </is>
      </c>
      <c r="B74" t="inlineStr">
        <is>
          <t>Applied Scientist II, Prime Video - Personalization and Discovery Science</t>
        </is>
      </c>
      <c r="C74" t="inlineStr">
        <is>
          <t>Amazon.com</t>
        </is>
      </c>
      <c r="D74" t="inlineStr">
        <is>
          <t>indeed</t>
        </is>
      </c>
      <c r="E74" t="inlineStr"/>
      <c r="F74" t="inlineStr"/>
      <c r="G74" t="inlineStr">
        <is>
          <t>Sunnyvale, CA, US</t>
        </is>
      </c>
      <c r="H74" s="2" t="n">
        <v>45881</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in-99e320a129c5e4ab</t>
        </is>
      </c>
      <c r="B75" t="inlineStr">
        <is>
          <t>Sr. Applied Scientist, Prime Video - Personalization and Discovery Science</t>
        </is>
      </c>
      <c r="C75" t="inlineStr">
        <is>
          <t>Amazon.com</t>
        </is>
      </c>
      <c r="D75" t="inlineStr">
        <is>
          <t>indeed</t>
        </is>
      </c>
      <c r="E75" t="inlineStr"/>
      <c r="F75" t="inlineStr"/>
      <c r="G75" t="inlineStr">
        <is>
          <t>Seattle, WA, US</t>
        </is>
      </c>
      <c r="H75" s="2" t="n">
        <v>45881</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in-533b2e662c984caa</t>
        </is>
      </c>
      <c r="B76" t="inlineStr">
        <is>
          <t>Sr. Applied Scientist, Prime Video - Personalization and Discovery Science</t>
        </is>
      </c>
      <c r="C76" t="inlineStr">
        <is>
          <t>Amazon.com</t>
        </is>
      </c>
      <c r="D76" t="inlineStr">
        <is>
          <t>indeed</t>
        </is>
      </c>
      <c r="E76" t="inlineStr"/>
      <c r="F76" t="inlineStr"/>
      <c r="G76" t="inlineStr">
        <is>
          <t>New York, NY, US</t>
        </is>
      </c>
      <c r="H76" s="2" t="n">
        <v>45881</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in-561111ed8cd75a05</t>
        </is>
      </c>
      <c r="B77" t="inlineStr">
        <is>
          <t>Sr. Applied Scientist, Amazon Advertising</t>
        </is>
      </c>
      <c r="C77" t="inlineStr">
        <is>
          <t>Amazon.com</t>
        </is>
      </c>
      <c r="D77" t="inlineStr">
        <is>
          <t>indeed</t>
        </is>
      </c>
      <c r="E77" t="inlineStr"/>
      <c r="F77" t="inlineStr"/>
      <c r="G77" t="inlineStr">
        <is>
          <t>Arlington, VA, US</t>
        </is>
      </c>
      <c r="H77" s="2" t="n">
        <v>45851</v>
      </c>
      <c r="I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in-220c5a6ea4dcf67e</t>
        </is>
      </c>
      <c r="B78" t="inlineStr">
        <is>
          <t>Sr. Applied Scientist, Amazon Advertising</t>
        </is>
      </c>
      <c r="C78" t="inlineStr">
        <is>
          <t>Amazon.com</t>
        </is>
      </c>
      <c r="D78" t="inlineStr">
        <is>
          <t>indeed</t>
        </is>
      </c>
      <c r="E78" t="inlineStr"/>
      <c r="F78" t="inlineStr"/>
      <c r="G78" t="inlineStr">
        <is>
          <t>Palo Alto, CA, US</t>
        </is>
      </c>
      <c r="H78" s="2" t="n">
        <v>45851</v>
      </c>
      <c r="I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in-46d0f2037c42efc3</t>
        </is>
      </c>
      <c r="B79" t="inlineStr">
        <is>
          <t>Sr. Applied Scientist, Amazon Advertising</t>
        </is>
      </c>
      <c r="C79" t="inlineStr">
        <is>
          <t>Amazon.com</t>
        </is>
      </c>
      <c r="D79" t="inlineStr">
        <is>
          <t>indeed</t>
        </is>
      </c>
      <c r="E79" t="inlineStr"/>
      <c r="F79" t="inlineStr"/>
      <c r="G79" t="inlineStr">
        <is>
          <t>Austin, TX, US</t>
        </is>
      </c>
      <c r="H79" s="2" t="n">
        <v>45851</v>
      </c>
      <c r="I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in-7895d49b85b05015</t>
        </is>
      </c>
      <c r="B80" t="inlineStr">
        <is>
          <t>Sr. Applied Scientist, Amazon Advertising</t>
        </is>
      </c>
      <c r="C80" t="inlineStr">
        <is>
          <t>Amazon.com</t>
        </is>
      </c>
      <c r="D80" t="inlineStr">
        <is>
          <t>indeed</t>
        </is>
      </c>
      <c r="E80" t="inlineStr"/>
      <c r="F80" t="inlineStr"/>
      <c r="G80" t="inlineStr">
        <is>
          <t>Simi Valley, CA, US</t>
        </is>
      </c>
      <c r="H80" s="2" t="n">
        <v>45851</v>
      </c>
      <c r="I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in-f0ee9ae0136e1bba</t>
        </is>
      </c>
      <c r="B81" t="inlineStr">
        <is>
          <t>Sr. Applied Scientist, Amazon Advertising</t>
        </is>
      </c>
      <c r="C81" t="inlineStr">
        <is>
          <t>Amazon.com</t>
        </is>
      </c>
      <c r="D81" t="inlineStr">
        <is>
          <t>indeed</t>
        </is>
      </c>
      <c r="E81" t="inlineStr"/>
      <c r="F81" t="inlineStr"/>
      <c r="G81" t="inlineStr">
        <is>
          <t>Los Angeles, CA, US</t>
        </is>
      </c>
      <c r="H81" s="2" t="n">
        <v>45851</v>
      </c>
      <c r="I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in-eb9f3f46022983b3</t>
        </is>
      </c>
      <c r="B82" t="inlineStr">
        <is>
          <t>Sr. Applied Scientist, Amazon Advertising</t>
        </is>
      </c>
      <c r="C82" t="inlineStr">
        <is>
          <t>Amazon.com</t>
        </is>
      </c>
      <c r="D82" t="inlineStr">
        <is>
          <t>indeed</t>
        </is>
      </c>
      <c r="E82" t="inlineStr"/>
      <c r="F82" t="inlineStr"/>
      <c r="G82" t="inlineStr">
        <is>
          <t>New York, NY, US</t>
        </is>
      </c>
      <c r="H82" s="2" t="n">
        <v>45851</v>
      </c>
      <c r="I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in-beb987b9800d2af2</t>
        </is>
      </c>
      <c r="B83" t="inlineStr">
        <is>
          <t>Sr. Applied Scientist, Amazon Advertising</t>
        </is>
      </c>
      <c r="C83" t="inlineStr">
        <is>
          <t>Amazon.com</t>
        </is>
      </c>
      <c r="D83" t="inlineStr">
        <is>
          <t>indeed</t>
        </is>
      </c>
      <c r="E83" t="inlineStr"/>
      <c r="F83" t="inlineStr"/>
      <c r="G83" t="inlineStr">
        <is>
          <t>West Hollywood, CA, US</t>
        </is>
      </c>
      <c r="H83" s="2"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in-05f86df02df9721a</t>
        </is>
      </c>
      <c r="B84" t="inlineStr">
        <is>
          <t>Sr. Applied Scientist, Amazon Advertising</t>
        </is>
      </c>
      <c r="C84" t="inlineStr">
        <is>
          <t>Amazon.com</t>
        </is>
      </c>
      <c r="D84" t="inlineStr">
        <is>
          <t>indeed</t>
        </is>
      </c>
      <c r="E84" t="inlineStr"/>
      <c r="F84" t="inlineStr"/>
      <c r="G84" t="inlineStr">
        <is>
          <t>Seattle, WA, US</t>
        </is>
      </c>
      <c r="H84" s="2" t="n">
        <v>45851</v>
      </c>
      <c r="I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in-eddae9535459193a</t>
        </is>
      </c>
      <c r="B85" t="inlineStr">
        <is>
          <t>Applied Scientist, Prime Video - Personalization and Discovery Science</t>
        </is>
      </c>
      <c r="C85" t="inlineStr">
        <is>
          <t>Amazon.com</t>
        </is>
      </c>
      <c r="D85" t="inlineStr">
        <is>
          <t>indeed</t>
        </is>
      </c>
      <c r="E85" t="inlineStr"/>
      <c r="F85" t="inlineStr"/>
      <c r="G85" t="inlineStr">
        <is>
          <t>New York, NY, US</t>
        </is>
      </c>
      <c r="H85" s="2" t="n">
        <v>45845</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in-cce307871cdc4878</t>
        </is>
      </c>
      <c r="B86" t="inlineStr">
        <is>
          <t>Applied Scientist, Prime Video - Personalization and Discovery Science</t>
        </is>
      </c>
      <c r="C86" t="inlineStr">
        <is>
          <t>Amazon.com</t>
        </is>
      </c>
      <c r="D86" t="inlineStr">
        <is>
          <t>indeed</t>
        </is>
      </c>
      <c r="E86" t="inlineStr"/>
      <c r="F86" t="inlineStr"/>
      <c r="G86" t="inlineStr">
        <is>
          <t>Seattle, WA, US</t>
        </is>
      </c>
      <c r="H86" s="2" t="n">
        <v>45845</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in-7af6cfdfd226df01</t>
        </is>
      </c>
      <c r="B87" t="inlineStr">
        <is>
          <t>Applied Scientist, Prime Video - Personalization and Discovery Science</t>
        </is>
      </c>
      <c r="C87" t="inlineStr">
        <is>
          <t>Amazon.com</t>
        </is>
      </c>
      <c r="D87" t="inlineStr">
        <is>
          <t>indeed</t>
        </is>
      </c>
      <c r="E87" t="inlineStr"/>
      <c r="F87" t="inlineStr"/>
      <c r="G87" t="inlineStr">
        <is>
          <t>Sunnyvale, CA, US</t>
        </is>
      </c>
      <c r="H87" s="2" t="n">
        <v>45845</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in-9c9a6f07e1b0b6cd</t>
        </is>
      </c>
      <c r="B88" t="inlineStr">
        <is>
          <t>Senior Applied Scientist, Artificial General Intelligence</t>
        </is>
      </c>
      <c r="C88" t="inlineStr">
        <is>
          <t>Amazon.com</t>
        </is>
      </c>
      <c r="D88" t="inlineStr">
        <is>
          <t>indeed</t>
        </is>
      </c>
      <c r="E88" t="inlineStr"/>
      <c r="F88" t="inlineStr"/>
      <c r="G88" t="inlineStr">
        <is>
          <t>Sunnyvale, CA, US</t>
        </is>
      </c>
      <c r="H88" s="2" t="n">
        <v>45838</v>
      </c>
      <c r="I8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in-df85b2cbaeb3c94c</t>
        </is>
      </c>
      <c r="B89" t="inlineStr">
        <is>
          <t>Senior Applied Scientist, Artificial General Intelligence</t>
        </is>
      </c>
      <c r="C89" t="inlineStr">
        <is>
          <t>Amazon.com</t>
        </is>
      </c>
      <c r="D89" t="inlineStr">
        <is>
          <t>indeed</t>
        </is>
      </c>
      <c r="E89" t="inlineStr"/>
      <c r="F89" t="inlineStr"/>
      <c r="G89" t="inlineStr">
        <is>
          <t>New York, NY, US</t>
        </is>
      </c>
      <c r="H89" s="2" t="n">
        <v>45838</v>
      </c>
      <c r="I8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in-ed2428d6593d713d</t>
        </is>
      </c>
      <c r="B90" t="inlineStr">
        <is>
          <t>Senior Applied Scientist, Artificial General Intelligence</t>
        </is>
      </c>
      <c r="C90" t="inlineStr">
        <is>
          <t>Amazon.com</t>
        </is>
      </c>
      <c r="D90" t="inlineStr">
        <is>
          <t>indeed</t>
        </is>
      </c>
      <c r="E90" t="inlineStr"/>
      <c r="F90" t="inlineStr"/>
      <c r="G90" t="inlineStr">
        <is>
          <t>Boston, MA, US</t>
        </is>
      </c>
      <c r="H90" s="2" t="n">
        <v>45838</v>
      </c>
      <c r="I9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in-e2e45195be216703</t>
        </is>
      </c>
      <c r="B91" t="inlineStr">
        <is>
          <t>Sr. Applied Scientist, Sales AI</t>
        </is>
      </c>
      <c r="C91" t="inlineStr">
        <is>
          <t>Amazon.com</t>
        </is>
      </c>
      <c r="D91" t="inlineStr">
        <is>
          <t>indeed</t>
        </is>
      </c>
      <c r="E91" t="inlineStr"/>
      <c r="F91" t="inlineStr"/>
      <c r="G91" t="inlineStr">
        <is>
          <t>Sunnyvale, CA, US</t>
        </is>
      </c>
      <c r="H91" s="2" t="n">
        <v>45830</v>
      </c>
      <c r="I9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in-80912e0bc7912984</t>
        </is>
      </c>
      <c r="B92" t="inlineStr">
        <is>
          <t>Sr. Applied Scientist, Sales AI</t>
        </is>
      </c>
      <c r="C92" t="inlineStr">
        <is>
          <t>Amazon.com</t>
        </is>
      </c>
      <c r="D92" t="inlineStr">
        <is>
          <t>indeed</t>
        </is>
      </c>
      <c r="E92" t="inlineStr"/>
      <c r="F92" t="inlineStr"/>
      <c r="G92" t="inlineStr">
        <is>
          <t>New York, NY, US</t>
        </is>
      </c>
      <c r="H92" s="2" t="n">
        <v>45830</v>
      </c>
      <c r="I9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in-a087a68b76b67975</t>
        </is>
      </c>
      <c r="B93" t="inlineStr">
        <is>
          <t>Sr. Applied Scientist, Sales AI</t>
        </is>
      </c>
      <c r="C93" t="inlineStr">
        <is>
          <t>Amazon.com</t>
        </is>
      </c>
      <c r="D93" t="inlineStr">
        <is>
          <t>indeed</t>
        </is>
      </c>
      <c r="E93" t="inlineStr"/>
      <c r="F93" t="inlineStr"/>
      <c r="G93" t="inlineStr">
        <is>
          <t>Seattle, WA, US</t>
        </is>
      </c>
      <c r="H93" s="2" t="n">
        <v>45830</v>
      </c>
      <c r="I9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in-ddfec9158b64d271</t>
        </is>
      </c>
      <c r="B94" t="inlineStr">
        <is>
          <t>Principal Applied Scientist, Delivery Foundation Model</t>
        </is>
      </c>
      <c r="C94" t="inlineStr">
        <is>
          <t>Amazon.com</t>
        </is>
      </c>
      <c r="D94" t="inlineStr">
        <is>
          <t>indeed</t>
        </is>
      </c>
      <c r="E94" t="inlineStr"/>
      <c r="F94" t="inlineStr"/>
      <c r="G94" t="inlineStr">
        <is>
          <t>Bellevue, WA, US</t>
        </is>
      </c>
      <c r="H94" s="2" t="n">
        <v>45810</v>
      </c>
      <c r="I9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in-6200ac494c728cc8</t>
        </is>
      </c>
      <c r="B95" t="inlineStr">
        <is>
          <t>Principal Applied Scientist, Delivery Foundation Model</t>
        </is>
      </c>
      <c r="C95" t="inlineStr">
        <is>
          <t>Amazon.com</t>
        </is>
      </c>
      <c r="D95" t="inlineStr">
        <is>
          <t>indeed</t>
        </is>
      </c>
      <c r="E95" t="inlineStr"/>
      <c r="F95" t="inlineStr"/>
      <c r="G95" t="inlineStr">
        <is>
          <t>New York, NY, US</t>
        </is>
      </c>
      <c r="H95" s="2" t="n">
        <v>45810</v>
      </c>
      <c r="I9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in-21b0bdfbe27b7d0f</t>
        </is>
      </c>
      <c r="B96" t="inlineStr">
        <is>
          <t>Principal Applied Scientist, Delivery Foundation Model</t>
        </is>
      </c>
      <c r="C96" t="inlineStr">
        <is>
          <t>Amazon.com</t>
        </is>
      </c>
      <c r="D96" t="inlineStr">
        <is>
          <t>indeed</t>
        </is>
      </c>
      <c r="E96" t="inlineStr"/>
      <c r="F96" t="inlineStr"/>
      <c r="G96" t="inlineStr">
        <is>
          <t>Santa Clara, CA, US</t>
        </is>
      </c>
      <c r="H96" s="2" t="n">
        <v>45810</v>
      </c>
      <c r="I9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in-2abe29c9a18c813f</t>
        </is>
      </c>
      <c r="B97" t="inlineStr">
        <is>
          <t>Principal Applied Scientist, Delivery Foundation Model</t>
        </is>
      </c>
      <c r="C97" t="inlineStr">
        <is>
          <t>Amazon.com</t>
        </is>
      </c>
      <c r="D97" t="inlineStr">
        <is>
          <t>indeed</t>
        </is>
      </c>
      <c r="E97" t="inlineStr"/>
      <c r="F97" t="inlineStr"/>
      <c r="G97" t="inlineStr">
        <is>
          <t>Austin, TX, US</t>
        </is>
      </c>
      <c r="H97" s="2" t="n">
        <v>45810</v>
      </c>
      <c r="I9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in-5564c40cdc60ed30</t>
        </is>
      </c>
      <c r="B98" t="inlineStr">
        <is>
          <t>Senior Applied Scientist, Delivery Foundation Model</t>
        </is>
      </c>
      <c r="C98" t="inlineStr">
        <is>
          <t>Amazon.com</t>
        </is>
      </c>
      <c r="D98" t="inlineStr">
        <is>
          <t>indeed</t>
        </is>
      </c>
      <c r="E98" t="inlineStr"/>
      <c r="F98" t="inlineStr"/>
      <c r="G98" t="inlineStr">
        <is>
          <t>Santa Clara, CA, US</t>
        </is>
      </c>
      <c r="H98" s="2" t="n">
        <v>45806</v>
      </c>
      <c r="I9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in-d26c6fbcad0004d2</t>
        </is>
      </c>
      <c r="B99" t="inlineStr">
        <is>
          <t>Senior Applied Scientist, Delivery Foundation Model</t>
        </is>
      </c>
      <c r="C99" t="inlineStr">
        <is>
          <t>Amazon.com</t>
        </is>
      </c>
      <c r="D99" t="inlineStr">
        <is>
          <t>indeed</t>
        </is>
      </c>
      <c r="E99" t="inlineStr"/>
      <c r="F99" t="inlineStr"/>
      <c r="G99" t="inlineStr">
        <is>
          <t>New York, NY, US</t>
        </is>
      </c>
      <c r="H99" s="2" t="n">
        <v>45806</v>
      </c>
      <c r="I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in-bf8dcacb598e8915</t>
        </is>
      </c>
      <c r="B100" t="inlineStr">
        <is>
          <t>Senior Applied Scientist, Delivery Foundation Model</t>
        </is>
      </c>
      <c r="C100" t="inlineStr">
        <is>
          <t>Amazon.com</t>
        </is>
      </c>
      <c r="D100" t="inlineStr">
        <is>
          <t>indeed</t>
        </is>
      </c>
      <c r="E100" t="inlineStr"/>
      <c r="F100" t="inlineStr"/>
      <c r="G100" t="inlineStr">
        <is>
          <t>Bellevue, WA, US</t>
        </is>
      </c>
      <c r="H100" s="2" t="n">
        <v>45806</v>
      </c>
      <c r="I10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in-7d8c984822ab2bdc</t>
        </is>
      </c>
      <c r="B101" t="inlineStr">
        <is>
          <t>Principal Applied Scientist, Delivery Foundation Model</t>
        </is>
      </c>
      <c r="C101" t="inlineStr">
        <is>
          <t>Amazon.com</t>
        </is>
      </c>
      <c r="D101" t="inlineStr">
        <is>
          <t>indeed</t>
        </is>
      </c>
      <c r="E101" t="inlineStr"/>
      <c r="F101" t="inlineStr"/>
      <c r="G101" t="inlineStr">
        <is>
          <t>New York, NY, US</t>
        </is>
      </c>
      <c r="H101" s="2" t="n">
        <v>45757</v>
      </c>
      <c r="I1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in-52381f26059b8aab</t>
        </is>
      </c>
      <c r="B102" t="inlineStr">
        <is>
          <t>Principal Applied Scientist, Delivery Foundation Model</t>
        </is>
      </c>
      <c r="C102" t="inlineStr">
        <is>
          <t>Amazon.com</t>
        </is>
      </c>
      <c r="D102" t="inlineStr">
        <is>
          <t>indeed</t>
        </is>
      </c>
      <c r="E102" t="inlineStr"/>
      <c r="F102" t="inlineStr"/>
      <c r="G102" t="inlineStr">
        <is>
          <t>Bellevue, WA, US</t>
        </is>
      </c>
      <c r="H102" s="2" t="n">
        <v>45757</v>
      </c>
      <c r="I1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in-cb78ecb49f30c54f</t>
        </is>
      </c>
      <c r="B103" t="inlineStr">
        <is>
          <t>Principal Applied Scientist, Delivery Foundation Model</t>
        </is>
      </c>
      <c r="C103" t="inlineStr">
        <is>
          <t>Amazon.com</t>
        </is>
      </c>
      <c r="D103" t="inlineStr">
        <is>
          <t>indeed</t>
        </is>
      </c>
      <c r="E103" t="inlineStr"/>
      <c r="F103" t="inlineStr"/>
      <c r="G103" t="inlineStr">
        <is>
          <t>Santa Clara, CA, US</t>
        </is>
      </c>
      <c r="H103" s="2" t="n">
        <v>45757</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in-63d53d63720fa5d0</t>
        </is>
      </c>
      <c r="B104" t="inlineStr">
        <is>
          <t>Principal Applied Scientist, FAR (Frontier AI &amp; Robotics)</t>
        </is>
      </c>
      <c r="C104" t="inlineStr">
        <is>
          <t>Amazon.com</t>
        </is>
      </c>
      <c r="D104" t="inlineStr">
        <is>
          <t>indeed</t>
        </is>
      </c>
      <c r="E104" t="inlineStr"/>
      <c r="F104" t="inlineStr"/>
      <c r="G104" t="inlineStr">
        <is>
          <t>San Francisco, CA, US</t>
        </is>
      </c>
      <c r="H104" s="2" t="n">
        <v>45740</v>
      </c>
      <c r="I10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in-4170ab01d12cc46b</t>
        </is>
      </c>
      <c r="B105" t="inlineStr">
        <is>
          <t>Principal Applied Scientist, FAR (Frontier AI &amp; Robotics)</t>
        </is>
      </c>
      <c r="C105" t="inlineStr">
        <is>
          <t>Amazon.com</t>
        </is>
      </c>
      <c r="D105" t="inlineStr">
        <is>
          <t>indeed</t>
        </is>
      </c>
      <c r="E105" t="inlineStr"/>
      <c r="F105" t="inlineStr"/>
      <c r="G105" t="inlineStr">
        <is>
          <t>Seattle, WA, US</t>
        </is>
      </c>
      <c r="H105" s="2" t="n">
        <v>45740</v>
      </c>
      <c r="I10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in-a506f42b545b7da9</t>
        </is>
      </c>
      <c r="B106" t="inlineStr">
        <is>
          <t>AI Engineer/ San Fracisco, CA locals only/Full time</t>
        </is>
      </c>
      <c r="C106" t="inlineStr">
        <is>
          <t>veritis group inc</t>
        </is>
      </c>
      <c r="D106" t="inlineStr">
        <is>
          <t>indeed</t>
        </is>
      </c>
      <c r="E106" t="inlineStr"/>
      <c r="F106" t="inlineStr"/>
      <c r="G106" t="inlineStr">
        <is>
          <t>San Francisco, CA, US</t>
        </is>
      </c>
      <c r="H106" s="2" t="n">
        <v>46055</v>
      </c>
      <c r="I106" t="inlineStr">
        <is>
          <t>**AI Engineer** Location: Hybrid/On\-site (San Francisco Bay Area, CA preferred)
**Role Overview** We're seeking a hands\-on AI Engineer who builds production\-ready AI systems, not research prototypes. You'll optimize our AI ingestion pipeline for more accurate, responsive agentic behavior, deploy high\-performance models on GPU infrastructure using our Trident architecture, and maintain robust MLOps workflows from training through production deployment. This is for engineers who ship code, not just notebooks.  **Key Responsibilities**
* Enhance AI Pipeline Accuracy: Improve our data ingestion and processing pipeline to deliver more accurate responses and sophisticated agentic behaviors in production applications.
* GPU\-Optimized Model Deployment: Deploy and optimize AI models on high\-performance GPU infrastructure using our Trident architecture, ensuring efficient training, inference, and scaling.
* Production MLOps: Build and maintain end\-to\-end MLOps pipelines including RAG systems, model distillation, fine\-tuning workflows, training orchestration, and production inference deployment.
* Data Model Engineering: Design and implement robust data models and processing workflows that power our AI persona capabilities.
* Infrastructure \&amp; DevOps: Create production\-grade CI/CD pipelines, containerization (Docker), comprehensive logging systems, and monitoring for AI model performance.
* Real Production Deployment: Take AI systems from development through production deployment, focusing on reliability, performance, and operational excellence.
**Required Technical Skills** Core Programming (Non\-negotiable):
* Python (primary language for AI/ML work)
* Strong proficiency in C\+\+, Java, or C\# for performance\-critical components
* Data modeling and processing at production scale
**AI/ML Production Stack:**
* RAG Pipeline development and optimization
* MLOps workflows: training, inference, model lifecycle management
* Model distillation and fine\-tuning techniques for production deployment
* Experience deploying models to GPU infrastructure (Trident or similar architectures)
**Production Engineering:**
* CI/CD pipeline creation and management
* Docker containerization and microservices architecture
* Production logging, monitoring, and observability
* Experience scaling AI systems in real production environments
**What We DO Want**
* 3\-5 years of production AI/ML engineering experience
* Engineers from mid\-sized companies who have successfully deployed AI systems at scale
* Proven track record of building, deploying, and maintaining ML systems in production
* Experience optimizing AI systems for performance, cost, and reliability
* Strong system design and architecture skills for scalable AI applications
**Sample Projects You'll Own**
* Optimize our RAG pipeline for improved accuracy and response quality
* Deploy and scale transformer models on our Trident GPU architecture
* Build MLOps workflows for continuous model training and deployment
* Design data processing systems for multi\-modal AI persona training
* Create monitoring and alerting systems for production AI model performance
Job Type: Full\-time
Pay: $102,465\.01 \- $123,398\.72 per year
Work Location: On the road</t>
        </is>
      </c>
    </row>
    <row r="107">
      <c r="A107" t="inlineStr">
        <is>
          <t>in-f9d009b6a320e906</t>
        </is>
      </c>
      <c r="B107" t="inlineStr">
        <is>
          <t>Senior Principal Enterprise Architect - Principal AI/ML Engineer</t>
        </is>
      </c>
      <c r="C107" t="inlineStr">
        <is>
          <t>Truist</t>
        </is>
      </c>
      <c r="D107" t="inlineStr">
        <is>
          <t>indeed</t>
        </is>
      </c>
      <c r="E107" t="inlineStr"/>
      <c r="F107" t="inlineStr"/>
      <c r="G107" t="inlineStr">
        <is>
          <t>US</t>
        </is>
      </c>
      <c r="H107" s="2" t="n">
        <v>46054</v>
      </c>
      <c r="I10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America)**Please review the following job description:**
Teammate reports to the division head of enterprise architecture for EA division such a commercial banking and is accountable for a squad (squad (e.g. Lending, Insurance, Mortgage, Security, Platform, Cloud, Payments, Online Banking, etc.). He/She will focus on business capabilities, application/platforms/system architecture elements enterprise wide. Leads in the development of enterprise architecture standards, enforcement and compliance. Applies advanced knowledge of the business and IT architecture principles to identify and evaluate alternatives solutions. Leads the selection of methodologies, tools, and components of total IT solutions. Provides guidance and support for SA's to implement complex architectural strategy and direction of multiple and diverse application / data/network disciplines on a variety of multi\-platform systems.
Develops business\-system architecture plans and reviews cost and feasibility of system requests while ensuring the plan supports the strategic needs of the company. Interprets internal/ external business challenges and recommends best practices. Uses sophisticated analytical thought to exercise judgment and identify innovative solutions. Mentors less experienced teammates to build technical expertise.
As a Principal AI/ML Engineer, you will serve as a hands‑on technical authority driving the architecture, design, and delivery of next‑generation AI systems across AWS and Azure. You will shape multi‑agent architectures, guide ML platform strategy, and partner with senior engineering, product, and enterprise leaders to define how AI is built and deployed at scale. This role balances deep technical execution with cross‑org influence, thought leadership, and coaching of engineering teams.**ESSENTIAL DUTIES AND RESPONSIBILITIES**
Following is a summary of the essential functions for this job. Other duties may be performed, both major and minor, which are not mentioned below. Specific activities may change from time to time.
* Top\-down enterprise design with focus on business model, digital transformation and innovation i.e. collaborate with business owners, technology leaders and risk partners to draft the tech strategy, reflecting the corporate objectives/strategy  
IT Landscape design in the context of business capabilities of the organization supporting enterprise objective, cost and risk reduction
* Lead cross cutting enterprise solution design that span across multiple CIOs and domains
* Set strategic direction for the assigned major business division in alignment with the Business Strategy and Technology standards and provide thought leadership in the development of an enterprise strategic IT plan.
* Maintain a high level of awareness and understanding of existing and emerging technologies, as well as industry and bank issues, to effectively match them.
* End to end accountability to review and approve design solutions that best meet the business needs of the enterprise, with a primary focus on innovation.
* Lead or "jump start" initiatives deemed critical to IT Services and Truist's success
* Provide thought leadership in new technology innovation, incubation, introduction and implementation critical to Truist's technology and business strategy roadmaps and ongoing success
* Architect and lead the development of complex, distributed AI/ML systems leveraging AWS AgentCore for agentic workflows and Azure Service Fabric for resilient microservice‑based execution models.
* Own the end‑to‑end design of enterprise‑grade LLM agents, multi\-agent systems, RAG frameworks, and tool‑augmented pipelines that integrate with heterogeneous data and application ecosystems.
* Define the technical vision for scalable AI infrastructures across AWS and Azure, including data platforms, orchestration frameworks, container environments, and secure production deployment patterns.
* Direct and oversee large‑scale model lifecycle initiatives: feature engineering, training, evaluation, deployment, observability, drift detection, and continuous improvement.
* Create standards and reusable architecture patterns for AgentCore‑based agent workflows, vector stores, prompt‑chain orchestration, and secure model interactions.
* Provide senior‑level guidance on model optimization, fine‑tuning, distributed training, inference acceleration, and cost governance across multi‑cloud environments.
* Lead technical due diligence, platform evaluations, and strategic recommendations for AI modernization and enterprise adoption.
* Establish CI/CD and MLOps best practices using AWS CodePipeline, SageMaker Pipelines, Azure ML Ops, and cloud‑native container platforms.
* Drive innovation through experimentation, POCs, and emerging model integration, acting as a thought leader for advanced AI engineering across the organization.
Note: The difference between Sr. Principal Enterprise Architect and Sr. Enterprise Architect is scope, years of experience, and complexity of the business line and related technologies.
 **QUALIFICATIONS**  
**Required Qualifications:**  
1\. Bachelor's degree in Business or IT, or equivalent education and related training  
2\. Recognized professional in their field of expertise. Likely to be published, hold advanced degrees and/or contributed in the advancement of their area(s) of study outside the company and across industry.  
3\. Fifteen years of architecture/design/delivery experience which includes ten years of enterprise architecture experience or fifteen years' solution architecture experience in technology and security, and ten years of banking/financial business domain  
4\. Comprehensive experience with various architectural domains such as application, data, infrastructure, security and integration  
5\. Strong analytical and broad architectural skills  
6\. Strong verbal and written communication skills  
7\. Strong negotiation/facilitation skills  
8\. Significant knowledge of current and emerging architecture principles, methodologies and tools  
9\. Experience as negotiator with vendors for relevant products and services  
10\. Demonstrated competency in strategic thinking with ability to differentiate feasible from academic solutions  
11\. Demonstrated thought\-leadership skills with the ability to translate high\-level business planning information into application needs/solutions  
12\. Demonstrated proficiency in basic computer applications, such as Microsoft Office software products  
13\. Ability to travel, occasionally overnight
**OTHER JOB REQUIREMENTS / WORKING CONDITIONS**
**Preferred Qualifications**
1\. Master's degree in field such as Finance, Mathematics, Analytics, Data Science, Computer Science, or Engineering.
2\. Prior experience shaping AI platform strategy or serving as a principal or staff‑level engineer in a large enterprise environment.
3\. Experience with Azure ML, AWS SageMaker, Databricks MLflow, or cross‑cloud distributed training frameworks.
4\. Exposure to enterprise security, compliance frameworks, and responsible AI practices.
5\. Industry publications, patents, OSS contributions, or conference presentations in AI/ML or distributed systems.
6\. Demonstrated expertise in designing and shipping enterprise AI systems using AWS AgentCore and developing distributed solutions with Azure Service Fabric.
7\. Deep proficiency in Python and modern ML ecosystems (HuggingFace, PyTorch, TensorFlow) and proven experience deploying LLMs and multi\-agent architectures.
8\. Mastery of cloud\-native design patterns, microservices, containerization (Docker), orchestration (Kubernetes/EKS/AKS), and event\-driven architectures.
9\. Advanced experience with RAG pipelines, vector databases (FAISS, Pinecone, OpenSearch), and production‑ready retrieval systems.
10\. Strong MLOps background, including automated training, CI/CD for ML, model observability, and governance controls.
11\. Ability to influence across organizations, drive consensus on architecture decisions, and lead complex technical programs end‑to‑end.
**OTHER JOB REQUIREMENTS / WORKING CONDITIONS**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25%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08">
      <c r="A108" t="inlineStr">
        <is>
          <t>in-efcdbc38eee8089f</t>
        </is>
      </c>
      <c r="B108" t="inlineStr">
        <is>
          <t>Gen AI Engineer</t>
        </is>
      </c>
      <c r="C108" t="inlineStr">
        <is>
          <t>L&amp;T Technology Services Ltd.</t>
        </is>
      </c>
      <c r="D108" t="inlineStr">
        <is>
          <t>indeed</t>
        </is>
      </c>
      <c r="E108" t="inlineStr"/>
      <c r="F108" t="inlineStr"/>
      <c r="G108" t="inlineStr">
        <is>
          <t>Irvine, CA, US</t>
        </is>
      </c>
      <c r="H108" s="2" t="n">
        <v>46049</v>
      </c>
      <c r="I108" t="inlineStr">
        <is>
          <t>LTTS US Branch
Irvine, California
**Job Description**
Job Description \&amp; Skill Requirement:  
Job Description: Gen AI Engineer  
Responsibilities  
* Bachelor of Science in Computer Engineering with a minimum of 2 years of experience in AI projects
* Thorough knowledge of Jira, RAG system and Vector Database, Google Gemini devices pack
* Good Working experience as a Programmer using Python Software
* Very good proficiency in requirement Management and tracking progress on daily basis
* Knowledge of Mechanical system DV plan and validation reports
* Ability to create data base by chunking engineering documents
* Problem skills and ability to find root case and bug fixing on timely manner
* Relevant experience in LLM API Integration and AI usages guidelines
* Knowledge and understanding of document processing from PDF, Word, and Excel
* Prepare and maintain project timeline
Qualification:  
Bachelor's Degree in Engineering  
"LTTS is an Equal Opportunity Employer and maintains a clear policy against discrimination based on age, disability, sex, race, religion or belief, gender reassignment, marriage/civil partnership, pregnancy/maternity, or sexual orientation. As an inclusive organization, we actively endorse equal opportunities for all candidates with the right mix of talent, skills, and potential. We encourage applications from a diverse pool of candidates and selection for roles will solely be based on individual merit."  
"L\&amp;T Technology Services LTD is an equal opportunity employer and is committed to providing reasonable accommodations to qualified individuals with disabilities. If you require any accommodations to participate in the recruitment process or to perform the essential functions of the job, please let us know. We will work with you to provide reasonable accommodations in accordance with applicable law."**Job Requirement**
Skills: Knowledge of Automotive systems validation  
Requirement Management  
Knowledge of Python  
LLM Integration  
Job Description \&amp; Skill Requirement:  
Job Description: Gen AI Engineer  
Responsibilities  
* Bachelor of Science in Computer Engineering with a minimum of 2 years of experience in AI projects
* Thorough knowledge of Jira, RAG system and Vector Database, Google Gemini devices pack
* Good Working experience as a Programmer using Python Software
* Very good proficiency in requirement Management and tracking progress on daily basis
* Knowledge of Mechanical system DV plan and validation reports
* Ability to create data base by chunking engineering documents
* Problem skills and ability to find root case and bug fixing on timely manner
* Relevant experience in LLM API Integration and AI usages guidelines
* Knowledge and understanding of document processing from PDF, Word, and Excel
* Prepare and maintain project timeline
Qualification:  
Bachelor's Degree in Engineering  
"LTTS is an Equal Opportunity Employer and maintains a clear policy against discrimination based on age, disability, sex, race, religion or belief, gender reassignment, marriage/civil partnership, pregnancy/maternity, or sexual orientation. As an inclusive organization, we actively endorse equal opportunities for all candidates with the right mix of talent, skills, and potential. We encourage applications from a diverse pool of candidates and selection for roles will solely be based on individual merit."  
"L\&amp;T Technology Services LTD is an equal opportunity employer and is committed to providing reasonable accommodations to qualified individuals with disabilities. If you require any accommodations to participate in the recruitment process or to perform the essential functions of the job, please let us know. We will work with you to provide reasonable accommodations in accordance with applicable law."</t>
        </is>
      </c>
    </row>
    <row r="109">
      <c r="A109" t="inlineStr">
        <is>
          <t>in-0439be99c6d91d1f</t>
        </is>
      </c>
      <c r="B109" t="inlineStr">
        <is>
          <t>Machine Learning Engineer, WWPS ProServe Data and Machine Learning</t>
        </is>
      </c>
      <c r="C109" t="inlineStr">
        <is>
          <t>Amazon Web Services</t>
        </is>
      </c>
      <c r="D109" t="inlineStr">
        <is>
          <t>indeed</t>
        </is>
      </c>
      <c r="E109" t="inlineStr"/>
      <c r="F109" t="inlineStr"/>
      <c r="G109" t="inlineStr">
        <is>
          <t>Arlington, VA, US</t>
        </is>
      </c>
      <c r="H109" s="2" t="n">
        <v>46044</v>
      </c>
      <c r="I10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0">
      <c r="A110" t="inlineStr">
        <is>
          <t>in-e510e8cd7a9f90b1</t>
        </is>
      </c>
      <c r="B110" t="inlineStr">
        <is>
          <t>Machine Learning Engineer, WWPS ProServe Data and Machine Learning</t>
        </is>
      </c>
      <c r="C110" t="inlineStr">
        <is>
          <t>Amazon Web Services</t>
        </is>
      </c>
      <c r="D110" t="inlineStr">
        <is>
          <t>indeed</t>
        </is>
      </c>
      <c r="E110" t="inlineStr"/>
      <c r="F110" t="inlineStr"/>
      <c r="G110" t="inlineStr">
        <is>
          <t>Herndon, VA, US</t>
        </is>
      </c>
      <c r="H110" s="2" t="n">
        <v>46044</v>
      </c>
      <c r="I11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1">
      <c r="A111" t="inlineStr">
        <is>
          <t>in-60bf744c93f83a8b</t>
        </is>
      </c>
      <c r="B111" t="inlineStr">
        <is>
          <t>Machine Learning Engineer, WWPS ProServe Data and Machine Learning</t>
        </is>
      </c>
      <c r="C111" t="inlineStr">
        <is>
          <t>Amazon Web Services</t>
        </is>
      </c>
      <c r="D111" t="inlineStr">
        <is>
          <t>indeed</t>
        </is>
      </c>
      <c r="E111" t="inlineStr"/>
      <c r="F111" t="inlineStr"/>
      <c r="G111" t="inlineStr">
        <is>
          <t>Arlington, VA, US</t>
        </is>
      </c>
      <c r="H111" s="2" t="n">
        <v>46043</v>
      </c>
      <c r="I111"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2">
      <c r="A112" t="inlineStr">
        <is>
          <t>in-32fb99d2946f6e76</t>
        </is>
      </c>
      <c r="B112" t="inlineStr">
        <is>
          <t>Machine Learning Engineer, WWPS ProServe Data and Machine Learning</t>
        </is>
      </c>
      <c r="C112" t="inlineStr">
        <is>
          <t>Amazon Web Services</t>
        </is>
      </c>
      <c r="D112" t="inlineStr">
        <is>
          <t>indeed</t>
        </is>
      </c>
      <c r="E112" t="inlineStr"/>
      <c r="F112" t="inlineStr"/>
      <c r="G112" t="inlineStr">
        <is>
          <t>Herndon, VA, US</t>
        </is>
      </c>
      <c r="H112" s="2" t="n">
        <v>46043</v>
      </c>
      <c r="I112"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3">
      <c r="A113" t="inlineStr">
        <is>
          <t>in-fc1aeb9de0c3c27a</t>
        </is>
      </c>
      <c r="B113" t="inlineStr">
        <is>
          <t>Applied Scientist, Alexa Smart Home</t>
        </is>
      </c>
      <c r="C113" t="inlineStr">
        <is>
          <t>Amazon.com</t>
        </is>
      </c>
      <c r="D113" t="inlineStr">
        <is>
          <t>indeed</t>
        </is>
      </c>
      <c r="E113" t="inlineStr"/>
      <c r="F113" t="inlineStr"/>
      <c r="G113" t="inlineStr">
        <is>
          <t>Sunnyvale, CA, US</t>
        </is>
      </c>
      <c r="H113" s="2" t="n">
        <v>46033</v>
      </c>
      <c r="I11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14">
      <c r="A114" t="inlineStr">
        <is>
          <t>in-d074f8c34c11e971</t>
        </is>
      </c>
      <c r="B114" t="inlineStr">
        <is>
          <t>Applied Scientist, Alexa Smart Home</t>
        </is>
      </c>
      <c r="C114" t="inlineStr">
        <is>
          <t>Amazon.com</t>
        </is>
      </c>
      <c r="D114" t="inlineStr">
        <is>
          <t>indeed</t>
        </is>
      </c>
      <c r="E114" t="inlineStr"/>
      <c r="F114" t="inlineStr"/>
      <c r="G114" t="inlineStr">
        <is>
          <t>Seattle, WA, US</t>
        </is>
      </c>
      <c r="H114" s="2" t="n">
        <v>46033</v>
      </c>
      <c r="I11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15">
      <c r="A115" t="inlineStr">
        <is>
          <t>in-df2effe57b58fee5</t>
        </is>
      </c>
      <c r="B115" t="inlineStr">
        <is>
          <t>Identity AI / ML Engineer</t>
        </is>
      </c>
      <c r="C115" t="inlineStr">
        <is>
          <t>Openkyber</t>
        </is>
      </c>
      <c r="D115" t="inlineStr">
        <is>
          <t>indeed</t>
        </is>
      </c>
      <c r="E115">
        <f>HYPERLINK("https://www.indeed.com/viewjob?jk=df2effe57b58fee5", "https://www.indeed.com/viewjob?jk=df2effe57b58fee5")</f>
        <v/>
      </c>
      <c r="F115">
        <f>HYPERLINK("https://candidateportalnew.ceipal.com/job-details/CfvwEmw2rTpZDWO7KA50AAbl04A-Gi7LF4QM-WD3aw0#.job_boards.Indeed", "https://candidateportalnew.ceipal.com/job-details/CfvwEmw2rTpZDWO7KA50AAbl04A-Gi7LF4QM-WD3aw0#.job_boards.Indeed")</f>
        <v/>
      </c>
      <c r="G115" t="inlineStr">
        <is>
          <t>GA, US</t>
        </is>
      </c>
      <c r="H115" s="3" t="n">
        <v>46054</v>
      </c>
      <c r="I115" t="inlineStr">
        <is>
          <t>Job Overview We are seeking highly skilled and experienced Hands\-on Databricks Architect to design, build, and optimize our modern data streaming platform. This platform, built on Azure and leveraging the Databricks Lakehouse, is central to our Data Availability Initiative. It provides comprehensive data ingestion, real\-time streaming, batch processing, analytics, and AI/ML capabilities. The ideal candidate will be a technical lead with deep expertise in Databricks, Azure cloud services, and a strong understanding of data architecture principles like the Medallion Architecture and Data Mesh. This role requires a hands\-on approach to implementing solutions, driving robust data governance through Unity Catalog, and integrating advanced AI/ML models.
**Key Responsibilities:**
* Lead the architectural design, development, and implementation of scalable and robust data solutions on the Databricks Lakehouse Platform within an Azure environment.
* Design and implement a robust multi\-workspace strategy by manually configuring and automating the deployment of Development, QA, and Production Databricks environments.
* Standardize environment setup using Terraform, ensuring consistent, repeatable, and version\-controlled infrastructure across the entire SDLC.
* Architect and implement data ingestion strategies for real\-time streaming (using Debezium, Apache Kafka, Confluent Platform) and batch processing, leveraging Databricks Lake Flow and Auto Loader.
* Design and develop data pipelines following the Medallion Architecture (Lead, Bronze, Silver, Gold tiers) using Databricks Delta Live Tables (DLT) and Structured Streaming, ensuring data quality, lineage, and governance.
* Optimize Databricks clusters, Delta Lake tables, and Spark jobs for performance, scalability, and cost efficiency, including leveraging auto\-scaling, spot instances, compression, and partitioning techniques.
* Establish and enforce comprehensive data governance, security, and access control policies utilizing Databricks Unity Catalog and Azure Purview across multi tenant workspaces and business units.
* Develop and integrate MLOps pipelines using Databricks MLflow and Azure Machine Learning for model training, serving, and monitoring, including custom Large Language Model (LLM) integrations.
* Collaborate with business stakeholders to translate complex data requirements into technical designs and scalable solutions.
* Implement CI/CD practices for Databricks solutions using Databricks Asset Bundles, Terraform, GitHub, and GitHub Actions, ensuring automated deployment and version control.
* Integrate data from diverse sources including SQL databases (PostgreSQL, SQL Server), MongoDB, Snowflake, and various flat/multimedia files into the data platform.
* Design and implement API\-first data consumption patterns, serverless functions (Azure Functions), and application integrations for various data products and real time services.
* Provide technical leadership, mentorship, and best practices to data engineering and development teams.
* Contribute to the continuous evolution of the data platform, incorporating future considerations such as the Databricks Ingestion Gateway, advanced AI integration, and Data Mesh evolution.
**Required Skills:** Databricks Lakehouse, Apache Spark, Delta Live Tables (DLT), Auto Loader, Microsoft Azure, ADLS Gen2, Azure Functions, Azure Machine Learning, Apache Kafka, Confluent Platform, Debezium (CDC), Databricks Unity Catalog, Azure Purview, Python, SQL, Scala, Databricks Asset Bundles, Terraform, GitHub Actions, Medallion Architecture, Data Mesh, PostgreSQL, MongoDB, Snowflake, MLOps, LLM Integration, Azure Networking
**Qualifications:** Bachelor's or Master's degree in Computer Science, Data Engineering, or a related quantitative field. 8\+ years of progressive experience in data architecture, data engineering, or a related role within an enterprise environment. 5\+ years of hands\-on experience specifically with the Databricks Lakehouse Platform, including designing and implementing complex data solutions. Proven track record of successfully designing and implementing large\-scale, high performance, and cost\-optimized data platforms on Microsoft Azure. Databricks Certified Data Engineer (Associate or Professional) and/or Azure Data Engineer Associate (DP\-203\) certifications are highly desirable. Excellent communication, presentation, and interpersonal skills with the ability to influence technical and non\-technical stakeholders effectively.
**For applications and inquiries, contact:** hirings@openkyber.com</t>
        </is>
      </c>
    </row>
    <row r="116">
      <c r="A116" t="inlineStr">
        <is>
          <t>in-8079ad4e819ef002</t>
        </is>
      </c>
      <c r="B116" t="inlineStr">
        <is>
          <t>Data Architect - Data Engineer III - AI/ML Engineer</t>
        </is>
      </c>
      <c r="C116" t="inlineStr">
        <is>
          <t>Truist</t>
        </is>
      </c>
      <c r="D116" t="inlineStr">
        <is>
          <t>indeed</t>
        </is>
      </c>
      <c r="E116">
        <f>HYPERLINK("https://www.indeed.com/viewjob?jk=8079ad4e819ef002", "https://www.indeed.com/viewjob?jk=8079ad4e819ef002")</f>
        <v/>
      </c>
      <c r="F116">
        <f>HYPERLINK("https://careers.truist.com/us/en/job/TBJTBFUSR0110820EXTERNALENUS/Data-Architect-Data-Engineer-III-AI-ML-Engineer?utm_source=indeed&amp;utm_medium=phenom-feeds", "https://careers.truist.com/us/en/job/TBJTBFUSR0110820EXTERNALENUS/Data-Architect-Data-Engineer-III-AI-ML-Engineer?utm_source=indeed&amp;utm_medium=phenom-feeds")</f>
        <v/>
      </c>
      <c r="G116" t="inlineStr">
        <is>
          <t>Charlotte, NC, US</t>
        </is>
      </c>
      <c r="H116" s="3" t="n">
        <v>46054</v>
      </c>
      <c r="I11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1\. Bachelor's degree and 8\+ years of experience in a quantitative field such as Finance, Mathematics, Analytics, Data Science, Computer Science, or Engineering.  
2\. Demonstrated knowledge and skill in strategic data assets warehousing and transactional application data concepts and technology.  
3\. Proven experience with data engineering and ability to manage large data volumes.  
4\. Demonstrate understanding of data analytics life cycle methodologies including data cleansing and preparation methodologies  
5\. Strong familiarity with data extraction in a variety of environments (e.g., SQL, SAS, etc.).  
6\. Experience in managing multiple projects with tight deadlines in a collaborative environment.  
7\. Maintain a high level of competency in analytical principles, tools, and techniques.
Preferred Qualifications:
1\. Master's degree in field such as Finance, Mathematics, Analytics, Data Science, Computer Science, or Engineering.
2\. 10\+ years of experience in a quantitative field such as Finance, Mathematics, Analytics, Data Science, Computer Science or Engineering
3\. Strong foundation in Python and basic experience with ML libraries such as Scikit‑learn, TensorFlow, PyTorch, or HuggingFace.
4\. Understanding of machine learning concepts: dataset preparation, training/validation, evaluation, and inference.
5\. Familiarity with cloud fundamentals (AWS or Azure), containers (Docker), Git, and command‑line workflows.
6\. Eagerness to learn AWS AgentCore, Azure Service Fabric, and enterprise‑scale AI application development.
7\. Ability to write clean, maintainable code and follow software engineering best practices.
8\.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17">
      <c r="A117" t="inlineStr">
        <is>
          <t>in-4a3a587fa17429d1</t>
        </is>
      </c>
      <c r="B117" t="inlineStr">
        <is>
          <t>Identity AI / ML Engineer</t>
        </is>
      </c>
      <c r="C117" t="inlineStr">
        <is>
          <t>Openkyber</t>
        </is>
      </c>
      <c r="D117" t="inlineStr">
        <is>
          <t>indeed</t>
        </is>
      </c>
      <c r="E117">
        <f>HYPERLINK("https://www.indeed.com/viewjob?jk=4a3a587fa17429d1", "https://www.indeed.com/viewjob?jk=4a3a587fa17429d1")</f>
        <v/>
      </c>
      <c r="F117">
        <f>HYPERLINK("https://candidateportalnew.ceipal.com/job-details/dnLoZC0JVXWifpc8BsvllItUxz0lW9qvlqBrTz0H2dk#.job_boards.Indeed", "https://candidateportalnew.ceipal.com/job-details/dnLoZC0JVXWifpc8BsvllItUxz0lW9qvlqBrTz0H2dk#.job_boards.Indeed")</f>
        <v/>
      </c>
      <c r="G117" t="inlineStr">
        <is>
          <t>GA, US</t>
        </is>
      </c>
      <c r="H117" s="3" t="n">
        <v>46054</v>
      </c>
      <c r="I117" t="inlineStr">
        <is>
          <t>**Job Title:** Senior Python Engineer with ML \&amp; Data Analysis
**Location:** Atlanta, GA
**Duration:** / Term: 6\+ months
**Experience Desired:** 6\+ Years
**Job Description:** Design, develop, and deploy Python\-based ML solutions for large\-scale data analysis. Build ETL/data pipelines to process structured and unstructured datasets. Perform exploratory data analysis (EDA), feature engineering, and model evaluation. Collaborate with data scientists, analysts, and business teams to translate business problems into technical solutions. Optimize models for scalability, performance, and accuracy. Mentor junior engineers and review code for quality and best practices.
**Required Skills \&amp; Experience** Strong proficiency in Python (Pandas, NumPy, Scikit\-learn, FastAPI/Flask). Experience with machine learning workflows: data preprocessing, model training, evaluation, and deployment preferably using Microsoft stack \- Azure ML, Azure Data Factory, Synapse Analytics, and related Microsoft AI/ML tools. Knowledge of cloud\-based MLOps practices. Strong SQL and data modelling skills. Experience with deep learning frameworks (PyTorch, TensorFlow) is nice to have. Knowledge of containerization (Docker, Kubernetes) is nice to have
**Key Skills:** Python, ML, Pandas, NumPy, ETL, Scikit\-learn, FastAPI/Flask, PyTorch, TensorFlow
**For applications and inquiries, contact:** hirings@openkyber.com</t>
        </is>
      </c>
    </row>
    <row r="118">
      <c r="A118" t="inlineStr">
        <is>
          <t>in-f3c816987a0fd894</t>
        </is>
      </c>
      <c r="B118" t="inlineStr">
        <is>
          <t>Identity AI / ML Engineer</t>
        </is>
      </c>
      <c r="C118" t="inlineStr">
        <is>
          <t>Openkyber</t>
        </is>
      </c>
      <c r="D118" t="inlineStr">
        <is>
          <t>indeed</t>
        </is>
      </c>
      <c r="E118">
        <f>HYPERLINK("https://www.indeed.com/viewjob?jk=f3c816987a0fd894", "https://www.indeed.com/viewjob?jk=f3c816987a0fd894")</f>
        <v/>
      </c>
      <c r="F118">
        <f>HYPERLINK("https://candidateportalnew.ceipal.com/job-details/xq-fEaKh0fwY5-NPgZa1YJakEJfs_Pzc47Qi158Qdg0#.job_boards.Indeed", "https://candidateportalnew.ceipal.com/job-details/xq-fEaKh0fwY5-NPgZa1YJakEJfs_Pzc47Qi158Qdg0#.job_boards.Indeed")</f>
        <v/>
      </c>
      <c r="G118" t="inlineStr">
        <is>
          <t>GA, US</t>
        </is>
      </c>
      <c r="H118" s="3" t="n">
        <v>46054</v>
      </c>
      <c r="I118" t="inlineStr">
        <is>
          <t>Role Overview We are looking for an experienced AI/ML Lead to drive the design, development, and deployment of next\-generation Generative AI and Agentic AI systems . This is a lead\-level role requiring strong hands\-on expertise, architectural ownership, and the ability to mentor teams while working closely with stakeholders.
**Key Responsibilities:**
* Lead the end\-to\-end design and implementation of AI/ML and Generative AI solutions
* Architect and build Agentic AI systems (multi\-agent workflows, orchestration, autonomous decision\-making)
* Design scalable AI solutions using AWS Bedrock and the broader Generative AI stack
* Drive AI use cases leveraging the Snowflake AI stack (critical requirement)
* Collaborate with data engineering, product, and platform teams to integrate AI models into production systems
* Ensure best practices around model governance, security, scalability, and performance
* Mentor and guide junior engineers and data scientists
* Stay current with emerging AI/ML trends and apply them pragmatically to business problems
**Mandatory Core Skills (Must\-Have):**
* Snowflake AI stack (Snowflake Cortex, Snowpark, ML workloads on Snowflake) Critical
* AWS Bedrock (model selection, orchestration, deployment)
* Generative AI stack (LLMs, embeddings, RAG pipelines, prompt engineering)
* Agentic AI systems (agents, tools, memory, planning, orchestration frameworks)
* Strong experience with Python and ML frameworks
* Cloud\-native architecture experience on AWS
**Good\-to\-Have Skills:**
* Experience with vector databases and RAG frameworks
* Exposure to MLOps / LLMOps pipelines
* Experience integrating AI solutions into enterprise\-scale applications
* Prior experience in a lead or architect role
**Ideal Candidate Profile:**
* Proven experience leading AI/ML initiatives in product engineering or enterprise environments
* Strong balance of hands\-on technical depth and leadership
* Ability to translate business problems into scalable AI solutions
* Comfortable working in fast\-paced, client\-facing environments
**For applications and inquiries, contact:** hirings@openkyber.com</t>
        </is>
      </c>
    </row>
    <row r="119">
      <c r="A119" t="inlineStr">
        <is>
          <t>in-0d295c9418829284</t>
        </is>
      </c>
      <c r="B119" t="inlineStr">
        <is>
          <t>Identity AI / ML Engineer</t>
        </is>
      </c>
      <c r="C119" t="inlineStr">
        <is>
          <t>Openkyber</t>
        </is>
      </c>
      <c r="D119" t="inlineStr">
        <is>
          <t>indeed</t>
        </is>
      </c>
      <c r="E119">
        <f>HYPERLINK("https://www.indeed.com/viewjob?jk=0d295c9418829284", "https://www.indeed.com/viewjob?jk=0d295c9418829284")</f>
        <v/>
      </c>
      <c r="F119">
        <f>HYPERLINK("https://candidateportalnew.ceipal.com/job-details/L-CYmnGGTDGa6nBcH7RdmWDtvKykZUybkHW3-qJ4tCA#.job_boards.Indeed", "https://candidateportalnew.ceipal.com/job-details/L-CYmnGGTDGa6nBcH7RdmWDtvKykZUybkHW3-qJ4tCA#.job_boards.Indeed")</f>
        <v/>
      </c>
      <c r="G119" t="inlineStr">
        <is>
          <t>GA, US</t>
        </is>
      </c>
      <c r="H119" s="3" t="n">
        <v>46054</v>
      </c>
      <c r="I119" t="inlineStr">
        <is>
          <t>Gen AI/ML Engineer Alpharetta, GA \&amp; New York, NY (Hybrid 3 Days a Week) Long Term \#No \*\*\*OPT/CPT Please\*\*\*
**Key Responsibilities:**
* Model Development: Design and develop machine learning models and algorithms to address specific business needs and challenges.
* Data Analysis: Analyze large and complex datasets to extract actionable insights and identify patterns.
* Collaboration: Work closely with data scientists, software engineers, and cross\-functional teams to integrate models into production systems.
* Documentation: Maintain thorough documentation of AI/ML models, experiments, and processes to ensure replicability and knowledge sharing.
**Required skills and qualifications:**
Mandatory Skills: Python (Approaches* \-how to implement or write Code), TensorFlow/PyTorch, Understanding of ML algorithms, Basic cloud AI services, Model development \&amp; deployment, REST API integration for ML models, Experience with NLP, deep learning, Cloud ML platforms (AWS SageMaker, Azure AI), Designing scalable ML systems, Advanced statistical modeling
* Preferred Skills: Exposure to data preprocessing tools (Pandas, NumPy), Leadership in AI strategy, Cutting\-edge frameworks (Transformers, LLMs)
Bachelor s degree in computer science, Information technology or equivalent professional experience Model development \&amp; deployment
**For applications and inquiries, contact:** hirings@openkyber.com</t>
        </is>
      </c>
    </row>
    <row r="120">
      <c r="A120" t="inlineStr">
        <is>
          <t>in-73a9538e54e55ddc</t>
        </is>
      </c>
      <c r="B120" t="inlineStr">
        <is>
          <t>Identity AI / ML Engineer</t>
        </is>
      </c>
      <c r="C120" t="inlineStr">
        <is>
          <t>Openkyber</t>
        </is>
      </c>
      <c r="D120" t="inlineStr">
        <is>
          <t>indeed</t>
        </is>
      </c>
      <c r="E120">
        <f>HYPERLINK("https://www.indeed.com/viewjob?jk=73a9538e54e55ddc", "https://www.indeed.com/viewjob?jk=73a9538e54e55ddc")</f>
        <v/>
      </c>
      <c r="F120">
        <f>HYPERLINK("https://candidateportalnew.ceipal.com/job-details/YEq6jwB_aDozKi_YoL45LCX_B00R8Rl1WtqOVU6Lo0w#.job_boards.Indeed", "https://candidateportalnew.ceipal.com/job-details/YEq6jwB_aDozKi_YoL45LCX_B00R8Rl1WtqOVU6Lo0w#.job_boards.Indeed")</f>
        <v/>
      </c>
      <c r="G120" t="inlineStr">
        <is>
          <t>GA, US</t>
        </is>
      </c>
      <c r="H120" s="3" t="n">
        <v>46054</v>
      </c>
      <c r="I120" t="inlineStr">
        <is>
          <t>Hiring: W2 Candidates Only Visa: Open to any visa type with valid work authorization in the USA
**Key Responsibilities:**
* Design, develop, and deploy machine learning models and AI algorithms
* Analyze large datasets to extract insights and build predictive systems
* Build and optimize supervised, unsupervised, and deep learning models
* Implement NLP, Computer Vision, or Recommendation Systems (as per project)
* Train, evaluate, and fine\-tune ML models for performance and scalability
* Deploy models using APIs, cloud platforms, or MLOps pipelines
* Collaborate with data scientists, software engineers, and product teams
* Monitor model performance and retrain models when required
* Document model architecture, experiments, and results
**Required Skills:**
* Strong knowledge of Machine Learning \&amp; AI concepts
* Programming experience in Python (preferred) or R
* Hands\-on experience with TensorFlow, PyTorch, Scikit\-learn
* Good understanding of Statistics, Probability, Linear Algebra
* Experience with Data preprocessing, feature engineering
* Knowledge of SQL / NoSQL databases
* Familiarity with REST APIs
* Experience with Git / version control
**Preferred Skills:**
* Experience with Deep Learning, NLP, or Computer Vision
* Knowledge of Cloud platforms (AWS, Azure, Google Cloud Platform)
* Experience with MLOps tools (MLflow, Kubeflow, Airflow)
* Familiarity with Docker, Kubernetes
* Understanding of Big Data tools (Spark, Hadoop)
**Education \&amp; Experience:**
* Bachelor\&amp;s or Master\&amp;s degree in Computer Science, Data Science, AI, or related field
* 5\+ years of experience in Machine Learning / AI development (depending on role level)
**For applications and inquiries, contact:** hirings@openkyber.com</t>
        </is>
      </c>
    </row>
    <row r="121">
      <c r="A121" t="inlineStr">
        <is>
          <t>in-3a14dfe166f4af81</t>
        </is>
      </c>
      <c r="B121" t="inlineStr">
        <is>
          <t>Sr. Applied Scientist, Amazon Ads</t>
        </is>
      </c>
      <c r="C121" t="inlineStr">
        <is>
          <t>Amazon.com</t>
        </is>
      </c>
      <c r="D121" t="inlineStr">
        <is>
          <t>indeed</t>
        </is>
      </c>
      <c r="E121">
        <f>HYPERLINK("https://www.indeed.com/viewjob?jk=3a14dfe166f4af81", "https://www.indeed.com/viewjob?jk=3a14dfe166f4af81")</f>
        <v/>
      </c>
      <c r="F121">
        <f>HYPERLINK("https://www.amazon.jobs/jobs/3139328/sr-applied-scientist-amazon-ads?cmpid=DA_INAD200785B", "https://www.amazon.jobs/jobs/3139328/sr-applied-scientist-amazon-ads?cmpid=DA_INAD200785B")</f>
        <v/>
      </c>
      <c r="G121" t="inlineStr">
        <is>
          <t>New York, NY, US</t>
        </is>
      </c>
      <c r="H121" s="3" t="n">
        <v>45998</v>
      </c>
      <c r="I12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2">
      <c r="A122" t="inlineStr">
        <is>
          <t>in-a741369d25fbc0e9</t>
        </is>
      </c>
      <c r="B122" t="inlineStr">
        <is>
          <t>Sr. Applied Scientist, Amazon Ads</t>
        </is>
      </c>
      <c r="C122" t="inlineStr">
        <is>
          <t>Amazon.com</t>
        </is>
      </c>
      <c r="D122" t="inlineStr">
        <is>
          <t>indeed</t>
        </is>
      </c>
      <c r="E122">
        <f>HYPERLINK("https://www.indeed.com/viewjob?jk=a741369d25fbc0e9", "https://www.indeed.com/viewjob?jk=a741369d25fbc0e9")</f>
        <v/>
      </c>
      <c r="F122">
        <f>HYPERLINK("https://www.amazon.jobs/jobs/3139328/sr-applied-scientist-amazon-ads?cmpid=DA_INAD200785B", "https://www.amazon.jobs/jobs/3139328/sr-applied-scientist-amazon-ads?cmpid=DA_INAD200785B")</f>
        <v/>
      </c>
      <c r="G122" t="inlineStr">
        <is>
          <t>Boulder, CO, US</t>
        </is>
      </c>
      <c r="H122" s="3" t="n">
        <v>45998</v>
      </c>
      <c r="I1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3">
      <c r="A123" t="inlineStr">
        <is>
          <t>in-340e9ae15e136178</t>
        </is>
      </c>
      <c r="B123" t="inlineStr">
        <is>
          <t>Sr. Applied Scientist, Amazon Ads</t>
        </is>
      </c>
      <c r="C123" t="inlineStr">
        <is>
          <t>Amazon.com</t>
        </is>
      </c>
      <c r="D123" t="inlineStr">
        <is>
          <t>indeed</t>
        </is>
      </c>
      <c r="E123">
        <f>HYPERLINK("https://www.indeed.com/viewjob?jk=340e9ae15e136178", "https://www.indeed.com/viewjob?jk=340e9ae15e136178")</f>
        <v/>
      </c>
      <c r="F123">
        <f>HYPERLINK("https://www.amazon.jobs/jobs/3139328/sr-applied-scientist-amazon-ads?cmpid=DA_INAD200785B", "https://www.amazon.jobs/jobs/3139328/sr-applied-scientist-amazon-ads?cmpid=DA_INAD200785B")</f>
        <v/>
      </c>
      <c r="G123" t="inlineStr">
        <is>
          <t>Sunnyvale, CA, US</t>
        </is>
      </c>
      <c r="H123" s="3" t="n">
        <v>45998</v>
      </c>
      <c r="I12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4">
      <c r="A124" t="inlineStr">
        <is>
          <t>in-bf8e554362a23068</t>
        </is>
      </c>
      <c r="B124" t="inlineStr">
        <is>
          <t>Sr. Applied Scientist, Amazon Ads</t>
        </is>
      </c>
      <c r="C124" t="inlineStr">
        <is>
          <t>Amazon.com</t>
        </is>
      </c>
      <c r="D124" t="inlineStr">
        <is>
          <t>indeed</t>
        </is>
      </c>
      <c r="E124">
        <f>HYPERLINK("https://www.indeed.com/viewjob?jk=bf8e554362a23068", "https://www.indeed.com/viewjob?jk=bf8e554362a23068")</f>
        <v/>
      </c>
      <c r="F124">
        <f>HYPERLINK("https://www.amazon.jobs/jobs/3139328/sr-applied-scientist-amazon-ads?cmpid=DA_INAD200785B", "https://www.amazon.jobs/jobs/3139328/sr-applied-scientist-amazon-ads?cmpid=DA_INAD200785B")</f>
        <v/>
      </c>
      <c r="G124" t="inlineStr">
        <is>
          <t>Tukwila, WA, US</t>
        </is>
      </c>
      <c r="H124" s="3" t="n">
        <v>45998</v>
      </c>
      <c r="I12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5">
      <c r="A125" t="inlineStr">
        <is>
          <t>in-3fddd7009d5013d8</t>
        </is>
      </c>
      <c r="B125" t="inlineStr">
        <is>
          <t>Sr. Applied Scientist, Amazon Ads</t>
        </is>
      </c>
      <c r="C125" t="inlineStr">
        <is>
          <t>Amazon.com</t>
        </is>
      </c>
      <c r="D125" t="inlineStr">
        <is>
          <t>indeed</t>
        </is>
      </c>
      <c r="E125">
        <f>HYPERLINK("https://www.indeed.com/viewjob?jk=3fddd7009d5013d8", "https://www.indeed.com/viewjob?jk=3fddd7009d5013d8")</f>
        <v/>
      </c>
      <c r="F125">
        <f>HYPERLINK("https://www.amazon.jobs/jobs/3139328/sr-applied-scientist-amazon-ads?cmpid=DA_INAD200785B", "https://www.amazon.jobs/jobs/3139328/sr-applied-scientist-amazon-ads?cmpid=DA_INAD200785B")</f>
        <v/>
      </c>
      <c r="G125" t="inlineStr">
        <is>
          <t>Boston, MA, US</t>
        </is>
      </c>
      <c r="H125" s="3" t="n">
        <v>45998</v>
      </c>
      <c r="I1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6">
      <c r="A126" t="inlineStr">
        <is>
          <t>in-204d1eaccabc39ee</t>
        </is>
      </c>
      <c r="B126" t="inlineStr">
        <is>
          <t>Sr. Applied Scientist, Amazon Ads</t>
        </is>
      </c>
      <c r="C126" t="inlineStr">
        <is>
          <t>Amazon.com</t>
        </is>
      </c>
      <c r="D126" t="inlineStr">
        <is>
          <t>indeed</t>
        </is>
      </c>
      <c r="E126">
        <f>HYPERLINK("https://www.indeed.com/viewjob?jk=204d1eaccabc39ee", "https://www.indeed.com/viewjob?jk=204d1eaccabc39ee")</f>
        <v/>
      </c>
      <c r="F126">
        <f>HYPERLINK("https://www.amazon.jobs/jobs/3139328/sr-applied-scientist-amazon-ads?cmpid=DA_INAD200785B", "https://www.amazon.jobs/jobs/3139328/sr-applied-scientist-amazon-ads?cmpid=DA_INAD200785B")</f>
        <v/>
      </c>
      <c r="G126" t="inlineStr">
        <is>
          <t>Corvallis, OR, US</t>
        </is>
      </c>
      <c r="H126" s="3" t="n">
        <v>45998</v>
      </c>
      <c r="I1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7">
      <c r="A127" t="inlineStr">
        <is>
          <t>in-d6cb81452d79d99c</t>
        </is>
      </c>
      <c r="B127" t="inlineStr">
        <is>
          <t>Sr. Applied Scientist, Amazon Ads</t>
        </is>
      </c>
      <c r="C127" t="inlineStr">
        <is>
          <t>Amazon.com</t>
        </is>
      </c>
      <c r="D127" t="inlineStr">
        <is>
          <t>indeed</t>
        </is>
      </c>
      <c r="E127">
        <f>HYPERLINK("https://www.indeed.com/viewjob?jk=d6cb81452d79d99c", "https://www.indeed.com/viewjob?jk=d6cb81452d79d99c")</f>
        <v/>
      </c>
      <c r="F127">
        <f>HYPERLINK("https://www.amazon.jobs/jobs/3139328/sr-applied-scientist-amazon-ads?cmpid=DA_INAD200785B", "https://www.amazon.jobs/jobs/3139328/sr-applied-scientist-amazon-ads?cmpid=DA_INAD200785B")</f>
        <v/>
      </c>
      <c r="G127" t="inlineStr">
        <is>
          <t>Brooklyn, NY, US</t>
        </is>
      </c>
      <c r="H127" s="3" t="n">
        <v>45998</v>
      </c>
      <c r="I1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8">
      <c r="A128" t="inlineStr">
        <is>
          <t>in-3ad7683fec4751f3</t>
        </is>
      </c>
      <c r="B128" t="inlineStr">
        <is>
          <t>Sr. Applied Scientist, Amazon Ads</t>
        </is>
      </c>
      <c r="C128" t="inlineStr">
        <is>
          <t>Amazon.com</t>
        </is>
      </c>
      <c r="D128" t="inlineStr">
        <is>
          <t>indeed</t>
        </is>
      </c>
      <c r="E128">
        <f>HYPERLINK("https://www.indeed.com/viewjob?jk=3ad7683fec4751f3", "https://www.indeed.com/viewjob?jk=3ad7683fec4751f3")</f>
        <v/>
      </c>
      <c r="F128">
        <f>HYPERLINK("https://www.amazon.jobs/jobs/3139328/sr-applied-scientist-amazon-ads?cmpid=DA_INAD200785B", "https://www.amazon.jobs/jobs/3139328/sr-applied-scientist-amazon-ads?cmpid=DA_INAD200785B")</f>
        <v/>
      </c>
      <c r="G128" t="inlineStr">
        <is>
          <t>Seattle, WA, US</t>
        </is>
      </c>
      <c r="H128" s="3" t="n">
        <v>45998</v>
      </c>
      <c r="I1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9">
      <c r="A129" t="inlineStr">
        <is>
          <t>in-9f184f92ce0bb4ef</t>
        </is>
      </c>
      <c r="B129" t="inlineStr">
        <is>
          <t>Sr. Applied Scientist, Amazon Ads</t>
        </is>
      </c>
      <c r="C129" t="inlineStr">
        <is>
          <t>Amazon.com</t>
        </is>
      </c>
      <c r="D129" t="inlineStr">
        <is>
          <t>indeed</t>
        </is>
      </c>
      <c r="E129">
        <f>HYPERLINK("https://www.indeed.com/viewjob?jk=9f184f92ce0bb4ef", "https://www.indeed.com/viewjob?jk=9f184f92ce0bb4ef")</f>
        <v/>
      </c>
      <c r="F129">
        <f>HYPERLINK("https://www.amazon.jobs/jobs/3139328/sr-applied-scientist-amazon-ads?cmpid=DA_INAD200785B", "https://www.amazon.jobs/jobs/3139328/sr-applied-scientist-amazon-ads?cmpid=DA_INAD200785B")</f>
        <v/>
      </c>
      <c r="G129" t="inlineStr">
        <is>
          <t>Santa Monica, CA, US</t>
        </is>
      </c>
      <c r="H129" s="3" t="n">
        <v>45998</v>
      </c>
      <c r="I1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0">
      <c r="A130" t="inlineStr">
        <is>
          <t>in-f67f9909ed6835f3</t>
        </is>
      </c>
      <c r="B130" t="inlineStr">
        <is>
          <t>Sr. Applied Scientist, Amazon Ads</t>
        </is>
      </c>
      <c r="C130" t="inlineStr">
        <is>
          <t>Amazon.com</t>
        </is>
      </c>
      <c r="D130" t="inlineStr">
        <is>
          <t>indeed</t>
        </is>
      </c>
      <c r="E130">
        <f>HYPERLINK("https://www.indeed.com/viewjob?jk=f67f9909ed6835f3", "https://www.indeed.com/viewjob?jk=f67f9909ed6835f3")</f>
        <v/>
      </c>
      <c r="F130">
        <f>HYPERLINK("https://www.amazon.jobs/jobs/3139328/sr-applied-scientist-amazon-ads?cmpid=DA_INAD200785B", "https://www.amazon.jobs/jobs/3139328/sr-applied-scientist-amazon-ads?cmpid=DA_INAD200785B")</f>
        <v/>
      </c>
      <c r="G130" t="inlineStr">
        <is>
          <t>Palo Alto, CA, US</t>
        </is>
      </c>
      <c r="H130" s="3" t="n">
        <v>45998</v>
      </c>
      <c r="I1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1">
      <c r="A131" t="inlineStr">
        <is>
          <t>in-56ade67aef6e47fa</t>
        </is>
      </c>
      <c r="B131" t="inlineStr">
        <is>
          <t>Sr. Machine Learning Engineer, AGIF | Finetuning</t>
        </is>
      </c>
      <c r="C131" t="inlineStr">
        <is>
          <t>Amazon.com</t>
        </is>
      </c>
      <c r="D131" t="inlineStr">
        <is>
          <t>indeed</t>
        </is>
      </c>
      <c r="E131">
        <f>HYPERLINK("https://www.indeed.com/viewjob?jk=56ade67aef6e47fa", "https://www.indeed.com/viewjob?jk=56ade67aef6e47fa")</f>
        <v/>
      </c>
      <c r="F131">
        <f>HYPERLINK("https://www.amazon.jobs/jobs/3145989/sr-machine-learning-engineer-agif--finetuning?cmpid=DA_INAD200785B", "https://www.amazon.jobs/jobs/3145989/sr-machine-learning-engineer-agif--finetuning?cmpid=DA_INAD200785B")</f>
        <v/>
      </c>
      <c r="G131" t="inlineStr">
        <is>
          <t>Bellevue, WA, US</t>
        </is>
      </c>
      <c r="H131" s="3" t="n">
        <v>45984</v>
      </c>
      <c r="I13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in-a92032f05d49039d</t>
        </is>
      </c>
      <c r="B132" t="inlineStr">
        <is>
          <t>Senior Applied Scientist, Artificial General Intelligence</t>
        </is>
      </c>
      <c r="C132" t="inlineStr">
        <is>
          <t>Amazon.com</t>
        </is>
      </c>
      <c r="D132" t="inlineStr">
        <is>
          <t>indeed</t>
        </is>
      </c>
      <c r="E132">
        <f>HYPERLINK("https://www.indeed.com/viewjob?jk=a92032f05d49039d", "https://www.indeed.com/viewjob?jk=a92032f05d49039d")</f>
        <v/>
      </c>
      <c r="F132">
        <f>HYPERLINK("https://www.amazon.jobs/jobs/3131971/senior-applied-scientist-artificial-general-intelligence?cmpid=DA_INAD200785B", "https://www.amazon.jobs/jobs/3131971/senior-applied-scientist-artificial-general-intelligence?cmpid=DA_INAD200785B")</f>
        <v/>
      </c>
      <c r="G132" t="inlineStr">
        <is>
          <t>Boston, MA, US</t>
        </is>
      </c>
      <c r="H132" s="3" t="n">
        <v>45980</v>
      </c>
      <c r="I13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in-ef0ccea8540b5ac3</t>
        </is>
      </c>
      <c r="B133" t="inlineStr">
        <is>
          <t>Senior Applied Scientist, Artificial General Intelligence</t>
        </is>
      </c>
      <c r="C133" t="inlineStr">
        <is>
          <t>Amazon.com</t>
        </is>
      </c>
      <c r="D133" t="inlineStr">
        <is>
          <t>indeed</t>
        </is>
      </c>
      <c r="E133">
        <f>HYPERLINK("https://www.indeed.com/viewjob?jk=ef0ccea8540b5ac3", "https://www.indeed.com/viewjob?jk=ef0ccea8540b5ac3")</f>
        <v/>
      </c>
      <c r="F133">
        <f>HYPERLINK("https://www.amazon.jobs/jobs/3131971/senior-applied-scientist-artificial-general-intelligence?cmpid=DA_INAD200785B", "https://www.amazon.jobs/jobs/3131971/senior-applied-scientist-artificial-general-intelligence?cmpid=DA_INAD200785B")</f>
        <v/>
      </c>
      <c r="G133" t="inlineStr">
        <is>
          <t>New York, NY, US</t>
        </is>
      </c>
      <c r="H133" s="3" t="n">
        <v>45980</v>
      </c>
      <c r="I13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in-830f2b4388285dc6</t>
        </is>
      </c>
      <c r="B134" t="inlineStr">
        <is>
          <t>Senior Applied Scientist, Artificial General Intelligence</t>
        </is>
      </c>
      <c r="C134" t="inlineStr">
        <is>
          <t>Amazon.com</t>
        </is>
      </c>
      <c r="D134" t="inlineStr">
        <is>
          <t>indeed</t>
        </is>
      </c>
      <c r="E134">
        <f>HYPERLINK("https://www.indeed.com/viewjob?jk=830f2b4388285dc6", "https://www.indeed.com/viewjob?jk=830f2b4388285dc6")</f>
        <v/>
      </c>
      <c r="F134">
        <f>HYPERLINK("https://www.amazon.jobs/jobs/3131971/senior-applied-scientist-artificial-general-intelligence?cmpid=DA_INAD200785B", "https://www.amazon.jobs/jobs/3131971/senior-applied-scientist-artificial-general-intelligence?cmpid=DA_INAD200785B")</f>
        <v/>
      </c>
      <c r="G134" t="inlineStr">
        <is>
          <t>Sunnyvale, CA, US</t>
        </is>
      </c>
      <c r="H134" s="3" t="n">
        <v>45980</v>
      </c>
      <c r="I13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in-b9e7e21de66d8060</t>
        </is>
      </c>
      <c r="B135" t="inlineStr">
        <is>
          <t>Senior Applied Scientist, Artificial General Intelligence</t>
        </is>
      </c>
      <c r="C135" t="inlineStr">
        <is>
          <t>Amazon.com</t>
        </is>
      </c>
      <c r="D135" t="inlineStr">
        <is>
          <t>indeed</t>
        </is>
      </c>
      <c r="E135">
        <f>HYPERLINK("https://www.indeed.com/viewjob?jk=b9e7e21de66d8060", "https://www.indeed.com/viewjob?jk=b9e7e21de66d8060")</f>
        <v/>
      </c>
      <c r="F135">
        <f>HYPERLINK("https://www.amazon.jobs/jobs/3131971/senior-applied-scientist-artificial-general-intelligence?cmpid=DA_INAD200785B", "https://www.amazon.jobs/jobs/3131971/senior-applied-scientist-artificial-general-intelligence?cmpid=DA_INAD200785B")</f>
        <v/>
      </c>
      <c r="G135" t="inlineStr">
        <is>
          <t>Seattle, WA, US</t>
        </is>
      </c>
      <c r="H135" s="3" t="n">
        <v>45980</v>
      </c>
      <c r="I13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in-255e331bc7e729d9</t>
        </is>
      </c>
      <c r="B136" t="inlineStr">
        <is>
          <t>Applied Scientist II, SPB Advertiser Guidance</t>
        </is>
      </c>
      <c r="C136" t="inlineStr">
        <is>
          <t>Amazon.com</t>
        </is>
      </c>
      <c r="D136" t="inlineStr">
        <is>
          <t>indeed</t>
        </is>
      </c>
      <c r="E136">
        <f>HYPERLINK("https://www.indeed.com/viewjob?jk=255e331bc7e729d9", "https://www.indeed.com/viewjob?jk=255e331bc7e729d9")</f>
        <v/>
      </c>
      <c r="F136">
        <f>HYPERLINK("https://www.amazon.jobs/jobs/3131876/applied-scientist-ii-spb-advertiser-guidance?cmpid=DA_INAD200785B", "https://www.amazon.jobs/jobs/3131876/applied-scientist-ii-spb-advertiser-guidance?cmpid=DA_INAD200785B")</f>
        <v/>
      </c>
      <c r="G136" t="inlineStr">
        <is>
          <t>Seattle, WA, US</t>
        </is>
      </c>
      <c r="H136" s="3" t="n">
        <v>45980</v>
      </c>
      <c r="I13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in-2aa4bad94807c04b</t>
        </is>
      </c>
      <c r="B137" t="inlineStr">
        <is>
          <t>Applied Scientist II, SPB Advertiser Guidance</t>
        </is>
      </c>
      <c r="C137" t="inlineStr">
        <is>
          <t>Amazon.com</t>
        </is>
      </c>
      <c r="D137" t="inlineStr">
        <is>
          <t>indeed</t>
        </is>
      </c>
      <c r="E137">
        <f>HYPERLINK("https://www.indeed.com/viewjob?jk=2aa4bad94807c04b", "https://www.indeed.com/viewjob?jk=2aa4bad94807c04b")</f>
        <v/>
      </c>
      <c r="F137">
        <f>HYPERLINK("https://www.amazon.jobs/jobs/3131876/applied-scientist-ii-spb-advertiser-guidance?cmpid=DA_INAD200785B", "https://www.amazon.jobs/jobs/3131876/applied-scientist-ii-spb-advertiser-guidance?cmpid=DA_INAD200785B")</f>
        <v/>
      </c>
      <c r="G137" t="inlineStr">
        <is>
          <t>Palo Alto, CA, US</t>
        </is>
      </c>
      <c r="H137" s="3" t="n">
        <v>45980</v>
      </c>
      <c r="I13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in-526d09138a25f635</t>
        </is>
      </c>
      <c r="B138" t="inlineStr">
        <is>
          <t>Applied Scientist II, SPB Advertiser Guidance</t>
        </is>
      </c>
      <c r="C138" t="inlineStr">
        <is>
          <t>Amazon.com</t>
        </is>
      </c>
      <c r="D138" t="inlineStr">
        <is>
          <t>indeed</t>
        </is>
      </c>
      <c r="E138">
        <f>HYPERLINK("https://www.indeed.com/viewjob?jk=526d09138a25f635", "https://www.indeed.com/viewjob?jk=526d09138a25f635")</f>
        <v/>
      </c>
      <c r="F138">
        <f>HYPERLINK("https://www.amazon.jobs/jobs/3131876/applied-scientist-ii-spb-advertiser-guidance?cmpid=DA_INAD200785B", "https://www.amazon.jobs/jobs/3131876/applied-scientist-ii-spb-advertiser-guidance?cmpid=DA_INAD200785B")</f>
        <v/>
      </c>
      <c r="G138" t="inlineStr">
        <is>
          <t>New York, NY, US</t>
        </is>
      </c>
      <c r="H138" s="3" t="n">
        <v>45980</v>
      </c>
      <c r="I13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in-801bf4188e8c2759</t>
        </is>
      </c>
      <c r="B139" t="inlineStr">
        <is>
          <t>Principal Applied Scientist, Sponsored Products and Brands</t>
        </is>
      </c>
      <c r="C139" t="inlineStr">
        <is>
          <t>Amazon.com</t>
        </is>
      </c>
      <c r="D139" t="inlineStr">
        <is>
          <t>indeed</t>
        </is>
      </c>
      <c r="E139">
        <f>HYPERLINK("https://www.indeed.com/viewjob?jk=801bf4188e8c2759", "https://www.indeed.com/viewjob?jk=801bf4188e8c2759")</f>
        <v/>
      </c>
      <c r="F139">
        <f>HYPERLINK("https://www.amazon.jobs/jobs/3130855/principal-applied-scientist-sponsored-products-and-brands?cmpid=DA_INAD200785B", "https://www.amazon.jobs/jobs/3130855/principal-applied-scientist-sponsored-products-and-brands?cmpid=DA_INAD200785B")</f>
        <v/>
      </c>
      <c r="G139" t="inlineStr">
        <is>
          <t>New York, NY, US</t>
        </is>
      </c>
      <c r="H139" s="3" t="n">
        <v>45979</v>
      </c>
      <c r="I13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in-98af2eba0a7b9c64</t>
        </is>
      </c>
      <c r="B140" t="inlineStr">
        <is>
          <t>Principal Applied Scientist, Sponsored Products and Brands</t>
        </is>
      </c>
      <c r="C140" t="inlineStr">
        <is>
          <t>Amazon.com</t>
        </is>
      </c>
      <c r="D140" t="inlineStr">
        <is>
          <t>indeed</t>
        </is>
      </c>
      <c r="E140">
        <f>HYPERLINK("https://www.indeed.com/viewjob?jk=98af2eba0a7b9c64", "https://www.indeed.com/viewjob?jk=98af2eba0a7b9c64")</f>
        <v/>
      </c>
      <c r="F140">
        <f>HYPERLINK("https://www.amazon.jobs/jobs/3130855/principal-applied-scientist-sponsored-products-and-brands?cmpid=DA_INAD200785B", "https://www.amazon.jobs/jobs/3130855/principal-applied-scientist-sponsored-products-and-brands?cmpid=DA_INAD200785B")</f>
        <v/>
      </c>
      <c r="G140" t="inlineStr">
        <is>
          <t>Seattle, WA, US</t>
        </is>
      </c>
      <c r="H140" s="3" t="n">
        <v>45979</v>
      </c>
      <c r="I14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in-f2064b4c000f8718</t>
        </is>
      </c>
      <c r="B141" t="inlineStr">
        <is>
          <t>Sr. Applied Scientist, AGI Foundations</t>
        </is>
      </c>
      <c r="C141" t="inlineStr">
        <is>
          <t>Amazon.com</t>
        </is>
      </c>
      <c r="D141" t="inlineStr">
        <is>
          <t>indeed</t>
        </is>
      </c>
      <c r="E141">
        <f>HYPERLINK("https://www.indeed.com/viewjob?jk=f2064b4c000f8718", "https://www.indeed.com/viewjob?jk=f2064b4c000f8718")</f>
        <v/>
      </c>
      <c r="F141">
        <f>HYPERLINK("https://www.amazon.jobs/jobs/3128807/sr-applied-scientist-agi-foundations?cmpid=DA_INAD200785B", "https://www.amazon.jobs/jobs/3128807/sr-applied-scientist-agi-foundations?cmpid=DA_INAD200785B")</f>
        <v/>
      </c>
      <c r="G141" t="inlineStr">
        <is>
          <t>Bellevue, WA, US</t>
        </is>
      </c>
      <c r="H141" s="3" t="n">
        <v>45978</v>
      </c>
      <c r="I14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in-ce45dbb6dc4e6f2e</t>
        </is>
      </c>
      <c r="B142" t="inlineStr">
        <is>
          <t>Sr. Applied Scientist, AGI Foundations</t>
        </is>
      </c>
      <c r="C142" t="inlineStr">
        <is>
          <t>Amazon.com</t>
        </is>
      </c>
      <c r="D142" t="inlineStr">
        <is>
          <t>indeed</t>
        </is>
      </c>
      <c r="E142">
        <f>HYPERLINK("https://www.indeed.com/viewjob?jk=ce45dbb6dc4e6f2e", "https://www.indeed.com/viewjob?jk=ce45dbb6dc4e6f2e")</f>
        <v/>
      </c>
      <c r="F142">
        <f>HYPERLINK("https://www.amazon.jobs/jobs/3128807/sr-applied-scientist-agi-foundations?cmpid=DA_INAD200785B", "https://www.amazon.jobs/jobs/3128807/sr-applied-scientist-agi-foundations?cmpid=DA_INAD200785B")</f>
        <v/>
      </c>
      <c r="G142" t="inlineStr">
        <is>
          <t>Boston, MA, US</t>
        </is>
      </c>
      <c r="H142" s="3" t="n">
        <v>45978</v>
      </c>
      <c r="I14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in-6533af62ec3ad571</t>
        </is>
      </c>
      <c r="B143" t="inlineStr">
        <is>
          <t>Sr. Applied Scientist, AGI Foundations</t>
        </is>
      </c>
      <c r="C143" t="inlineStr">
        <is>
          <t>Amazon.com</t>
        </is>
      </c>
      <c r="D143" t="inlineStr">
        <is>
          <t>indeed</t>
        </is>
      </c>
      <c r="E143">
        <f>HYPERLINK("https://www.indeed.com/viewjob?jk=6533af62ec3ad571", "https://www.indeed.com/viewjob?jk=6533af62ec3ad571")</f>
        <v/>
      </c>
      <c r="F143">
        <f>HYPERLINK("https://www.amazon.jobs/jobs/3128807/sr-applied-scientist-agi-foundations?cmpid=DA_INAD200785B", "https://www.amazon.jobs/jobs/3128807/sr-applied-scientist-agi-foundations?cmpid=DA_INAD200785B")</f>
        <v/>
      </c>
      <c r="G143" t="inlineStr">
        <is>
          <t>New York, NY, US</t>
        </is>
      </c>
      <c r="H143" s="3" t="n">
        <v>45978</v>
      </c>
      <c r="I14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in-cdc8a41cf3e9d26f</t>
        </is>
      </c>
      <c r="B144" t="inlineStr">
        <is>
          <t>Sr. Applied Scientist, AGI Foundations</t>
        </is>
      </c>
      <c r="C144" t="inlineStr">
        <is>
          <t>Amazon.com</t>
        </is>
      </c>
      <c r="D144" t="inlineStr">
        <is>
          <t>indeed</t>
        </is>
      </c>
      <c r="E144">
        <f>HYPERLINK("https://www.indeed.com/viewjob?jk=cdc8a41cf3e9d26f", "https://www.indeed.com/viewjob?jk=cdc8a41cf3e9d26f")</f>
        <v/>
      </c>
      <c r="F144">
        <f>HYPERLINK("https://www.amazon.jobs/jobs/3128807/sr-applied-scientist-agi-foundations?cmpid=DA_INAD200785B", "https://www.amazon.jobs/jobs/3128807/sr-applied-scientist-agi-foundations?cmpid=DA_INAD200785B")</f>
        <v/>
      </c>
      <c r="G144" t="inlineStr">
        <is>
          <t>Sunnyvale, CA, US</t>
        </is>
      </c>
      <c r="H144" s="3" t="n">
        <v>45978</v>
      </c>
      <c r="I14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in-4aab800873c95f0c</t>
        </is>
      </c>
      <c r="B145" t="inlineStr">
        <is>
          <t>Principal Applied Scientist, Amazon AGI</t>
        </is>
      </c>
      <c r="C145" t="inlineStr">
        <is>
          <t>Amazon.com</t>
        </is>
      </c>
      <c r="D145" t="inlineStr">
        <is>
          <t>indeed</t>
        </is>
      </c>
      <c r="E145">
        <f>HYPERLINK("https://www.indeed.com/viewjob?jk=4aab800873c95f0c", "https://www.indeed.com/viewjob?jk=4aab800873c95f0c")</f>
        <v/>
      </c>
      <c r="F145">
        <f>HYPERLINK("https://www.amazon.jobs/jobs/3128808/principal-applied-scientist-amazon-agi?cmpid=DA_INAD200785B", "https://www.amazon.jobs/jobs/3128808/principal-applied-scientist-amazon-agi?cmpid=DA_INAD200785B")</f>
        <v/>
      </c>
      <c r="G145" t="inlineStr">
        <is>
          <t>San Francisco, CA, US</t>
        </is>
      </c>
      <c r="H145" s="3" t="n">
        <v>45964</v>
      </c>
      <c r="I14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in-459fed7b5a55ee54</t>
        </is>
      </c>
      <c r="B146" t="inlineStr">
        <is>
          <t>Principal Applied Scientist, Amazon AGI</t>
        </is>
      </c>
      <c r="C146" t="inlineStr">
        <is>
          <t>Amazon.com</t>
        </is>
      </c>
      <c r="D146" t="inlineStr">
        <is>
          <t>indeed</t>
        </is>
      </c>
      <c r="E146">
        <f>HYPERLINK("https://www.indeed.com/viewjob?jk=459fed7b5a55ee54", "https://www.indeed.com/viewjob?jk=459fed7b5a55ee54")</f>
        <v/>
      </c>
      <c r="F146">
        <f>HYPERLINK("https://www.amazon.jobs/jobs/3128808/principal-applied-scientist-amazon-agi?cmpid=DA_INAD200785B", "https://www.amazon.jobs/jobs/3128808/principal-applied-scientist-amazon-agi?cmpid=DA_INAD200785B")</f>
        <v/>
      </c>
      <c r="G146" t="inlineStr">
        <is>
          <t>Boston, MA, US</t>
        </is>
      </c>
      <c r="H146" s="3" t="n">
        <v>45964</v>
      </c>
      <c r="I14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in-1fd8309b2d5c23b7</t>
        </is>
      </c>
      <c r="B147" t="inlineStr">
        <is>
          <t>Sr. Applied Scientist, AGI Foundations</t>
        </is>
      </c>
      <c r="C147" t="inlineStr">
        <is>
          <t>Amazon.com</t>
        </is>
      </c>
      <c r="D147" t="inlineStr">
        <is>
          <t>indeed</t>
        </is>
      </c>
      <c r="E147">
        <f>HYPERLINK("https://www.indeed.com/viewjob?jk=1fd8309b2d5c23b7", "https://www.indeed.com/viewjob?jk=1fd8309b2d5c23b7")</f>
        <v/>
      </c>
      <c r="F147">
        <f>HYPERLINK("https://www.amazon.jobs/jobs/3123268/sr-applied-scientist-agi-foundations?cmpid=DA_INAD200785B", "https://www.amazon.jobs/jobs/3123268/sr-applied-scientist-agi-foundations?cmpid=DA_INAD200785B")</f>
        <v/>
      </c>
      <c r="G147" t="inlineStr">
        <is>
          <t>New York, NY, US</t>
        </is>
      </c>
      <c r="H147" s="3" t="n">
        <v>45963</v>
      </c>
      <c r="I14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in-f738706cf407c7c6</t>
        </is>
      </c>
      <c r="B148" t="inlineStr">
        <is>
          <t>Sr. Applied Scientist, AGI Foundations</t>
        </is>
      </c>
      <c r="C148" t="inlineStr">
        <is>
          <t>Amazon.com</t>
        </is>
      </c>
      <c r="D148" t="inlineStr">
        <is>
          <t>indeed</t>
        </is>
      </c>
      <c r="E148">
        <f>HYPERLINK("https://www.indeed.com/viewjob?jk=f738706cf407c7c6", "https://www.indeed.com/viewjob?jk=f738706cf407c7c6")</f>
        <v/>
      </c>
      <c r="F148">
        <f>HYPERLINK("https://www.amazon.jobs/jobs/3123268/sr-applied-scientist-agi-foundations?cmpid=DA_INAD200785B", "https://www.amazon.jobs/jobs/3123268/sr-applied-scientist-agi-foundations?cmpid=DA_INAD200785B")</f>
        <v/>
      </c>
      <c r="G148" t="inlineStr">
        <is>
          <t>Boston, MA, US</t>
        </is>
      </c>
      <c r="H148" s="3" t="n">
        <v>45963</v>
      </c>
      <c r="I14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in-71f6112151e68e71</t>
        </is>
      </c>
      <c r="B149" t="inlineStr">
        <is>
          <t>Sr. Applied Scientist, AGI Foundations</t>
        </is>
      </c>
      <c r="C149" t="inlineStr">
        <is>
          <t>Amazon.com</t>
        </is>
      </c>
      <c r="D149" t="inlineStr">
        <is>
          <t>indeed</t>
        </is>
      </c>
      <c r="E149">
        <f>HYPERLINK("https://www.indeed.com/viewjob?jk=71f6112151e68e71", "https://www.indeed.com/viewjob?jk=71f6112151e68e71")</f>
        <v/>
      </c>
      <c r="F149">
        <f>HYPERLINK("https://www.amazon.jobs/jobs/3123268/sr-applied-scientist-agi-foundations?cmpid=DA_INAD200785B", "https://www.amazon.jobs/jobs/3123268/sr-applied-scientist-agi-foundations?cmpid=DA_INAD200785B")</f>
        <v/>
      </c>
      <c r="G149" t="inlineStr">
        <is>
          <t>Bellevue, WA, US</t>
        </is>
      </c>
      <c r="H149" s="3" t="n">
        <v>45963</v>
      </c>
      <c r="I14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in-be092c253221840a</t>
        </is>
      </c>
      <c r="B150" t="inlineStr">
        <is>
          <t>Sr. Applied Scientist, Sponsored Product Off-Search</t>
        </is>
      </c>
      <c r="C150" t="inlineStr">
        <is>
          <t>Amazon.com</t>
        </is>
      </c>
      <c r="D150" t="inlineStr">
        <is>
          <t>indeed</t>
        </is>
      </c>
      <c r="E150">
        <f>HYPERLINK("https://www.indeed.com/viewjob?jk=be092c253221840a", "https://www.indeed.com/viewjob?jk=be092c253221840a")</f>
        <v/>
      </c>
      <c r="F150">
        <f>HYPERLINK("https://www.amazon.jobs/jobs/3120815/sr-applied-scientist-sponsored-product-offsearch-?cmpid=DA_INAD200785B", "https://www.amazon.jobs/jobs/3120815/sr-applied-scientist-sponsored-product-offsearch-?cmpid=DA_INAD200785B")</f>
        <v/>
      </c>
      <c r="G150" t="inlineStr">
        <is>
          <t>New York, NY, US</t>
        </is>
      </c>
      <c r="H150" s="3" t="n">
        <v>45963</v>
      </c>
      <c r="I15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in-03dec06dde7b8486</t>
        </is>
      </c>
      <c r="B151" t="inlineStr">
        <is>
          <t>Applied Scientist, AWS Agentic AI</t>
        </is>
      </c>
      <c r="C151" t="inlineStr">
        <is>
          <t>Amazon Web Services</t>
        </is>
      </c>
      <c r="D151" t="inlineStr">
        <is>
          <t>indeed</t>
        </is>
      </c>
      <c r="E151">
        <f>HYPERLINK("https://www.indeed.com/viewjob?jk=03dec06dde7b8486", "https://www.indeed.com/viewjob?jk=03dec06dde7b8486")</f>
        <v/>
      </c>
      <c r="F151">
        <f>HYPERLINK("https://www.amazon.jobs/jobs/3141517/applied-scientist-aws-agentic-ai-?cmpid=DA_INAD200785B", "https://www.amazon.jobs/jobs/3141517/applied-scientist-aws-agentic-ai-?cmpid=DA_INAD200785B")</f>
        <v/>
      </c>
      <c r="G151" t="inlineStr">
        <is>
          <t>New York, NY, US</t>
        </is>
      </c>
      <c r="H151" s="3" t="n">
        <v>45962</v>
      </c>
      <c r="I15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in-536049298f2564b6</t>
        </is>
      </c>
      <c r="B152" t="inlineStr">
        <is>
          <t>Applied Scientist, AWS Agentic AI</t>
        </is>
      </c>
      <c r="C152" t="inlineStr">
        <is>
          <t>Amazon Web Services</t>
        </is>
      </c>
      <c r="D152" t="inlineStr">
        <is>
          <t>indeed</t>
        </is>
      </c>
      <c r="E152">
        <f>HYPERLINK("https://www.indeed.com/viewjob?jk=536049298f2564b6", "https://www.indeed.com/viewjob?jk=536049298f2564b6")</f>
        <v/>
      </c>
      <c r="F152">
        <f>HYPERLINK("https://www.amazon.jobs/jobs/3141517/applied-scientist-aws-agentic-ai-?cmpid=DA_INAD200785B", "https://www.amazon.jobs/jobs/3141517/applied-scientist-aws-agentic-ai-?cmpid=DA_INAD200785B")</f>
        <v/>
      </c>
      <c r="G152" t="inlineStr">
        <is>
          <t>Seattle, WA, US</t>
        </is>
      </c>
      <c r="H152" s="3" t="n">
        <v>45962</v>
      </c>
      <c r="I15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in-ba73ea74f2191f45</t>
        </is>
      </c>
      <c r="B153" t="inlineStr">
        <is>
          <t>Applied Scientist, AWS Agentic AI</t>
        </is>
      </c>
      <c r="C153" t="inlineStr">
        <is>
          <t>Amazon Web Services</t>
        </is>
      </c>
      <c r="D153" t="inlineStr">
        <is>
          <t>indeed</t>
        </is>
      </c>
      <c r="E153">
        <f>HYPERLINK("https://www.indeed.com/viewjob?jk=ba73ea74f2191f45", "https://www.indeed.com/viewjob?jk=ba73ea74f2191f45")</f>
        <v/>
      </c>
      <c r="F153">
        <f>HYPERLINK("https://www.amazon.jobs/jobs/3141517/applied-scientist-aws-agentic-ai-?cmpid=DA_INAD200785B", "https://www.amazon.jobs/jobs/3141517/applied-scientist-aws-agentic-ai-?cmpid=DA_INAD200785B")</f>
        <v/>
      </c>
      <c r="G153" t="inlineStr">
        <is>
          <t>Santa Clara, CA, US</t>
        </is>
      </c>
      <c r="H153" s="3" t="n">
        <v>45962</v>
      </c>
      <c r="I15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in-35b314d7d9c1b7d0</t>
        </is>
      </c>
      <c r="B154" t="inlineStr">
        <is>
          <t>Principal Applied Scientist, Advertiser Growth, Amazon Sponsored Products &amp; Brands</t>
        </is>
      </c>
      <c r="C154" t="inlineStr">
        <is>
          <t>Amazon.com</t>
        </is>
      </c>
      <c r="D154" t="inlineStr">
        <is>
          <t>indeed</t>
        </is>
      </c>
      <c r="E154">
        <f>HYPERLINK("https://www.indeed.com/viewjob?jk=35b314d7d9c1b7d0", "https://www.indeed.com/viewjob?jk=35b314d7d9c1b7d0")</f>
        <v/>
      </c>
      <c r="F154">
        <f>HYPERLINK("https://www.amazon.jobs/jobs/3115279/principal-applied-scientist-advertiser-growth-amazon-sponsored-products--brands?cmpid=DA_INAD200785B", "https://www.amazon.jobs/jobs/3115279/principal-applied-scientist-advertiser-growth-amazon-sponsored-products--brands?cmpid=DA_INAD200785B")</f>
        <v/>
      </c>
      <c r="G154" t="inlineStr">
        <is>
          <t>Palo Alto, CA, US</t>
        </is>
      </c>
      <c r="H154" s="3" t="n">
        <v>45942</v>
      </c>
      <c r="I15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in-8186288ce3c4bde8</t>
        </is>
      </c>
      <c r="B155" t="inlineStr">
        <is>
          <t>Principal Applied Scientist, Advertiser Growth, Amazon Sponsored Products &amp; Brands</t>
        </is>
      </c>
      <c r="C155" t="inlineStr">
        <is>
          <t>Amazon.com</t>
        </is>
      </c>
      <c r="D155" t="inlineStr">
        <is>
          <t>indeed</t>
        </is>
      </c>
      <c r="E155">
        <f>HYPERLINK("https://www.indeed.com/viewjob?jk=8186288ce3c4bde8", "https://www.indeed.com/viewjob?jk=8186288ce3c4bde8")</f>
        <v/>
      </c>
      <c r="F155">
        <f>HYPERLINK("https://www.amazon.jobs/jobs/3115279/principal-applied-scientist-advertiser-growth-amazon-sponsored-products--brands?cmpid=DA_INAD200785B", "https://www.amazon.jobs/jobs/3115279/principal-applied-scientist-advertiser-growth-amazon-sponsored-products--brands?cmpid=DA_INAD200785B")</f>
        <v/>
      </c>
      <c r="G155" t="inlineStr">
        <is>
          <t>New York, NY, US</t>
        </is>
      </c>
      <c r="H155" s="3" t="n">
        <v>45942</v>
      </c>
      <c r="I15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in-14455eed0b5270d7</t>
        </is>
      </c>
      <c r="B156" t="inlineStr">
        <is>
          <t>Principal Applied Scientist, Advertiser Growth, Amazon Sponsored Products &amp; Brands</t>
        </is>
      </c>
      <c r="C156" t="inlineStr">
        <is>
          <t>Amazon.com</t>
        </is>
      </c>
      <c r="D156" t="inlineStr">
        <is>
          <t>indeed</t>
        </is>
      </c>
      <c r="E156">
        <f>HYPERLINK("https://www.indeed.com/viewjob?jk=14455eed0b5270d7", "https://www.indeed.com/viewjob?jk=14455eed0b5270d7")</f>
        <v/>
      </c>
      <c r="F156">
        <f>HYPERLINK("https://www.amazon.jobs/jobs/3115279/principal-applied-scientist-advertiser-growth-amazon-sponsored-products--brands?cmpid=DA_INAD200785B", "https://www.amazon.jobs/jobs/3115279/principal-applied-scientist-advertiser-growth-amazon-sponsored-products--brands?cmpid=DA_INAD200785B")</f>
        <v/>
      </c>
      <c r="G156" t="inlineStr">
        <is>
          <t>Seattle, WA, US</t>
        </is>
      </c>
      <c r="H156" s="3" t="n">
        <v>45942</v>
      </c>
      <c r="I15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in-5f1dd2b3835efa24</t>
        </is>
      </c>
      <c r="B157" t="inlineStr">
        <is>
          <t>Sr. Applied Scientist, SPB Advertiser Guidance</t>
        </is>
      </c>
      <c r="C157" t="inlineStr">
        <is>
          <t>Amazon.com</t>
        </is>
      </c>
      <c r="D157" t="inlineStr">
        <is>
          <t>indeed</t>
        </is>
      </c>
      <c r="E157">
        <f>HYPERLINK("https://www.indeed.com/viewjob?jk=5f1dd2b3835efa24", "https://www.indeed.com/viewjob?jk=5f1dd2b3835efa24")</f>
        <v/>
      </c>
      <c r="F157">
        <f>HYPERLINK("https://www.amazon.jobs/jobs/3106497/sr-applied-scientist-spb-advertiser-guidance?cmpid=DA_INAD200785B", "https://www.amazon.jobs/jobs/3106497/sr-applied-scientist-spb-advertiser-guidance?cmpid=DA_INAD200785B")</f>
        <v/>
      </c>
      <c r="G157" t="inlineStr">
        <is>
          <t>Palo Alto, CA, US</t>
        </is>
      </c>
      <c r="H157" s="3" t="n">
        <v>45939</v>
      </c>
      <c r="I15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in-10b1ce6e38e09bbc</t>
        </is>
      </c>
      <c r="B158" t="inlineStr">
        <is>
          <t>Sr. Applied Scientist, SPB Advertiser Guidance</t>
        </is>
      </c>
      <c r="C158" t="inlineStr">
        <is>
          <t>Amazon.com</t>
        </is>
      </c>
      <c r="D158" t="inlineStr">
        <is>
          <t>indeed</t>
        </is>
      </c>
      <c r="E158">
        <f>HYPERLINK("https://www.indeed.com/viewjob?jk=10b1ce6e38e09bbc", "https://www.indeed.com/viewjob?jk=10b1ce6e38e09bbc")</f>
        <v/>
      </c>
      <c r="F158">
        <f>HYPERLINK("https://www.amazon.jobs/jobs/3106497/sr-applied-scientist-spb-advertiser-guidance?cmpid=DA_INAD200785B", "https://www.amazon.jobs/jobs/3106497/sr-applied-scientist-spb-advertiser-guidance?cmpid=DA_INAD200785B")</f>
        <v/>
      </c>
      <c r="G158" t="inlineStr">
        <is>
          <t>Seattle, WA, US</t>
        </is>
      </c>
      <c r="H158" s="3" t="n">
        <v>45939</v>
      </c>
      <c r="I15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in-61d647dccdba96e6</t>
        </is>
      </c>
      <c r="B159" t="inlineStr">
        <is>
          <t>Sr. Applied Scientist, SPB Advertiser Guidance</t>
        </is>
      </c>
      <c r="C159" t="inlineStr">
        <is>
          <t>Amazon.com</t>
        </is>
      </c>
      <c r="D159" t="inlineStr">
        <is>
          <t>indeed</t>
        </is>
      </c>
      <c r="E159">
        <f>HYPERLINK("https://www.indeed.com/viewjob?jk=61d647dccdba96e6", "https://www.indeed.com/viewjob?jk=61d647dccdba96e6")</f>
        <v/>
      </c>
      <c r="F159">
        <f>HYPERLINK("https://www.amazon.jobs/jobs/3106497/sr-applied-scientist-spb-advertiser-guidance?cmpid=DA_INAD200785B", "https://www.amazon.jobs/jobs/3106497/sr-applied-scientist-spb-advertiser-guidance?cmpid=DA_INAD200785B")</f>
        <v/>
      </c>
      <c r="G159" t="inlineStr">
        <is>
          <t>New York, NY, US</t>
        </is>
      </c>
      <c r="H159" s="3" t="n">
        <v>45939</v>
      </c>
      <c r="I1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in-b88c6038eb87e74e</t>
        </is>
      </c>
      <c r="B160" t="inlineStr">
        <is>
          <t>Applied Scientist</t>
        </is>
      </c>
      <c r="C160" t="inlineStr">
        <is>
          <t>Amazon.com</t>
        </is>
      </c>
      <c r="D160" t="inlineStr">
        <is>
          <t>indeed</t>
        </is>
      </c>
      <c r="E160">
        <f>HYPERLINK("https://www.indeed.com/viewjob?jk=b88c6038eb87e74e", "https://www.indeed.com/viewjob?jk=b88c6038eb87e74e")</f>
        <v/>
      </c>
      <c r="F160">
        <f>HYPERLINK("https://www.amazon.jobs/jobs/3106501/applied-scientist?cmpid=DA_INAD200785B", "https://www.amazon.jobs/jobs/3106501/applied-scientist?cmpid=DA_INAD200785B")</f>
        <v/>
      </c>
      <c r="G160" t="inlineStr">
        <is>
          <t>New York, NY, US</t>
        </is>
      </c>
      <c r="H160" s="3" t="n">
        <v>45939</v>
      </c>
      <c r="I1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in-5604046a5f50ea17</t>
        </is>
      </c>
      <c r="B161" t="inlineStr">
        <is>
          <t>Applied Scientist</t>
        </is>
      </c>
      <c r="C161" t="inlineStr">
        <is>
          <t>Amazon.com</t>
        </is>
      </c>
      <c r="D161" t="inlineStr">
        <is>
          <t>indeed</t>
        </is>
      </c>
      <c r="E161">
        <f>HYPERLINK("https://www.indeed.com/viewjob?jk=5604046a5f50ea17", "https://www.indeed.com/viewjob?jk=5604046a5f50ea17")</f>
        <v/>
      </c>
      <c r="F161">
        <f>HYPERLINK("https://www.amazon.jobs/jobs/3106501/applied-scientist?cmpid=DA_INAD200785B", "https://www.amazon.jobs/jobs/3106501/applied-scientist?cmpid=DA_INAD200785B")</f>
        <v/>
      </c>
      <c r="G161" t="inlineStr">
        <is>
          <t>Seattle, WA, US</t>
        </is>
      </c>
      <c r="H161" s="3" t="n">
        <v>45939</v>
      </c>
      <c r="I1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in-389f629a38f3cc1f</t>
        </is>
      </c>
      <c r="B162" t="inlineStr">
        <is>
          <t>Applied Scientist</t>
        </is>
      </c>
      <c r="C162" t="inlineStr">
        <is>
          <t>Amazon.com</t>
        </is>
      </c>
      <c r="D162" t="inlineStr">
        <is>
          <t>indeed</t>
        </is>
      </c>
      <c r="E162">
        <f>HYPERLINK("https://www.indeed.com/viewjob?jk=389f629a38f3cc1f", "https://www.indeed.com/viewjob?jk=389f629a38f3cc1f")</f>
        <v/>
      </c>
      <c r="F162">
        <f>HYPERLINK("https://www.amazon.jobs/jobs/3106501/applied-scientist?cmpid=DA_INAD200785B", "https://www.amazon.jobs/jobs/3106501/applied-scientist?cmpid=DA_INAD200785B")</f>
        <v/>
      </c>
      <c r="G162" t="inlineStr">
        <is>
          <t>Palo Alto, CA, US</t>
        </is>
      </c>
      <c r="H162" s="3" t="n">
        <v>45939</v>
      </c>
      <c r="I1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in-5e2918a819af8c44</t>
        </is>
      </c>
      <c r="B163" t="inlineStr">
        <is>
          <t>Applied Scientist II, Prime Video - Personalization and Discovery Science, Personalization and Discovery Science</t>
        </is>
      </c>
      <c r="C163" t="inlineStr">
        <is>
          <t>Amazon.com</t>
        </is>
      </c>
      <c r="D163" t="inlineStr">
        <is>
          <t>indeed</t>
        </is>
      </c>
      <c r="E163">
        <f>HYPERLINK("https://www.indeed.com/viewjob?jk=5e2918a819af8c44", "https://www.indeed.com/viewjob?jk=5e2918a819af8c44")</f>
        <v/>
      </c>
      <c r="F16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3" t="inlineStr">
        <is>
          <t>Seattle, WA, US</t>
        </is>
      </c>
      <c r="H163" s="3" t="n">
        <v>45930</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in-b51738a9693f1853</t>
        </is>
      </c>
      <c r="B164" t="inlineStr">
        <is>
          <t>Applied Scientist II, Prime Video - Personalization and Discovery Science, Personalization and Discovery Science</t>
        </is>
      </c>
      <c r="C164" t="inlineStr">
        <is>
          <t>Amazon.com</t>
        </is>
      </c>
      <c r="D164" t="inlineStr">
        <is>
          <t>indeed</t>
        </is>
      </c>
      <c r="E164">
        <f>HYPERLINK("https://www.indeed.com/viewjob?jk=b51738a9693f1853", "https://www.indeed.com/viewjob?jk=b51738a9693f1853")</f>
        <v/>
      </c>
      <c r="F16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4" t="inlineStr">
        <is>
          <t>Sunnyvale, CA, US</t>
        </is>
      </c>
      <c r="H164" s="3" t="n">
        <v>45930</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in-93215ff384379eeb</t>
        </is>
      </c>
      <c r="B165" t="inlineStr">
        <is>
          <t>Applied Scientist II, Prime Video - Personalization and Discovery Science, Personalization and Discovery Science</t>
        </is>
      </c>
      <c r="C165" t="inlineStr">
        <is>
          <t>Amazon.com</t>
        </is>
      </c>
      <c r="D165" t="inlineStr">
        <is>
          <t>indeed</t>
        </is>
      </c>
      <c r="E165">
        <f>HYPERLINK("https://www.indeed.com/viewjob?jk=93215ff384379eeb", "https://www.indeed.com/viewjob?jk=93215ff384379eeb")</f>
        <v/>
      </c>
      <c r="F16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5" t="inlineStr">
        <is>
          <t>New York, NY, US</t>
        </is>
      </c>
      <c r="H165" s="3" t="n">
        <v>45930</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in-796df6df26e6bb02</t>
        </is>
      </c>
      <c r="B166" t="inlineStr">
        <is>
          <t>Applied Scientist, Workplace Health &amp; Safety</t>
        </is>
      </c>
      <c r="C166" t="inlineStr">
        <is>
          <t>Amazon.com</t>
        </is>
      </c>
      <c r="D166" t="inlineStr">
        <is>
          <t>indeed</t>
        </is>
      </c>
      <c r="E166">
        <f>HYPERLINK("https://www.indeed.com/viewjob?jk=796df6df26e6bb02", "https://www.indeed.com/viewjob?jk=796df6df26e6bb02")</f>
        <v/>
      </c>
      <c r="F166">
        <f>HYPERLINK("https://www.amazon.jobs/jobs/3144886/applied-scientist-workplace-health--safety-?cmpid=DA_INAD200785B", "https://www.amazon.jobs/jobs/3144886/applied-scientist-workplace-health--safety-?cmpid=DA_INAD200785B")</f>
        <v/>
      </c>
      <c r="G166" t="inlineStr">
        <is>
          <t>Nashville, TN, US</t>
        </is>
      </c>
      <c r="H166" s="3" t="n">
        <v>45917</v>
      </c>
      <c r="I16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in-88e056ce14536cde</t>
        </is>
      </c>
      <c r="B167" t="inlineStr">
        <is>
          <t>Applied Scientist, Workplace Health &amp; Safety</t>
        </is>
      </c>
      <c r="C167" t="inlineStr">
        <is>
          <t>Amazon.com</t>
        </is>
      </c>
      <c r="D167" t="inlineStr">
        <is>
          <t>indeed</t>
        </is>
      </c>
      <c r="E167">
        <f>HYPERLINK("https://www.indeed.com/viewjob?jk=88e056ce14536cde", "https://www.indeed.com/viewjob?jk=88e056ce14536cde")</f>
        <v/>
      </c>
      <c r="F167">
        <f>HYPERLINK("https://www.amazon.jobs/jobs/3144886/applied-scientist-workplace-health--safety-?cmpid=DA_INAD200785B", "https://www.amazon.jobs/jobs/3144886/applied-scientist-workplace-health--safety-?cmpid=DA_INAD200785B")</f>
        <v/>
      </c>
      <c r="G167" t="inlineStr">
        <is>
          <t>Bellevue, WA, US</t>
        </is>
      </c>
      <c r="H167" s="3" t="n">
        <v>45917</v>
      </c>
      <c r="I16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in-7f7b307d181e47d9</t>
        </is>
      </c>
      <c r="B168" t="inlineStr">
        <is>
          <t>Applied Scientist II, Prime Video - Personalization and Discovery Science</t>
        </is>
      </c>
      <c r="C168" t="inlineStr">
        <is>
          <t>Amazon.com</t>
        </is>
      </c>
      <c r="D168" t="inlineStr">
        <is>
          <t>indeed</t>
        </is>
      </c>
      <c r="E168">
        <f>HYPERLINK("https://www.indeed.com/viewjob?jk=7f7b307d181e47d9", "https://www.indeed.com/viewjob?jk=7f7b307d181e47d9")</f>
        <v/>
      </c>
      <c r="F168">
        <f>HYPERLINK("https://www.amazon.jobs/jobs/3059253/applied-scientist-ii-prime-video--personalization-and-discovery-science?cmpid=DA_INAD200785B", "https://www.amazon.jobs/jobs/3059253/applied-scientist-ii-prime-video--personalization-and-discovery-science?cmpid=DA_INAD200785B")</f>
        <v/>
      </c>
      <c r="G168" t="inlineStr">
        <is>
          <t>New York, NY, US</t>
        </is>
      </c>
      <c r="H168" s="3" t="n">
        <v>45881</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in-858fca564d681bf7</t>
        </is>
      </c>
      <c r="B169" t="inlineStr">
        <is>
          <t>Sr. Applied Scientist, Prime Video - Personalization and Discovery Science</t>
        </is>
      </c>
      <c r="C169" t="inlineStr">
        <is>
          <t>Amazon.com</t>
        </is>
      </c>
      <c r="D169" t="inlineStr">
        <is>
          <t>indeed</t>
        </is>
      </c>
      <c r="E169">
        <f>HYPERLINK("https://www.indeed.com/viewjob?jk=858fca564d681bf7", "https://www.indeed.com/viewjob?jk=858fca564d681bf7")</f>
        <v/>
      </c>
      <c r="F169">
        <f>HYPERLINK("https://www.amazon.jobs/jobs/3059256/sr-applied-scientist-prime-video--personalization-and-discovery-science?cmpid=DA_INAD200785B", "https://www.amazon.jobs/jobs/3059256/sr-applied-scientist-prime-video--personalization-and-discovery-science?cmpid=DA_INAD200785B")</f>
        <v/>
      </c>
      <c r="G169" t="inlineStr">
        <is>
          <t>New York, NY, US</t>
        </is>
      </c>
      <c r="H169" s="3" t="n">
        <v>45881</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in-75303935bfd4ffed</t>
        </is>
      </c>
      <c r="B170" t="inlineStr">
        <is>
          <t>Applied Scientist II, Prime Video - Personalization and Discovery Science</t>
        </is>
      </c>
      <c r="C170" t="inlineStr">
        <is>
          <t>Amazon.com</t>
        </is>
      </c>
      <c r="D170" t="inlineStr">
        <is>
          <t>indeed</t>
        </is>
      </c>
      <c r="E170">
        <f>HYPERLINK("https://www.indeed.com/viewjob?jk=75303935bfd4ffed", "https://www.indeed.com/viewjob?jk=75303935bfd4ffed")</f>
        <v/>
      </c>
      <c r="F170">
        <f>HYPERLINK("https://www.amazon.jobs/jobs/3059253/applied-scientist-ii-prime-video--personalization-and-discovery-science?cmpid=DA_INAD200785B", "https://www.amazon.jobs/jobs/3059253/applied-scientist-ii-prime-video--personalization-and-discovery-science?cmpid=DA_INAD200785B")</f>
        <v/>
      </c>
      <c r="G170" t="inlineStr">
        <is>
          <t>Sunnyvale, CA, US</t>
        </is>
      </c>
      <c r="H170" s="3" t="n">
        <v>45881</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in-11ae9c0cd5811668</t>
        </is>
      </c>
      <c r="B171" t="inlineStr">
        <is>
          <t>Applied Scientist II, Prime Video - Personalization and Discovery Science</t>
        </is>
      </c>
      <c r="C171" t="inlineStr">
        <is>
          <t>Amazon.com</t>
        </is>
      </c>
      <c r="D171" t="inlineStr">
        <is>
          <t>indeed</t>
        </is>
      </c>
      <c r="E171">
        <f>HYPERLINK("https://www.indeed.com/viewjob?jk=11ae9c0cd5811668", "https://www.indeed.com/viewjob?jk=11ae9c0cd5811668")</f>
        <v/>
      </c>
      <c r="F171">
        <f>HYPERLINK("https://www.amazon.jobs/jobs/3059253/applied-scientist-ii-prime-video--personalization-and-discovery-science?cmpid=DA_INAD200785B", "https://www.amazon.jobs/jobs/3059253/applied-scientist-ii-prime-video--personalization-and-discovery-science?cmpid=DA_INAD200785B")</f>
        <v/>
      </c>
      <c r="G171" t="inlineStr">
        <is>
          <t>Seattle, WA, US</t>
        </is>
      </c>
      <c r="H171" s="3" t="n">
        <v>45881</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in-7c18b38eaa79cbf6</t>
        </is>
      </c>
      <c r="B172" t="inlineStr">
        <is>
          <t>Sr. Applied Scientist, Prime Video - Personalization and Discovery Science</t>
        </is>
      </c>
      <c r="C172" t="inlineStr">
        <is>
          <t>Amazon.com</t>
        </is>
      </c>
      <c r="D172" t="inlineStr">
        <is>
          <t>indeed</t>
        </is>
      </c>
      <c r="E172">
        <f>HYPERLINK("https://www.indeed.com/viewjob?jk=7c18b38eaa79cbf6", "https://www.indeed.com/viewjob?jk=7c18b38eaa79cbf6")</f>
        <v/>
      </c>
      <c r="F172">
        <f>HYPERLINK("https://www.amazon.jobs/jobs/3059256/sr-applied-scientist-prime-video--personalization-and-discovery-science?cmpid=DA_INAD200785B", "https://www.amazon.jobs/jobs/3059256/sr-applied-scientist-prime-video--personalization-and-discovery-science?cmpid=DA_INAD200785B")</f>
        <v/>
      </c>
      <c r="G172" t="inlineStr">
        <is>
          <t>Sunnyvale, CA, US</t>
        </is>
      </c>
      <c r="H172" s="3" t="n">
        <v>45881</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in-746403de61cec919</t>
        </is>
      </c>
      <c r="B173" t="inlineStr">
        <is>
          <t>Sr. Applied Scientist, Prime Video - Personalization and Discovery Science</t>
        </is>
      </c>
      <c r="C173" t="inlineStr">
        <is>
          <t>Amazon.com</t>
        </is>
      </c>
      <c r="D173" t="inlineStr">
        <is>
          <t>indeed</t>
        </is>
      </c>
      <c r="E173">
        <f>HYPERLINK("https://www.indeed.com/viewjob?jk=746403de61cec919", "https://www.indeed.com/viewjob?jk=746403de61cec919")</f>
        <v/>
      </c>
      <c r="F173">
        <f>HYPERLINK("https://www.amazon.jobs/jobs/3059256/sr-applied-scientist-prime-video--personalization-and-discovery-science?cmpid=DA_INAD200785B", "https://www.amazon.jobs/jobs/3059256/sr-applied-scientist-prime-video--personalization-and-discovery-science?cmpid=DA_INAD200785B")</f>
        <v/>
      </c>
      <c r="G173" t="inlineStr">
        <is>
          <t>Seattle, WA, US</t>
        </is>
      </c>
      <c r="H173" s="3" t="n">
        <v>45881</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in-f50531e86351959f</t>
        </is>
      </c>
      <c r="B174" t="inlineStr">
        <is>
          <t>Sr. Applied Scientist, Amazon Advertising</t>
        </is>
      </c>
      <c r="C174" t="inlineStr">
        <is>
          <t>Amazon.com</t>
        </is>
      </c>
      <c r="D174" t="inlineStr">
        <is>
          <t>indeed</t>
        </is>
      </c>
      <c r="E174">
        <f>HYPERLINK("https://www.indeed.com/viewjob?jk=f50531e86351959f", "https://www.indeed.com/viewjob?jk=f50531e86351959f")</f>
        <v/>
      </c>
      <c r="F174">
        <f>HYPERLINK("https://www.amazon.jobs/jobs/3035686/sr-applied-scientist-amazon-advertising?cmpid=DA_INAD200785B", "https://www.amazon.jobs/jobs/3035686/sr-applied-scientist-amazon-advertising?cmpid=DA_INAD200785B")</f>
        <v/>
      </c>
      <c r="G174" t="inlineStr">
        <is>
          <t>Austin, TX, US</t>
        </is>
      </c>
      <c r="H174" s="3" t="n">
        <v>45851</v>
      </c>
      <c r="I1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in-bc9a3c95d0c9d63a</t>
        </is>
      </c>
      <c r="B175" t="inlineStr">
        <is>
          <t>Sr. Applied Scientist, Amazon Advertising</t>
        </is>
      </c>
      <c r="C175" t="inlineStr">
        <is>
          <t>Amazon.com</t>
        </is>
      </c>
      <c r="D175" t="inlineStr">
        <is>
          <t>indeed</t>
        </is>
      </c>
      <c r="E175">
        <f>HYPERLINK("https://www.indeed.com/viewjob?jk=bc9a3c95d0c9d63a", "https://www.indeed.com/viewjob?jk=bc9a3c95d0c9d63a")</f>
        <v/>
      </c>
      <c r="F175">
        <f>HYPERLINK("https://www.amazon.jobs/jobs/3035686/sr-applied-scientist-amazon-advertising?cmpid=DA_INAD200785B", "https://www.amazon.jobs/jobs/3035686/sr-applied-scientist-amazon-advertising?cmpid=DA_INAD200785B")</f>
        <v/>
      </c>
      <c r="G175" t="inlineStr">
        <is>
          <t>New York, NY, US</t>
        </is>
      </c>
      <c r="H175" s="3" t="n">
        <v>45851</v>
      </c>
      <c r="I1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in-a0a2fe872b562373</t>
        </is>
      </c>
      <c r="B176" t="inlineStr">
        <is>
          <t>Sr. Applied Scientist, Amazon Advertising</t>
        </is>
      </c>
      <c r="C176" t="inlineStr">
        <is>
          <t>Amazon.com</t>
        </is>
      </c>
      <c r="D176" t="inlineStr">
        <is>
          <t>indeed</t>
        </is>
      </c>
      <c r="E176">
        <f>HYPERLINK("https://www.indeed.com/viewjob?jk=a0a2fe872b562373", "https://www.indeed.com/viewjob?jk=a0a2fe872b562373")</f>
        <v/>
      </c>
      <c r="F176">
        <f>HYPERLINK("https://www.amazon.jobs/jobs/3035686/sr-applied-scientist-amazon-advertising?cmpid=DA_INAD200785B", "https://www.amazon.jobs/jobs/3035686/sr-applied-scientist-amazon-advertising?cmpid=DA_INAD200785B")</f>
        <v/>
      </c>
      <c r="G176" t="inlineStr">
        <is>
          <t>Los Angeles, CA, US</t>
        </is>
      </c>
      <c r="H176" s="3" t="n">
        <v>45851</v>
      </c>
      <c r="I1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in-272fac084b3cd74f</t>
        </is>
      </c>
      <c r="B177" t="inlineStr">
        <is>
          <t>Sr. Applied Scientist, Amazon Advertising</t>
        </is>
      </c>
      <c r="C177" t="inlineStr">
        <is>
          <t>Amazon.com</t>
        </is>
      </c>
      <c r="D177" t="inlineStr">
        <is>
          <t>indeed</t>
        </is>
      </c>
      <c r="E177">
        <f>HYPERLINK("https://www.indeed.com/viewjob?jk=272fac084b3cd74f", "https://www.indeed.com/viewjob?jk=272fac084b3cd74f")</f>
        <v/>
      </c>
      <c r="F177">
        <f>HYPERLINK("https://www.amazon.jobs/jobs/3035686/sr-applied-scientist-amazon-advertising?cmpid=DA_INAD200785B", "https://www.amazon.jobs/jobs/3035686/sr-applied-scientist-amazon-advertising?cmpid=DA_INAD200785B")</f>
        <v/>
      </c>
      <c r="G177" t="inlineStr">
        <is>
          <t>Simi Valley, CA, US</t>
        </is>
      </c>
      <c r="H177" s="3" t="n">
        <v>45851</v>
      </c>
      <c r="I1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in-29b991b0d89dd810</t>
        </is>
      </c>
      <c r="B178" t="inlineStr">
        <is>
          <t>Sr. Applied Scientist, Amazon Advertising</t>
        </is>
      </c>
      <c r="C178" t="inlineStr">
        <is>
          <t>Amazon.com</t>
        </is>
      </c>
      <c r="D178" t="inlineStr">
        <is>
          <t>indeed</t>
        </is>
      </c>
      <c r="E178">
        <f>HYPERLINK("https://www.indeed.com/viewjob?jk=29b991b0d89dd810", "https://www.indeed.com/viewjob?jk=29b991b0d89dd810")</f>
        <v/>
      </c>
      <c r="F178">
        <f>HYPERLINK("https://www.amazon.jobs/jobs/3035686/sr-applied-scientist-amazon-advertising?cmpid=DA_INAD200785B", "https://www.amazon.jobs/jobs/3035686/sr-applied-scientist-amazon-advertising?cmpid=DA_INAD200785B")</f>
        <v/>
      </c>
      <c r="G178" t="inlineStr">
        <is>
          <t>Seattle, WA, US</t>
        </is>
      </c>
      <c r="H178" s="3" t="n">
        <v>45851</v>
      </c>
      <c r="I1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in-98e9b32922bac38b</t>
        </is>
      </c>
      <c r="B179" t="inlineStr">
        <is>
          <t>Sr. Applied Scientist, Amazon Advertising</t>
        </is>
      </c>
      <c r="C179" t="inlineStr">
        <is>
          <t>Amazon.com</t>
        </is>
      </c>
      <c r="D179" t="inlineStr">
        <is>
          <t>indeed</t>
        </is>
      </c>
      <c r="E179">
        <f>HYPERLINK("https://www.indeed.com/viewjob?jk=98e9b32922bac38b", "https://www.indeed.com/viewjob?jk=98e9b32922bac38b")</f>
        <v/>
      </c>
      <c r="F179">
        <f>HYPERLINK("https://www.amazon.jobs/jobs/3035686/sr-applied-scientist-amazon-advertising?cmpid=DA_INAD200785B", "https://www.amazon.jobs/jobs/3035686/sr-applied-scientist-amazon-advertising?cmpid=DA_INAD200785B")</f>
        <v/>
      </c>
      <c r="G179" t="inlineStr">
        <is>
          <t>Palo Alto, CA, US</t>
        </is>
      </c>
      <c r="H179" s="3" t="n">
        <v>45851</v>
      </c>
      <c r="I1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in-44c28b4e0b47a213</t>
        </is>
      </c>
      <c r="B180" t="inlineStr">
        <is>
          <t>Sr. Applied Scientist, Amazon Advertising</t>
        </is>
      </c>
      <c r="C180" t="inlineStr">
        <is>
          <t>Amazon.com</t>
        </is>
      </c>
      <c r="D180" t="inlineStr">
        <is>
          <t>indeed</t>
        </is>
      </c>
      <c r="E180">
        <f>HYPERLINK("https://www.indeed.com/viewjob?jk=44c28b4e0b47a213", "https://www.indeed.com/viewjob?jk=44c28b4e0b47a213")</f>
        <v/>
      </c>
      <c r="F180">
        <f>HYPERLINK("https://www.amazon.jobs/jobs/3035686/sr-applied-scientist-amazon-advertising?cmpid=DA_INAD200785B", "https://www.amazon.jobs/jobs/3035686/sr-applied-scientist-amazon-advertising?cmpid=DA_INAD200785B")</f>
        <v/>
      </c>
      <c r="G180" t="inlineStr">
        <is>
          <t>Arlington, VA, US</t>
        </is>
      </c>
      <c r="H180" s="3" t="n">
        <v>45851</v>
      </c>
      <c r="I1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in-b615cf41c9a3d866</t>
        </is>
      </c>
      <c r="B181" t="inlineStr">
        <is>
          <t>Sr. Applied Scientist, Amazon Advertising</t>
        </is>
      </c>
      <c r="C181" t="inlineStr">
        <is>
          <t>Amazon.com</t>
        </is>
      </c>
      <c r="D181" t="inlineStr">
        <is>
          <t>indeed</t>
        </is>
      </c>
      <c r="E181">
        <f>HYPERLINK("https://www.indeed.com/viewjob?jk=b615cf41c9a3d866", "https://www.indeed.com/viewjob?jk=b615cf41c9a3d866")</f>
        <v/>
      </c>
      <c r="F181">
        <f>HYPERLINK("https://www.amazon.jobs/jobs/3035686/sr-applied-scientist-amazon-advertising?cmpid=DA_INAD200785B", "https://www.amazon.jobs/jobs/3035686/sr-applied-scientist-amazon-advertising?cmpid=DA_INAD200785B")</f>
        <v/>
      </c>
      <c r="G181" t="inlineStr">
        <is>
          <t>West Hollywood, CA, US</t>
        </is>
      </c>
      <c r="H181" s="3" t="n">
        <v>45851</v>
      </c>
      <c r="I1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in-476710572f098be7</t>
        </is>
      </c>
      <c r="B182" t="inlineStr">
        <is>
          <t>Applied Scientist, Prime Video - Personalization and Discovery Science</t>
        </is>
      </c>
      <c r="C182" t="inlineStr">
        <is>
          <t>Amazon.com</t>
        </is>
      </c>
      <c r="D182" t="inlineStr">
        <is>
          <t>indeed</t>
        </is>
      </c>
      <c r="E182">
        <f>HYPERLINK("https://www.indeed.com/viewjob?jk=476710572f098be7", "https://www.indeed.com/viewjob?jk=476710572f098be7")</f>
        <v/>
      </c>
      <c r="F182">
        <f>HYPERLINK("https://www.amazon.jobs/jobs/3033050/applied-scientist-prime-video--personalization-and-discovery-science?cmpid=DA_INAD200785B", "https://www.amazon.jobs/jobs/3033050/applied-scientist-prime-video--personalization-and-discovery-science?cmpid=DA_INAD200785B")</f>
        <v/>
      </c>
      <c r="G182" t="inlineStr">
        <is>
          <t>Sunnyvale, CA, US</t>
        </is>
      </c>
      <c r="H182" s="3" t="n">
        <v>45845</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in-2a2f41047fa4b5c9</t>
        </is>
      </c>
      <c r="B183" t="inlineStr">
        <is>
          <t>Applied Scientist, Prime Video - Personalization and Discovery Science</t>
        </is>
      </c>
      <c r="C183" t="inlineStr">
        <is>
          <t>Amazon.com</t>
        </is>
      </c>
      <c r="D183" t="inlineStr">
        <is>
          <t>indeed</t>
        </is>
      </c>
      <c r="E183">
        <f>HYPERLINK("https://www.indeed.com/viewjob?jk=2a2f41047fa4b5c9", "https://www.indeed.com/viewjob?jk=2a2f41047fa4b5c9")</f>
        <v/>
      </c>
      <c r="F183">
        <f>HYPERLINK("https://www.amazon.jobs/jobs/3033050/applied-scientist-prime-video--personalization-and-discovery-science?cmpid=DA_INAD200785B", "https://www.amazon.jobs/jobs/3033050/applied-scientist-prime-video--personalization-and-discovery-science?cmpid=DA_INAD200785B")</f>
        <v/>
      </c>
      <c r="G183" t="inlineStr">
        <is>
          <t>New York, NY, US</t>
        </is>
      </c>
      <c r="H183" s="3" t="n">
        <v>45845</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in-e3e1e96c171950a4</t>
        </is>
      </c>
      <c r="B184" t="inlineStr">
        <is>
          <t>Applied Scientist, Prime Video - Personalization and Discovery Science</t>
        </is>
      </c>
      <c r="C184" t="inlineStr">
        <is>
          <t>Amazon.com</t>
        </is>
      </c>
      <c r="D184" t="inlineStr">
        <is>
          <t>indeed</t>
        </is>
      </c>
      <c r="E184">
        <f>HYPERLINK("https://www.indeed.com/viewjob?jk=e3e1e96c171950a4", "https://www.indeed.com/viewjob?jk=e3e1e96c171950a4")</f>
        <v/>
      </c>
      <c r="F184">
        <f>HYPERLINK("https://www.amazon.jobs/jobs/3033050/applied-scientist-prime-video--personalization-and-discovery-science?cmpid=DA_INAD200785B", "https://www.amazon.jobs/jobs/3033050/applied-scientist-prime-video--personalization-and-discovery-science?cmpid=DA_INAD200785B")</f>
        <v/>
      </c>
      <c r="G184" t="inlineStr">
        <is>
          <t>Seattle, WA, US</t>
        </is>
      </c>
      <c r="H184" s="3" t="n">
        <v>45845</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in-993d9f19af16a23f</t>
        </is>
      </c>
      <c r="B185" t="inlineStr">
        <is>
          <t>Senior Applied Scientist, Artificial General Intelligence</t>
        </is>
      </c>
      <c r="C185" t="inlineStr">
        <is>
          <t>Amazon.com</t>
        </is>
      </c>
      <c r="D185" t="inlineStr">
        <is>
          <t>indeed</t>
        </is>
      </c>
      <c r="E185">
        <f>HYPERLINK("https://www.indeed.com/viewjob?jk=993d9f19af16a23f", "https://www.indeed.com/viewjob?jk=993d9f19af16a23f")</f>
        <v/>
      </c>
      <c r="F185">
        <f>HYPERLINK("https://www.amazon.jobs/jobs/3032183/senior-applied-scientist-artificial-general-intelligence?cmpid=DA_INAD200785B", "https://www.amazon.jobs/jobs/3032183/senior-applied-scientist-artificial-general-intelligence?cmpid=DA_INAD200785B")</f>
        <v/>
      </c>
      <c r="G185" t="inlineStr">
        <is>
          <t>New York, NY, US</t>
        </is>
      </c>
      <c r="H185" s="3" t="n">
        <v>45838</v>
      </c>
      <c r="I18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in-216fb2d41560a817</t>
        </is>
      </c>
      <c r="B186" t="inlineStr">
        <is>
          <t>Senior Applied Scientist, Artificial General Intelligence</t>
        </is>
      </c>
      <c r="C186" t="inlineStr">
        <is>
          <t>Amazon.com</t>
        </is>
      </c>
      <c r="D186" t="inlineStr">
        <is>
          <t>indeed</t>
        </is>
      </c>
      <c r="E186">
        <f>HYPERLINK("https://www.indeed.com/viewjob?jk=216fb2d41560a817", "https://www.indeed.com/viewjob?jk=216fb2d41560a817")</f>
        <v/>
      </c>
      <c r="F186">
        <f>HYPERLINK("https://www.amazon.jobs/jobs/3032183/senior-applied-scientist-artificial-general-intelligence?cmpid=DA_INAD200785B", "https://www.amazon.jobs/jobs/3032183/senior-applied-scientist-artificial-general-intelligence?cmpid=DA_INAD200785B")</f>
        <v/>
      </c>
      <c r="G186" t="inlineStr">
        <is>
          <t>Boston, MA, US</t>
        </is>
      </c>
      <c r="H186" s="3" t="n">
        <v>45838</v>
      </c>
      <c r="I18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in-e5d1f6e7ec5e67be</t>
        </is>
      </c>
      <c r="B187" t="inlineStr">
        <is>
          <t>Senior Applied Scientist, Artificial General Intelligence</t>
        </is>
      </c>
      <c r="C187" t="inlineStr">
        <is>
          <t>Amazon.com</t>
        </is>
      </c>
      <c r="D187" t="inlineStr">
        <is>
          <t>indeed</t>
        </is>
      </c>
      <c r="E187">
        <f>HYPERLINK("https://www.indeed.com/viewjob?jk=e5d1f6e7ec5e67be", "https://www.indeed.com/viewjob?jk=e5d1f6e7ec5e67be")</f>
        <v/>
      </c>
      <c r="F187">
        <f>HYPERLINK("https://www.amazon.jobs/jobs/3032183/senior-applied-scientist-artificial-general-intelligence?cmpid=DA_INAD200785B", "https://www.amazon.jobs/jobs/3032183/senior-applied-scientist-artificial-general-intelligence?cmpid=DA_INAD200785B")</f>
        <v/>
      </c>
      <c r="G187" t="inlineStr">
        <is>
          <t>Sunnyvale, CA, US</t>
        </is>
      </c>
      <c r="H187" s="3" t="n">
        <v>45838</v>
      </c>
      <c r="I18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in-5093851320d5783c</t>
        </is>
      </c>
      <c r="B188" t="inlineStr">
        <is>
          <t>Sr. Applied Scientist, Sales AI</t>
        </is>
      </c>
      <c r="C188" t="inlineStr">
        <is>
          <t>Amazon.com</t>
        </is>
      </c>
      <c r="D188" t="inlineStr">
        <is>
          <t>indeed</t>
        </is>
      </c>
      <c r="E188">
        <f>HYPERLINK("https://www.indeed.com/viewjob?jk=5093851320d5783c", "https://www.indeed.com/viewjob?jk=5093851320d5783c")</f>
        <v/>
      </c>
      <c r="F188">
        <f>HYPERLINK("https://www.amazon.jobs/jobs/3020528/sr-applied-scientist-sales-ai?cmpid=DA_INAD200785B", "https://www.amazon.jobs/jobs/3020528/sr-applied-scientist-sales-ai?cmpid=DA_INAD200785B")</f>
        <v/>
      </c>
      <c r="G188" t="inlineStr">
        <is>
          <t>Sunnyvale, CA, US</t>
        </is>
      </c>
      <c r="H188" s="3" t="n">
        <v>45830</v>
      </c>
      <c r="I18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in-5fb670facbdf3fc7</t>
        </is>
      </c>
      <c r="B189" t="inlineStr">
        <is>
          <t>Sr. Applied Scientist, Sales AI</t>
        </is>
      </c>
      <c r="C189" t="inlineStr">
        <is>
          <t>Amazon.com</t>
        </is>
      </c>
      <c r="D189" t="inlineStr">
        <is>
          <t>indeed</t>
        </is>
      </c>
      <c r="E189">
        <f>HYPERLINK("https://www.indeed.com/viewjob?jk=5fb670facbdf3fc7", "https://www.indeed.com/viewjob?jk=5fb670facbdf3fc7")</f>
        <v/>
      </c>
      <c r="F189">
        <f>HYPERLINK("https://www.amazon.jobs/jobs/3020528/sr-applied-scientist-sales-ai?cmpid=DA_INAD200785B", "https://www.amazon.jobs/jobs/3020528/sr-applied-scientist-sales-ai?cmpid=DA_INAD200785B")</f>
        <v/>
      </c>
      <c r="G189" t="inlineStr">
        <is>
          <t>New York, NY, US</t>
        </is>
      </c>
      <c r="H189" s="3" t="n">
        <v>45830</v>
      </c>
      <c r="I18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in-b194d7f22111ab9c</t>
        </is>
      </c>
      <c r="B190" t="inlineStr">
        <is>
          <t>Sr. Applied Scientist, Sales AI</t>
        </is>
      </c>
      <c r="C190" t="inlineStr">
        <is>
          <t>Amazon.com</t>
        </is>
      </c>
      <c r="D190" t="inlineStr">
        <is>
          <t>indeed</t>
        </is>
      </c>
      <c r="E190">
        <f>HYPERLINK("https://www.indeed.com/viewjob?jk=b194d7f22111ab9c", "https://www.indeed.com/viewjob?jk=b194d7f22111ab9c")</f>
        <v/>
      </c>
      <c r="F190">
        <f>HYPERLINK("https://www.amazon.jobs/jobs/3020528/sr-applied-scientist-sales-ai?cmpid=DA_INAD200785B", "https://www.amazon.jobs/jobs/3020528/sr-applied-scientist-sales-ai?cmpid=DA_INAD200785B")</f>
        <v/>
      </c>
      <c r="G190" t="inlineStr">
        <is>
          <t>Seattle, WA, US</t>
        </is>
      </c>
      <c r="H190" s="3" t="n">
        <v>45830</v>
      </c>
      <c r="I19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in-b200dd3208711038</t>
        </is>
      </c>
      <c r="B191" t="inlineStr">
        <is>
          <t>Principal Applied Scientist, Delivery Foundation Model</t>
        </is>
      </c>
      <c r="C191" t="inlineStr">
        <is>
          <t>Amazon.com</t>
        </is>
      </c>
      <c r="D191" t="inlineStr">
        <is>
          <t>indeed</t>
        </is>
      </c>
      <c r="E191">
        <f>HYPERLINK("https://www.indeed.com/viewjob?jk=b200dd3208711038", "https://www.indeed.com/viewjob?jk=b200dd3208711038")</f>
        <v/>
      </c>
      <c r="F191">
        <f>HYPERLINK("https://www.amazon.jobs/jobs/3006938/principal-applied-scientist-delivery-foundation-model-?cmpid=DA_INAD200785B", "https://www.amazon.jobs/jobs/3006938/principal-applied-scientist-delivery-foundation-model-?cmpid=DA_INAD200785B")</f>
        <v/>
      </c>
      <c r="G191" t="inlineStr">
        <is>
          <t>New York, NY, US</t>
        </is>
      </c>
      <c r="H191" s="3" t="n">
        <v>45810</v>
      </c>
      <c r="I19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in-364436c9c518bedb</t>
        </is>
      </c>
      <c r="B192" t="inlineStr">
        <is>
          <t>Principal Applied Scientist, Delivery Foundation Model</t>
        </is>
      </c>
      <c r="C192" t="inlineStr">
        <is>
          <t>Amazon.com</t>
        </is>
      </c>
      <c r="D192" t="inlineStr">
        <is>
          <t>indeed</t>
        </is>
      </c>
      <c r="E192">
        <f>HYPERLINK("https://www.indeed.com/viewjob?jk=364436c9c518bedb", "https://www.indeed.com/viewjob?jk=364436c9c518bedb")</f>
        <v/>
      </c>
      <c r="F192">
        <f>HYPERLINK("https://www.amazon.jobs/jobs/3006938/principal-applied-scientist-delivery-foundation-model-?cmpid=DA_INAD200785B", "https://www.amazon.jobs/jobs/3006938/principal-applied-scientist-delivery-foundation-model-?cmpid=DA_INAD200785B")</f>
        <v/>
      </c>
      <c r="G192" t="inlineStr">
        <is>
          <t>Santa Clara, CA, US</t>
        </is>
      </c>
      <c r="H192" s="3" t="n">
        <v>45810</v>
      </c>
      <c r="I19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in-60d4b56f61ccc504</t>
        </is>
      </c>
      <c r="B193" t="inlineStr">
        <is>
          <t>Principal Applied Scientist, Delivery Foundation Model</t>
        </is>
      </c>
      <c r="C193" t="inlineStr">
        <is>
          <t>Amazon.com</t>
        </is>
      </c>
      <c r="D193" t="inlineStr">
        <is>
          <t>indeed</t>
        </is>
      </c>
      <c r="E193">
        <f>HYPERLINK("https://www.indeed.com/viewjob?jk=60d4b56f61ccc504", "https://www.indeed.com/viewjob?jk=60d4b56f61ccc504")</f>
        <v/>
      </c>
      <c r="F193">
        <f>HYPERLINK("https://www.amazon.jobs/jobs/3006938/principal-applied-scientist-delivery-foundation-model-?cmpid=DA_INAD200785B", "https://www.amazon.jobs/jobs/3006938/principal-applied-scientist-delivery-foundation-model-?cmpid=DA_INAD200785B")</f>
        <v/>
      </c>
      <c r="G193" t="inlineStr">
        <is>
          <t>Bellevue, WA, US</t>
        </is>
      </c>
      <c r="H193" s="3" t="n">
        <v>45810</v>
      </c>
      <c r="I19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in-c698843830ddcd0d</t>
        </is>
      </c>
      <c r="B194" t="inlineStr">
        <is>
          <t>Principal Applied Scientist, Delivery Foundation Model</t>
        </is>
      </c>
      <c r="C194" t="inlineStr">
        <is>
          <t>Amazon.com</t>
        </is>
      </c>
      <c r="D194" t="inlineStr">
        <is>
          <t>indeed</t>
        </is>
      </c>
      <c r="E194">
        <f>HYPERLINK("https://www.indeed.com/viewjob?jk=c698843830ddcd0d", "https://www.indeed.com/viewjob?jk=c698843830ddcd0d")</f>
        <v/>
      </c>
      <c r="F194">
        <f>HYPERLINK("https://www.amazon.jobs/jobs/3006938/principal-applied-scientist-delivery-foundation-model-?cmpid=DA_INAD200785B", "https://www.amazon.jobs/jobs/3006938/principal-applied-scientist-delivery-foundation-model-?cmpid=DA_INAD200785B")</f>
        <v/>
      </c>
      <c r="G194" t="inlineStr">
        <is>
          <t>Austin, TX, US</t>
        </is>
      </c>
      <c r="H194" s="3" t="n">
        <v>45810</v>
      </c>
      <c r="I19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in-4d6a237dfa5023fb</t>
        </is>
      </c>
      <c r="B195" t="inlineStr">
        <is>
          <t>Principal Applied Scientist, Delivery Foundation Model</t>
        </is>
      </c>
      <c r="C195" t="inlineStr">
        <is>
          <t>Amazon.com</t>
        </is>
      </c>
      <c r="D195" t="inlineStr">
        <is>
          <t>indeed</t>
        </is>
      </c>
      <c r="E195">
        <f>HYPERLINK("https://www.indeed.com/viewjob?jk=4d6a237dfa5023fb", "https://www.indeed.com/viewjob?jk=4d6a237dfa5023fb")</f>
        <v/>
      </c>
      <c r="F195">
        <f>HYPERLINK("https://www.amazon.jobs/jobs/2998635/principal-applied-scientist-delivery-foundation-model-?cmpid=DA_INAD200785B", "https://www.amazon.jobs/jobs/2998635/principal-applied-scientist-delivery-foundation-model-?cmpid=DA_INAD200785B")</f>
        <v/>
      </c>
      <c r="G195" t="inlineStr">
        <is>
          <t>Bellevue, WA, US</t>
        </is>
      </c>
      <c r="H195" s="3" t="n">
        <v>45757</v>
      </c>
      <c r="I19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in-60c79b4d6e4d227e</t>
        </is>
      </c>
      <c r="B196" t="inlineStr">
        <is>
          <t>Principal Applied Scientist, Delivery Foundation Model</t>
        </is>
      </c>
      <c r="C196" t="inlineStr">
        <is>
          <t>Amazon.com</t>
        </is>
      </c>
      <c r="D196" t="inlineStr">
        <is>
          <t>indeed</t>
        </is>
      </c>
      <c r="E196">
        <f>HYPERLINK("https://www.indeed.com/viewjob?jk=60c79b4d6e4d227e", "https://www.indeed.com/viewjob?jk=60c79b4d6e4d227e")</f>
        <v/>
      </c>
      <c r="F196">
        <f>HYPERLINK("https://www.amazon.jobs/jobs/2998635/principal-applied-scientist-delivery-foundation-model-?cmpid=DA_INAD200785B", "https://www.amazon.jobs/jobs/2998635/principal-applied-scientist-delivery-foundation-model-?cmpid=DA_INAD200785B")</f>
        <v/>
      </c>
      <c r="G196" t="inlineStr">
        <is>
          <t>Santa Clara, CA, US</t>
        </is>
      </c>
      <c r="H196" s="3" t="n">
        <v>45757</v>
      </c>
      <c r="I19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in-d5ae85b1f48388cc</t>
        </is>
      </c>
      <c r="B197" t="inlineStr">
        <is>
          <t>Principal Applied Scientist, Delivery Foundation Model</t>
        </is>
      </c>
      <c r="C197" t="inlineStr">
        <is>
          <t>Amazon.com</t>
        </is>
      </c>
      <c r="D197" t="inlineStr">
        <is>
          <t>indeed</t>
        </is>
      </c>
      <c r="E197">
        <f>HYPERLINK("https://www.indeed.com/viewjob?jk=d5ae85b1f48388cc", "https://www.indeed.com/viewjob?jk=d5ae85b1f48388cc")</f>
        <v/>
      </c>
      <c r="F197">
        <f>HYPERLINK("https://www.amazon.jobs/jobs/2998635/principal-applied-scientist-delivery-foundation-model-?cmpid=DA_INAD200785B", "https://www.amazon.jobs/jobs/2998635/principal-applied-scientist-delivery-foundation-model-?cmpid=DA_INAD200785B")</f>
        <v/>
      </c>
      <c r="G197" t="inlineStr">
        <is>
          <t>New York, NY, US</t>
        </is>
      </c>
      <c r="H197" s="3" t="n">
        <v>45757</v>
      </c>
      <c r="I19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in-507d3eee94e1fe9e</t>
        </is>
      </c>
      <c r="B198" t="inlineStr">
        <is>
          <t>Principal Applied Scientist, FAR (Frontier AI &amp; Robotics)</t>
        </is>
      </c>
      <c r="C198" t="inlineStr">
        <is>
          <t>Amazon.com</t>
        </is>
      </c>
      <c r="D198" t="inlineStr">
        <is>
          <t>indeed</t>
        </is>
      </c>
      <c r="E198">
        <f>HYPERLINK("https://www.indeed.com/viewjob?jk=507d3eee94e1fe9e", "https://www.indeed.com/viewjob?jk=507d3eee94e1fe9e")</f>
        <v/>
      </c>
      <c r="F198">
        <f>HYPERLINK("https://www.amazon.jobs/jobs/2938625/principal-applied-scientist-far-frontier-ai--robotics?cmpid=DA_INAD200785B", "https://www.amazon.jobs/jobs/2938625/principal-applied-scientist-far-frontier-ai--robotics?cmpid=DA_INAD200785B")</f>
        <v/>
      </c>
      <c r="G198" t="inlineStr">
        <is>
          <t>Seattle, WA, US</t>
        </is>
      </c>
      <c r="H198" s="3" t="n">
        <v>45740</v>
      </c>
      <c r="I19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in-a75edcd3180e1baf</t>
        </is>
      </c>
      <c r="B199" t="inlineStr">
        <is>
          <t>Principal Applied Scientist, FAR (Frontier AI &amp; Robotics)</t>
        </is>
      </c>
      <c r="C199" t="inlineStr">
        <is>
          <t>Amazon.com</t>
        </is>
      </c>
      <c r="D199" t="inlineStr">
        <is>
          <t>indeed</t>
        </is>
      </c>
      <c r="E199">
        <f>HYPERLINK("https://www.indeed.com/viewjob?jk=a75edcd3180e1baf", "https://www.indeed.com/viewjob?jk=a75edcd3180e1baf")</f>
        <v/>
      </c>
      <c r="F199">
        <f>HYPERLINK("https://www.amazon.jobs/jobs/2938625/principal-applied-scientist-far-frontier-ai--robotics?cmpid=DA_INAD200785B", "https://www.amazon.jobs/jobs/2938625/principal-applied-scientist-far-frontier-ai--robotics?cmpid=DA_INAD200785B")</f>
        <v/>
      </c>
      <c r="G199" t="inlineStr">
        <is>
          <t>San Francisco, CA, US</t>
        </is>
      </c>
      <c r="H199" s="3" t="n">
        <v>45740</v>
      </c>
      <c r="I19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in-dea054781f4d85d6</t>
        </is>
      </c>
      <c r="B200" t="inlineStr">
        <is>
          <t>AI Engineer (Generative Systems &amp; Infrastructure)</t>
        </is>
      </c>
      <c r="C200" t="inlineStr">
        <is>
          <t>OrderlyMeds</t>
        </is>
      </c>
      <c r="D200" t="inlineStr">
        <is>
          <t>indeed</t>
        </is>
      </c>
      <c r="E200">
        <f>HYPERLINK("https://www.indeed.com/viewjob?jk=dea054781f4d85d6", "https://www.indeed.com/viewjob?jk=dea054781f4d85d6")</f>
        <v/>
      </c>
      <c r="F200">
        <f>HYPERLINK("https://ats.rippling.com/orderly-wellness/jobs/ac3e7723-a68d-401f-b9c2-c5a2699a7572?jobSite=Indeed", "https://ats.rippling.com/orderly-wellness/jobs/ac3e7723-a68d-401f-b9c2-c5a2699a7572?jobSite=Indeed")</f>
        <v/>
      </c>
      <c r="G200" t="inlineStr">
        <is>
          <t>Remote, US</t>
        </is>
      </c>
      <c r="H200" s="3" t="n">
        <v>46055</v>
      </c>
      <c r="I200" t="inlineStr">
        <is>
          <t>**About Orderly Wellness**
Orderly Meds is building a better, more supportive healthcare experience—one that’s fast, reliable, and designed with people in mind. As a fully remote company, we’ve grown quickly by combining thoughtful technology with compassionate service, helping tens of thousands of patients get the care and medication they need, without the hassle.
We’re a collaborative, mission\-driven team working across the U.S. (and beyond!) to improve access to care at scale. With over 100 customer support agents, six pharmacy partners, and a 50\-state clinical network, we’re scaling fast, and looking for curious, kind, and solutions\-oriented people to grow with us.
 **About the role**
As an AI Engineer, you’ll design, build, and deploy the generative AI systems that power OrderlyMeds. You’ll fine\-tune large language models, innovate with embeddings and RAG architectures, and optimize inference performance across diverse workloads.
You’ll work closely with data scientists, AI platform engineers, and product teams to bring advanced models from prototype to production — building reliable, high\-performance systems that make AI a core capability of the organization.
 **What you'll do**
* Fine\-tune and evaluate large language models using frameworks like Hugging Face Transformers, PyTorch, and TensorFlow.
* Build and deploy RAG (retrieval\-augmented generation) systems, vector search pipelines, and embedding stores (e.g. FAISS, Pinecone, Weaviate).
* Develop robust inference infrastructure to support low\-latency, high\-throughput model serving.
* Integrate AI services via APIs and microservices using Python, FastAPI, or LangChain.
* Design evaluation pipelines to track model performance, drift, and prompt effectiveness.
* Collaborate with security, DevOps, and product teams to deploy production\-grade AI systems in AWS, GCP, or Azure environments.
* Explore, test, and implement new generative model capabilities (e.g., multi\-modal LLMs, instruction\-tuning, fine\-tuning pipelines).
 **Qualifications**
* 2 \- 5\+ years of experience in machine learning, applied AI, or MLOps.
* Strong proficiency in Python, PyTorch, and TensorFlow.
* Experience fine\-tuning or deploying LLMs, transformer\-based architectures, or embedding models.
* Familiarity with containerized deployments (Docker, Kubernetes) and CI/CD workflows.
* Knowledge of vector databases, prompt optimization, and evaluation frameworks.
* A strong bias toward building, iterating, and shipping \- not just researching.
 **The pay range for this role is:**  
80,000 \- 120,000 USD per month(Remote (United States))</t>
        </is>
      </c>
    </row>
    <row r="201">
      <c r="A201" t="inlineStr">
        <is>
          <t>in-cdba5f87962b93c9</t>
        </is>
      </c>
      <c r="B201" t="inlineStr">
        <is>
          <t>Senior Machine Learning Engineer II</t>
        </is>
      </c>
      <c r="C201" t="inlineStr">
        <is>
          <t>CesiumAstro</t>
        </is>
      </c>
      <c r="D201" t="inlineStr">
        <is>
          <t>indeed</t>
        </is>
      </c>
      <c r="E201">
        <f>HYPERLINK("https://www.indeed.com/viewjob?jk=cdba5f87962b93c9", "https://www.indeed.com/viewjob?jk=cdba5f87962b93c9")</f>
        <v/>
      </c>
      <c r="F201">
        <f>HYPERLINK("https://jobs.lever.co/CesiumAstro/06dc44f9-9bc0-4856-a938-379fd8337052?lever-source=Indeed", "https://jobs.lever.co/CesiumAstro/06dc44f9-9bc0-4856-a938-379fd8337052?lever-source=Indeed")</f>
        <v/>
      </c>
      <c r="G201" t="inlineStr">
        <is>
          <t>Austin, TX, US</t>
        </is>
      </c>
      <c r="H201" s="3" t="n">
        <v>46054</v>
      </c>
      <c r="I201"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We are looking for a **Senior Machine Learning Engineer II** to contribute to the development and deployment of machine learning solutions for our advanced distributed processing platforms. This role is highly collaborative, working closely with product, backend, and systems engineering teams to design, integrate, and maintain robust ML applications that support CesiumAstro’s mission.
### **JOB DUTIES AND RESPONSIBILITIES**
* Design, develop, and maintain deep learning pipelines for real\-time data processing.
* Evaluate and curate relevant datasets; establish model benchmarks to measure performance.
* Improve observability and monitoring for deployed ML systems.
* Develop, deploy, and maintain microservices that deliver ML capabilities to production systems.
* Enhance tooling and orchestration for tuning, deployment, and scaling of ML pipelines.
* Collaborate in research and development initiatives, contributing to new ML capabilities for aerospace and defense applications.
* Document designs, workflows, and operational best practices to ensure maintainable and resilient ML systems.
### **JOB REQUIREMENTS AND MINIMUM QUALIFICATIONS**
* Bachelor’s or higher degree in Computer Science, Engineering, or related technical field.
* 6\+ years of professional experience developing production\-ready ML systems in small to medium\-sized organizations (additional experience required for larger organizations).
* Proficiency in Python with demonstrated experience implementing ML algorithms in production environments.
* Experience designing and maintaining APIs for ML services.
* Hands\-on experience deploying and managing ML workflows in Kubernetes environments.
* Strong communication skills with the ability to clearly articulate complex technical ideas.
* Ability to work effectively in a collaborative, Agile engineering team.
### **PREFERRED EXPERIENCE**
* Knowledge of microservice architectures and distributed data systems.
* Familiarity with aerospace or defense applications of ML systems.
* Track record of contributing to early\-stage or rapidly scaling teams.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2">
      <c r="A202" t="inlineStr">
        <is>
          <t>in-029d36c40829e473</t>
        </is>
      </c>
      <c r="B202" t="inlineStr">
        <is>
          <t>Data Science AI Engineer, Advisor</t>
        </is>
      </c>
      <c r="C202" t="inlineStr">
        <is>
          <t>Gainwell Technologies LLC</t>
        </is>
      </c>
      <c r="D202" t="inlineStr">
        <is>
          <t>indeed</t>
        </is>
      </c>
      <c r="E202">
        <f>HYPERLINK("https://www.indeed.com/viewjob?jk=029d36c40829e473", "https://www.indeed.com/viewjob?jk=029d36c40829e473")</f>
        <v/>
      </c>
      <c r="F202">
        <f>HYPERLINK("https://jobs.gainwelltechnologies.com/job/Any-city-Data-Science-AI-Engineer%2C-Advisor-IL-99999/1361187700/?feedId=351800&amp;utm_source=Indeed&amp;utm_campaign=Gainwell_Indeed", "https://jobs.gainwelltechnologies.com/job/Any-city-Data-Science-AI-Engineer%2C-Advisor-IL-99999/1361187700/?feedId=351800&amp;utm_source=Indeed&amp;utm_campaign=Gainwell_Indeed")</f>
        <v/>
      </c>
      <c r="G202" t="inlineStr">
        <is>
          <t>IL, US</t>
        </is>
      </c>
      <c r="H202" s="3" t="n">
        <v>46054</v>
      </c>
      <c r="I202"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Gainwell Technologies is seeking a highly skilled AI Engineer to design, develop, and deploy advanced AI solutions, including Generative AI (GenAI), across our healthcare technology platforms. This role involves building and optimizing AI technologies, integrating them into existing systems, and ensuring their effectiveness in improving healthcare outcomes and operational efficiency while maintaining compliance with industry standards.
mission**Your role in our mission**
----------------------------
* AI Model Development – Design, build, and train machine learning and deep learning models, including GenAI, NLP, and predictive analytics solutions for healthcare applications.
* End\-to\-End AI Solution Deployment – Develop, test, and deploy AI solutions in cloud and on\-premise environments, ensuring reliability, scalability, and real\-world impact.
* Data Engineering \&amp; Processing – Work with large healthcare datasets, performing data preprocessing, feature engineering, and model training while ensuring compliance with HIPAA and other regulatory standards.
* System Integration – Implement and optimize AI models within Gainwell’s existing technology stack, collaborating with software engineers to ensure seamless integration.
* Performance Optimization – Continuously monitor, refine, and optimize AI models for accuracy, efficiency, and speed, leveraging MLOps best practices.
* AI Research \&amp; Innovation – Stay updated with the latest AI/ML advancements, exploring new technologies and methodologies to enhance solution effectiveness.
* Compliance \&amp; Security – Ensure AI implementations adhere to healthcare industry regulations, ethical AI principles, and data privacy standards.
* Automation \&amp; Workflow Enhancement – Identify opportunities to automate workflows and optimize business processes using AI\-driven solutions.
**What we're looking for**
--------------------------
* Master’s or Ph.D in Computer Science, AI, Data Science, or a related field.
* 5\+ years of experience in AI/ML engineering, with a focus on developing and deploying AI solutions.
* Hands\-on expertise in machine learning, deep learning, GenAI, NLP, and computer vision.
* Strong programming skills in Python, TensorFlow, PyTorch, and other AI frameworks.
* Experience developing, deploying and finetuning LLMs (GPT, Gemini, Claude or similar) for real world applications including prompt engineering, model optimization and inference efficiency.
* Experience with cloud platforms (AWS, Azure, or GCP) and MLOps for scalable AI deployments.
* Proficiency in working with big data technologies (Spark, Hadoop, SQL, NoSQL databases).
* Strong problem\-solving skills with the ability to translate business challenges into AI\-driven solutions.
* Knowledge of healthcare AI applications and regulatory compliance (HIPAA, CMS) is a plus.
role**What you should expect in this role**
---------------------------------------
	+ Fully Remote Opportunity – Work from anywhere in the U.S.
	+ Minimal Travel Required – Occasional travel opportunities (0\-10%).
	+ Opportunity to Work on Cutting\-Edge AI Solutions in a mission\-driven healthcare technology environment.
	+ Video cameras must be used during all interviews, as well as during the initial week of orientation
	+ The Deadline to submit applications for this posting is February 2**4, 2026**
The pay range for this position is $117,800\.00 \- $168,300\.00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an Equal Opportunity Employer, where all qualified applicants will receive consideration for employment without regard to race, religion, color, national origin, gender (including pregnancy, childbirth, or related medical condition), age, sexual orientation, status as a protected veteran, status as an individual with a disability, or other applicable legally protected characteristics.* *Gainwell Technologies defines “wages” and “wage rates” to include “all forms of pay, including, but not limited to, salary, overtime pay, bonuses, stock, stock options, profit sharing and bonus plans, life insurance, vacation and holiday pay, cleaning or gasoline allowances, hotel accommodations, reimbursement for travel expenses, and benefits.*</t>
        </is>
      </c>
    </row>
    <row r="203">
      <c r="A203" t="inlineStr">
        <is>
          <t>in-352aee21a0a2edbc</t>
        </is>
      </c>
      <c r="B203" t="inlineStr">
        <is>
          <t>Azure AI Engineer</t>
        </is>
      </c>
      <c r="C203" t="inlineStr">
        <is>
          <t>Cambro Manufacturing Company</t>
        </is>
      </c>
      <c r="D203" t="inlineStr">
        <is>
          <t>indeed</t>
        </is>
      </c>
      <c r="E203">
        <f>HYPERLINK("https://www.indeed.com/viewjob?jk=352aee21a0a2edbc", "https://www.indeed.com/viewjob?jk=352aee21a0a2edbc")</f>
        <v/>
      </c>
      <c r="F203">
        <f>HYPERLINK("https://cambro.wd5.myworkdayjobs.com/en-US/Cambro_Careers/job/Huntington-Beach-CA/Azure-AI-Engineer_R-101164", "https://cambro.wd5.myworkdayjobs.com/en-US/Cambro_Careers/job/Huntington-Beach-CA/Azure-AI-Engineer_R-101164")</f>
        <v/>
      </c>
      <c r="G203" t="inlineStr">
        <is>
          <t>Huntington Beach, CA, US</t>
        </is>
      </c>
      <c r="H203" s="3" t="n">
        <v>46054</v>
      </c>
      <c r="I203" t="inlineStr">
        <is>
          <t>WORK SHIFT:
First Shift (United States of America)
JOB DESCRIPTION:
The Azure AI Engineer will be responsible for designing, developing, and deploying intelligent solutions using Azure AI services, Azure AI Foundry, Copilot Studio, and OpenAI technologies, while working on advanced projects involving Large Language Models (LLMs), forecasting and time series modeling, and Lakehouse architectures to drive business transformation and automation.
ESSENTIAL JOB FUNCTIONS* Design and implement AI/ML solutions using Azure Machine Learning, Azure AI Foundry, OpenAI on Azure, and Copilot Studio to deliver intelligent business applications.
* Build and fine\-tune LLM\-based applications for internal and customer\-facing use cases.
* Develop and maintain Python\-based data pipelines and ML models.
* Implement forecasting and time series models for demand prediction, sales forecasting, and operational planning.
* Integrate AI capabilities into business applications using Power Platform, Copilot Studio, and Azure Cognitive Services.
* Create autonomous AI Agents that can execute tasks independently while allowing users to control, customize, and run them for specific business workflows.
* Implement MCP (Model Context Protocol) for managing context across AI systems and ensure interoperability with enterprise data sources.
* Design and integrate A2A (Agent\-to\-Agent) communication protocols to enable seamless collaboration between autonomous agents for complex workflows.
* Design and build Lakehouse architecture leveraging Microsoft Fabric and Delta Lake, implementing Medallion Architecture best practices (Bronze, Silver, Gold layers) and metadata\-driven pipelines to ensure data quality, scalability, and unified analytics across structured and unstructured data sources.
* Ensure responsible AI practices, including model monitoring, fairness, and explainability.
* Stay current with advancements in AI/ML, LLMs, and Microsoft’s AI ecosystem.
* Maintains reliable and consistent attendance, including being punctual, dependable, and flexible to potential schedule changes to meet the needs of the department and the organization.
* Executes each essential duty satisfactorily to perform job successfully.
* Follows all safety procedures required in work area, wears PPE as needed, attends all safety meetings, and reports safety issues regarding equipment or unsafe/hazardous conditions.
* Performs effectively as a team member, able to work well with others, open to receive and give feedback, and treats everyone with respect.
* Takes ownership of own work and behavior, accepts accountability for own actions, encourages solutions, and communicates status of work/projects.
* Follows all department quality standards/criteria. Raises concerns and issues to management.
* Understands department’s key performance indicators (KPIs) and contributes to achieve these goals both individually and as a team.
* Other duties as needed or required.
ADDITIONAL RESPONSIBILITIES* Some travel may be required.
Applicants must be authorized to work for ANY employer in the U.S. We are unable to sponsor or take over sponsorship of an employment Visa at this time.
REQUIRED QUALIFICATIONS
The requirements listed below are representative of the knowledge, skill, and/or ability required. Reasonable accommodations may be made to enable individuals with disabilities to perform the essential functions.* 5\+ years of experience in AI/ML engineering or related roles.
* Strong proficiency in Python and ML frameworks (e.g., scikit\-learn, PyTorch, TensorFlow).
* Hands\-on experience with Azure AI services, Azure Machine Learning, and OpenAI on Azure.
* Experience building solutions with Copilot Studio and Power Platform.
* Solid understanding of forecasting techniques (ARIMA, Prophet, LSTM, etc.) and time series analysis.
* Familiarity with LLMs, prompt engineering, and fine\-tuning techniques.
* Knowledge of Lakehouse architecture and tools like Azure Synapse, Databricks, or Microsoft Fabric.
* Best Practices Knowledge of Medallion Architecture.
* Strong understanding of Devops and MLOps, version control, and CI/CD for ML.
* Working knowledge of MCP (Model Context Protocol) for managing context across AI systems and enabling interoperability.
* Experience with A2A (Agent\-to\-Agent) communication protocols for orchestrating autonomous AI agents and multi\-agent workflows.
* Excellent communication and collaboration skills.
PREFERRED QUALIFICATIONS* Master’s Degree in related field preferred
* Azure AI Engineer Certification Preferred
* Microsoft Fabric Certification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COMPENSATION RANGE:
$103,000 \- $135,000
Salary may vary based on experience.
CAMBRO is proud to be an equal\-opportunity workplace. All qualified applicants will receive consideration for employment without regard to and will not be discriminated against based upon race, color, religion, national origin, gender, sexual orientation, gender identity, age, physical or mental disability, genetic information, military or veteran status, or other characteristics protected by law. Applicants must be authorized to work for ANY employer in the U.S. We are unable to sponsor or take over sponsorship of an employment Visa at this time.</t>
        </is>
      </c>
    </row>
    <row r="204">
      <c r="A204" t="inlineStr">
        <is>
          <t>in-7f5fd075e67907ec</t>
        </is>
      </c>
      <c r="B204" t="inlineStr">
        <is>
          <t>Identity AI / ML Engineer</t>
        </is>
      </c>
      <c r="C204" t="inlineStr">
        <is>
          <t>Openkyber</t>
        </is>
      </c>
      <c r="D204" t="inlineStr">
        <is>
          <t>indeed</t>
        </is>
      </c>
      <c r="E204">
        <f>HYPERLINK("https://www.indeed.com/viewjob?jk=7f5fd075e67907ec", "https://www.indeed.com/viewjob?jk=7f5fd075e67907ec")</f>
        <v/>
      </c>
      <c r="F204">
        <f>HYPERLINK("https://candidateportalnew.ceipal.com/job-details/CBDrSW-sqexXIvSo9udg-LyDn0I5kFT3-flb8UFieHs#.job_boards.Indeed", "https://candidateportalnew.ceipal.com/job-details/CBDrSW-sqexXIvSo9udg-LyDn0I5kFT3-flb8UFieHs#.job_boards.Indeed")</f>
        <v/>
      </c>
      <c r="G204" t="inlineStr">
        <is>
          <t>GA, US</t>
        </is>
      </c>
      <c r="H204" s="3" t="n">
        <v>46054</v>
      </c>
      <c r="I204" t="inlineStr">
        <is>
          <t>**Job Description:** Our client is looking for AI/ML Engineers to support critical projects in their CDO.
**Required Skills**
* Python \&amp; AI/ML Frameworks: Demonstrated expertise in Python and at least one major AI/ML framework.
* API Development: Hands\-on experience developing RESTful APIs using FastAPI, with a solid understanding of web API architecture principles.
* Database Management: Strong proficiency in designing, integrating, and managing multiple databases (e.g., PostgreSQL, MongoDB).
* Big Data \&amp; Distributed Computing: Experience working with big data processing frameworks such as Spark and Delta Lake for scalable data processing.
* Databricks: Hands\-on experience with Databricks for collaborative data engineering and machine learning workflows.
* AI Agent Integration: Proven expertise in integrating and orchestrating AI agents, large language models (LLMs), or multi\-agent systems.
* LLM Pipeline Experience: Direct experience designing, building, and optimizing LLM pipelines, including data ingestion, pre\-processing, prompt engineering, fine\-tuning, and deployment.
* AI Workflow Tools: Experience working with AI agent workflow tools such as LangChain and LangGraph.
* LLM APIs: Experience working with LLM APIs such as OpenAI, Azure OpenAI, or Hugging Face.
* Cloud Computing \&amp; Azure Architecture: Good understanding of cloud computing concepts, scalability, and solution architecture, with a focus on Microsoft Azure
* Containerization (Docker) \&amp; Orchestration (Kubernetes): Experience deploying and managing applications using Docker containers and Kubernetes orchestration.
* Web Application Integration: Proven experience with the integration of AI models and web applications via Python
**Soft Skills:** Excellent problem\-solving abilities, attention to detail, and strong communication skills.
**Preferred/Nice to Have Skills**
* Model Context Protocol (MCP): Experience with MCP for coordinating and managing AI models and agent workflows.
* Containerization \&amp; Cloud Infrastructure: Experience with containerization (Docker), CI/CD pipelines, and cloud infrastructure (Google Cloud Platform, Azure).
* Full\-Stack Development: Full\-stack development experience is a bonus
* Familiarity with front\-end technologies such as JavaScript, React, or Next.js.
* Specific Industry/Domain Knowledge: Specific industry/domain knowledge relevant to telecommunications will be preferable.
**For applications and inquiries, contact:** hirings@openkyber.com</t>
        </is>
      </c>
    </row>
    <row r="205">
      <c r="A205" t="inlineStr">
        <is>
          <t>in-1faee00e5ce7f3ee</t>
        </is>
      </c>
      <c r="B205" t="inlineStr">
        <is>
          <t>Identity AI / ML Engineer</t>
        </is>
      </c>
      <c r="C205" t="inlineStr">
        <is>
          <t>Openkyber</t>
        </is>
      </c>
      <c r="D205" t="inlineStr">
        <is>
          <t>indeed</t>
        </is>
      </c>
      <c r="E205">
        <f>HYPERLINK("https://www.indeed.com/viewjob?jk=1faee00e5ce7f3ee", "https://www.indeed.com/viewjob?jk=1faee00e5ce7f3ee")</f>
        <v/>
      </c>
      <c r="F205">
        <f>HYPERLINK("https://candidateportalnew.ceipal.com/job-details/7tskCaMIDh83L5ViFvbQ1_cDZVpJPjow0dZi8lOrRxc#.job_boards.Indeed", "https://candidateportalnew.ceipal.com/job-details/7tskCaMIDh83L5ViFvbQ1_cDZVpJPjow0dZi8lOrRxc#.job_boards.Indeed")</f>
        <v/>
      </c>
      <c r="G205" t="inlineStr">
        <is>
          <t>TX, US</t>
        </is>
      </c>
      <c r="H205" s="3" t="n">
        <v>46054</v>
      </c>
      <c r="I205" t="inlineStr">
        <is>
          <t>**Artificial Intelligence(AI) engineer Location: Plano, TX Duration: 6 months Competencies: AI and Automation \- 4\-6\+ years experience Role Description:**
* Develop, train, and optimize machine learning and deep learning models for various business use cases.
* Build and deploy end\-to\-end AI solutions including data ingestion, model development, evaluation, and production integration.
* Design, develop, and maintain high\-performance Python applications and services
* Ensure application scalability, reliability, and security
* Lead code reviews, enforce best practices, and mentor junior team members
* Collaborate with product owners, data analysts, and stakeholders to translate business problems into technical requirements and identify solutions
* Troubleshoot complex application and database issues and provide long\-term fixes
* Build and integrate RESTful APIs and third\-party services
* Automate workflows, data processing, and reporting using Python
* Contribute to system architecture decisions and technology roadmaps
**For applications and inquiries, contact:** hirings@openkyber.com</t>
        </is>
      </c>
    </row>
    <row r="206">
      <c r="A206" t="inlineStr">
        <is>
          <t>in-a0945bb93817ca7d</t>
        </is>
      </c>
      <c r="B206" t="inlineStr">
        <is>
          <t>Identity AI / ML Engineer</t>
        </is>
      </c>
      <c r="C206" t="inlineStr">
        <is>
          <t>Openkyber</t>
        </is>
      </c>
      <c r="D206" t="inlineStr">
        <is>
          <t>indeed</t>
        </is>
      </c>
      <c r="E206">
        <f>HYPERLINK("https://www.indeed.com/viewjob?jk=a0945bb93817ca7d", "https://www.indeed.com/viewjob?jk=a0945bb93817ca7d")</f>
        <v/>
      </c>
      <c r="F206">
        <f>HYPERLINK("https://candidateportalnew.ceipal.com/job-details/iLEGgmLOaAPnFIailH-fYLk6ecFVecWXtGhIAW92CyE#.job_boards.Indeed", "https://candidateportalnew.ceipal.com/job-details/iLEGgmLOaAPnFIailH-fYLk6ecFVecWXtGhIAW92CyE#.job_boards.Indeed")</f>
        <v/>
      </c>
      <c r="G206" t="inlineStr">
        <is>
          <t>GA, US</t>
        </is>
      </c>
      <c r="H206" s="3" t="n">
        <v>46054</v>
      </c>
      <c r="I206" t="inlineStr">
        <is>
          <t>Job Description:
* Designs and defines the technical architecture and infrastructure required for digital solutions
* Writes code, develops software components, and implements complex functionalities according to project requirements
* Collaborates with other members of the development team and stakeholders to make high\-level architectural decisions, proposes design patterns, and ensures scalability, performance, and maintainability of digital solutions
* Leverages advanced programming skills to design and implement complex features, optimize performance, and ensure code efficiency
* Integrates various software components or systems, ensuring seamless communication and interoperability between different parts of the digital solution
* Writes and executes comprehensive test cases, conducts code reviews, performs debugging, and troubleshoots issues to ensure the reliability, stability, and high quality of digital solutions
* Participates in agile or other development methodologies, attends meetings, contributes to project planning, and helps drive the progress and success of digital projects
* Explores new tools, frameworks, and techniques to improve digital solutions and drive innovation within the development team
* Creates and maintains technical documentation, including system designs, architecture diagrams, code documentation, and other relevant documentation while sharing their knowledge and expertise with team members, ensuring effective knowledge transfer and collaboration
**REQUIRED QUALIFICATIONS**
* 5\+ years of Data Science experience
* 3\+ years developing and implementing Neural Networks, kNN, natural language processing (NLP), learn\-to\-rank (LTR) solutions in a production environment
* Deep understanding of various LTR algorithms, including LambdaMART, RankNet, and LightGBM
* Strong programming skills in Python and experience with machine learning libraries such as scikit\-learn, TensorFlow, and PyTorch
* Experience working with large datasets and developing scalable data pipelines
* Experience with A/B testing and data analysis for measuring model performance
* Strong in Java/J2EE/Spring/Springboot/ Graphql Frameworks
**PREFERRED QUALIFICATIONS**
* Experience with eCommerce platforms and user behavior modeling
* Familiarity with LLMs and generative AI applications in search
* Knowledge of MLOps practices and model deployment pipelines
* Passion for e\-commerce and a deep understanding of user behavior
* Contributions to open\-source search or ML projects
* Experience with cloud platforms such as Google Cloud Platform OR AWS or Azure (Google Cloud Platform preferred)
* Experience with search engine optimization (SEO) and search relevance metrics
* Excellent communication and collaboration skills
**For applications and inquiries, contact:** hirings@openkyber.com</t>
        </is>
      </c>
    </row>
    <row r="207">
      <c r="A207" t="inlineStr">
        <is>
          <t>in-89238ea7c036fe6c</t>
        </is>
      </c>
      <c r="B207" t="inlineStr">
        <is>
          <t>Identity AI / ML Engineer</t>
        </is>
      </c>
      <c r="C207" t="inlineStr">
        <is>
          <t>Openkyber</t>
        </is>
      </c>
      <c r="D207" t="inlineStr">
        <is>
          <t>indeed</t>
        </is>
      </c>
      <c r="E207">
        <f>HYPERLINK("https://www.indeed.com/viewjob?jk=89238ea7c036fe6c", "https://www.indeed.com/viewjob?jk=89238ea7c036fe6c")</f>
        <v/>
      </c>
      <c r="F207">
        <f>HYPERLINK("https://candidateportalnew.ceipal.com/job-details/Cp-2mjJ_Cs5ZGGyULpxr4iXOuDI4d6bTvo_rjz0R1uc#.job_boards.Indeed", "https://candidateportalnew.ceipal.com/job-details/Cp-2mjJ_Cs5ZGGyULpxr4iXOuDI4d6bTvo_rjz0R1uc#.job_boards.Indeed")</f>
        <v/>
      </c>
      <c r="G207" t="inlineStr">
        <is>
          <t>GA, US</t>
        </is>
      </c>
      <c r="H207" s="3" t="n">
        <v>46054</v>
      </c>
      <c r="I207" t="inlineStr">
        <is>
          <t>OpenKyber is a trusted IT consulting and staffing firm delivering high\-quality technology solutions to enterprise clients across the United States. We specialize in connecting top\-tier engineering talent with long\-term, impactful projects. Our client is a leading airlines company , operating large\-scale, mission\-critical systems that support airline operations, customer experience, and digital transformation initiatives.
**Job Description**
OpenKyber is seeking a Gen AI Engineer to support our client . The ideal candidate will work in a fast\-paced enterprise environment, contributing to the design, development, and support of scalable, secure, and high\-performing applications .
**About the Role**
We are seeking an experienced Senior GenAI Engineer to design, build, and deploy advanced generative AI solutions. This role is highly hands\-on and focuses on developing prototypes, proof\-of\-concepts (PoCs), and MVPs that evolve into scalable, production\-grade AI products. You will collaborate with cross\-functional teams to solve complex problems using the latest advancements in Generative AI, Large Language Models (LLMs), Retrieval\-Augmented Generation (RAG), and multi\-modal systems.
**Education (Preferred)**
PhD in Artificial Intelligence, Machine Learning, Computer Science, or a related field Exceptional candidates with a Master's degree and strong industry experience will also be considered
**Key Skills \&amp; Experience****AI \&amp; Machine Learning**
Strong foundation in AI, machine learning, and deep learning
**Programming \&amp; GenAI Tools**
Expert\-level proficiency in Python Hands\-on experience with Hugging Face, LangChain, and OpenAI APIs Experience building, fine\-tuning, and optimizing LLMs and foundation models
**RAG \&amp; Vector Databases (Highly Preferred)**
Strong experience with Retrieval\-Augmented Generation (RAG) architectures Hands\-on experience with vector databases such as Pinecone, Weaviate, FAISS, Chroma, or similar Experience building RAG pipelines, embeddings, knowledge retrieval systems, and evaluation workflows
**Deep Learning Frameworks**
Proficiency in TensorFlow, Keras, and PyTorch
**Cloud \&amp; Model Platforms**
Familiarity with Google Model Garden, Amazon Bedrock, and Nvidia NIM Experience deploying, scaling, and monitoring models on cloud platforms
**Multi\-Modal \&amp; Agent Systems**
Experience working with text, image, audio, or video models Background in building agent\-based systems or multi\-modal AI applications
**Who We're Looking For**
A self\-driven engineer passionate about solving advanced AI challenges Strong interest in experimentation, rapid prototyping, and innovation Collaborative team member with strong communication and problem\-solving skills Ability to thrive in a fast\-paced and evolving environment
**For applications and inquiries, contact:** hirings@openkyber.com</t>
        </is>
      </c>
    </row>
    <row r="208">
      <c r="A208" t="inlineStr">
        <is>
          <t>in-97954bce6a9d7395</t>
        </is>
      </c>
      <c r="B208" t="inlineStr">
        <is>
          <t>Identity AI / ML Engineer</t>
        </is>
      </c>
      <c r="C208" t="inlineStr">
        <is>
          <t>Openkyber</t>
        </is>
      </c>
      <c r="D208" t="inlineStr">
        <is>
          <t>indeed</t>
        </is>
      </c>
      <c r="E208">
        <f>HYPERLINK("https://www.indeed.com/viewjob?jk=97954bce6a9d7395", "https://www.indeed.com/viewjob?jk=97954bce6a9d7395")</f>
        <v/>
      </c>
      <c r="F208">
        <f>HYPERLINK("https://candidateportalnew.ceipal.com/job-details/vSyxVnVHHuoRWaP-0a5kea92ijDweZi-dpj0I2Rq_dM#.job_boards.Indeed", "https://candidateportalnew.ceipal.com/job-details/vSyxVnVHHuoRWaP-0a5kea92ijDweZi-dpj0I2Rq_dM#.job_boards.Indeed")</f>
        <v/>
      </c>
      <c r="G208" t="inlineStr">
        <is>
          <t>NJ, US</t>
        </is>
      </c>
      <c r="H208" s="3" t="n">
        <v>46054</v>
      </c>
      <c r="I208" t="inlineStr">
        <is>
          <t>**Job Description Senior Full Stack Engineer (AI Specialist) Job Location: Montvale, NJ, Hybrid Experience: 12\+ years Role Overview**
We are seeking a seasoned Full Stack Engineer with advanced AI expertise to architect and deliver enterprise\-scale solutions. The role demands deep technical knowledge of AI APIs across OpenAI, Azure, AWS, and Google Cloud , combined with leadership and communication skills to drive innovation and compliance.
**Key Responsibilities**
* Architect, design, and implement scalable full stack applications with integrated AI/ML capabilities.
* Lead technical teams, mentor junior engineers, and establish best practices in AI\-driven development.
* Design and optimize API integrations with OpenAI, Azure Cognitive Services, AWS AI/ML stack, and Google Vertex AI .
* Collaborate with stakeholders to align AI solutions with business goals and compliance standards.
* Ensure robust monitoring, logging, and governance of AI API usage.
* Evaluate emerging AI APIs and frameworks for adoption in enterprise projects.
**Required Skills \&amp; Expertise**
* Full Stack Development: React/Angular, Node.js, .NET Core, Python, Java.
* AI/ML Expertise: Hands\-on with OpenAI APIs (ChatGPT, embeddings, fine\-tuning) , Azure AI (Cognitive Services, OpenAI Service) , AWS AI (SageMaker, Comprehend, Rekognition) , Google AI (Vertex AI, Dialogflow) .
* Cloud \&amp; Data: Azure/AWS/Google Cloud Platform proficiency, microservices, APIs, SQL/NoSQL databases.
* Leadership: Proven ability to lead teams and manage enterprise\-scale delivery.
* Soft Skills: Excellent communication, stakeholder engagement, and documentation
**For applications and inquiries, contact:** hirings@openkyber.com</t>
        </is>
      </c>
    </row>
    <row r="209">
      <c r="A209" t="inlineStr">
        <is>
          <t>in-3ac0802b1c6e753c</t>
        </is>
      </c>
      <c r="B209" t="inlineStr">
        <is>
          <t>Identity AI / ML Engineer</t>
        </is>
      </c>
      <c r="C209" t="inlineStr">
        <is>
          <t>Openkyber</t>
        </is>
      </c>
      <c r="D209" t="inlineStr">
        <is>
          <t>indeed</t>
        </is>
      </c>
      <c r="E209">
        <f>HYPERLINK("https://www.indeed.com/viewjob?jk=3ac0802b1c6e753c", "https://www.indeed.com/viewjob?jk=3ac0802b1c6e753c")</f>
        <v/>
      </c>
      <c r="F209">
        <f>HYPERLINK("https://candidateportalnew.ceipal.com/job-details/TEpw9ZKwH11LeAI-pNKoC59a5PnUA0d0_3sHVC4yIUs#.job_boards.Indeed", "https://candidateportalnew.ceipal.com/job-details/TEpw9ZKwH11LeAI-pNKoC59a5PnUA0d0_3sHVC4yIUs#.job_boards.Indeed")</f>
        <v/>
      </c>
      <c r="G209" t="inlineStr">
        <is>
          <t>NJ, US</t>
        </is>
      </c>
      <c r="H209" s="3" t="n">
        <v>46054</v>
      </c>
      <c r="I209" t="inlineStr">
        <is>
          <t>Hi There, We are looking for AI Engineer Job Location: New Jersey/On\-site Please go through the JD, if you are interted, please share your updated resume.
**Job Responsibilities:**
* Develop and implement machine learning models and algorithms to solve complex operational challenges.
* Design and deploy generative AI applications to automate and optimize business processes.
* Collaborate with stakeholders to understand business needs and translate them into technical solutions.
* Analyze large datasets to extract actionable insights and drive data\-driven decision\-making.
* Ensure the scalability and reliability of AI/ML solutions in a production environment.
* Stay up\-to\-date with the latest advancements in AI/ML technologies and integrate them into our operations.
* Mentor and guide junior team members in AI/ML best practices and methodologies.
**Key Skills And Qualifications** Masters with at least 3 years experience in Computer Science, Data Science, Machine Learning, or a related field. Experience in deploying AI/ML applications in a production environment
Thanks \&amp; Regards, OpenKyber
**For applications and inquiries, contact:** hirings@openkyber.com</t>
        </is>
      </c>
    </row>
    <row r="210">
      <c r="A210" t="inlineStr">
        <is>
          <t>in-e3d9703710cce167</t>
        </is>
      </c>
      <c r="B210" t="inlineStr">
        <is>
          <t>Identity AI / ML Engineer</t>
        </is>
      </c>
      <c r="C210" t="inlineStr">
        <is>
          <t>Openkyber</t>
        </is>
      </c>
      <c r="D210" t="inlineStr">
        <is>
          <t>indeed</t>
        </is>
      </c>
      <c r="E210">
        <f>HYPERLINK("https://www.indeed.com/viewjob?jk=e3d9703710cce167", "https://www.indeed.com/viewjob?jk=e3d9703710cce167")</f>
        <v/>
      </c>
      <c r="F210">
        <f>HYPERLINK("https://candidateportalnew.ceipal.com/job-details/9nwZ4V_aJqjoo_EpTNaYBJNiBWSjxq9HtNSE8OwXXL4#.job_boards.Indeed", "https://candidateportalnew.ceipal.com/job-details/9nwZ4V_aJqjoo_EpTNaYBJNiBWSjxq9HtNSE8OwXXL4#.job_boards.Indeed")</f>
        <v/>
      </c>
      <c r="G210" t="inlineStr">
        <is>
          <t>CA, US</t>
        </is>
      </c>
      <c r="H210" s="3" t="n">
        <v>46054</v>
      </c>
      <c r="I210" t="inlineStr">
        <is>
          <t>**Job Title:** Mobile developer with AI/ML
**Location:** Sanramon,ca/Redwood city,ca (Hybrid)
**Experience:** 12\+ Years Required
**Description:** Need an mobile developer with strong experience on AI/ML \&amp; Flutter
**For applications and inquiries, contact:** hirings@openkyber.com</t>
        </is>
      </c>
    </row>
    <row r="211">
      <c r="A211" t="inlineStr">
        <is>
          <t>in-a031c738395fee0d</t>
        </is>
      </c>
      <c r="B211" t="inlineStr">
        <is>
          <t>Identity AI / ML Engineer</t>
        </is>
      </c>
      <c r="C211" t="inlineStr">
        <is>
          <t>Openkyber</t>
        </is>
      </c>
      <c r="D211" t="inlineStr">
        <is>
          <t>indeed</t>
        </is>
      </c>
      <c r="E211">
        <f>HYPERLINK("https://www.indeed.com/viewjob?jk=a031c738395fee0d", "https://www.indeed.com/viewjob?jk=a031c738395fee0d")</f>
        <v/>
      </c>
      <c r="F211">
        <f>HYPERLINK("https://candidateportalnew.ceipal.com/job-details/crR-atT1NOPNZDM-fGmDFO9onl7GPm0o57S9BGbW2Jw#.job_boards.Indeed", "https://candidateportalnew.ceipal.com/job-details/crR-atT1NOPNZDM-fGmDFO9onl7GPm0o57S9BGbW2Jw#.job_boards.Indeed")</f>
        <v/>
      </c>
      <c r="G211" t="inlineStr">
        <is>
          <t>FL, US</t>
        </is>
      </c>
      <c r="H211" s="3" t="n">
        <v>46054</v>
      </c>
      <c r="I211" t="inlineStr">
        <is>
          <t>Hi, The following requirement is open with our client. Title : AI/ML Engineer Location : Sunrise, FL Duration : 6\+ Months Relevant Experience (in Yrs.): 10\+ Job Description: Design and implement AI/ML solutions from POC through production deployment. Translate business requirements into scalable and secure AI architectures. Own the full model lifecycle including training, deployment, monitoring, and retraining. Deploy AI models using CI/CD pipelines and production\-grade infrastructure. Monitor model performance, drift, latency, and operational costs. Ensure system reliability, scalability, security, and compliance with enterprise standards. Lead technical discussions, architecture reviews, and best practice implementations. Mentor junior AI/ML engineers and conduct code/design reviews. Collaborate with Product Owners, Architects, and Program Managers. Present technical solutions to business and customer stakeholders. Support proposal development, technical estimations, and solution planning. Required Skills \&amp; Qualifications Strong proficiency in Python and AI/ML fundamentals. Hands\-on experience with LLMs, LangChain, LangGraph, and agent\-based workflows. Experience in Prompt Engineering, RAG pipelines, and vector databases such as FAISS, Pinecone, and Chroma. Experience deploying models using APIs, microservices, Docker, and cloud platforms (AWS, Google Cloud Platform, Azure). Strong understanding of model evaluation, fine\-tuning, and performance optimization. Knowledge of software engineering best practices, version control (Git), and scalable system design. Experience building scalable and secure AI architectures with focus on performance, cost, and latency optimization. Must\-Have Skills: Python Machine Learning LLM Frameworks (LangChain, LangGraph) Thanks and Regards, OpenKyber Technical Recruiter \|OpenKyber Email: \| Direct: 38345 W. 10 Mile Rd, Ste.\#365; Farmington, MI 48335
**For applications and inquiries, contact:** hirings@openkyber.com</t>
        </is>
      </c>
    </row>
    <row r="212">
      <c r="A212" t="inlineStr">
        <is>
          <t>in-1efce19df0203915</t>
        </is>
      </c>
      <c r="B212" t="inlineStr">
        <is>
          <t>Identity AI / ML Engineer</t>
        </is>
      </c>
      <c r="C212" t="inlineStr">
        <is>
          <t>Openkyber</t>
        </is>
      </c>
      <c r="D212" t="inlineStr">
        <is>
          <t>indeed</t>
        </is>
      </c>
      <c r="E212">
        <f>HYPERLINK("https://www.indeed.com/viewjob?jk=1efce19df0203915", "https://www.indeed.com/viewjob?jk=1efce19df0203915")</f>
        <v/>
      </c>
      <c r="F212">
        <f>HYPERLINK("https://candidateportalnew.ceipal.com/job-details/Pgg7gu-8x91Xh5_QtpPvaoHCcmprwx9PJfdYfDM521Y#.job_boards.Indeed", "https://candidateportalnew.ceipal.com/job-details/Pgg7gu-8x91Xh5_QtpPvaoHCcmprwx9PJfdYfDM521Y#.job_boards.Indeed")</f>
        <v/>
      </c>
      <c r="G212" t="inlineStr">
        <is>
          <t>NJ, US</t>
        </is>
      </c>
      <c r="H212" s="3" t="n">
        <v>46054</v>
      </c>
      <c r="I212" t="inlineStr">
        <is>
          <t>**Job Title:** AI/ML Lead Developer
**Location:** Clinton, NJ
**Duration:** Contract Term: 6\+ months
**Job Description:**
Experience Desired: 14\+ Years. 14\+ years of overall software engineering experience with progression into senior technical leadership roles. 8\+ years of hands\-on AI/ML experience, including model development, deployment, and production operations. Proven enterprise experience delivering Generative AI solutions, including RAG pipelines and agent\-based AI systems, end to end. Strong experience in financial services, insurance, banking, or other regulated environments. Deep expertise in Python, backend development, cloud\-native architectures, and modern DevOps/MLOps practices. Demonstrated ability to lead, mentor, and influence senior engineers and cross\-functional stakeholders. Prior experience in large, complex enterprise environments (e.g., NYL or similar) is a strong plus.
**Education:** Bachelor s or master s degree in computer science, Engineering, Data Science, Statistics, or related field.
**Key Skills:** AI/ML, Python, RAG, Pytorch, Tensorflow
**For applications and inquiries, contact:** hirings@openkyber.com</t>
        </is>
      </c>
    </row>
    <row r="213">
      <c r="A213" t="inlineStr">
        <is>
          <t>in-072d4e67fa090e3f</t>
        </is>
      </c>
      <c r="B213" t="inlineStr">
        <is>
          <t>Identity AI / ML Engineer</t>
        </is>
      </c>
      <c r="C213" t="inlineStr">
        <is>
          <t>Openkyber</t>
        </is>
      </c>
      <c r="D213" t="inlineStr">
        <is>
          <t>indeed</t>
        </is>
      </c>
      <c r="E213">
        <f>HYPERLINK("https://www.indeed.com/viewjob?jk=072d4e67fa090e3f", "https://www.indeed.com/viewjob?jk=072d4e67fa090e3f")</f>
        <v/>
      </c>
      <c r="F213">
        <f>HYPERLINK("https://candidateportalnew.ceipal.com/job-details/Ndk3Zq1Pm10Qdin2zhpEDuzYZCpqe0YzbFZ9LoRz8n4#.job_boards.Indeed", "https://candidateportalnew.ceipal.com/job-details/Ndk3Zq1Pm10Qdin2zhpEDuzYZCpqe0YzbFZ9LoRz8n4#.job_boards.Indeed")</f>
        <v/>
      </c>
      <c r="G213" t="inlineStr">
        <is>
          <t>MI, US</t>
        </is>
      </c>
      <c r="H213" s="3" t="n">
        <v>46054</v>
      </c>
      <c r="I213" t="inlineStr">
        <is>
          <t>AI/ML Engineer\- Level 4 (only w2 consultant) Aurburn Hills, MI Job Description: "We are seeking an innovative AI/ML Engineer to design, develop, and implement cutting\-edge artificial intelligence and machine learning solutions. In this role, you will leverage Google's suite of AI products and technologies to create intelligent systems that solve complex business problems. You will work closely with cross\-functional teams to integrate AI capabilities into our products and services. This role requires a deep understanding of AI/ML principles, software development practices, and Google's AI technologies. The ideal candidate will have a proven track record of developing and deploying AI solutions using Google's ecosystem of tools and services. They should be passionate about staying current with Google's rapidly evolving AI landscape and capable of applying these cutting\-edge technologies to solve real\-world business problems."
Required Skills: "Strong programming skills in Python, and familiarity with Java or C\+\+ \- Solid understanding of machine learning algorithms and techniques \- Experience with deep learning frameworks (TensorFlow preferred) \- Familiarity with Google Cloud Platform (Google Cloud Platform) and its AI/ML services \- Knowledge of data processing and analysis techniques \- Strong analytical and problem\-solving skills \- Excellent communication and collaboration abilities" (10\-14 years of experience): \- Designs scalable, production\-grade AI systems using Google Cloud technologies \- Implements cutting\-edge ML techniques (e.g., few\-shot learning, meta\-learning) \- Develops custom AI solutions using Google's open\-source tools (e.g., JAX, Flax) \- Utilizes Google Cloud TPUs for high\-performance model training \- Implements advanced MLOps practices, including ML pipelines and continuous training \- Leads initiatives for adopting Google's AI technologies across the organization
**For applications and inquiries, contact:** hirings@openkyber.com</t>
        </is>
      </c>
    </row>
    <row r="214">
      <c r="A214" t="inlineStr">
        <is>
          <t>in-5917a7d13fd89dc8</t>
        </is>
      </c>
      <c r="B214" t="inlineStr">
        <is>
          <t>Identity AI / ML Engineer</t>
        </is>
      </c>
      <c r="C214" t="inlineStr">
        <is>
          <t>Openkyber</t>
        </is>
      </c>
      <c r="D214" t="inlineStr">
        <is>
          <t>indeed</t>
        </is>
      </c>
      <c r="E214">
        <f>HYPERLINK("https://www.indeed.com/viewjob?jk=5917a7d13fd89dc8", "https://www.indeed.com/viewjob?jk=5917a7d13fd89dc8")</f>
        <v/>
      </c>
      <c r="F214">
        <f>HYPERLINK("https://candidateportalnew.ceipal.com/job-details/bvTkVXsu4BhX3V5QgaP84n3ur1Sc2CvTO34MzF7LptU#.job_boards.Indeed", "https://candidateportalnew.ceipal.com/job-details/bvTkVXsu4BhX3V5QgaP84n3ur1Sc2CvTO34MzF7LptU#.job_boards.Indeed")</f>
        <v/>
      </c>
      <c r="G214" t="inlineStr">
        <is>
          <t>GA, US</t>
        </is>
      </c>
      <c r="H214" s="3" t="n">
        <v>46054</v>
      </c>
      <c r="I214" t="inlineStr">
        <is>
          <t>3Core Systems, Inc is an SAP and Success Factors Partner with employees located across the United States. Our organization is dedicated to customer and employee satisfaction. We provide High Quality, Cost efficient and Competitive Solutions and Resources. OpenKyber is looking for Machine Learning Engineer / Applied AI Engineer for one of our clients in Alpharetta, GA Title: Machine Learning Engineer / Applied AI Engineer Location: Alpharetta, GA (3 days per week onsite) Contract: 12 months (ability to extend)
**Mandatory Skills:**
* Python
* TensorFlow/PyTorch basics
* Understanding of ML algorithms
* Model development \&amp; deployment
* REST API integration for ML models
* Designing scalable ML systems
* Advanced statistical modeling
**Preferred Skills:**
* Exposure to data preprocessing tools (Pandas, NumPy)
* Basic cloud AI services
* Experience with NLP, deep learning
* Cloud ML platforms (AWS SageMaker, Azure AI)
* Leadership in AI strategy
* Cutting\-edge frameworks (Transformers, LLMs)
Please send your resumes to: Contact: ( 630 ) (748\)\-8800 EXT: 102 (Sai) Regards, Recruiting Team OpenKyber 9101 Burnet Road, Suite 207, Austin, TX 78758 URL: OpenKyber Web:
**For applications and inquiries, contact:** hirings@openkyber.com</t>
        </is>
      </c>
    </row>
    <row r="215">
      <c r="A215" t="inlineStr">
        <is>
          <t>in-e46db76eda2d2bd3</t>
        </is>
      </c>
      <c r="B215" t="inlineStr">
        <is>
          <t>AI/ML Engineer, Mid</t>
        </is>
      </c>
      <c r="C215" t="inlineStr">
        <is>
          <t>Booz Allen Hamilton</t>
        </is>
      </c>
      <c r="D215" t="inlineStr">
        <is>
          <t>indeed</t>
        </is>
      </c>
      <c r="E215">
        <f>HYPERLINK("https://www.indeed.com/viewjob?jk=e46db76eda2d2bd3", "https://www.indeed.com/viewjob?jk=e46db76eda2d2bd3")</f>
        <v/>
      </c>
      <c r="F215">
        <f>HYPERLINK("https://careers.boozallen.com/careers/JobDetail?jobId=120238", "https://careers.boozallen.com/careers/JobDetail?jobId=120238")</f>
        <v/>
      </c>
      <c r="G215" t="inlineStr">
        <is>
          <t>Norfolk, VA, US</t>
        </is>
      </c>
      <c r="H215" s="3" t="n">
        <v>46054</v>
      </c>
      <c r="I215" t="inlineStr">
        <is>
          <t>AI/ML Engineer, Mid**The Opportunity:**
Design and implement effective AI solution architecture utilizing approaches of various AI technologies and methods to address Marine Corps operational needs. Apply advanced technical expertise and full industry knowledge. Develop innovative solutions to complex problems. Work without considerable direction. Mentor and supervise team members, as needed. Contribute to the direction of critical solutions by applying best\-fit ML algorithms and technologies. Help your clients navigate the landscape of ML algorithms, tools, and frameworks.
**You Have:**
* 2\+ years of experience with artificial intelligence, data science, machine learning engineering, software engineering, data research, or data analytics
* Experience with software development or engineering, including in an academic or professional environment
* Experience with big data technologies such as Spark, Hadoop, or Databricks
* Experience with a programming language, including Python, C\#, or Java
* Ability to create solutions within a collaborative, cross\-functional team environment
* Ability to develop scripts and programs for converting various types of data into usable formats and support project team to scale, monitor, and operate data platforms
* Ability to obtain a Secret clearance
* Bachelor's degree
**Nice If You Have:**
* Experience with generative and agentic AI technologies, such as LLMs, MCP, LangChain, or LangGraph
* Experience with embedded systems programming in C, C\+\+, or Rust
* Ability to develop and maintain scalable data stores that supply big data in forms needed for business analysis
* Ability to create software for retrieving, parsing, and processing structured and unstructured data
* Master’s degree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16">
      <c r="A216" t="inlineStr">
        <is>
          <t>in-5a1fa01f47f7868f</t>
        </is>
      </c>
      <c r="B216" t="inlineStr">
        <is>
          <t>AI Engineer</t>
        </is>
      </c>
      <c r="C216" t="inlineStr"/>
      <c r="D216" t="inlineStr">
        <is>
          <t>indeed</t>
        </is>
      </c>
      <c r="E216">
        <f>HYPERLINK("https://www.indeed.com/viewjob?jk=5a1fa01f47f7868f", "https://www.indeed.com/viewjob?jk=5a1fa01f47f7868f")</f>
        <v/>
      </c>
      <c r="F216">
        <f>HYPERLINK("https://workforcenow.adp.com/mascsr/default/mdf/recruitment/recruitment.html?cid=55192329-c32d-45ac-b4cb-49d65ab192d0&amp;ccId=19000101_000001&amp;jobId=953020&amp;source=IN&amp;lang=en_US", "https://workforcenow.adp.com/mascsr/default/mdf/recruitment/recruitment.html?cid=55192329-c32d-45ac-b4cb-49d65ab192d0&amp;ccId=19000101_000001&amp;jobId=953020&amp;source=IN&amp;lang=en_US")</f>
        <v/>
      </c>
      <c r="G216" t="inlineStr">
        <is>
          <t>Cupertino, CA, US</t>
        </is>
      </c>
      <c r="H216" s="3" t="n">
        <v>46054</v>
      </c>
      <c r="I216" t="inlineStr">
        <is>
          <t>AI Engineer
Onsite: Sunnyvale, CA **Primary Skills** : Python, LLM, AI agent frameworks (Google ADK, LangChain **Job Description \-**  
 As the Lead Engineer, AI Agents, you will drive the technical vision and execution for a new class of intelligent agent\-based systems.  
 Lead the end\-to\-end lifecycle of AI agents, from conceptualization to deployment and operational excellence.  
 Guide a team of engineers to build and scale sophisticated AI agents that can reason, learn, and act across diverse data landscapes.  
 Lead the integration of AI agents with the data and platforms ecosystem.  
 Tackle complex AI challenges, such as ensuring agent reliability at scale, developing novel evaluation frameworks, and pioneering privacy\-preserving agentic architectures.  
 Partner closely with teams in data science, engineering, operations, and research to translate high\-impact opportunities into robust, production\-grade solutions.
Minimum Qualification \-  
 8\+ years of software development or machine learning experience.  
 M.S. or PhD in computer science, machine learning, or a related field or equivalent practical experience.  
 4\+ years of experience in a technical leadership role.  
 Strong programming skills in Python and applied experience with a range of LLMs.  
 Expert in applying and extending AI agent frameworks (Google ADK, LangChain, etc.).  
 Hands\-on experience developing, deploying, and operating AI agents in production.  
 Experience deploying AI systems in large\-scale, hybrid environments with a focus on performance and reliability.
Preferred Qualification \-  
 A portfolio of deployed agentic systems that have delivered significant, measurable impact.  
 Experience in evaluation frameworks for AI agents.  
 Proven expertise in optimizing AI agents for latency, scalability, and cost.  
 A track record of thought leadership or contributions to the field of agentic AI. **Kaleidoscope, an Infosys Company, is an equal opportunity employer, and all qualified applicants will receive consideration without regard to race, color, religion, sex, sexual orientation, gender identity, national origin, protected veteran status, spouse of protected veteran, or disability.**</t>
        </is>
      </c>
    </row>
    <row r="217">
      <c r="A217" t="inlineStr">
        <is>
          <t>in-3d542c3050058fcf</t>
        </is>
      </c>
      <c r="B217" t="inlineStr">
        <is>
          <t>Artificial Intelligence Machine Learning Engineer 1 - C++/Marian/Java/AWS/PyTorch/Python</t>
        </is>
      </c>
      <c r="C217" t="inlineStr">
        <is>
          <t>Captivation Software</t>
        </is>
      </c>
      <c r="D217" t="inlineStr">
        <is>
          <t>indeed</t>
        </is>
      </c>
      <c r="E217">
        <f>HYPERLINK("https://www.indeed.com/viewjob?jk=3d542c3050058fcf", "https://www.indeed.com/viewjob?jk=3d542c3050058fcf")</f>
        <v/>
      </c>
      <c r="F217">
        <f>HYPERLINK("https://grnh.se/hscl6x8b8us", "https://grnh.se/hscl6x8b8us")</f>
        <v/>
      </c>
      <c r="G217" t="inlineStr">
        <is>
          <t>Annapolis Junction, MD, US</t>
        </is>
      </c>
      <c r="H217" s="3" t="n">
        <v>46054</v>
      </c>
      <c r="I217"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AI/ML engineer who will be responsible for building, training, fine\-tuning, and evaluating advanced language models. The ideal candidate will have hands\-on experience with state\-of\-the\-art machine learning techniques, specifically for natural language processing (NLP), and will also have a strong understanding of full\-stack development. This person will work across the model development lifecycle and collaborate with cross\-functional teams to deliver high\-impact solutions.
**Requirements**
================
### **Security Clearance:**
* Must currently hold a Top Secret/SCI U.S. Government security clearance with a favorable Polygraph, therefore all candidates must be a U.S. citizen
### **Minimum Qualifications:**
* 2 years experience in applied machine learning in programs and contracts of similar scope, type, and complexity is required
* A B.S. degree in advanced math (e.g., calculus, linear algebra or Bayesian statistics), computer science or related STEM discipline from an accredited college or university is required
* 3 years of additional machine learning experience on projects with similar machine learning processes may be substituted for a bachelor's degree.
### **Required Skills:**
* Strong proficiency in AI/ML frameworks such as TensorFlow, PyTorch, or Hugging Face.
* Expertise in model training, evaluation, and deployment.
* Hands\-on experience with AWS tools like SageMaker, Lambda, EC2, and S3\.
* Experience in developing full\-stack software applications (JavaScript, Python, Java, etc.).
* Solid understanding of data structures, algorithms, and system design.
* Experience \&amp; Background:  
o Extensive experience in machine learning model development, including natural language processing (NLP).  
o Experience with model evaluation, optimization, and performance monitoring.  
o Proven experience in software engineering with strong coding skills.  
o Experience working in a government or defense\-related environment is highly preferred.
* Experience with model versioning and management using tools such as MLFlow or Git.
* Familiarity with containerization tools (i.e. Kubernetes).
### **Desired Skills:**
* Experience with secure data handling and compliance requirements
* Experience working with Large Language Models (LLMs)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218">
      <c r="A218" t="inlineStr">
        <is>
          <t>in-8824d42851385122</t>
        </is>
      </c>
      <c r="B218" t="inlineStr">
        <is>
          <t>AI Engineer</t>
        </is>
      </c>
      <c r="C218" t="inlineStr">
        <is>
          <t>Tata Consultancy Services (TCS)</t>
        </is>
      </c>
      <c r="D218" t="inlineStr">
        <is>
          <t>indeed</t>
        </is>
      </c>
      <c r="E218">
        <f>HYPERLINK("https://www.indeed.com/viewjob?jk=8824d42851385122", "https://www.indeed.com/viewjob?jk=8824d42851385122")</f>
        <v/>
      </c>
      <c r="F218">
        <f>HYPERLINK("https://ibegin.tcsapps.com/candidate/jobs/shared-job/Mzk0NTI4Sg==", "https://ibegin.tcsapps.com/candidate/jobs/shared-job/Mzk0NTI4Sg==")</f>
        <v/>
      </c>
      <c r="G218" t="inlineStr">
        <is>
          <t>Richardson, TX, US</t>
        </is>
      </c>
      <c r="H218" s="3" t="n">
        <v>46054</v>
      </c>
      <c r="I218" t="inlineStr">
        <is>
          <t>Expertise in LLMs, RAG, vector DBs, cloud architecture, NLP, data engineering, LangGraph, VectorDB, GCP.
Solution Architecture \&amp; Technical Leadership
* Architect end to end GenAI\-driven platforms.
* Establish reference architectures using LLMs, RAG, embeddings, knowledge graphs.
* Design scalable LLM Ops workflows.
Domain Modeling \&amp; Knowledge Engineering
* Model PBM benefit structures and ontologies.
* Governance, Compliance, Data Security \&amp; Risk Management
* Implement Responsible AI controls, PHI/PII masking and HIPAA\-aligned synthetic data generation.
Cross Functional Collaboration
* Partner with PBM Business SMEs, QA teams, AI engineers, and IT teams.
**Generic Managerial Skills**
* Solution Architecture \&amp; Technical Leadership
* Architect end to end GenAI\-driven platforms.
* Establish reference architectures using LLMs, RAG, embeddings, knowledge graphs.
* Design scalable LLMOps workflows.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\#LI\-RJ2
Salary Range\-$95,000\-$120,000 a year
**Location**
Richardson, TX
**Job Function**
TECHNOLOGY
**Role**
Engineer
**Job Id**
394528
**Desired Skills**
Artificial Intelligence
**Salary Range**
$95,000\-$120,000 a year</t>
        </is>
      </c>
    </row>
    <row r="219">
      <c r="A219" t="inlineStr">
        <is>
          <t>in-9a0b4aa79138fe25</t>
        </is>
      </c>
      <c r="B219" t="inlineStr">
        <is>
          <t>AI/ML Engineer - Remote</t>
        </is>
      </c>
      <c r="C219" t="inlineStr">
        <is>
          <t>Optum</t>
        </is>
      </c>
      <c r="D219" t="inlineStr">
        <is>
          <t>indeed</t>
        </is>
      </c>
      <c r="E219">
        <f>HYPERLINK("https://www.indeed.com/viewjob?jk=9a0b4aa79138fe25", "https://www.indeed.com/viewjob?jk=9a0b4aa79138fe25")</f>
        <v/>
      </c>
      <c r="F219">
        <f>HYPERLINK("https://uhg.taleo.net/careersection/10000/jobdetail.ftl?job=2339939&amp;lang=en", "https://uhg.taleo.net/careersection/10000/jobdetail.ftl?job=2339939&amp;lang=en")</f>
        <v/>
      </c>
      <c r="G219" t="inlineStr">
        <is>
          <t>Eden Prairie, MN, US</t>
        </is>
      </c>
      <c r="H219" s="3" t="n">
        <v>46054</v>
      </c>
      <c r="I219"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Optum Technology Digital team is on a mission to disrupt the healthcare industry, transforming UHG into an industry\-leading Consumer brand. We deliver hyper\-personalized digital solutions that empower direct\-to\-consumer, digital\-first experiences, educating, guiding, and empowering consumers to access the right care at the right time. Our mission is to revolutionize healthcare for patients and providers by delivering cutting\-edge, personalized and conversational digital solutions. We're Consumer Obsessed, ensuring they receive exceptional support throughout their healthcare journeys. As we drive this transformation, we're revolutionizing customer interactions with the healthcare system, leveraging AI, cloud computing, and other disruptive technologies to tackle complex challenges. Serving UnitedHealth Group's digital technology needs, the Consumer Engineering team impacts millions of lives through UnitedHealthcare \&amp; Optum.
The Optum Technology Chief Digital Office (CDO) Leadership team is transforming Optum to be an industry\-leading Consumer brand. We are on a journey towards delivering a best\-in\-the\-industry consumer experience to our patients and providers by delivering personalized digital solutions that support our consumers throughout their healthcare journeys. This team is transforming to meet the moment \- to begin radically altering the way our customers engage with the healthcare system using modern tech to solve some of the most complex problems experienced along the way.
Serving all of UnitedHealth Group's digital technology needs, the CDO team is responsible for driving outcomes across nearly 30 million\+ human lives with UnitedHealthcare insurance, a number which puts UHC at the top of the pack as the largest managed care provider in the United States.
You'll enjoy the flexibility to work remotely \* from anywhere within the U.S. as you take on some tough challenges. For all hires in the Minneapolis or Washington, D.C. area, you will be required to work in the office a minimum of four days per week.
 **Primary Responsibilities:**
* Design, develop, and deploy AI/ML models using GenAI technologies (LLMs, RAG, Agentic AI)
* Utilize agentic AI frameworks such as Claude Agents SDK, OpenAI Agents SDK or Langchain to build customer facing solutions, as well as automate internal processes
* Deploy AI/ML solutions in production public cloud environments (AWS, GCP, Azure)
* Conduct rigorous testing, validation, and performance optimization of Agentic AI systems
* Containerize AI/ML projects and implement CI/CD pipelines using tools like GitHub Actions
* Collaborate with stakeholders to preprocess, analyze, and interpret large\-scale datasets
* Study emerging trends and advancements in generative AI and ML technologies, putting learnings into practice in production systems
You'll be rewarded and recognized for your performance in an environment that will challenge you and give you clear direction on what it takes to succeed in your role as well as provide development for other roles you may be interested in.
**Required Qualification:**
* Bachelor's degree in Computer Science, Data Science, or related field
 **Preferred Qualifications:**
* Experience working on a consumer facing or opensource project
* Professional experience working on a Python or Typescript codebase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220">
      <c r="A220" t="inlineStr">
        <is>
          <t>in-6dec062ae8767de8</t>
        </is>
      </c>
      <c r="B220" t="inlineStr">
        <is>
          <t>Director, AI/ML Engineering - Remote</t>
        </is>
      </c>
      <c r="C220" t="inlineStr">
        <is>
          <t>Optum</t>
        </is>
      </c>
      <c r="D220" t="inlineStr">
        <is>
          <t>indeed</t>
        </is>
      </c>
      <c r="E220">
        <f>HYPERLINK("https://www.indeed.com/viewjob?jk=6dec062ae8767de8", "https://www.indeed.com/viewjob?jk=6dec062ae8767de8")</f>
        <v/>
      </c>
      <c r="F220">
        <f>HYPERLINK("https://uhg.taleo.net/careersection/10000/jobdetail.ftl?job=2339936&amp;lang=en", "https://uhg.taleo.net/careersection/10000/jobdetail.ftl?job=2339936&amp;lang=en")</f>
        <v/>
      </c>
      <c r="G220" t="inlineStr">
        <is>
          <t>Eden Prairie, MN, US</t>
        </is>
      </c>
      <c r="H220" s="3" t="n">
        <v>46054</v>
      </c>
      <c r="I220"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Optum Technology Digital team is on a mission to disrupt the healthcare industry, transforming UHG into an industry\-leading Consumer brand. We deliver hyper\-personalized digital solutions that empower direct\-to\-consumer, digital\-first experiences, educating, guiding, and empowering consumers to access the right care at the right time. Our mission is to revolutionize healthcare for patients and providers by delivering cutting\-edge, personalized and conversational digital solutions. We're Consumer Obsessed, ensuring they receive exceptional support throughout their healthcare journeys. As we drive this transformation, we're revolutionizing customer interactions with the healthcare system, leveraging AI, cloud computing, and other disruptive technologies to tackle complex challenges. Serving UnitedHealth Group's digital technology needs, the Consumer Engineering team impacts millions of lives through UnitedHealthcare \&amp; Optum.
The Optum Technology Chief Digital Office (CDO) Leadership team is transforming Optum to be an industry\-leading Consumer brand. We are on a journey towards delivering a best\-in\-the\-industry consumer experience to our patients and providers by delivering personalized digital solutions that support our consumers throughout their healthcare journeys. This team is transforming to meet the moment \- to begin radically altering the way our customers engage with the healthcare system using modern tech to solve some of the most complex problems experienced along the way.
Serving all of UnitedHealth Group's digital technology needs, the CDO team is responsible for driving outcomes across nearly 30 million\+ human lives with UnitedHealthcare insurance, a number which puts UHC at the top of the pack as the largest managed care provider in the United States.
You'll enjoy the flexibility to work remotely \* from anywhere within the U.S. as you take on some tough challenges. For all hires in the Minneapolis or Washington, D.C. area, you will be required to work in the office a minimum of four days per week.
 **Primary Responsibilities:**
* Lead the development of agentic AI systems that power the Optum Assistant experience, including personalized care recommendations, user engagement optimization, conversational intelligence, and other capabilities derived from structured, unstructured, and multimodal data
* Define and drive the AI/ML platform strategy for Optum Assistant, establishing scalable, reusable engineering frameworks and automation that accelerate model development and deployment for thousands of engineers and data scientists across the enterprise
* Continuously evaluate emerging technologies, academic research, and industry trends, and translate these insights into actionable proposals that enhance Optum Assistant's intelligence, performance, and business impact
* Provide technical leadership, coaching, and mentorship to data scientists, ML engineers, research scientists, and platform engineers\-ensuring delivery excellence and guiding the team toward best practice tools, architectures, and methodologies
* Partner with cross functional product, engineering, clinical, design, and operations teams to identify and prioritize opportunities where AI can meaningfully improve user interactions, care delivery, and operational efficiency within Optum Assistant
* Collaborate closely with the Responsible Use of AI (RUAI) organization to ensure that all AI/ML components of Optum Assistant meet enterprise ethical standards, regulatory requirements, safety expectations, and model governance policies
* Produce high quality internal and external technical documentation, system architecture artifacts
* Champion and evangelize the value of AI/ML innovations within Optum Assistant, driving awareness, understanding, and adoption across the enterprise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or related major
* 10\+ years of experience in engineering, preferably with experience working on consumer\-facing products
* 5\+ years of experience leading technical teams
* Experience building conversational AI solutions using LLMs or traditional NLP (preferably Amazon Lex)
* Practical experience with AI technology stacks and deployment and operations methodologies in public cloud (Amazon Web Services technology stack preferred)
* Proven in\-depth knowledge in Generative AI technology and Large Language Models (LLM) with focus in LLM optimization for agentic AI solutions
 **Preferred Qualifications:**
* Proven solid communication skills to articulate technical concepts to other engineers and non\-technical stakeholders
* Experience automating user journeys conversational infrastructure (experience with multiple NLP and Contact Center solutions)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$134,600 to $230,800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21">
      <c r="A221" t="inlineStr">
        <is>
          <t>in-a0c3184dc2902835</t>
        </is>
      </c>
      <c r="B221" t="inlineStr">
        <is>
          <t>Senior AI/ML Engineer - Remote</t>
        </is>
      </c>
      <c r="C221" t="inlineStr">
        <is>
          <t>Optum</t>
        </is>
      </c>
      <c r="D221" t="inlineStr">
        <is>
          <t>indeed</t>
        </is>
      </c>
      <c r="E221">
        <f>HYPERLINK("https://www.indeed.com/viewjob?jk=a0c3184dc2902835", "https://www.indeed.com/viewjob?jk=a0c3184dc2902835")</f>
        <v/>
      </c>
      <c r="F221">
        <f>HYPERLINK("https://uhg.taleo.net/careersection/10000/jobdetail.ftl?job=2339938&amp;lang=en", "https://uhg.taleo.net/careersection/10000/jobdetail.ftl?job=2339938&amp;lang=en")</f>
        <v/>
      </c>
      <c r="G221" t="inlineStr">
        <is>
          <t>Eden Prairie, MN, US</t>
        </is>
      </c>
      <c r="H221" s="3" t="n">
        <v>46054</v>
      </c>
      <c r="I221"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Optum Technology Digital team is on a mission to disrupt the healthcare industry, transforming UHG into an industry\-leading Consumer brand. We deliver hyper\-personalized digital solutions that empower direct\-to\-consumer, digital\-first experiences, educating, guiding, and empowering consumers to access the right care at the right time. Our mission is to revolutionize healthcare for patients and providers by delivering cutting\-edge, personalized and conversational digital solutions. We're Consumer Obsessed, ensuring they receive exceptional support throughout their healthcare journeys. As we drive this transformation, we're revolutionizing customer interactions with the healthcare system, leveraging AI, cloud computing, and other disruptive technologies to tackle complex challenges. Serving UnitedHealth Group's digital technology needs, the Consumer Engineering team impacts millions of lives through UnitedHealthcare \&amp; Optum.
The Optum Technology Chief Digital Office (CDO) Leadership team is transforming Optum to be an industry\-leading Consumer brand. We are on a journey towards delivering a best\-in\-the\-industry consumer experience to our patients and providers by delivering personalized digital solutions that support our consumers throughout their healthcare journeys. This team is transforming to meet the moment \- to begin radically altering the way our customers engage with the healthcare system using modern tech to solve some of the most complex problems experienced along the way.
Serving all of UnitedHealth Group's digital technology needs, the CDO team is responsible for driving outcomes across nearly 30 million\+ human lives with UnitedHealthcare insurance, a number which puts UHC at the top of the pack as the largest managed care provider in the United States.
You'll enjoy the flexibility to work remotely \* from anywhere within the U.S. as you take on some tough challenges. For all hires in the Minneapolis or Washington, D.C. area, you will be required to work in the office a minimum of four days per week.
 **Primary Responsibilities:**
* Design, develop, and deploy AI/ML models using GenAI technologies (LLMs, RAG, Agentic AI)
* Utilize agentic AI frameworks such as Claude Agents SDK, OpenAI Agents SDK, or Langchain
* Deploy AI/ML solutions in production environments, preferably on AWS or GCP
* Conduct rigorous testing, validation, and performance optimization of Agentic AI systems
* Containerize AI/ML projects and implement CI/CD pipelines using tools like GitHub Actions
* Collaborate with stakeholders to preprocess, analyze, and interpret large\-scale datasets
* Continuously monitoring emerging trends and advancements in generative AI and ML technologies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Data Science, or related field
* 4\+ years of hands\-on experience with Python or Typescript
 **Preferred Qualifications:**
* Experience deploying production agentic AI workloads
* Experience measuring and improving LLM based applications
* Experience with evaluating AI/ML workloads utilizing a mixture of traditional AI/ML techniques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222">
      <c r="A222" t="inlineStr">
        <is>
          <t>in-2421d60ee32b2160</t>
        </is>
      </c>
      <c r="B222" t="inlineStr">
        <is>
          <t>Principal ML Engineer (Robotics)</t>
        </is>
      </c>
      <c r="C222" t="inlineStr">
        <is>
          <t>Analog Devices</t>
        </is>
      </c>
      <c r="D222" t="inlineStr">
        <is>
          <t>indeed</t>
        </is>
      </c>
      <c r="E222">
        <f>HYPERLINK("https://www.indeed.com/viewjob?jk=2421d60ee32b2160", "https://www.indeed.com/viewjob?jk=2421d60ee32b2160")</f>
        <v/>
      </c>
      <c r="F222">
        <f>HYPERLINK("https://analogdevices.wd1.myworkdayjobs.com/en-US/External/job/US-MA-Boston/Principal-ML-Engineer--Robotics-_R260279", "https://analogdevices.wd1.myworkdayjobs.com/en-US/External/job/US-MA-Boston/Principal-ML-Engineer--Robotics-_R260279")</f>
        <v/>
      </c>
      <c r="G222" t="inlineStr">
        <is>
          <t>Boston, MA, US</t>
        </is>
      </c>
      <c r="H222" s="3" t="n">
        <v>46054</v>
      </c>
      <c r="I222" t="inlineStr">
        <is>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Principal Machine Learning Engineer
Target hire: Feb 2026
The Dexterous AI Group (DAG) is seeking an experienced and innovative Machine Learning Engineer to pioneer the next generation dexterous robots. We are a team dedicated to achieving human\-level dexterity: creating systems with rich sensing modalities, including vision, audio, tactile, spatial and temporal understanding powered by physical AI. You will develop groundbreaking multimodal ML models that leverage ADI’s cutting\-edge sensor and robotic innovations to solve high\-value industrial challenges and redefine what's possible.
Responsibilities:* Lead the development of robot learning models (RL, IL) for dexterous manipulation.
* Design and implement simulation environments and evaluation frameworks for algorithm validation.
* Optimize and deploy trained policies onto real\-world robots for autonomous tasks.
* Identify and solve system\-level performance bottlenecks on task completion.
* Contribute to the full data lifecycle, from collection and curation to pipeline optimization, across proprioceptive, visual, 3D, force, and tactile data streams.
* Collaborate on building reusable software frameworks for the team.
* Stay abreast of the latest developments in machine learning and robotics from reputable groups.
Required Qualifications:* Master’s degree or equivalent experience in a relevant field.
* 8\+ years of experience in robot learning research or engineering.
* Strong background in ML/AI, including Reinforcement Learning and Imitation Learning.
* Expertise in training large\-scale models with PyTorch on multi\-GPU clusters (e.g., DeepSpeed).
* Proficiency in software development for deployable ML systems.
* A track record of relevant publications in top international conferences (RSS, NeuRIPS, ICML, ICLR, CoRL, ICRA, IROS, …)
Preferred Qualifications:* Ph.D. in a relevant field.
* Familiarity with foundation models, world models, or VLAs.
* Experience with robotics toolkits like ROS/ROS2, Isaac Sim, etc.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group.**EEO is the Law:* *Notice of Applicant Rights Under the Law**.*
Job Req Type: Experienced  
Required Travel: Yes, 10% of the time  
Shift Type: 1st Shift/Days
The expected wage range for a new hire into this position is $200,000 to $275,000\.* Actual wage offered may vary depending on work location, experience, education, training, external market data, internal pay equity, or other bona fide factors.
* This position qualifies for a discretionary performance\-based bonus which is based on personal and company factors.
* This position includes medical, vision and dental coverage, 401k, paid vacation, holidays, and sick time, and other benefits.</t>
        </is>
      </c>
    </row>
    <row r="223">
      <c r="A223" t="inlineStr">
        <is>
          <t>in-e45dac4028eadde8</t>
        </is>
      </c>
      <c r="B223" t="inlineStr">
        <is>
          <t>Senior Principal Enterprise Architect - Principal AI/ML Engineer</t>
        </is>
      </c>
      <c r="C223" t="inlineStr">
        <is>
          <t>Truist</t>
        </is>
      </c>
      <c r="D223" t="inlineStr">
        <is>
          <t>indeed</t>
        </is>
      </c>
      <c r="E223">
        <f>HYPERLINK("https://www.indeed.com/viewjob?jk=e45dac4028eadde8", "https://www.indeed.com/viewjob?jk=e45dac4028eadde8")</f>
        <v/>
      </c>
      <c r="F223">
        <f>HYPERLINK("https://careers.truist.com/us/en/job/TBJTBFUSR0110821EXTERNALENUS/Senior-Principal-Enterprise-Architect-Principal-AI-ML-Engineer?utm_source=indeed&amp;utm_medium=phenom-feeds", "https://careers.truist.com/us/en/job/TBJTBFUSR0110821EXTERNALENUS/Senior-Principal-Enterprise-Architect-Principal-AI-ML-Engineer?utm_source=indeed&amp;utm_medium=phenom-feeds")</f>
        <v/>
      </c>
      <c r="G223" t="inlineStr">
        <is>
          <t>Raleigh, NC, US</t>
        </is>
      </c>
      <c r="H223" s="3" t="n">
        <v>46054</v>
      </c>
      <c r="I223"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Teammate reports to the division head of enterprise architecture for EA division such a commercial banking and is accountable for a squad (squad (e.g. Lending, Insurance, Mortgage, Security, Platform, Cloud, Payments, Online Banking, etc.). He/She will focus on business capabilities, application/platforms/system architecture elements enterprise wide. Leads in the development of enterprise architecture standards, enforcement and compliance. Applies advanced knowledge of the business and IT architecture principles to identify and evaluate alternatives solutions. Leads the selection of methodologies, tools, and components of total IT solutions. Provides guidance and support for SA's to implement complex architectural strategy and direction of multiple and diverse application / data/network disciplines on a variety of multi\-platform systems.
Develops business\-system architecture plans and reviews cost and feasibility of system requests while ensuring the plan supports the strategic needs of the company. Interprets internal/ external business challenges and recommends best practices. Uses sophisticated analytical thought to exercise judgment and identify innovative solutions. Mentors less experienced teammates to build technical expertise.
As a Principal AI/ML Engineer, you will serve as a hands‑on technical authority driving the architecture, design, and delivery of next‑generation AI systems across AWS and Azure. You will shape multi‑agent architectures, guide ML platform strategy, and partner with senior engineering, product, and enterprise leaders to define how AI is built and deployed at scale. This role balances deep technical execution with cross‑org influence, thought leadership, and coaching of engineering teams.**ESSENTIAL DUTIES AND RESPONSIBILITIES**
Following is a summary of the essential functions for this job. Other duties may be performed, both major and minor, which are not mentioned below. Specific activities may change from time to time.
* Top\-down enterprise design with focus on business model, digital transformation and innovation i.e. collaborate with business owners, technology leaders and risk partners to draft the tech strategy, reflecting the corporate objectives/strategy  
IT Landscape design in the context of business capabilities of the organization supporting enterprise objective, cost and risk reduction
* Lead cross cutting enterprise solution design that span across multiple CIOs and domains
* Set strategic direction for the assigned major business division in alignment with the Business Strategy and Technology standards and provide thought leadership in the development of an enterprise strategic IT plan.
* Maintain a high level of awareness and understanding of existing and emerging technologies, as well as industry and bank issues, to effectively match them.
* End to end accountability to review and approve design solutions that best meet the business needs of the enterprise, with a primary focus on innovation.
* Lead or "jump start" initiatives deemed critical to IT Services and Truist's success
* Provide thought leadership in new technology innovation, incubation, introduction and implementation critical to Truist's technology and business strategy roadmaps and ongoing success
* Architect and lead the development of complex, distributed AI/ML systems leveraging AWS AgentCore for agentic workflows and Azure Service Fabric for resilient microservice‑based execution models.
* Own the end‑to‑end design of enterprise‑grade LLM agents, multi\-agent systems, RAG frameworks, and tool‑augmented pipelines that integrate with heterogeneous data and application ecosystems.
* Define the technical vision for scalable AI infrastructures across AWS and Azure, including data platforms, orchestration frameworks, container environments, and secure production deployment patterns.
* Direct and oversee large‑scale model lifecycle initiatives: feature engineering, training, evaluation, deployment, observability, drift detection, and continuous improvement.
* Create standards and reusable architecture patterns for AgentCore‑based agent workflows, vector stores, prompt‑chain orchestration, and secure model interactions.
* Provide senior‑level guidance on model optimization, fine‑tuning, distributed training, inference acceleration, and cost governance across multi‑cloud environments.
* Lead technical due diligence, platform evaluations, and strategic recommendations for AI modernization and enterprise adoption.
* Establish CI/CD and MLOps best practices using AWS CodePipeline, SageMaker Pipelines, Azure ML Ops, and cloud‑native container platforms.
* Drive innovation through experimentation, POCs, and emerging model integration, acting as a thought leader for advanced AI engineering across the organization.
Note: The difference between Sr. Principal Enterprise Architect and Sr. Enterprise Architect is scope, years of experience, and complexity of the business line and related technologies.
 **QUALIFICATIONS**  
**Required Qualifications:**  
1\. Bachelor's degree in Business or IT, or equivalent education and related training  
2\. Recognized professional in their field of expertise. Likely to be published, hold advanced degrees and/or contributed in the advancement of their area(s) of study outside the company and across industry.  
3\. Fifteen years of architecture/design/delivery experience which includes ten years of enterprise architecture experience or fifteen years' solution architecture experience in technology and security, and ten years of banking/financial business domain  
4\. Comprehensive experience with various architectural domains such as application, data, infrastructure, security and integration  
5\. Strong analytical and broad architectural skills  
6\. Strong verbal and written communication skills  
7\. Strong negotiation/facilitation skills  
8\. Significant knowledge of current and emerging architecture principles, methodologies and tools  
9\. Experience as negotiator with vendors for relevant products and services  
10\. Demonstrated competency in strategic thinking with ability to differentiate feasible from academic solutions  
11\. Demonstrated thought\-leadership skills with the ability to translate high\-level business planning information into application needs/solutions  
12\. Demonstrated proficiency in basic computer applications, such as Microsoft Office software products  
13\. Ability to travel, occasionally overnight
**OTHER JOB REQUIREMENTS / WORKING CONDITIONS**
**Preferred Qualifications**
1\. Master's degree in field such as Finance, Mathematics, Analytics, Data Science, Computer Science, or Engineering.
2\. Prior experience shaping AI platform strategy or serving as a principal or staff‑level engineer in a large enterprise environment.
3\. Experience with Azure ML, AWS SageMaker, Databricks MLflow, or cross‑cloud distributed training frameworks.
4\. Exposure to enterprise security, compliance frameworks, and responsible AI practices.
5\. Industry publications, patents, OSS contributions, or conference presentations in AI/ML or distributed systems.
6\. Demonstrated expertise in designing and shipping enterprise AI systems using AWS AgentCore and developing distributed solutions with Azure Service Fabric.
7\. Deep proficiency in Python and modern ML ecosystems (HuggingFace, PyTorch, TensorFlow) and proven experience deploying LLMs and multi\-agent architectures.
8\. Mastery of cloud\-native design patterns, microservices, containerization (Docker), orchestration (Kubernetes/EKS/AKS), and event\-driven architectures.
9\. Advanced experience with RAG pipelines, vector databases (FAISS, Pinecone, OpenSearch), and production‑ready retrieval systems.
10\. Strong MLOps background, including automated training, CI/CD for ML, model observability, and governance controls.
11\. Ability to influence across organizations, drive consensus on architecture decisions, and lead complex technical programs end‑to‑end.
**OTHER JOB REQUIREMENTS / WORKING CONDITIONS**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25%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24">
      <c r="A224" t="inlineStr">
        <is>
          <t>in-1a05ed251a0925c8</t>
        </is>
      </c>
      <c r="B224" t="inlineStr">
        <is>
          <t>AI Engineer Subject Matter Expert</t>
        </is>
      </c>
      <c r="C224" t="inlineStr">
        <is>
          <t>BridgePhase</t>
        </is>
      </c>
      <c r="D224" t="inlineStr">
        <is>
          <t>indeed</t>
        </is>
      </c>
      <c r="E224">
        <f>HYPERLINK("https://www.indeed.com/viewjob?jk=1a05ed251a0925c8", "https://www.indeed.com/viewjob?jk=1a05ed251a0925c8")</f>
        <v/>
      </c>
      <c r="F224">
        <f>HYPERLINK("https://bridgephase.applytojob.com/apply/XMu0hDTnw9/AI-Engineer-Subject-Matter-Expert?source=INDE&amp;~", "https://bridgephase.applytojob.com/apply/XMu0hDTnw9/AI-Engineer-Subject-Matter-Expert?source=INDE&amp;~")</f>
        <v/>
      </c>
      <c r="G224" t="inlineStr">
        <is>
          <t>Remote, US</t>
        </is>
      </c>
      <c r="H224" s="3" t="n">
        <v>46054</v>
      </c>
      <c r="I224" t="inlineStr">
        <is>
          <t>BridgePhase is a software engineering company focused on designing, building, securing, and operating cutting\-edge software solutions that drive mission success and operational excellence for Federal Government organizations. We are dedicated to supporting the Air Force’s pursuit of technological superiority by delivering advanced artificial intelligence (AI) and machine learning (ML) capabilities that enhance cyber operations, decision\-making, and mission effectiveness. Our goal is to be a trusted partner in integrating innovative AI solutions that bolster cyber resilience and operational agility.
We’re looking for an **AI Engineer Subject Matter Expert** (SME) to join our team supporting the U.S. Air Force’s Unified Platform Software Factory in San Antonio. In this role, you will lead the design, development, and deployment of AI/ML models and tools that improve threat detection, automate analysis, and support cyber defense workflows. You will collaborate closely with cyber operators, software engineers, and data scientists to build AI\-driven solutions that accelerate decision cycles and enhance mission outcomes.  
We are hiring for both fully remote positions and hybrid roles based in San Antonio, TX. Candidates local to San Antonio should expect a mix of onsite and remote work as part of a hybrid schedule.
 **In this position, you can expect to:**
* Lead the design and implementation of AI and ML models tailored to cyber operations challenges such as anomaly detection, threat classification, and predictive analytics.
* Develop and maintain scalable data pipelines and MLOps workflows using modern tools and frameworks (e.g., TensorFlow, PyTorch, scikit\-learn).
* Integrate AI capabilities into existing cyber defense platforms and DevSecOps pipelines.
* Collaborate with data and cyber engineers to curate, preprocess, and analyze large datasets for model training and validation.
* Conduct research and experimentation to evaluate emerging AI techniques relevant to cyber security and operational needs.
* Optimize AI models for performance, accuracy, and operational efficiency in cloud and containerized environments.
* Provide SME guidance on AI best practices, explainability, and ethical AI considerations within mission contexts.
* Support automation of threat detection, incident response, and cyber situational awareness through AI\-driven tools.
* Document AI workflows, models, and system integration points to support knowledge sharing and continuous improvement.
 *As the cyber threat landscape evolves, your expertise will be key in advancing AI capabilities that keep pace with adversaries. We seek innovative engineers who can translate cutting\-edge AI research into practical mission solutions.*
 **Preferred Experience and Qualifications:**
* 5\+ years of experience in AI/ML engineering, data science, or related fields.
* Strong background in machine learning algorithms, neural networks, natural language processing (NLP), and anomaly detection.
* Proficiency with Python and AI/ML libraries such as TensorFlow, PyTorch, Keras, scikit\-learn, or similar.
* Experience with data engineering tools, cloud platforms (AWS, Azure, GCP), and container orchestration (Kubernetes, Docker).
* Familiarity with cybersecurity concepts and challenges, preferably within DoD or intelligence community environments.
* Knowledge of DevSecOps principles and ability to integrate AI models into CI/CD pipelines.
* Strong analytical, problem\-solving, and communication skills.
* Active secret clearance is required, with TS/SCI preferred.
* B.S. or higher in Computer Science, Data Science, AI, or related technical discipline (advanced degrees preferred).
* This is a hybrid position – with both quarterly onsite and remote work supported.
 *While we’ve outlined our ideal candidate, we recognize the diversity of AI expertise and encourage applicants with strong technical foundations, creativity, and a passion for advancing defense capabilities to apply. We value team members who are lifelong learners, critical thinkers, and mission\-focused innovators.*
 **About Our Company:**  
At BridgePhase, our values shape our culture and guide our actions. We act with integrity, honesty, and respect, earning trust and fostering collective success. We are critical thinkers and problem solvers, driving innovation and positive disruption to solve hard challenges at speed and scale. Our work is characterized by courage, compassion, commitment, and teamwork. We apply disciplined engineering principles and a proven agile approach that deliver flexible, simplified, durable and performant solutions that drive continuous improvement and have lasting impact and sustained value. Additionally, we invest in our communities through strategic charitable initiatives, empowering our employees to make meaningful contributions to causes they are passionate about.
 **Our Benefits:**  
We pride ourselves on providing top\-tier benefits that rival those found in larger organizations. Below are some of the perks our team enjoys:
* Competitive compensation that reflects your skills and impact
* Multiple bonus programs rewarding performance, company growth, and employee referrals
* Flexible PTO with 20 days to use when you need them
* All federal holidays paid to help you truly recharge
* Paid sick leave because health always comes first
* 100% paid parental leave
* 401(k) with 6% match and no vesting period
* Top\-tier medical, dental, and vision plans with low out\-of\-pocket costs
* Short\- and long\-term disability and life insurance included
* Pet insurance to support your four\-legged family
* Annual professional development budget for training, certifications, and conferences
* Two paid community service days for causes that matter to you
* Social pod budget to connect with teammates wherever you live
XMu0hDTnw9</t>
        </is>
      </c>
    </row>
    <row r="225">
      <c r="A225" t="inlineStr">
        <is>
          <t>in-3c2f2721a56ce7de</t>
        </is>
      </c>
      <c r="B225" t="inlineStr">
        <is>
          <t>Generative AI Engineer</t>
        </is>
      </c>
      <c r="C225" t="inlineStr">
        <is>
          <t>Equifax</t>
        </is>
      </c>
      <c r="D225" t="inlineStr">
        <is>
          <t>indeed</t>
        </is>
      </c>
      <c r="E225">
        <f>HYPERLINK("https://www.indeed.com/viewjob?jk=3c2f2721a56ce7de", "https://www.indeed.com/viewjob?jk=3c2f2721a56ce7de")</f>
        <v/>
      </c>
      <c r="F225">
        <f>HYPERLINK("https://careers.equifax.com/en/jobs/j00174408/generative-ai-engineer/", "https://careers.equifax.com/en/jobs/j00174408/generative-ai-engineer/")</f>
        <v/>
      </c>
      <c r="G225" t="inlineStr">
        <is>
          <t>Atlanta, GA, US</t>
        </is>
      </c>
      <c r="H225" s="3" t="n">
        <v>46053</v>
      </c>
      <c r="I225" t="inlineStr">
        <is>
          <t>We seek a dynamic and driven individual with a strong technical foundation to serve as a Generative AI Engineer. You will leverage our data, technology, and analytics to build LLM pipelines that generate actionable insights for our business and customers.
This key position involves working with large data sources on Google Cloud Platform (GCP) and Google AI Platform, designing, developing, and implementing cutting\-edge generative AI solutions on Vertex AI.
This is a unique opportunity to shape the future of AI within the company, driving innovation by leveraging our cloud\-native technology (GCP/Vertex AI). Strong communication skills are required, and financial industry experience is preferred. This position provides an opportunity to work with best\-in\-class technology and a rich big data ecosystem.
**This role requires being in either our Alpharetta or Atlanta, Georgia office 3 days/week on Tues \- Thurs.**
**This position does not offer immigration sponsorship (current or future) including F\-1 STEM OPT extension support.**
**What you'll do**
* Develop and deploy key components of GenAI solutions on Google Cloud Vertex AI to generate insights from structured and unstructured data.
* Integrate diverse data sources, data types, and data structures into AI / LLM based solutions, using data and technology best practices.
* Implement prompt engineering and RAG (Retrieval\-Augmented Generation) strategies to improve response accuracy.
* Integrate GenAI capabilities into data pipelines and dashboards, and APIs for real\-time analytics.
* Understand how business requests translate into AI\-enabled analytical and technical solutions.
* Develop and maintain a deep understanding of the latest advancements in AI,
particularly in generative AI and its applications in data analysis and insight generation.
* Communicate complex technical concepts clearly and concisely to both technical and non\-technical audiences.
**What experience you need:**
* Bachelor’s degree or higher in Computer Science or Computer Engineering, Statistics, Mathematics, or a related quantitative field
* 2\+ years in shipping production grade software.
* 1\+ years experience in deploying solutions on modern cloud environments.
* Ability to learn and apply new technologies; passion for staying abreast of the latest advancements in Generative AI research and technology; passion for AI research and a strong desire to contribute to cutting\-edge projects
* Proficiency in Python, LangChain, and either Java or C/ C\+\+
* Experience with REST API clients and platforms such as Spring/ Flask.
* Strong communication skills of analytical results to technical and non\-technical audiences alike
**What could set you apart:**
* Master’s degree in a related field is a strong plus
* Exposure in Vertex AI, GCP AI/ML services (AutoML, BigQuery ML, Cloud Run, etc.) or a similar cloud technology
* Strong foundational skills in Linux Operating System.
* Understanding of NLP, deep learning, and generative architectures (Transformers, Diffusion Models, etc.)
* Background in credit risk, financial data analytics or risk modeling.
* Experience working with large datasets on a big data platform (e.g., Google Cloud, AWS, Snowflake, Hadoop)
* Experience in Business Intelligence, data visualization, and customer insights
generation.
* Familiarity with data governance, model bias mitigation, and regulatory frameworks (GDPR, AI Act, SEC compliance).
* Experience with MLOps practices, model monitoring, and CI/CD for AI workflows.
* Knowledge of prompt tuning, fine\-tuning, and parameter\-efficient methods (LoRA, PEFT).
* Hands\-on experience with RAG, multi\-modal AI, and hybrid AI architectures.
* Contributions to the AI community through publications, open\-source projects, or conference presentations.</t>
        </is>
      </c>
    </row>
    <row r="226">
      <c r="A226" t="inlineStr">
        <is>
          <t>in-590550636a01ec98</t>
        </is>
      </c>
      <c r="B226" t="inlineStr">
        <is>
          <t>Machine Learning Engineer, WWPS ProServe Data and Machine Learning</t>
        </is>
      </c>
      <c r="C226" t="inlineStr">
        <is>
          <t>Amazon Web Services</t>
        </is>
      </c>
      <c r="D226" t="inlineStr">
        <is>
          <t>indeed</t>
        </is>
      </c>
      <c r="E226">
        <f>HYPERLINK("https://www.indeed.com/viewjob?jk=590550636a01ec98", "https://www.indeed.com/viewjob?jk=590550636a01ec98")</f>
        <v/>
      </c>
      <c r="F226">
        <f>HYPERLINK("https://www.amazon.jobs/jobs/3168182/machine-learning-engineer-wwps-proserve-data-and-machine-learning?cmpid=DA_INAD200785B", "https://www.amazon.jobs/jobs/3168182/machine-learning-engineer-wwps-proserve-data-and-machine-learning?cmpid=DA_INAD200785B")</f>
        <v/>
      </c>
      <c r="G226" t="inlineStr">
        <is>
          <t>Arlington, VA, US</t>
        </is>
      </c>
      <c r="H226" s="3" t="n">
        <v>46044</v>
      </c>
      <c r="I22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7">
      <c r="A227" t="inlineStr">
        <is>
          <t>in-7464afc8fea1da57</t>
        </is>
      </c>
      <c r="B227" t="inlineStr">
        <is>
          <t>Machine Learning Engineer, WWPS ProServe Data and Machine Learning</t>
        </is>
      </c>
      <c r="C227" t="inlineStr">
        <is>
          <t>Amazon Web Services</t>
        </is>
      </c>
      <c r="D227" t="inlineStr">
        <is>
          <t>indeed</t>
        </is>
      </c>
      <c r="E227">
        <f>HYPERLINK("https://www.indeed.com/viewjob?jk=7464afc8fea1da57", "https://www.indeed.com/viewjob?jk=7464afc8fea1da57")</f>
        <v/>
      </c>
      <c r="F227">
        <f>HYPERLINK("https://www.amazon.jobs/jobs/3168182/machine-learning-engineer-wwps-proserve-data-and-machine-learning?cmpid=DA_INAD200785B", "https://www.amazon.jobs/jobs/3168182/machine-learning-engineer-wwps-proserve-data-and-machine-learning?cmpid=DA_INAD200785B")</f>
        <v/>
      </c>
      <c r="G227" t="inlineStr">
        <is>
          <t>Herndon, VA, US</t>
        </is>
      </c>
      <c r="H227" s="3" t="n">
        <v>46044</v>
      </c>
      <c r="I22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8">
      <c r="A228" t="inlineStr">
        <is>
          <t>in-bdde54800bd1633b</t>
        </is>
      </c>
      <c r="B228" t="inlineStr">
        <is>
          <t>Machine Learning Engineer, WWPS ProServe Data and Machine Learning</t>
        </is>
      </c>
      <c r="C228" t="inlineStr">
        <is>
          <t>Amazon Web Services</t>
        </is>
      </c>
      <c r="D228" t="inlineStr">
        <is>
          <t>indeed</t>
        </is>
      </c>
      <c r="E228">
        <f>HYPERLINK("https://www.indeed.com/viewjob?jk=bdde54800bd1633b", "https://www.indeed.com/viewjob?jk=bdde54800bd1633b")</f>
        <v/>
      </c>
      <c r="F228">
        <f>HYPERLINK("https://www.amazon.jobs/jobs/3168180/machine-learning-engineer-wwps-proserve-data-and-machine-learning?cmpid=DA_INAD200785B", "https://www.amazon.jobs/jobs/3168180/machine-learning-engineer-wwps-proserve-data-and-machine-learning?cmpid=DA_INAD200785B")</f>
        <v/>
      </c>
      <c r="G228" t="inlineStr">
        <is>
          <t>Herndon, VA, US</t>
        </is>
      </c>
      <c r="H228" s="3" t="n">
        <v>46043</v>
      </c>
      <c r="I22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9">
      <c r="A229" t="inlineStr">
        <is>
          <t>in-78e28bfcf4f51334</t>
        </is>
      </c>
      <c r="B229" t="inlineStr">
        <is>
          <t>Machine Learning Engineer, WWPS ProServe Data and Machine Learning</t>
        </is>
      </c>
      <c r="C229" t="inlineStr">
        <is>
          <t>Amazon Web Services</t>
        </is>
      </c>
      <c r="D229" t="inlineStr">
        <is>
          <t>indeed</t>
        </is>
      </c>
      <c r="E229">
        <f>HYPERLINK("https://www.indeed.com/viewjob?jk=78e28bfcf4f51334", "https://www.indeed.com/viewjob?jk=78e28bfcf4f51334")</f>
        <v/>
      </c>
      <c r="F229">
        <f>HYPERLINK("https://www.amazon.jobs/jobs/3168180/machine-learning-engineer-wwps-proserve-data-and-machine-learning?cmpid=DA_INAD200785B", "https://www.amazon.jobs/jobs/3168180/machine-learning-engineer-wwps-proserve-data-and-machine-learning?cmpid=DA_INAD200785B")</f>
        <v/>
      </c>
      <c r="G229" t="inlineStr">
        <is>
          <t>Arlington, VA, US</t>
        </is>
      </c>
      <c r="H229" s="3" t="n">
        <v>46043</v>
      </c>
      <c r="I22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0">
      <c r="A230" t="inlineStr">
        <is>
          <t>in-dd032f14168e4711</t>
        </is>
      </c>
      <c r="B230" t="inlineStr">
        <is>
          <t>Applied Scientist, Alexa Smart Home</t>
        </is>
      </c>
      <c r="C230" t="inlineStr">
        <is>
          <t>Amazon.com</t>
        </is>
      </c>
      <c r="D230" t="inlineStr">
        <is>
          <t>indeed</t>
        </is>
      </c>
      <c r="E230">
        <f>HYPERLINK("https://www.indeed.com/viewjob?jk=dd032f14168e4711", "https://www.indeed.com/viewjob?jk=dd032f14168e4711")</f>
        <v/>
      </c>
      <c r="F230">
        <f>HYPERLINK("https://www.amazon.jobs/jobs/3169205/applied-scientist-alexa-smart-home?cmpid=DA_INAD200785B", "https://www.amazon.jobs/jobs/3169205/applied-scientist-alexa-smart-home?cmpid=DA_INAD200785B")</f>
        <v/>
      </c>
      <c r="G230" t="inlineStr">
        <is>
          <t>Seattle, WA, US</t>
        </is>
      </c>
      <c r="H230" s="3" t="n">
        <v>46033</v>
      </c>
      <c r="I23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1">
      <c r="A231" t="inlineStr">
        <is>
          <t>in-ed6a77bec4e59f67</t>
        </is>
      </c>
      <c r="B231" t="inlineStr">
        <is>
          <t>Applied Scientist, Alexa Smart Home</t>
        </is>
      </c>
      <c r="C231" t="inlineStr">
        <is>
          <t>Amazon.com</t>
        </is>
      </c>
      <c r="D231" t="inlineStr">
        <is>
          <t>indeed</t>
        </is>
      </c>
      <c r="E231">
        <f>HYPERLINK("https://www.indeed.com/viewjob?jk=ed6a77bec4e59f67", "https://www.indeed.com/viewjob?jk=ed6a77bec4e59f67")</f>
        <v/>
      </c>
      <c r="F231">
        <f>HYPERLINK("https://www.amazon.jobs/jobs/3169205/applied-scientist-alexa-smart-home?cmpid=DA_INAD200785B", "https://www.amazon.jobs/jobs/3169205/applied-scientist-alexa-smart-home?cmpid=DA_INAD200785B")</f>
        <v/>
      </c>
      <c r="G231" t="inlineStr">
        <is>
          <t>Sunnyvale, CA, US</t>
        </is>
      </c>
      <c r="H231" s="3" t="n">
        <v>46033</v>
      </c>
      <c r="I23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2">
      <c r="A232" t="inlineStr">
        <is>
          <t>in-da2e9646f64bcbb3</t>
        </is>
      </c>
      <c r="B232" t="inlineStr">
        <is>
          <t>Senior Applied Machine Learning Engineer</t>
        </is>
      </c>
      <c r="C232" t="inlineStr">
        <is>
          <t>LVT (LiveView Technologies)</t>
        </is>
      </c>
      <c r="D232" t="inlineStr">
        <is>
          <t>indeed</t>
        </is>
      </c>
      <c r="E232">
        <f>HYPERLINK("https://www.indeed.com/viewjob?jk=da2e9646f64bcbb3", "https://www.indeed.com/viewjob?jk=da2e9646f64bcbb3")</f>
        <v/>
      </c>
      <c r="F232">
        <f>HYPERLINK("https://lvt.wd501.myworkdayjobs.com/en-US/LVT/job/Remote/Senior-Applied-Machine-Learning-Engineer_JR100043", "https://lvt.wd501.myworkdayjobs.com/en-US/LVT/job/Remote/Senior-Applied-Machine-Learning-Engineer_JR100043")</f>
        <v/>
      </c>
      <c r="G232" t="inlineStr">
        <is>
          <t>Remote, US</t>
        </is>
      </c>
      <c r="H232" s="3" t="n">
        <v>45992</v>
      </c>
      <c r="I232" t="inlineStr">
        <is>
          <t>**ABOUT THIS ROLE**
As a Senior Machine Learning Engineer, you will play a critical role on a team of engineers that drive new LLM, VLM, and Agentic AI development for LiveView Technologies. You will be responsible for designing and implementing ML systems for security and monitoring. Department leads will need your help to understand which problems are appropriate for ML, and to select the appropriate machine learning models for our business needs. Your recommendations will help guide us in design decisions that add significant value to the company. You will have an opportunity to impact the success of the business with ML, and in other areas of software engineering.
**JOB RESPONSIBILITIES**
* Lead, design, implement, and improve ML and AI solutions leveraging LLM’s, VLM’s, and Agentic AI
* Explore and research new and emerging ML technologies for the company
* Share insight into which types of problems are most appropriate for machine learning
* Provide guidance on distributed training and data collection
* Create solutions that are optimized to combine Edge IOT devices and Cloud Services
* Work in a multidisciplinary team
* Facilitate a culture of innovation, transparency, and clear communication
* Write and review technical documents, including requirements and design documents
**QUALIFICATIONS**
* 7\+ years of professional software development experience, including 5\+ years creating and shipping production\-level Machine Learning solutions .
* 2\+ years of experience specifically deploying solutions leveraging Large Language Models (LLMs) and Vision\-Language Models (VLMs) .
* 1\+ years of experience building Agentic AI applications
* Expert proficiency in one or more programming languages (e.g., Python, C/C\+\+, Java ) and familiarity with open\-source technologies.
* Deep understanding and practical experience with supervised, unsupervised, and reinforcement learning methods for prediction and optimization.
* Experience with ML frameworks such as TensorFlow, PyTorch, or Keras , including the ability to select the optimal model for business applications.
* Experience with Agentic AI frameworks and protocols : Langchain, CrewAI, Microsoft Agent Framework, Anthropic’s MCP, Google’s A2A, etc.
* Solid experience with applied data science methods, data structures, and algorithms .
* Expertise in ML training data collection, wrangling, and optimizing/tuning high\-dimensionality data.
* Experience with Linux/Unix environments and source control systems (Git) .
* Familiarity with cloud\-based development platforms (e.g., AWS, Azure).
* Ability to work independently on ambiguous problems while maintaining a highly collaborative, team\-player attitude .
* Excellent written and verbal communication skills for technical and cross\-functional teams.
***Desired:***
* Experience with Neural Network optimization (e.g., quantization, compression, distillation).
* Experience with Container ecosystems (e.g., Docker, Kubernetes ).
* Experience in areas like search, ranking, computer vision, recommendation systems, or multi\-modal/multi\-sensor fusion .
* Evidence of thought leadership (e.g., patents, published papers ) and experience presenting/visualizing results to business audiences.
**WHY JOIN US**
* Founder\-led and employee\-driven company
* The opportunity to build where you stand
* Value centric decision making
* Both an economically stable and hyper\-growth environment (ask us how this is possible)
* The market leader in redefining how B2B does security
On top of the obvious benefit of getting paid to work with great people who are laser\-focused on a mission that matters, we also offer the following benefits:
* **Comprehensive health, vision, and dental benefits for you and your family.** Including supplemental and life insurance, company\-paid HSA contributions, and an Employee Assistance Program (EAP).
* **401(k)** With up to 4% match
* **Time Off \&amp; Paid Holidays \-** Ask us how we empower employees to take control of their well\-being
* **Stock Options \-** Every full\-time employee has the opportunity to be an owner of the company and benefit from our success.
* **Paid Parental Leave \-** To help your growing family while you're away from work.
* **Company Events \-** Christmas Party, Summer Party, and other parties to celebrate whenever we can find an excuse.
* **Charitable Opportunities \-** LVT sends groups of employees to help the Daybreak Vision Project restore sight to thousands of people a year.
* **Wellness** \- We regularly host dentists, chiropractors, financial experts, and other professionals to provide services and seminars to help promote physical, mental, emotional, and financial wellness.
* **And More** \- Scholarship opportunities for employees and their dependents, discounted cell services, and opportunities to score tickets to Utah Jazz games and other Delta Center events.
**HR Policy**  
We’re an equal opportunity employer. All applicants will be considered for employment without attention to race, color, religion, sex, sexual orientation, gender identity, national origin, veteran or disability status. All Candidates must pass a drug screening and background check upon employment. Some roles may also require passing a federal background check and fingerprinting. Must be authorized to work in the U.S.</t>
        </is>
      </c>
    </row>
    <row r="233">
      <c r="A233" t="inlineStr">
        <is>
          <t>in-dc3677d89a7f345c</t>
        </is>
      </c>
      <c r="B233" t="inlineStr">
        <is>
          <t>Sr. Machine Learning Engineer, AGIF | Finetuning</t>
        </is>
      </c>
      <c r="C233" t="inlineStr">
        <is>
          <t>Amazon.com</t>
        </is>
      </c>
      <c r="D233" t="inlineStr">
        <is>
          <t>indeed</t>
        </is>
      </c>
      <c r="E233">
        <f>HYPERLINK("https://www.indeed.com/viewjob?jk=dc3677d89a7f345c", "https://www.indeed.com/viewjob?jk=dc3677d89a7f345c")</f>
        <v/>
      </c>
      <c r="F233">
        <f>HYPERLINK("https://www.amazon.jobs/jobs/3145989/sr-machine-learning-engineer-agif--finetuning?cmpid=DA_INAD200785B", "https://www.amazon.jobs/jobs/3145989/sr-machine-learning-engineer-agif--finetuning?cmpid=DA_INAD200785B")</f>
        <v/>
      </c>
      <c r="G233" t="inlineStr">
        <is>
          <t>New York, NY, US</t>
        </is>
      </c>
      <c r="H233" s="3" t="n">
        <v>45984</v>
      </c>
      <c r="I23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in-d5395d296345cdaf</t>
        </is>
      </c>
      <c r="B234" t="inlineStr">
        <is>
          <t>Sr. Machine Learning Engineer, AGIF | Finetuning</t>
        </is>
      </c>
      <c r="C234" t="inlineStr">
        <is>
          <t>Amazon.com</t>
        </is>
      </c>
      <c r="D234" t="inlineStr">
        <is>
          <t>indeed</t>
        </is>
      </c>
      <c r="E234">
        <f>HYPERLINK("https://www.indeed.com/viewjob?jk=d5395d296345cdaf", "https://www.indeed.com/viewjob?jk=d5395d296345cdaf")</f>
        <v/>
      </c>
      <c r="F234">
        <f>HYPERLINK("https://www.amazon.jobs/jobs/3145989/sr-machine-learning-engineer-agif--finetuning?cmpid=DA_INAD200785B", "https://www.amazon.jobs/jobs/3145989/sr-machine-learning-engineer-agif--finetuning?cmpid=DA_INAD200785B")</f>
        <v/>
      </c>
      <c r="G234" t="inlineStr">
        <is>
          <t>Sunnyvale, CA, US</t>
        </is>
      </c>
      <c r="H234" s="3" t="n">
        <v>45984</v>
      </c>
      <c r="I23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li-4284529890</t>
        </is>
      </c>
      <c r="B2" t="inlineStr">
        <is>
          <t>Applied Scientist, Prime Video - Personalization and Discovery Science</t>
        </is>
      </c>
      <c r="C2" t="inlineStr">
        <is>
          <t>Prime Video &amp; Amazon MGM Studios</t>
        </is>
      </c>
      <c r="D2" t="inlineStr">
        <is>
          <t>linkedin</t>
        </is>
      </c>
      <c r="E2" t="inlineStr"/>
      <c r="F2" t="inlineStr"/>
      <c r="G2" t="inlineStr">
        <is>
          <t>New York, United States</t>
        </is>
      </c>
      <c r="H2" t="inlineStr"/>
      <c r="I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A3033050</t>
        </is>
      </c>
    </row>
    <row r="3">
      <c r="A3" t="inlineStr">
        <is>
          <t>li-4338095653</t>
        </is>
      </c>
      <c r="B3" t="inlineStr">
        <is>
          <t>Principal Applied Scientist</t>
        </is>
      </c>
      <c r="C3" t="inlineStr">
        <is>
          <t>Oracle</t>
        </is>
      </c>
      <c r="D3" t="inlineStr">
        <is>
          <t>linkedin</t>
        </is>
      </c>
      <c r="E3" t="inlineStr"/>
      <c r="F3" t="inlineStr"/>
      <c r="G3" t="inlineStr"/>
      <c r="H3" t="inlineStr"/>
      <c r="I3" t="inlineStr">
        <is>
          <t>**Job Description**
 Building off our Cloud momentum, Oracle has formed a new organization \- Oracle Health \&amp; AI.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Principal Applied Scientist, you will play a key role in shaping the future of AI at Oracle, with an emphasis on Large Language Models (LLMs) and Generative AI. Your contributions will be pivotal in delivering our new Generative AI\-powered solutions for healthcare and enterprise customers.
**Responsibilities**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Experienced leading senior scientists and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3\+ years relevant experience is preferred but not a must; OR
* Masters or Bachelor’s in related field with 5\+ years relevant experience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
 Career Level \- IC4 \&amp; IC5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
      <c r="A4" t="inlineStr">
        <is>
          <t>li-4285601996</t>
        </is>
      </c>
      <c r="B4" t="inlineStr">
        <is>
          <t>Sr. Applied Scientist, Prime Video - Personalization and Discovery Science</t>
        </is>
      </c>
      <c r="C4" t="inlineStr">
        <is>
          <t>Prime Video &amp; Amazon MGM Studios</t>
        </is>
      </c>
      <c r="D4" t="inlineStr">
        <is>
          <t>linkedin</t>
        </is>
      </c>
      <c r="E4" t="inlineStr"/>
      <c r="F4" t="inlineStr"/>
      <c r="G4" t="inlineStr">
        <is>
          <t>Sunnyvale, CA</t>
        </is>
      </c>
      <c r="H4" t="inlineStr"/>
      <c r="I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A3059256</t>
        </is>
      </c>
    </row>
    <row r="5">
      <c r="A5" t="inlineStr">
        <is>
          <t>li-4285604760</t>
        </is>
      </c>
      <c r="B5" t="inlineStr">
        <is>
          <t>Sr. Applied Scientist, Prime Video - Personalization and Discovery Science</t>
        </is>
      </c>
      <c r="C5" t="inlineStr">
        <is>
          <t>Prime Video &amp; Amazon MGM Studios</t>
        </is>
      </c>
      <c r="D5" t="inlineStr">
        <is>
          <t>linkedin</t>
        </is>
      </c>
      <c r="E5" t="inlineStr"/>
      <c r="F5" t="inlineStr"/>
      <c r="G5" t="inlineStr">
        <is>
          <t>New York, United States</t>
        </is>
      </c>
      <c r="H5" t="inlineStr"/>
      <c r="I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A3059256</t>
        </is>
      </c>
    </row>
    <row r="6">
      <c r="A6" t="inlineStr">
        <is>
          <t>li-4326356989</t>
        </is>
      </c>
      <c r="B6" t="inlineStr">
        <is>
          <t>Machine Learning Engineer</t>
        </is>
      </c>
      <c r="C6" t="inlineStr">
        <is>
          <t>Recruiting from Scratch</t>
        </is>
      </c>
      <c r="D6" t="inlineStr">
        <is>
          <t>linkedin</t>
        </is>
      </c>
      <c r="E6" t="inlineStr"/>
      <c r="F6" t="inlineStr"/>
      <c r="G6" t="inlineStr">
        <is>
          <t>San Francisco, CA</t>
        </is>
      </c>
      <c r="H6" t="inlineStr"/>
      <c r="I6" t="inlineStr">
        <is>
          <t>**About the Company** 
 We are training models that predict how well someone will perform on a job better than a human can. We use our platform to source, vet, and onboard expert contractors who help train AI models in a wide variety of domains. Our technology is so effective it’s used by all of the top 5 AI labs.
 We scaled from $1\-500M in revenue run rate in the last 17 months, making us the fastest growing company in the world. Our growth is accelerating. We averaged 11% week over week growth in July, 18% WoW growth in August, and 19% WoW growth in September. The team is small and we remain profitable because we can’t hire great people as quickly as revenue is growing."
**About the Role** 
 As a Machine Learning Engineer, you’ll be a key contributor to the backbone of our core product: models and systems that power talent discovery, evaluation, and trust. From fraud detection to candidate\-job matching to performance prediction, your work will directly impact how companies find talent and how people land their next opportunity.
 This role blends generalist backend engineering with applied machine learning and statistical modeling. You’ll work across the stack: designing and deploying models, building scalable infrastructure, and collaborating with product and operations teams to solve real\-world problems.
**What You’ll Work On** 
* Researching, training, and deploying ML models in production (e.g., fraud/cheating detection, candidate engagement and conversion prediction, search/recommendation).
* Building backend infrastructure and APIs to serve ML models at scale.
* Collaborating with product engineers, sourcing/operations, and other teams to align models with business impact.
* Running experiments, analyzing results, and iterating quickly to improve model and product performance.
* Wearing multiple hats, sometimes data scientist, sometimes backend engineer, always problem solver.
**What We’re Looking For** 
* Strong background in backend engineering (Python/Django or similar).
* Solid foundation in machine learning and statistics; experience applying ML in production.
* Comfort with ambiguity and a willingness to work across domains.
* Familiarity with LLMs, search/recommendation systems, or classification models is a bonus.
* Above all: a strong generalist engineer with the curiosity and rigor to tackle diverse problems.
**Why Join Us** 
* Work on high\-impact problems at the intersection of ML and talent discovery.
* Own projects end\-to\-end in a fast\-moving, high\-autonomy environment.
* Collaborate with a team of versatile engineers who are comfortable wearing many hats.
* Contribute to a mission of empowering a billion people to find their next job.
**Compensation** 
* Base cash compensation $130\-400k
* Generous equity grant
* $20K relocation bonus
* $10K housing bonus
* $1K/month food stipend
* Free Equinox membership
* Health insurance
**Who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t>
        </is>
      </c>
    </row>
    <row r="7">
      <c r="A7" t="inlineStr">
        <is>
          <t>li-4368168985</t>
        </is>
      </c>
      <c r="B7" t="inlineStr">
        <is>
          <t>Machine Learning Engineer</t>
        </is>
      </c>
      <c r="C7" t="inlineStr">
        <is>
          <t>Red Hat</t>
        </is>
      </c>
      <c r="D7" t="inlineStr">
        <is>
          <t>linkedin</t>
        </is>
      </c>
      <c r="E7" t="inlineStr"/>
      <c r="F7" t="inlineStr"/>
      <c r="G7" t="inlineStr"/>
      <c r="H7" t="inlineStr"/>
      <c r="I7" t="inlineStr">
        <is>
          <t>**About The Company** 
 Red Hat is a globally recognized leader in enterprise open source software solutions, renowned for its community\-powered approach to delivering high\-performing Linux, cloud, container, and Kubernetes technologies. With a presence in over 40 countries, Red Hat fosters a flexible, inclusive, and innovative work environment that encourages employees to bring their best ideas forward regardless of their role or tenure. The company is committed to open source principles of transparency, collaboration, and inclusion, creating a culture where diverse perspectives are valued and innovation thrives. Red Hat’s dedication to making a positive impact in the tech industry is reflected in its extensive product portfolio and its mission to drive technological advancement through open source solutions.
**About The Role** 
 Red Hat is seeking a highly skilled Principal Machine Learning Engineer specializing in model optimization algorithms to join our AI Inference team. In this pivotal role, you will work closely with product and research teams to develop state\-of\-the\-art deep learning software, focusing on the optimization and deployment of large language models (LLMs). Your expertise will contribute to designing, developing, and testing inference optimization algorithms, including quantization, sparsification, and parallelization techniques, to enhance AI model performance across diverse hardware platforms. You will play a vital role in creating and managing inference serving deployment pipelines, benchmarking, profiling, and evaluating various model acceleration approaches. Additionally, you will stay abreast of the latest advancements in open source LLM architectures, hardware features, and inference techniques, ensuring Red Hat remains at the forefront of AI innovation. This role offers an exciting opportunity to solve complex technical challenges, mentor fellow engineers, and contribute to impactful open source projects such as vLLM, llm\-d, and LLM‑compressor.
**Qualifications** 
* Bachelor’s or Master’s degree in Computer Science, Computer Engineering, or a related field; PhD is a strong plus
* Proven experience in machine learning and deep learning fundamentals
* Extensive experience with LLM inference optimization, including quantization, sparsification, and parallelization techniques
* Proficiency with tensor math libraries such as PyTorch and NumPy
* Strong programming skills in Python, with a track record of implementing ML solutions
* Knowledge of mathematical software, especially linear algebra, gradients, probability, and graph theory
* Ability to develop innovative research ideas and algorithms
* Excellent communication skills for collaboration with technical and non\-technical team members
* Experience with hardware architecture, including CPU and GPU features, to optimize inference performance
**Responsibilities** 
* Design, develop, and test inference optimization algorithms within the vLLM and related projects
* Create and manage scalable inference serving deployment pipelines for enterprise applications
* Benchmark, profile, and evaluate different parallelization, quantization, and sparsification approaches to optimize model performance on various hardware platforms
* Participate in technical design discussions, providing innovative solutions to complex problems
* Stay current with the latest advancements in open source LLM architectures, inference techniques, and hardware features
* Conduct thorough code reviews, ensuring code quality and best practices
* Mentor and guide junior engineers, fostering a culture of continuous learning and innovation
* Collaborate with internal teams and external open source contributors to enhance project development and community engagement
**Benefits** 
* Comprehensive medical, dental, and vision coverage
* Flexible Spending Account (FSA) for healthcare and dependent care expenses
* Health Savings Account (HSA) for high deductible medical plans
* Retirement 401(k) plan with employer matching contributions
* Paid time off and holidays to support work\-life balance
* Paid parental leave for new parents
* Leave benefits including disability, family medical leave, and military leave
* Additional perks such as employee stock purchase plans, tuition reimbursement, transportation expense accounts, and employee assistance programs
 Equal Opportunity
 Red Hat is an equal opportunity employer committed to creating an inclusive environment for all employees. We do not discriminate based on race, color, religion, sex, sexual orientation, gender identity, national origin, ancestry, citizenship, age, veteran status, genetic information, physical or mental disability, medical condition, marital status, or any other protected characteristic under applicable law.</t>
        </is>
      </c>
    </row>
    <row r="8">
      <c r="A8" t="inlineStr">
        <is>
          <t>li-4275844846</t>
        </is>
      </c>
      <c r="B8" t="inlineStr">
        <is>
          <t>AI/ML Engineer</t>
        </is>
      </c>
      <c r="C8" t="inlineStr">
        <is>
          <t>Brain Co.</t>
        </is>
      </c>
      <c r="D8" t="inlineStr">
        <is>
          <t>linkedin</t>
        </is>
      </c>
      <c r="E8" t="inlineStr"/>
      <c r="F8" t="inlineStr"/>
      <c r="G8" t="inlineStr"/>
      <c r="H8" t="inlineStr"/>
      <c r="I8" t="inlineStr">
        <is>
          <t>**About Brain Co.**
 Brain Co. is an Applied AI startup founded by Elad Gil and Jared Kushner, and backed by many of Silicon Valley’s leading builders — including Patrick Collison (CEO of Stripe), Andrej Karpathy (Cofounder of OpenAI), Mike Krieger (CPO of Anthropic), Kevin Weil (CPO of OpenAI), and Aravind Srinivas (CEO of Perplexity).We are building an AI platform and applications for the world’s most important institutions \- delivering impact on real\-world problems.Our progress so far
* Automated construction permitting for a sovereign government → 80% faster, unlocking $375M\+ in value
* Optimized supply chains for a leading global energy company → 30% lower cost, 99% reliability, preventing $100M\+ in losses
* Streamlined hospital patient care across national health systems → 40% better outcomes, 80% less admin work
* Raised a $30M Series A from top investors
* Built a team of 40\+ AI experts from Tesla, Google DeepMind, NVIDIA, and Databricks
 At Brain Co., your work will be deployed in the real world, not stuck in research. We move fast, with more demand than we can serve, and are looking for exceptional people to take ownership from day one.
**About The Role**
 As an AI/ML Engineer at Brain Co., you will play a crucial role in deploying state\-of\-the\-art models to automate various real world problems in sectors such as healthcare, government and energy. Part of the role will involve turning research breakthroughs into practical solutions for various nation states. This role is your opportunity to make a significant impact by making AI technology both accessible and influential.
**In This Role, You Will**
* Innovate and Deploy: Design and deploy advanced LLM models to tackle real\-world problems, particularly in automating complex, manual processes in a range of real\-world verticals.
* Optimize and Scale: Build scalable data pipelines, optimize models for performance and accuracy, and prepare them for production. Monitor and maintain deployed models to ensure they continue delivering value across various governments worldwide.
* Make a Difference: Engage in projects including but not limited to optimizing the world's most advanced energy production systems, modernizing core government workflows, or improving patient outcomes in advanced public healthcare systems. Your work will directly impact how AI benefits individuals, businesses, and society at large.
* Engage with Leaders: interact directly with government officials in various countries and apply the first of its kind AI solutions while working alongside experienced ex. Founders, AI researchers, and software engineers to understand complex business challenges and deliver AI\-powered solutions. Join a dynamic team where ideas are exchanged freely and creativity flourishes. You will be able to wear many hats: software building, product management, sales, interpersonal skills.
* Learn and Lead: Keep abreast of the latest developments in machine learning and AI. Participate in code reviews, share knowledge, and set an example with high\-quality engineering practices.
**You Might Thrive In This Role If You**
* Hold a BSc/Master’s/PhD degree in Computer Science, Machine Learning, Data Science, or a related field.
* Have impactful industry experience building GenAI\-focused applications with the latest technologies, including but not limited to Agents, reasoning models and RAG.
* Have at least a high level familiarity with the architecture and operation of large language models.
* Have personally implemented models in common ML frameworks such as PyTorch, Jax or TensorFlow.
* Possess a strong foundation in data structures, algorithms, and software engineering principles.
* Exhibit excellent problem\-solving and analytical skills, with a proactive approach to challenges.
* Can work collaboratively with cross\-functional teams.
* Thrive in fast\-paced environments where priorities or deadlines may compete.
* Are eager to own problems end\-to\-end and willing to acquire any necessary knowledge to get the job done.
**Benefits**
* Competitive salary
* Medical, Dental, and Vision (100% Coverage)
* Paid Maternity and Paternity Leave
* 401(k)
* Daily Lunches
* Commuter Benefits
* Unlimited PTO
**Why Join Us**
* Ship quickly, iterate constantly and see your work deployed at global scale
* Collaborate with industry veterans from Tesla, DeepMind, Databricks, and more
* Accelerate your career with ownership based on impact, not tenure
* Earn competitive compensation \+ meaningful equity in a high\-growth company
* Thrive in a culture built on speed, curiosity, and impact
*If you want to see your work deployed at scale with real impact, Brain Co. is the place to build.*</t>
        </is>
      </c>
    </row>
    <row r="9">
      <c r="A9" t="inlineStr">
        <is>
          <t>li-4293940655</t>
        </is>
      </c>
      <c r="B9" t="inlineStr">
        <is>
          <t>Machine Learning Engineer, AI Assistant + Autonomous AI Agents</t>
        </is>
      </c>
      <c r="C9" t="inlineStr">
        <is>
          <t>Glean</t>
        </is>
      </c>
      <c r="D9" t="inlineStr">
        <is>
          <t>linkedin</t>
        </is>
      </c>
      <c r="E9" t="inlineStr"/>
      <c r="F9" t="inlineStr"/>
      <c r="G9" t="inlineStr"/>
      <c r="H9" t="inlineStr"/>
      <c r="I9"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looking for senior engineers who will provide expert\-level individual contributions and thought leadership to help us build the next generation of intelligent enterprise AI assistants and autonomous AI agents. We are reimagining how LLMs and agents can reason, plan, and act to solve complex, multi\-step enterprise workflows. You will work at the intersection of applied research and production engineering in areas such as agentic frameworks, LLM orchestration, low latency LLM inference and optimization, domain adapted and memory augmented LLMs, reinforcement learning, building evaluation frameworks for complex enterprise tasks. We work closely with our customers, deeply understand their pain points, and use the right mix of research\-driven and pragmatic engineering approaches to solve them.
**You Will**
* Build frameworks for LLM\-powered agents to use tools and knowledge sources effectively
* Invent new agentic architectures and signals to improve reasoning, planning, and personalization in workplace AI assistants
* Design and optimize reinforcement learning and fine\-tuning approaches to improve the quality of agentic systems
* Lead development of scalable evaluation, benchmarking, and optimization loops for agents in production
* Drive technical strategy and mentor other engineers, raising the technical bar across the team
* Write robust, maintainable, and well\-tested code that powers enterprise\-grade assistants and agents
**About You**
* 2\+ years as a Staff Engineer, Principal Engineer, or equivalent
* 5\+ years of industry experience in AI or Machine Learning Engineering
* Experience working with agentic frameworks, reinforcement learning, natural language processing, or other large systems involving machine learning
* Proven ability to design, build, and ship production\-ready systems
* Proficiency in your ML framework of choice
* Strong coding skills (Python, Go, Java, C\+\+, ...)
* Thrive in a customer\-focused, tight\-knit and cross\-functional environment \- being a team player and willing to take on whatever is most impactful for the company
* A proactive and positive attitude to lead, learn, troubleshoot, and take ownership of both small tasks and large features
**Location:**
* This role is hybrid (3\-4 days a week in one of our SF Bay Area offices)
**Compensation \&amp; Benefits**
 The standard base salary range for this position is $240,000 \- $300,000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0">
      <c r="A10" t="inlineStr">
        <is>
          <t>li-4328476988</t>
        </is>
      </c>
      <c r="B10" t="inlineStr">
        <is>
          <t>Machine Learning Engineer</t>
        </is>
      </c>
      <c r="C10" t="inlineStr">
        <is>
          <t>Cisco</t>
        </is>
      </c>
      <c r="D10" t="inlineStr">
        <is>
          <t>linkedin</t>
        </is>
      </c>
      <c r="E10" t="inlineStr"/>
      <c r="F10" t="inlineStr"/>
      <c r="G10" t="inlineStr">
        <is>
          <t>Fremont, CA</t>
        </is>
      </c>
      <c r="H10" t="inlineStr"/>
      <c r="I10" t="inlineStr">
        <is>
          <t>The application window is expected to close on: 01/21/2026
**Job posting may be removed earlier if the position is filled or if a sufficient number of applications are received** 
 .
**Meet the Team**
 Splunk, a Cisco company, is building a safer, more resilient digital world with an end‑to‑end, full‑stack platform designed for hybrid, multi‑cloud environments.
 The Splunk AI Platform and Services team provides the core runtime and developer experience that power AI across Splunk and Cisco. We manage large\-scale, multi\-tenant LLM inference across major cloud providers and build platform services to support these workloads.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features for GenAI services and APIs that power chat assistants, and automation workflows across Splunk products.
* Help build and maintain RAG pipelines: retrieval orchestration, hybrid search, chunking \&amp; embeddings, and grounding with logs/events/metrics.
* Contribute to agentic and multi\-agent workflows using frameworks like LangChain or LangGraph, integrating with MCP tools, internal APIs, and external systems.
* Develop and refine developer\-facing SDKs, templates, and reference apps (primarily Python/TypeScript) that make it simple for other teams to compose tools, chains, and agents on top of it.
* Integrate with LangSmith or similar eval stacks to instrument prompts, capture traces, and run evaluations under the guidance of more senior engineers and scientists.
* Collaborate with product managers and UX to turn user stories into GenAI experiences, iterate based on feedback, and ship features that move customer and business metrics.
* Apply and advocate responsible AI practices in day\-to\-day work: grounding, guardrails, access controls, and human\-in\-the\-loop flows.
**Minimum Qualifications**
* Bachelor's degree in computer science, Engineering, or equivalent practical experience.
* 5\+ years of hands\-on experience building and operating backend or distributed systems in production or 2\+ years of experience with a Master’s degree
* Proficiency in at least one modern programming language (e.g., Python, TypeScript/JavaScript, Go, or Java) and solid software design/debugging skills.
* Some hands\-on experience with LLM APIs and ecosystems (e.g., OpenAI, Claude, Bedrock, or OSS models such as Llama) and related production features.
* Familiarity with web APIs and microservices (REST/gRPC), including testing, deployment, and basic observability (logs/metrics).
* Demonstrated ability to work end\-to\-end on features: collaborate on design, implement, write tests, help deploy, and iterate based on metrics or feedback.
**Preferred Qualifications**
* Experience or strong interest in RAG systems and vector databases (Weaviate, Qdrant, Milvus, FAISS, etc.).
* Exposure to agentic frameworks (LangChain, LangGraph, LlamaIndex, Semantic Kernel, or similar) and tool/agent orchestration patterns.
* Familiarity with LangSmith or similar evaluation platforms, or experience instrumenting prompts/pipelines for quality and debugging.
* Background contributing to platform or Developer experiences capabilities: internal libraries, SDKs, templates, or shared components that other engineers use.
* Experience with full\-stack development for GenAI interfaces (React/TypeScript), including prompt UX or conversation flows, is a plus.
* Understanding basic AI safety and governance concepts (guardrails, data privacy, RBAC) and how they apply in an enterprise environment.
* Strong communication skills and a growth mindset, comfortable asking questions, giving/receiving feedback, and learning from more senior teammates.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$181,000\.00 to $235,000\.00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1">
      <c r="A11" t="inlineStr">
        <is>
          <t>li-4345673456</t>
        </is>
      </c>
      <c r="B11" t="inlineStr">
        <is>
          <t>Machine Learning Engineer, AI Early Stage Project</t>
        </is>
      </c>
      <c r="C11" t="inlineStr">
        <is>
          <t>X, The Moonshot Factory</t>
        </is>
      </c>
      <c r="D11" t="inlineStr">
        <is>
          <t>linkedin</t>
        </is>
      </c>
      <c r="E11" t="inlineStr"/>
      <c r="F11" t="inlineStr"/>
      <c r="G11" t="inlineStr">
        <is>
          <t>Mountain View, CA</t>
        </is>
      </c>
      <c r="H11" t="inlineStr"/>
      <c r="I11" t="inlineStr">
        <is>
          <t>**About X**
 X is Alphabet’s moonshot factory with a mission of inventing and launching “moonshot” technologies that could someday make the world a radically better place.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As an innovation engine, X focuses on repeatedly turning breakthrough\-technology ideas into the foundations for large, sustainable businesses.
**About The Team**
 We are an early\-stage project at X working to revolutionize the industrial world by making material transformation intelligent.
 Our mission is to reduce the massive waste in material harvesting and processing. This is a growing sector faced with numerous challenges including resource exhaustion, rising energy costs, and a sizable carbon footprint.
 We are building a system that combines sensing, multimodal AI, agentic digital twins, and advanced physics\-based simulation to automate the continuous optimization of complex industrial processes.
**About The Role**
 We are looking for a Machine Learning Engineer to build out the cognitive engine of our multi\-modal sensemaking platform for the industrial world. In this role, you will solve a massive translation problem by converting the messy, unstructured reality of industrial systems (Piping and ID diagrams, technical manuals, sensor data, and visual feeds) into structured, queryable Process Knowledge Graphs (PKGs).
 You will not just be training models. You will be architecting Agentic RAG workflows where VLMs (Vision\-Language Models) and LLMs reason together to generate digital twins. You will bridge the gap between perception (Computer Vision), real\-time sensing, and reasoning (Graph\-based logic) to create digital value from complex real\-world sources.
**How You Will Make 10x Impact**
* Pioneer Dynamic Knowledge Graph Systems: You will design and implement state\-of\-the\-art systems that extract structured semantic meaning from complex real world environments. You will solve the critical challenge of reconciling disparate data modalities, e.g., physical asset detection, sensor data, quality reporting, leveraging these inputs to build and refine models which simulate physical systems.
* Develop Agentic Reasoning Architectures: You will engineer sophisticated Agentic RAG frameworks where Large Language Models reason over graph structures to perform multi\-step logical deduction. This will enable the system to formulate and solve complex optimization problems.
* Solve High\-Noise Data Challenges: You will tackle the engineering complexity of creating gold standard digital models from noisy real\-world data. You will design resilient data pipelines that handle ambiguity and disparate formats at scale, ensuring reliability across documents, images, and telemetry.
* Accelerate Research\-to\-Production: You will bridge the gap between experimental ML research, partner\-oriented sprints to demonstrate value, and scalable production systems, driving the technical roadmap from initial prototype to deployed pilot.
**What You Should Have**
* Bachelor's degree in Computer Science, AI, Engineering, or equivalent practical experience.
* 3\+ years of experience in software engineering and applied machine learning (Python, PyTorch, or JAX).
* Experience working with Large Language Models (LLMs) and Vision\-Language Models (VLMs) in applied settings, including prompt engineering or fine\-tuning or RAG.
* Strong understanding of Graph data structures, Knowledge Graphs (e.g., Neo4j, NetworkX), or Graph Neural Networks (GNNs), including the handling of unstructured and/or messy real\-world data such as documents, images, videos, scanned diagrams, and sensor feeds.
* Experience implementing LLM\-driven code generation pipelines, specifically utilizing function calling or tool\-use patterns where agents generate and execute code (e.g., Python, SQL, or Cypher) to interact with external environments or data stores.
**It’d Be Great If You Had These**
* Experience with Agentic workflows (e.g., LangChain, AutoGen) where models perform multi\-step reasoning.
* Experience with MLOps best practices, including model deployment, monitoring, and designing pipelines that allow distinct components to interoperate seamlessly.
* Background in Computer Vision and VLMs, specifically object detection or segmentation on technical imagery or diagrams.
* Familiarity with Reinforcement Learning (RL) concepts, particularly as applied to LLM post\-training or optimization problems.
* Demonstrated ability to build self\-correcting agentic loops where models iteratively write, execute, and debug code (e.g., "Code Interpreter" patterns), particularly for generating simulation logic or automating data analysis in scientific/engineering contexts.
* Interest in industrial automation, physics\-based simulation, or AI for Science applications.
* A "0 to 1" mindset with the ability to thrive in ambiguity and define technical roadmaps.
 The US base salary range for this full\-time position is $141,000 \- $200,000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12">
      <c r="A12" t="inlineStr">
        <is>
          <t>li-4355403991</t>
        </is>
      </c>
      <c r="B12" t="inlineStr">
        <is>
          <t>Applied AI Engineer</t>
        </is>
      </c>
      <c r="C12" t="inlineStr">
        <is>
          <t>Qualified Health</t>
        </is>
      </c>
      <c r="D12" t="inlineStr">
        <is>
          <t>linkedin</t>
        </is>
      </c>
      <c r="E12" t="inlineStr"/>
      <c r="F12" t="inlineStr"/>
      <c r="G12" t="inlineStr">
        <is>
          <t>Palo Alto, CA</t>
        </is>
      </c>
      <c r="H12" t="inlineStr"/>
      <c r="I12" t="inlineStr">
        <is>
          <t>**Transform healthcare with us.**
 At Qualified Health, we’re redefining what’s possible with Generative AI in healthcare. Our infrastructure provides the guardrails for safe AI governance, healthcare\-specific agent creation, and real\-time algorithm monitoring—working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We’re hiring an
 **Applied AI Engineer** 
 to focus on building and scaling real\-world AI workflows. This role is designed for engineers who are hands\-on with deploying generative AI applications. You’ll spend the majority of your time developing agentic workflows and production\-grade integrations across multiple of our product lines.
 You’ll work closely with product and engineering teammates to design, deploy, and scale AI\-powered applications that solve real problems in healthcare.
**Key Responsibilities:**
* Develop and deploy agentic workflows and automation pipelines (approx. 60% of role).
* Build and maintain production\-ready services, REST APIs, and integrations (approx. 30%).
* Ship production solutions in days, not months emphasizing scrappiness and speed.
* Collaborate across product, engineering, and design to deliver end\-to\-end AI\-powered features.
* Evaluate and integrate state\-of\-the\-art LLMs (OpenAI, Anthropic, Mistral, etc.) into production use cases.
* Contribute to building a scalable workflow infrastructure that will support 100\+ workflows
**Required Qualifications:**
* Bachelor’s degree \+ 4 years OR Master’s degree \+ 2 years in Computer Science, Engineering, or related field.
* Strong software engineering foundation (Python required; solid coding practices).
* Experience building AI\-powered applications in the past 1–2 years using ChatGPT, Claude, Anthropic, or Mistral.
* Hands\-on experience with REST API development and deploying services into cloud environments (GCP preferred).
* Clear understanding of MLOps, model deployment, or workflow automation in production systems.
**Desirable Skills:**
* Background in software engineering → ML path.
* Experience with agentic workflows or adjacent skills such as prompt tuning, eval pipelines, or automation frameworks.
* Startup experience: demonstrated scrappiness, speed, and bias toward shipping.
* Exposure to both startup agility and big tech engineering rigor is ideal.
* Strong communication skills and ability to collaborate in fast\-paced, ambiguous environments.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$180,000 and $250,000, depending on skills, qualifications, experience, and location. This role is also eligible for equity and benefits.
***Join our mission to revolutionize healthcare with AI.***
 To apply, please send your resume through the application below.</t>
        </is>
      </c>
    </row>
    <row r="13">
      <c r="A13" t="inlineStr">
        <is>
          <t>li-4321068592</t>
        </is>
      </c>
      <c r="B13" t="inlineStr">
        <is>
          <t>Machine Learning Engineer</t>
        </is>
      </c>
      <c r="C13" t="inlineStr">
        <is>
          <t>TechTree</t>
        </is>
      </c>
      <c r="D13" t="inlineStr">
        <is>
          <t>linkedin</t>
        </is>
      </c>
      <c r="E13" t="inlineStr"/>
      <c r="F13" t="inlineStr"/>
      <c r="G13" t="inlineStr"/>
      <c r="H13" t="inlineStr"/>
      <c r="I13" t="inlineStr">
        <is>
          <t>**About The Company**
 Phia is a fast\-growing shopping platform with 350K\+ users and 90% retention.
**About The Role**
 Design, train, and deploy search, ranking, and personalization systems for a shopping platform with 350K\+ users, processing millions of items daily.
 Join the ML team at Phia to design, train, and deploy the search, ranking, and personalization systems that power a fast\-growing shopping platform with 350K\+ users and 90% retention. You’ll work with large\-scale data and build models that process hundreds of millions of items daily, collaborating with experienced engineers from companies like Pinterest and Amazon. Your work will have direct impact—users depend on search accuracy to trust and continue using the platform. This position is open to fully remote candidates.
**Requirements**
* 3\+ years of professional experience building and deploying ML models in production
* Hands\-on experience with ranking, personalization, or recommendation systems
* Backend integration experience with GraphQL, Prisma, Node.js, Python, and gRPC/Protobuf
* Based in New York or remote in San Francisco
* Comfortable with fast\-paced startup work
* Ideal candidates currently working in companies with search or recommendation services (e.g. DoorDash, Etsy, etc.)
**Required Skills**
* PyTorch
* large\-scale data processing
* real\-time inference
* GraphQL
* Prisma
* Node.js
* Python
* gRPC/Protobuf
**Benefits**
* $190K–$260K base salary \+ competitive equity
* Direct impact on a core product with a massive user base and high retention
* Collaborate with elite engineers from top consumer tech companies
* Fast\-paced environment with rapid iteration and experimentation
* Opportunity to shape the ML search and personalization strategy from the ground up
**Team members**
* experienced engineers from companies like Pinterest and Amazon
**Salary:** 
 190000 \- 260000 USD
**Equity:** 
 equity, Competitive equity</t>
        </is>
      </c>
    </row>
    <row r="14">
      <c r="A14" t="inlineStr">
        <is>
          <t>li-4316062300</t>
        </is>
      </c>
      <c r="B14" t="inlineStr">
        <is>
          <t>Machine Learning Engineer - Data Foundation and AI</t>
        </is>
      </c>
      <c r="C14" t="inlineStr">
        <is>
          <t>Plaid</t>
        </is>
      </c>
      <c r="D14" t="inlineStr">
        <is>
          <t>linkedin</t>
        </is>
      </c>
      <c r="E14" t="inlineStr"/>
      <c r="F14" t="inlineStr"/>
      <c r="G14" t="inlineStr">
        <is>
          <t>New York, NY</t>
        </is>
      </c>
      <c r="H14" t="inlineStr"/>
      <c r="I14"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Foundation \&amp; AI team builds advanced ML/AI models and applications that enable product teams to deliver intelligence at scale. We design infrastructure and abstractions that make AI development faster, more reliable, and more impactful. From embeddings and representation learning to applied AI systems, our work provides the building blocks for the next generation of financial services on Plaid.
 You’ll be a machine learning engineer on the Data Foundation \&amp; AI team. In this role, you will design, build, and scale advanced ML/AI systems that power Plaid products and applications. Your work may span developing reliable distributed training and serving systems, improving ML operations at scale, and building AI\-powered applications that enable new product experiences.
**Responsibilities**
* Building and scaling advanced ML/AI systems that power core Plaid products and applications used by millions of consumers.
* Driving impact at scale by improving distributed training, serving, and ML operations to make Plaid’s AI capabilities faster, more reliable, and more widely available.
* Developing new AI applications that enable innovative product experiences across fintech.
* Tackling 0 to 1 problems where you explore new approaches, as well as scaling 1 to 10 systems for reliability and efficiency.
* Collaborating with some of the strongest MLEs at Plaid in a high\-ownership, bottom\-up driven team.
* Experimenting with cutting\-edge ML and AI techniques while balancing practical productionization and measurable business impact.
**Qualifications**
* 1\-3 years of experience training, deploying, and scaling ML/AI models in production environments.
* Strong experience with distributed systems and ML operations — from large\-scale training to low\-latency serving and monitoring.
* Proficiency in Python and modern ML frameworks (e.g., PyTorch), with the ability to implement and optimize complex models.
* Hands\-on experience building or scaling ML/AI infrastructure, pipelines, or reusable platforms that support multiple teams.
* Curiosity and drive to experiment with advanced AI techniques (e.g., embeddings, retrieval, generative modeling) while staying grounded in production impact.
* Experience applying ML/AI in fintech or similarly regulated industries is a plus.
* Ability to thrive in a collaborative environment, working with both technical and non\-technical partners to drive measurable outcomes.
 $186,000 \- $236,400 a year
 The target base salary for this position ranges from $186,000/year to $236,400/year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5">
      <c r="A15" t="inlineStr">
        <is>
          <t>li-4367887530</t>
        </is>
      </c>
      <c r="B15" t="inlineStr">
        <is>
          <t>AI/ML Engineer(s)</t>
        </is>
      </c>
      <c r="C15" t="inlineStr">
        <is>
          <t>Hitachi Digital Services</t>
        </is>
      </c>
      <c r="D15" t="inlineStr">
        <is>
          <t>linkedin</t>
        </is>
      </c>
      <c r="E15" t="inlineStr"/>
      <c r="F15" t="inlineStr"/>
      <c r="G15" t="inlineStr">
        <is>
          <t>Location, WV</t>
        </is>
      </c>
      <c r="H15" t="inlineStr"/>
      <c r="I15"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**Jd**
**AI/ML Engineer(s)
 5\+ years of experience in Data/AI projects (P3\)
 Design, develop, and train machine learning and deep learning models using frameworks such as TensorFlow, PyTorch, and scikit\-learn
 Knowledge of supervised, unsupervised, and reinforcement learning techniques to address diverse business challenges
 Perform feature engineering and data processing to enhance model performance
 Deploy machine learning models into production environments, ensuring seamless integration with existing software architectures using CI/CD pipelines, containerization (Docker, Kubernetes), and cloud platforms (AWS or Azure)
 Experience with cloud platforms, containerization, and MLOps practices
 Programming skills in Python
 ETL experience prefered**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row>
    <row r="16">
      <c r="A16" t="inlineStr">
        <is>
          <t>li-4282877162</t>
        </is>
      </c>
      <c r="B16" t="inlineStr">
        <is>
          <t>Machine Learning Engineer, Ads</t>
        </is>
      </c>
      <c r="C16" t="inlineStr">
        <is>
          <t>Reddit, Inc.</t>
        </is>
      </c>
      <c r="D16" t="inlineStr">
        <is>
          <t>linkedin</t>
        </is>
      </c>
      <c r="E16" t="inlineStr"/>
      <c r="F16" t="inlineStr"/>
      <c r="G16" t="inlineStr"/>
      <c r="H16" t="inlineStr"/>
      <c r="I1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Reddit has a flexible workforce! If you happen to live close to one of our physical office locations our doors are open for you to come into the office as often as you'd like. Don't live near one of our offices? No worries: You can apply to work remotely in any country in which we have a physical presence.
 We’re evolving and continuing our mission to bring community, belonging, and empowerment to everyone in the world. Providing a delightful and relevant experience to our users applies to our Ads like all of our offerings, and we’re excited to build a product that is best\-in\-class for our users and advertisers. The year ahead is a busy one!
 Team Description
 Reddit is poised to rapidly innovate and grow like no other time in its history. We’re currently hiring across multiple teams including: Ads Measurement Modeling, Ads Targeting \&amp; Retrieval, Advertiser Optimization and Ads Marketplace Teams.
**Ads Measurement Modeling Team**
 This horizontal ML team in the Ads Measurement org works on proving the value of Reddit Ads to advertisers while ensuring privacy compliance. Their projects address challenges in signals, privacy, and identity, including Modeled Identity, Modeled Conversions, and enhancements for ATT opt\-out utility.
**Ads Targeting and Retrieval Team**
 This team designs and builds large\-scale ML systems to improve targeting products. Their work spans offline and online retrieval systems that enhance contextual and behavioral targeting, helping advertisers reach the most relevant audiences.
**Advertiser Optimization Team**
 This group consists of two horizontal teams focused on advertiser outcomes. The Recommendations and Forecasting team builds ML\-driven tools for advertisers and sales, while the Bidding/Pacing team develops algorithms and customer\-facing products like TCPA, TROAS, and performance advertising solutions. They work on marketplace dynamics, bidding and pacing innovations, and new advertiser tools.
**Ads Marketplace Quality Team**
 This team improves the efficiency of Reddit’s ads marketplace by developing algorithms for auction and pricing optimization, directly impacting advertiser and user value. They also contribute to strategic initiatives such as supply optimization and ad relevance, with the goal of showing the right ads to the right users at the right time and in the right context.
**The Ads Creative Effectiveness Team**
 This team is a newly formed group aimed at improving ad creative at Reddit through generative and predictive products. We train, adapt and finetune LLMs/VLMs to help advertisers make impactful images, videos and text. We build performance predictors to understand and rank ad components, ensuring the advertiser ships the best possible campaigns. We construct insight and recommendation engines to guide advertisers towards best practices and key enhancements, distilling knowledge about what works at Reddit to supercharge their performance.This team is at the heart of Reddit’s creative strategy, a core priority for the organization.
 Role Description
 Join the Ads team as a
 **Machine Learning Engineer** 
 and become a key contributor to Reddit’s business. In this hands\-on role, you will be responsible for the full lifecycle of our ML systems, from initial research and modeling to deployment and optimization in production. Your work will directly impact how we deliver relevant ads and drive value for our advertisers across areas like
 **ad ranking, bidding, measurement, and optimization** 
 .
**Responsibilities**
* Design, build, and deploy industrial\-level machine learning models to solve critical problems in ad ranking, bidding, and optimization.
* Take full ownership of the ML lifecycle, from ideation and research to building scalable serving systems and maintaining models in production.
* Perform systematic feature engineering to transform raw, diverse data into high\-quality features that drive model performance.
* Work closely with product managers, data scientists, and engineers to translate business challenges into effective ML solutions.
* Improve the reliability and stability of our ML systems by building robust monitoring, alerting, and automated retraining pipelines.
* Research new algorithms, stay up\-to\-date with state\-of\-the\-art ML techniques, and contribute to the team’s strategy and roadmap.
**Required Qualifications**
* At least 3\+ years of end\-to\-end experience in training, evaluating, and deploying machine learning models in a production environment.
* Proficient in one or more general\-purpose programming languages (e.g., Python, Scala) and have a solid understanding of software development best practices.
* Hands\-on experience with a major machine learning framework (e.g., TensorFlow, PyTorch) and a deep understanding of core ML concepts and algorithms.
* Proven ability to work effectively with cross\-functional teams, including product managers and data scientists, to translate business needs into technical solutions.
* Track record of using machine learning to drive key performance indicator (KPI) wins and solve complex, real\-world problems.
**Bonus Points**
* Experience working in the Ads domain
* Experience or interest in the advertising business and understanding customer needs
* An advanced degree (MS/PhD) in a quantitative field.
* Familiarity with distributed systems and large\-scale data processing technologies (e.g., Spark, Kafka).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$185,800—$260,100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17">
      <c r="A17" t="inlineStr">
        <is>
          <t>li-4318534690</t>
        </is>
      </c>
      <c r="B17" t="inlineStr">
        <is>
          <t>AI Engineer</t>
        </is>
      </c>
      <c r="C17" t="inlineStr">
        <is>
          <t>Comulate</t>
        </is>
      </c>
      <c r="D17" t="inlineStr">
        <is>
          <t>linkedin</t>
        </is>
      </c>
      <c r="E17" t="inlineStr"/>
      <c r="F17" t="inlineStr"/>
      <c r="G17" t="inlineStr">
        <is>
          <t>San Francisco, CA</t>
        </is>
      </c>
      <c r="H17" t="inlineStr"/>
      <c r="I17" t="inlineStr">
        <is>
          <t>At Comulate, we’re transforming the insurance back office with AI. Our platform, which reinvents expensive and time\-consuming accounting processes, is the first step in our vision to unlock the hundreds of billions of dollars spent on manual insurance operations.
 Our Series B, announced in early 2025, led by BOND \&amp; Workday, comes on the heels of record growth and accelerating expansion plans.
 Why you should consider joining
* Record\-setting growth, having gone from zero to 8\-figure ARR within three years of founding, representing 95th\+ percentile company growth among startups that achieve these milestones
* Strong product market fit revealed in growth and through customer love, with users describing the platform as “the best thing since sliced bread” and "life\-changing"
* Our lean, talented team is creating category\-defining products for large public and private enterprises, driving 7\-figure ROI and cash\-flow positive operations, providing the best of both worlds: outsized employee ownership and low company risk
* We're continuing to take big, ambitious first\-to\-market bets for a highly committed customer base and an exciting pipeline of new customers
* We’re in the early innings of our vision and poised to take advantage of the massive opportunity to deploy AI into core workflows throughout the insurance industry
**About The Role**
 Insurance is buried in unstructured data across documents, emails, and disparate systems. LLMs have turned this into an opportunity. We’re hiring an
 **AI Engineer** 
 to seize it by building game\-changing products.
 Who you are
* 4\+ years of experience in data science or ML/data/software engineering
* Understanding of LLM best practices across evals, RAG, fine\-tuning, and observability
* Familiarity with AI frameworks (e.g. LangChain, LlamaIndex, or similar)
* Experience releasing and maintaining production systems
* Proficiency with SQL and relational databases
* Comfortable with handling ambiguity and working in a self\-directed manner
* Curiosity about different industries and the data \+ business context within them
**Projects you might work on**
* Copilot agent to augment \+ automate natural language\-based workflows
* System to extract structured data from millions of complex, varied documents (see our early work on this here)
* Leveraging the latest advancements in browser agents to generically automate repetitive tasks for users
*For more details, see* 
*this article* 
*encapsulating the role of an AI engineer.*
 Our team \&amp; philosophy
 We’re backed by BOND, Spark Capital, Neo, and Workday, as well as founders/executives from Brex, Asana, Plaid, Applied Intuition, Coalition, and more.
 Our team hails from companies like Airbnb, Google, Brex, and LiveRamp and we’re fairly low\-profile: focusing the majority of our energy on delivering for customers and building a category\-defining company.
 We’re hiring predominantly in San Francisco 🌁, as we believe in\-person collaboration is strategically important for a company at our stage — both for velocity and company culture.
**Benefits**
* Competitive base salary and generous equity
* Generous medical, dental, and vision benefits
* 401K plan enrollment
* Flexible time\-off policy
* Lunch \&amp; dinner every day
* Paid parental leave
* Company outings and offsites
* (and more benefits as we grow!)
*Comulate is proud to be an equal opportunity employer. We are committed to building a diverse and inclusive culture that celebrates authenticity. We do not discriminate on the basis of race, religion, color, national origin, gender, gender identity, sexual orientation, age, marital status, disability, protected veteran status, or any other legally protected characteristics.*
 Compensation Range: $160K \- $240K</t>
        </is>
      </c>
    </row>
    <row r="18">
      <c r="A18" t="inlineStr">
        <is>
          <t>li-4334758069</t>
        </is>
      </c>
      <c r="B18" t="inlineStr">
        <is>
          <t>AI/ML Engineer</t>
        </is>
      </c>
      <c r="C18" t="inlineStr">
        <is>
          <t>fullthrottle.ai®</t>
        </is>
      </c>
      <c r="D18" t="inlineStr">
        <is>
          <t>linkedin</t>
        </is>
      </c>
      <c r="E18" t="inlineStr"/>
      <c r="F18" t="inlineStr"/>
      <c r="G18" t="inlineStr"/>
      <c r="H18" t="inlineStr"/>
      <c r="I18" t="inlineStr">
        <is>
          <t>AI/ML Engineer, Fullthrottle.ai
 We are Fullthrottle.ai, a forward\-thinking SaaS company that’s all about helping businesses accelerate their growth with cutting\-edge AI technology. As a startup, we've got a "go get 'em" mentality, and we're looking for like\-minded people who want to build something incredible. We operate as a distributed, fully remote team and follow an Agile/Scrum framework to stay nimble and get things done.
 The Role
 As our AI/ML Engineer, you will develop, deploy, and optimize AI services, multi\-agent systems, and AI/ML models, focusing on delivering model quality, consistency, and performance across the Fullthrottle,ai platform. You’ll work hands\-on within the AWS AI toolset, AWS Bedrock, the latest agentic AI frameworks, Retrieval\-Augmented Generation (RAG) pipelines, and AWS AI services to drive innovation and reliability in our AI solutions.
 You will play a pivotal role in implementing AI features, multi\-agent orchestration, designing prompt engineering workflows, Machine Learning features, fine\-tuning foundation models, and integrating robust guardrails for compliance and quality.
 Key Responsibilities
* AI Features: Develop and deliver our platform’s AI Features via AWS Cloud AI functions and services.
* Multi\-Agent Orchestration: Implement multi\-agent orchestration using agentic AI frameworks.
* RAG Pipeline Development: Build and optimize Retrieval\-Augmented Generation (RAG) pipelines for scalable, high\-quality outputs.
* Prompt Engineering: Design prompt engineering workflows to ensure consistent and reliable model outputs.
* Model Evaluation \&amp; Tuning: Evaluate and fine\-tune Bedrock foundation models (Claude, Titan, etc.) for optimal performance.
* Compliance \&amp; Guardrails: Integrate model guardrails to ensure compliance and maintain high standards of quality and reliability.
**Required Qualifications**
* Experience: Minimum 2\+ years of hands\-on experience developing and deploying AI/ML services in production environments.
* Technical Expertise: Expert\-level Python and AWS SDK (boto3\) skills.
* AWS AI Services: Hands\-on experience with Bedrock, Knowledge Bases, and SageMaker.
* Production AI Deployment: Proven experience deploying AI features/services and ML models to production environments.
* Debugging \&amp; Optimization: Strong debugging, data engineering, and prompt optimization skills.
* Education/Certifications: Bachelor’s degree in Computer Science, Data Science, or a related field. Relevant certifications in AI/ML or AWS are a plus.
* Collaboration: Ability to work effectively in cross\-functional teams and communicate technical concepts to non\-technical stakeholders.
 You're Not a Fit If...
* You haven’t previously developed and deployed AI/ML services in production environments.
* You prefer a slow\-moving environment and are not comfortable with the pace of a startup.
* You prefer to react to problems rather than plan ahead strategically.
* You do not want to be hands\-on with the technical details of the role.
 Our Core Principles
* We're a team that believes in big ideas and fast execution, adopting a "crawl, walk, run" approach to innovation. We're looking for someone who embodies these principles:
* Customer Centricity: We always put our customers first.
* Growth Mindset: We are constantly learning and evolving.
* Accountability \&amp; Integrity: We take ownership and act with honesty.
* Collaboration \&amp; Humility: We work together and value every voice.
* Open Communication: We believe in transparency and direct feedback.
 If you are a proactive AI engineer with a passion for building and optimizing advanced AI/ML systems, we want to hear from you. This is an opportunity to make a real impact at a dynamic and growing company.</t>
        </is>
      </c>
    </row>
    <row r="19">
      <c r="A19" t="inlineStr">
        <is>
          <t>li-4368000717</t>
        </is>
      </c>
      <c r="B19" t="inlineStr">
        <is>
          <t>Machine Learning Engineer</t>
        </is>
      </c>
      <c r="C19" t="inlineStr">
        <is>
          <t>Optomi</t>
        </is>
      </c>
      <c r="D19" t="inlineStr">
        <is>
          <t>linkedin</t>
        </is>
      </c>
      <c r="E19" t="inlineStr"/>
      <c r="F19" t="inlineStr"/>
      <c r="G19" t="inlineStr"/>
      <c r="H19" t="inlineStr"/>
      <c r="I19" t="inlineStr">
        <is>
          <t>Optomi, in partnership with a leading insurance company is seeking a Machine Learning Engineer to join their team. The Machine Learning Engineer will play a critical role in deploying machine learning models into production environments while ensuring reliability and performance in real\-world systems. This position requires a strong foundation in machine learning principles, extensive MLOps experience, and proficiency with tools like MLflow and Kubeflow. The candidate will work primarily with Databricks but should have transferable skills for platforms like AWS SageMaker or Microsoft Fabric.
**Job Qualifications:** 
* Strong grounding in core ML principles (model selection, training, evaluation, iteration)
* Proven experience deploying machine learning models into production environments
* Familiarity with MLOps tools like MLflow and Kubeflow
* Experience with Databricks or equivalent platforms like AWS SageMaker or Microsoft Fabric
* Excellent communication skills for working with non\-technical stakeholders and cross\-functional teams
**Job Responsibilities:** 
* Independently support end\-to\-end model production after a ramp\-up period
* Collaborate with stakeholders to translate business needs into ML solutions
* Utilize Databricks as the primary platform for ML workflows
* Ensure performance, reliability, and scalability of deployed models
* Communicate technical concepts effectively to non\-technical stakeholders and team members</t>
        </is>
      </c>
    </row>
    <row r="20">
      <c r="A20" t="inlineStr">
        <is>
          <t>li-4357493178</t>
        </is>
      </c>
      <c r="B20" t="inlineStr">
        <is>
          <t>AI Engineer</t>
        </is>
      </c>
      <c r="C20" t="inlineStr">
        <is>
          <t>ChabezTech LLC</t>
        </is>
      </c>
      <c r="D20" t="inlineStr">
        <is>
          <t>linkedin</t>
        </is>
      </c>
      <c r="E20" t="inlineStr"/>
      <c r="F20" t="inlineStr"/>
      <c r="G20" t="inlineStr">
        <is>
          <t>Portland, Oregon Metropolitan Area</t>
        </is>
      </c>
      <c r="H20" t="inlineStr"/>
      <c r="I20" t="inlineStr">
        <is>
          <t>Software Engineer – AI \&amp; ML Systems
**Company:** 
 ChabezTech (In\-House Products)
 About ChabezTech
 ChabezTech is a data engineering and AI products company headquartered in Pennsylvania. We design and build in\-house platforms and solutions focused on operational excellence, scalability, and modern AI\-driven architectures. Our work spans data engineering, machine learning, agentic AI, and no\-code/low\-code platforms that demonstrate best practices in enterprise\-grade system design.
 Position Overview
 As a Software Engineer – AI \&amp; ML Systems at ChabezTech, you will own and design multiple in\-house software systems across our AI, machine learning, and data platform portfolio. This role focuses on building production\-ready architectures that power agentic AI solutions, ML services, and user\-facing dashboards.
 You will ensure architectural consistency, high software quality, and reliable delivery across globally distributed engineering teams while contributing directly to the evolution of ChabezTech’s internal platforms.
 Key Responsibilities
* Own and maintain multiple production\-grade in\-house software systems across AI, ML, and data dashboard platforms
* Design and evolve end\-to\-end system architecture spanning frontend, backend, and AI/ML components
* Define and maintain software design standards and architectural guidelines used across ChabezTech engineering teams
* Ensure implementations align with documented architecture and system design principles
* Collaborate with frontend, backend, data, and AI/ML engineers to deliver well\-integrated systems
* Maintain technical documentation including architecture diagrams, APIs, QA artifacts, and release notes
* Coordinate software releases including versioning, dependency management, deployment readiness, and rollback strategies
* Partner with QA teams to define test strategies, acceptance criteria, and release readiness standards
* Support production systems through issue triage, root\-cause analysis, and corrective actions
* Troubleshoot Linux\-based system and application issues across development and production environments
* Ensure software meets ChabezTech’s quality, performance, reliability, and security standards
 Required Qualifications
* Bachelor’s degree in Computer Science, Engineering, or a related field (or equivalent practical experience)
* Strong experience designing, owning, and supporting multiple production software systems
* Solid understanding of both frontend and backend development
* Experience building or integrating AI/ML\-powered systems, including agentic or autonomous AI architectures
* Experience collaborating with globally distributed engineering teams
* Proficiency in Linux environments, including debugging and system\-level troubleshooting
* Strong technical documentation and communication skills
 Preferred Qualifications
* Experience with data platforms, ML pipelines, or agent\-based architectures
* Experience with dashboards or data visualization platforms
* Familiarity with CI/CD pipelines and release automation
* Experience supporting enterprise\-grade production systems
* Exposure to MLOps, data governance, security, and compliance practices
 What Success Looks Like at ChabezTech
* In\-house software systems consistently reflect documented architecture and engineering standards
* QA and release processes are predictable, reliable, and scalable
* AI, ML, and dashboard platforms integrate cleanly and operate reliably in production
* Production issues are resolved efficiently with minimal disruption
* ChabezTech’s internal platforms evolve cohesively and serve as reusable foundations for future innovation
***Thanks \&amp; Regards***
***Utsav Burman***
***Head North America Ops***
***ChabezTech LLC***
***4 Lemoyne Dr \#102, Lemoyne, PA 17043, USA***
***Phone: \+1\-717\-441\-5440 (US) \| \+91\-8097 164 089 ( India )***
***Email: utsav@chabeztech.com \| www.chabeztech.com***
***GSA Multiple Award Schedule (MAS) \| E\-Verify Company***</t>
        </is>
      </c>
    </row>
    <row r="21">
      <c r="A21" t="inlineStr">
        <is>
          <t>li-4328597051</t>
        </is>
      </c>
      <c r="B21" t="inlineStr">
        <is>
          <t>Machine Learning Engineer</t>
        </is>
      </c>
      <c r="C21" t="inlineStr">
        <is>
          <t>Cisco</t>
        </is>
      </c>
      <c r="D21" t="inlineStr">
        <is>
          <t>linkedin</t>
        </is>
      </c>
      <c r="E21" t="inlineStr"/>
      <c r="F21" t="inlineStr"/>
      <c r="G21" t="inlineStr">
        <is>
          <t>Memphis, TN</t>
        </is>
      </c>
      <c r="H21" t="inlineStr"/>
      <c r="I21" t="inlineStr">
        <is>
          <t>The application window is expected to close on: 01/21/2026
**Job posting may be removed earlier if the position is filled or if a sufficient number of applications are received** 
 .
**Meet the Team**
 Splunk, a Cisco company, is building a safer, more resilient digital world with an end‑to‑end, full‑stack platform designed for hybrid, multi‑cloud environments.
 The Splunk AI Platform and Services team provides the core runtime and developer experience that power AI across Splunk and Cisco. We manage large\-scale, multi\-tenant LLM inference across major cloud providers and build platform services to support these workloads.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features for GenAI services and APIs that power chat assistants, and automation workflows across Splunk products.
* Help build and maintain RAG pipelines: retrieval orchestration, hybrid search, chunking \&amp; embeddings, and grounding with logs/events/metrics.
* Contribute to agentic and multi\-agent workflows using frameworks like LangChain or LangGraph, integrating with MCP tools, internal APIs, and external systems.
* Develop and refine developer\-facing SDKs, templates, and reference apps (primarily Python/TypeScript) that make it simple for other teams to compose tools, chains, and agents on top of it.
* Integrate with LangSmith or similar eval stacks to instrument prompts, capture traces, and run evaluations under the guidance of more senior engineers and scientists.
* Collaborate with product managers and UX to turn user stories into GenAI experiences, iterate based on feedback, and ship features that move customer and business metrics.
* Apply and advocate responsible AI practices in day\-to\-day work: grounding, guardrails, access controls, and human\-in\-the\-loop flows.
**Minimum Qualifications**
* Bachelor's degree in computer science, Engineering, or equivalent practical experience.
* 5\+ years of hands\-on experience building and operating backend or distributed systems in production or 2\+ years of experience with a Master’s degree
* Proficiency in at least one modern programming language (e.g., Python, TypeScript/JavaScript, Go, or Java) and solid software design/debugging skills.
* Some hands\-on experience with LLM APIs and ecosystems (e.g., OpenAI, Claude, Bedrock, or OSS models such as Llama) and related production features.
* Familiarity with web APIs and microservices (REST/gRPC), including testing, deployment, and basic observability (logs/metrics).
* Demonstrated ability to work end\-to\-end on features: collaborate on design, implement, write tests, help deploy, and iterate based on metrics or feedback.
**Preferred Qualifications**
* Experience or strong interest in RAG systems and vector databases (Weaviate, Qdrant, Milvus, FAISS, etc.).
* Exposure to agentic frameworks (LangChain, LangGraph, LlamaIndex, Semantic Kernel, or similar) and tool/agent orchestration patterns.
* Familiarity with LangSmith or similar evaluation platforms, or experience instrumenting prompts/pipelines for quality and debugging.
* Background contributing to platform or Developer experiences capabilities: internal libraries, SDKs, templates, or shared components that other engineers use.
* Experience with full\-stack development for GenAI interfaces (React/TypeScript), including prompt UX or conversation flows, is a plus.
* Understanding basic AI safety and governance concepts (guardrails, data privacy, RBAC) and how they apply in an enterprise environment.
* Strong communication skills and a growth mindset, comfortable asking questions, giving/receiving feedback, and learning from more senior teammates.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$181,000\.00 to $235,000\.00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2">
      <c r="A22" t="inlineStr">
        <is>
          <t>li-4368320379</t>
        </is>
      </c>
      <c r="B22" t="inlineStr">
        <is>
          <t>Lead Cortex AI Engineer</t>
        </is>
      </c>
      <c r="C22" t="inlineStr">
        <is>
          <t>NuStar Technologies</t>
        </is>
      </c>
      <c r="D22" t="inlineStr">
        <is>
          <t>linkedin</t>
        </is>
      </c>
      <c r="E22" t="inlineStr"/>
      <c r="F22" t="inlineStr"/>
      <c r="G22" t="inlineStr">
        <is>
          <t>Owings Mills, MD</t>
        </is>
      </c>
      <c r="H22" t="inlineStr"/>
      <c r="I22" t="inlineStr">
        <is>
          <t>**Must Have Technical/Functional Skills**
* 5\+ Hands on experience on Snowflake AI Data Cloud.
* 2\+ years of proven experience with building LLM\-powered applications including agentic workflows with measurable impacts.
* Strong hands\-on experience with Cortex AI services: Analyst, Search, AI SQL, Vector Embedding etc.
* Experience in developing scalable data centric applications using Snowpark containers in Python.
* Hands\-on experience in creating conversational agentic apps using natural language prompts in Snowflake Intelligence.
* 3\+ years of experience in SQL \&amp; Python programming.
* Knowledge of Snowlflake hosted LLM model garden (Claude, Llama, OpenAI, Mistral, Arctic etc) will be a plus.
* Familiarity with LLM model evaluation methodologies.
* Working experience in Snowflake managed / custom MCP servers.
* Strong experience working with GIT and CI/CD pipelines.
* Strong working experience in Agile based product development processes.
* Good written and verbal communication skills. Analytical and problem\-solving skills.
**Roles \&amp; Responsibilities**
* Design and implement LLM powered apps in Snowflake using its Cortex AI capabilities.
* Build Cortex Analyst solutions on SQL based semantic models / views through natural language prompts.
* Implement RAG workflows using Cortex search over unstructured documents and texts.
* Design AISQ: pipelines to analyze multimodal data natively in SQL.
* Create Agentic AI orchestration frameworks In Snowflake Intelligence.
* Integrate Snowflake ML assets (Model Registry, Feature Store, Notebooks, Snowpark etc) where custom models are needed.
* Enforce Snowflake Horizon governance patterns including RBAC, data encryption, auditability across internal and external data sources.
* Ensure trusted AI practices (e.g. model safety \&amp; filtering).
* Optimize AI pipelines through right sizing of serverless compute, efficient application design, meeting desired latency.
* Establish observability for Cortex AI services for application monitoring and cost management.
* Manage the new requirements, create design artifacts, develop codebase, CI / CD pipelines.
* Lead a team of small to medium capacity in an onsite\-offshore model.
* Collaborate with cross\-functional stakeholders such as Data Engineering, Architecture, Operations, Security/ Risk \&amp; Compliance etc.)
**Generic Managerial Skills, If Any**
 Strong experience leading an AI development team of small to medium capacity in onsite – offshore model.
 Strong experience in customer\-facing engagement, communication, stakeholder management.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$130,000 \- $140,000 a year</t>
        </is>
      </c>
    </row>
    <row r="23">
      <c r="A23" t="inlineStr">
        <is>
          <t>li-4368001641</t>
        </is>
      </c>
      <c r="B23" t="inlineStr">
        <is>
          <t>GEN AI Engineer</t>
        </is>
      </c>
      <c r="C23" t="inlineStr">
        <is>
          <t>Teklabs Inc</t>
        </is>
      </c>
      <c r="D23" t="inlineStr">
        <is>
          <t>linkedin</t>
        </is>
      </c>
      <c r="E23" t="inlineStr"/>
      <c r="F23" t="inlineStr"/>
      <c r="G23" t="inlineStr">
        <is>
          <t>Irvine, CA</t>
        </is>
      </c>
      <c r="H23" t="inlineStr"/>
      <c r="I23" t="inlineStr">
        <is>
          <t>**Responsibilities:** 
* Bachelor of Science in Computer Engineering with a minimum of 2 years of experience in AI projects
* Thorough knowledge of Jira, RAG system and Vector Database, Google Gemini devices pack Good Working experience as a Programmer using Python Software
* Very good proficiency in requirement Management and tracking progress on daily basis
* Knowledge of Mechanical system DV plan and validation reports
* Ability to create database by chunking engineering documents
* Problem skills and ability to find root case and bug fixing on timely manner
* Relevant experience in LLM API Integration and AI usages guidelines
* Knowledge and understanding of document processing from PDF, Word, and Excel
* Prepare and maintain project timeline.</t>
        </is>
      </c>
    </row>
    <row r="24">
      <c r="A24" t="inlineStr">
        <is>
          <t>li-4368179921</t>
        </is>
      </c>
      <c r="B24" t="inlineStr">
        <is>
          <t>AI Engineer</t>
        </is>
      </c>
      <c r="C24" t="inlineStr">
        <is>
          <t>Hirenza</t>
        </is>
      </c>
      <c r="D24" t="inlineStr">
        <is>
          <t>linkedin</t>
        </is>
      </c>
      <c r="E24" t="inlineStr"/>
      <c r="F24" t="inlineStr"/>
      <c r="G24" t="inlineStr"/>
      <c r="H24" t="inlineStr"/>
      <c r="I24" t="inlineStr">
        <is>
          <t>**About The Company**
 Cognizant is a leading global professional services company that specializes in digital, technology, consulting, and operations services. With a robust presence across numerous industries, Cognizant helps clients transform their business models and achieve operational excellence through innovative solutions. The company is committed to fostering a culture of continuous learning, diversity, and inclusion, ensuring that its workforce is equipped to meet the evolving needs of the digital age. Recognized for its customer\-centric approach and technological expertise, Cognizant consistently ranks among the top employers in the industry, offering a dynamic and challenging environment for professionals seeking growth and impact.
**About The Role**
 The role at Cognizant offers an exciting opportunity for professionals to contribute to cutting\-edge projects in a collaborative environment. As part of our team, you will be responsible for delivering innovative solutions that meet our clients' strategic objectives. The position involves engaging with cross\-functional teams, analyzing complex business requirements, and designing scalable technical solutions. You will play a vital role in ensuring the successful implementation and integration of systems, providing technical guidance, and maintaining high standards of quality and efficiency. This role is ideal for individuals who are passionate about technology, eager to learn, and committed to delivering excellence in every project.
**Qualifications**
 To be successful in this role, candidates should possess a bachelor’s degree in Computer Science, Information Technology, or a related field. Relevant professional certifications such as PMP, AWS, Azure, or other industry\-recognized credentials are preferred. Candidates should have a minimum of 3\-5 years of experience in relevant roles, demonstrating proficiency in software development, system integration, and project management. Strong analytical skills, problem\-solving abilities, and excellent communication skills are essential. Familiarity with Agile methodologies, cloud platforms, and enterprise architecture will be advantageous. The ideal candidate is adaptable, detail\-oriented, and capable of working effectively in a fast\-paced environment.
**Responsibilities**
 The key responsibilities for this role include collaborating with clients and internal teams to gather and analyze business requirements, designing and implementing technical solutions, and ensuring timely delivery of projects. You will be responsible for developing, testing, and deploying software applications, as well as providing ongoing support and maintenance. Monitoring system performance, troubleshooting issues, and implementing improvements are crucial aspects of the job. Additionally, you will participate in code reviews, contribute to documentation, and stay updated with industry best practices and emerging technologies. Building strong relationships with stakeholders and ensuring project alignment with business goals are vital to success in this role.
**Benefits**
 Cognizant offers a comprehensive benefits package designed to support the well\-being and professional growth of its employees. This includes competitive salaries, health insurance, retirement plans, and paid time off. Employees have access to ongoing training and development programs, including certifications, workshops, and mentorship initiatives. The company promotes a healthy work\-life balance through flexible working arrangements and wellness programs. Additionally, Cognizant provides opportunities for career advancement, recognition programs, and a collaborative work environment that values diversity and inclusion. Employees are encouraged to innovate and contribute to impactful projects that make a difference for clients worldwide.
 Equal Opportunity
 Cognizant is an equal opportunity employer. We are committed to creating an inclusive environment where all employees are valued, respected, and empowered to reach their full potential. We do not discriminate based on race, color, religion, gender, sexual orientation, gender identity, age, national origin, disability, or any other protected characteristic. Our diversity and inclusion initiatives are integral to our culture and business success, ensuring that every individual has the opportunity to thrive and contribute meaningfully to our organization.</t>
        </is>
      </c>
    </row>
    <row r="25">
      <c r="A25" t="inlineStr">
        <is>
          <t>li-4368181991</t>
        </is>
      </c>
      <c r="B25" t="inlineStr">
        <is>
          <t>AI Engineer</t>
        </is>
      </c>
      <c r="C25" t="inlineStr">
        <is>
          <t>Best Job Tool</t>
        </is>
      </c>
      <c r="D25" t="inlineStr">
        <is>
          <t>linkedin</t>
        </is>
      </c>
      <c r="E25" t="inlineStr"/>
      <c r="F25" t="inlineStr"/>
      <c r="G25" t="inlineStr"/>
      <c r="H25" t="inlineStr"/>
      <c r="I25" t="inlineStr">
        <is>
          <t>**About The Company**
 Cognizant is a global leader in information technology, consulting, and business process outsourcing services. Established with a commitment to innovation and excellence, Cognizant helps clients across various industries transform their businesses through digital solutions, technology expertise, and strategic consulting. With a presence in over 40 countries and a diverse workforce of talented professionals, Cognizant prides itself on fostering a collaborative environment that drives growth and success for both clients and employees.
**About The Role**
 We are seeking a dedicated and skilled professional to join our team as a \[Job Title]. In this role, you will be instrumental in delivering high\-quality solutions that meet our clients' needs. The position offers an exciting opportunity to work on innovative projects, collaborate with cross\-functional teams, and contribute to the digital transformation initiatives of leading organizations. The ideal candidate will possess a strong technical background, excellent problem\-solving skills, and a passion for continuous learning and development.
**Qualifications**
 The ideal candidate should possess a minimum of \[X] years of experience in relevant fields. A bachelor’s degree in Computer Science, Information Technology, or a related discipline is required; a master’s degree is preferred. Proficiency in \[specific skills, technologies, or tools relevant to the role] is essential. Candidates should demonstrate strong communication skills, the ability to work effectively in a team environment, and a proven track record of delivering successful projects. Certification in \[relevant certifications] will be considered an advantage.
**Responsibilities**
 The responsibilities for this role include but are not limited to:
* Designing, developing, and implementing software solutions based on client requirements.
* Collaborating with cross\-functional teams to identify and resolve technical issues efficiently.
* Participating in project planning, estimation, and execution to ensure timely delivery.
* Maintaining and updating existing systems to improve performance and functionality.
* Providing technical support and guidance to junior team members.
* Ensuring all deliverables adhere to quality standards and best practices.
* Staying current with industry trends and emerging technologies to recommend innovative solutions.
**Benefits**
 Cognizant offers a comprehensive benefits package designed to support the well\-being and professional growth of our employees. This includes competitive salary packages, health insurance coverage, retirement plans, and paid time off. Employees also have access to continuous learning opportunities through training programs, workshops, and certifications. We promote a flexible work environment that encourages work\-life balance and provides opportunities for career advancement within the organization. Additionally, Cognizant fosters a culture of diversity and inclusion, ensuring all employees feel valued and empowered to contribute their best.
 Equal Opportunity
 Cognizant is an equal opportunity employer. We celebrate diversity and are committed to creating an inclusive environment for all employees. We do not discriminate based on race, religion, gender, age, sexual orientation, disability, or any other protected characteristic. Our hiring practices are designed to ensure fairness and equal access to opportunities for all qualified candidates.</t>
        </is>
      </c>
    </row>
    <row r="26">
      <c r="A26" t="inlineStr">
        <is>
          <t>li-4367830249</t>
        </is>
      </c>
      <c r="B26" t="inlineStr">
        <is>
          <t>Machine Learning Engineer | Python | Pytorch | Distributed Training | Optimisation | GPU | Hybrid, San Jose, CA</t>
        </is>
      </c>
      <c r="C26" t="inlineStr">
        <is>
          <t>Enigma</t>
        </is>
      </c>
      <c r="D26" t="inlineStr">
        <is>
          <t>linkedin</t>
        </is>
      </c>
      <c r="E26" t="inlineStr"/>
      <c r="F26" t="inlineStr"/>
      <c r="G26" t="inlineStr">
        <is>
          <t>San Jose, CA</t>
        </is>
      </c>
      <c r="H26" t="inlineStr"/>
      <c r="I26" t="inlineStr">
        <is>
          <t>**Machine Learning Engineer \| Python \| Pytorch \| Distributed Training \| Optimisation \| GPU \| Hybrid, San Jose, CA** 
**Title:** 
 Machine Learning Engineer
**Location: San Jose, CA** 
**Responsibilities:** 
* Productize and optimize models from Research into reliable, performant, and cost\-efficient services with clear SLOs (latency, availability, cost).
* Scale training across nodes/GPUs (DDP/FSDP/ZeRO, pipeline/tensor parallelism) and own throughput/time\-to\-train using profiling and optimization.
* Implement model\-efficiency techniques (quantization, distillation, pruning, KV\-cache, Flash Attention) for training and inference without materially degrading quality.
* Build and maintain model\-serving systems (vLLM/Triton/TGI/ONNX/TensorRT/AITemplate) with batching, streaming, caching, and memory management.
* Integrate with vector/feature stores and data pipelines (FAISS/Milvus/Pinecone/pgvector; Parquet/Delta) as needed for production.
* Define and track performance and cost KPIs; run continuous improvement loops and capacity planning.
* Partner with ML Ops on CI/CD, telemetry/observability, model registries; partner with Scientists on reproducible handoffs and evaluations.
**Educational Qualifications:** 
* Bachelors in computer science, Electrical/Computer Engineering, or a related field required; Master’s preferred (or equivalent industry experience).
* Strong systems/ML engineering with exposure to distributed training and inference optimization.
**Industry Experience:** 
* 3–5 years in ML/AI engineering roles owning training and/or serving in production at scale.
* Demonstrated success delivering high\-throughput, low\-latency ML services with reliability and cost improvements.
* Experience collaborating across Research, Platform/Infra, Data, and Product functions.
**Technical Skills:** 
* Familiarity with deep learning frameworks: PyTorch (primary), TensorFlow.
* Exposure to large model training techniques (DDP, FSDP, ZeRO, pipeline/tensor parallelism); distributed training experience a plus
* Optimization: experience profiling and optimizing code execution and model inference: (PTQ/QAT/AWQ/GPTQ), pruning, distillation, KV\-cache optimization, Flash Attention
* Scalable serving: autoscaling, load balancing, streaming, batching, caching; collaboration with platform engineers.
* Data \&amp; storage: SQL/NoSQL, vector stores (FAISS/Milvus/Pinecone/pgvector), Parquet/Delta, object stores.
* Write performant, maintainable code
* Understanding of the full ML lifecycle: data collection, model training, deployment, inference, optimization, and evaluation.
**Machine Learning Engineer \| Python \| Pytorch \| Distributed Training \| Optimisation \| GPU \| Hybrid, San Jose, CA**</t>
        </is>
      </c>
    </row>
    <row r="27">
      <c r="A27" t="inlineStr">
        <is>
          <t>li-4314851666</t>
        </is>
      </c>
      <c r="B27" t="inlineStr">
        <is>
          <t>AI Engineer</t>
        </is>
      </c>
      <c r="C27" t="inlineStr">
        <is>
          <t>Troutman Pepper Locke LLP</t>
        </is>
      </c>
      <c r="D27" t="inlineStr">
        <is>
          <t>linkedin</t>
        </is>
      </c>
      <c r="E27" t="inlineStr"/>
      <c r="F27" t="inlineStr"/>
      <c r="G27" t="inlineStr">
        <is>
          <t>West Palm Beach, FL</t>
        </is>
      </c>
      <c r="H27" t="inlineStr"/>
      <c r="I27"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28">
      <c r="A28" t="inlineStr">
        <is>
          <t>li-4314849749</t>
        </is>
      </c>
      <c r="B28" t="inlineStr">
        <is>
          <t>AI Engineer</t>
        </is>
      </c>
      <c r="C28" t="inlineStr">
        <is>
          <t>Troutman Pepper Locke LLP</t>
        </is>
      </c>
      <c r="D28" t="inlineStr">
        <is>
          <t>linkedin</t>
        </is>
      </c>
      <c r="E28" t="inlineStr"/>
      <c r="F28" t="inlineStr"/>
      <c r="G28" t="inlineStr">
        <is>
          <t>San Diego, CA</t>
        </is>
      </c>
      <c r="H28" t="inlineStr"/>
      <c r="I28"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29">
      <c r="A29" t="inlineStr">
        <is>
          <t>li-4246746123</t>
        </is>
      </c>
      <c r="B29" t="inlineStr">
        <is>
          <t>Senior Machine Learning Engineer</t>
        </is>
      </c>
      <c r="C29" t="inlineStr">
        <is>
          <t>Xometry</t>
        </is>
      </c>
      <c r="D29" t="inlineStr">
        <is>
          <t>linkedin</t>
        </is>
      </c>
      <c r="E29" t="inlineStr"/>
      <c r="F29" t="inlineStr"/>
      <c r="G29" t="inlineStr">
        <is>
          <t>Lexington, KY</t>
        </is>
      </c>
      <c r="H29" t="inlineStr"/>
      <c r="I29"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Machine Learning Engineer** 
 to join our growing organization. The right person will help move our machine learning capabilities to the next level. You’ll be working in an organization where AI is the enabler and center of its core business strategy. You want to be part of a small, intensely skilled team, who feel total ownership of their work, and can’t imagine a day without learning \&amp; coding. You will play a crucial role in the Xometry platform and everything you do will matter.
**Responsibilities:**
* At Xometry, you will play a crucial role in exploring new machine learning opportunities, researching and performing proof of concepts, and bringing new machine learning and AI solutions into Xometry’s platform
* Develop and implement machine learning models that improve Xometry’s ability to predict cost, price, and sourcing options for our customers and suppliers.
* You will be responsible for leading the evaluation of emerging technologies, identifying areas for improvement, and developing new features while ensuring the reliability and scalability of Xometry’s platform
* Lead the exploration of emerging AI and machine learning technologies and develop proof\-of\-concepts to assess their potential impact on Xometry’s platform
* Collaborate with cross\-functional teams to gather requirements, prioritize features, and define technical solutions based on the latest innovations
* Monitor machine learning models and AI performance and troubleshoot issues as they arise
* Contribute to the documentation and knowledge base to help other teams understand and use Xometry’s AI effectively
**Qualifications:**
* Experience with state of the art ML modeling techniques and approaches like transformers, self supervised pre\-training, generative modeling, LLMs, etc
* Experience with large scale data processing (e.g., Hands\-on experience training and applying models at scale using deep learning frameworks like PyTorch or Tensorflow)
* Successful candidates in this role need to be able to bridge state of the art approaches to real world impact
* A cloud\-native software craftsperson with hands on experience with containers, container orchestration, and distributed systems
* An engineer with a self\-driven attitude who can own problems and deliver solutions
* Strong software fundamentals with experience in design patterns, refactoring, OOP, and testing
* A cloud practitioner who values the “shift\-left” mentality by building systems with Infrastructure as Code, not console clicking
* Data’s at the heart of our systems, we hope it's yours too. You’re comfortable working with SQL and/or NoSQL, understand database design, and data analysis
* Experience building and consuming CI/CD pipelines
* Someone who knows their way around the command line and has experience working with \*nix systems
* 5\+ years working experience in the engineering teams that build large\-scale ML\-driven user\-facing products
* 3\+ years experience leading cross\-team engineering efforts
* Strong execution skills in project management
* Must be a US Citizen or Green Card holder (ITAR)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30">
      <c r="A30" t="inlineStr">
        <is>
          <t>li-4316364385</t>
        </is>
      </c>
      <c r="B30" t="inlineStr">
        <is>
          <t>Lead ML Engineer</t>
        </is>
      </c>
      <c r="C30" t="inlineStr">
        <is>
          <t>J.D. Power</t>
        </is>
      </c>
      <c r="D30" t="inlineStr">
        <is>
          <t>linkedin</t>
        </is>
      </c>
      <c r="E30" t="inlineStr"/>
      <c r="F30" t="inlineStr"/>
      <c r="G30" t="inlineStr"/>
      <c r="H30" t="inlineStr"/>
      <c r="I30" t="inlineStr">
        <is>
          <t>**Job Description**
**Title** 
 : Lead ML Engineer
**Location** 
 : Remote US or Canada
**Reports to** 
 : Director, Data Science
**Vacancy** 
 : This is a new position
**The Role:** 
 As part of the Data and Analytics division of JD Power, you will work to understand the features that drive the price of a vehicle and predict what future vehicle values will be. Our data science team is accountable for every data point we output and provides accurate, transparent, industry\-leading analytics. We are looking for an AI Engineer who will have the freedom to utilize the latest technologies to solve challenging problems, create innovative machine learning processes from the ground up, deploy them into production on our AWS server and/or Palantir, and develop cutting\-edge tools for monitoring our ML suite of algorithms. We are a mature and tight\-knit data science team looking to add another top\-shelf team member who is ready to make a difference in the automotive industry. Join us!
**The Impact You Will Have In This Role**
 We make data products and every new data product we output will solve problems in the auto industry. Our AI Engineers will build models that go into production and directly impact our core products for our clients.
**What You'll Be Doing In This Role**
* Experience daily immersion in high tech ML and AI solutions for the automotive industry.
* Working with business units to articulate a pipeline of ML and AI projects to drive operational efficiency and revenue growth.
* Create reusable frameworks to integrate multiple AI and ML models into production workflows.
* Lead the creation of multiple AI \&amp; ML models simultaneously and put them into production.
* Communications to customer success, product, and senior data science leadership while requiring minimal feedback for communication documents and presentations.
* Coach team members on exploratory data analysis, feature engineering, and advanced model creation
* Leads PI (Program Increment) planning for activities to be conducted in the next quarter, with limited supervision, for major developmental modules or projects.
* Fluent in data science models, data sources, and data limitations within business units.
* Strong expectation to bring up, propose, and coordinate solution execution to resolve issues, with help from leadership if needed.
**Qualifications Of This Role**
* Enthusiasm for the automotive industry
* Curiosity and passion for solving problems with data
* Ability to lead the creation of multiple advanced AI or ML models simultaneously and put them into production.
* Demonstrated proficiency of ML and AI programming languages including Python.
* Demonstrated use of ML evaluation metrics including accuracy, precision, recall, ROC, AUC, F1 scores, MSE, R\-squared, etc, in model building \&amp; evaluation.
* Focuses on designing innovative solutions for challenging AI problems.
* Requires effective collaboration with stakeholders for AI adoption and best practices.
* 8\+ years of professional experience working with large datasets
* 8\+ years of professional experience with statistical programming software (Spark, Python preferred)
* 10\+ years of professional experience and fluency with database software (RedShift, Hive, SQL, MYSQL)
* 5\+ years of professional experience deploying cloud\-based automated analytic processes
* 5\+ in machine learning model deployment with automate model monitoring
* Master’s Degree in Statistics, Data Science, Economics, or a related technical field
**Nice To Have**
* Experience with automotive market data
* Experience with high dimensional complex optimization problems
* Experience working with AWS tools (like Sagemaker, Glue, Batch, Lamdba) or GCP
* Experience working with Palantir or Databricks
* Experience deploying machine learning models into production with an API
* Experience with specialized UI app (viz. StreamLit, Gradio) for live interactions with ML models
* Experience with MLOps and CICD for trigger or rule\-based invocation of the training/evaluation/re\-deployment cycle
* Experience with API based enablement of model training/inference and integration of the model lifecycle in live user interactions
* Experience with model deployment and non\-pandas/non\-sql data structures
* PhD in Statistics, Data Science, Economics, or related field
**The Hiring Manager Says**
 Grow as a full\-stack AI Engineer who has put models into production as part of a medium\-sized team. JD Power is the leader in automotive data in both the North American and European markets. You will have the opportunity to build impactful models with the best data available. You will pipeline data, build models, deploy them in the cloud, and build monitoring suites leveraging industry\-standard tools.
**Company Mission**
 J.D. Power is clear about what we do to ensure our success into the future. We unite industry leading data and insights with world\-class technology to solve our clients’ toughest challenges.
**Our Values**
 We POWER Our Customer's Success
 We are Innovative, Collaborative and Grounded in Data
 We Make Things Easy
 We Get It Done
 We Start with Trust \&amp; Prove it Everyday
 J.D. Power is committed to employing a diverse workforce. Qualified applicants will receive consideration without regard to race, color, religion, sex, national origin, age, sexual orientation, gender identity, gender expression, veteran status, or disability.
 Should you require accommodations during the recruitment and selection process, please reach out to tarecruitment@jdpa.com.
 J.D. Power does not disclose your personal data to unauthorized third parties. However, as a global corporation consisting of multiple affiliated companies in various countries, J.D. Power has international sites and J.D. Power uses resources located throughout the world. J.D. Power may from time to time also use third parties to act on J.D. Power’s behalf. You agree to the fact that to the extent necessary your personal data may be transferred and/or disclosed to any company within J.D. Power group of companies as well as to third parties acting on J.D. Power’s behalf, including also transfers to servers and databases outside the country where you provided J.D. Power with your personal data. Such transfers may include for example transfers and/or disclosures outside the European Economic Area and in the United States of America. If you are a California or United Kingdom resident, additional disclosures about the information we collect and how we use that information can be found by clicking here.
*To all recruitment agencies: J.D. Power does not accept unsolicited agency resumes and we are not responsible for any fees related to unsolicited resumes.*</t>
        </is>
      </c>
    </row>
    <row r="31">
      <c r="A31" t="inlineStr">
        <is>
          <t>li-4266792882</t>
        </is>
      </c>
      <c r="B31" t="inlineStr">
        <is>
          <t>Staff Machine Learning Engineer - Pricing &amp; Incentives</t>
        </is>
      </c>
      <c r="C31" t="inlineStr">
        <is>
          <t>Uber</t>
        </is>
      </c>
      <c r="D31" t="inlineStr">
        <is>
          <t>linkedin</t>
        </is>
      </c>
      <c r="E31" t="inlineStr"/>
      <c r="F31" t="inlineStr"/>
      <c r="G31" t="inlineStr">
        <is>
          <t>San Francisco, CA</t>
        </is>
      </c>
      <c r="H31" t="inlineStr"/>
      <c r="I31" t="inlineStr">
        <is>
          <t>**About The Role**
 The role will be within the pricing and incentives domain in Uber's marketplace team. The team charter spans incentive allocation and optimization to balance the market and optimize revenue, dynamic trip pricing based on marketplace conditions. The role will provide an opportunity to work on some of the most strategic marketplace problems at Uber scale that impact Uber's global business very directly.
**What You Will Do**
* Work with product, data science, and eng leadership to shape the technical roadmap and problem formulations for the team.
* Leverage algorithmic knowledge in machine learning/optimization/statistics to design robust engineering solutions to positively impact Uber's business.
* Shape the MLE role and uplevel MLE talents in the org.
* Be responsible for the End to End of the product \- ML model pipeline \&amp; system design, implementation, AB testing, and rollout. Work with the team to productionize the solutions at scale.
**Basic Qualifications:**
* PhD or equivalent in Computer Science, Engineering, Mathematics or related field
* 4\+ years full\-time Machine Learning Engineering work experience in leveraging machine learning/statistics/optimization to build models in production
* Collaborative and work well with, and contribute to, a team
**Preferred Qualifications:**
* Experience building algorithms with large scale data
* Track record of building large\-scale, highly\-available systems for both batch and streaming
* Deep domain expertise and are one of the recognized specialists in one or multiple areas like reinforcement learning, personalization, or deep learning.
* Experience in combining observational data with experimental data for building causal models.
* Experience working on large scale Machine Learning platforms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2">
      <c r="A32" t="inlineStr">
        <is>
          <t>li-4316508341</t>
        </is>
      </c>
      <c r="B32" t="inlineStr">
        <is>
          <t>Staff Machine Learning Engineer - Fraud Data</t>
        </is>
      </c>
      <c r="C32" t="inlineStr">
        <is>
          <t>Plaid</t>
        </is>
      </c>
      <c r="D32" t="inlineStr">
        <is>
          <t>linkedin</t>
        </is>
      </c>
      <c r="E32" t="inlineStr"/>
      <c r="F32" t="inlineStr"/>
      <c r="G32" t="inlineStr">
        <is>
          <t>Washington, DC</t>
        </is>
      </c>
      <c r="H32" t="inlineStr"/>
      <c r="I3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cutting\-edge fraud detection products. By leveraging Plaid’s extensive network data, we enable proactive fraud prevention—stopping fraud before it happens. Our team owns the entire ML lifecycle, from developing feature pipelines and training models to deploying and monitoring them in production. We ensure that our systems scale reliably and efficiently as Plaid continues to grow and support hundreds of customers.
 As a Staff Machine Learning Engineer on Plaid’s Fraud Data team, you will design and build scalable ML infrastructure that powers our industry\-leading fraud detection product. You’ll lead the evolution of our model deployment, monitoring, and observability frameworks to ensure high reliability and performance at scale. Collaborating closely with teams across ML Infrastructure, Product, and Engineering, you’ll deliver robust systems that protect users and customers from fraud. In addition, you’ll mentor other engineers and help shape the long\-term technical vision and strategy of the Fraud Data team.
 \*\*\*We are open to remote candidates for this role\*\*\*
**Responsibilities**
* Design and build scalable ML infrastructure for Plaid’s fraud detection product
* Working at a fast\-pace environment to build a rapidly growing product with a championship team
* Solving complex problems at the intersection of ML systems, data, and reliability
* Building the foundations for fraud detection on the largest financial dataset in the world
* Collaborating with talented engineers and data scientists across Plaid
**Qualifications**
* 8\+ years total experience, with at least 5 years building and deploying production ML systems.
* Proven experience in machine learning infrastructure/operations.
* Demonstrated technical leadership and architectural vision, driving systems from concept to production.
* Proficiency in Python, PyTorch, Spark, SageMaker, and Airflow, or equivalent technologies.
* Nice to have \- experience working in fraud detection, risk modeling, or financial security domains.
* Nice to have \- background in graph machine learning or related techniques.
 $192,000 \- $400,000 a year
 The target base salary for this position ranges from $192,000/year to $400,000/year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33">
      <c r="A33" t="inlineStr">
        <is>
          <t>li-4345625802</t>
        </is>
      </c>
      <c r="B33" t="inlineStr">
        <is>
          <t>Staff Machine Learning Engineer (Tapestry)</t>
        </is>
      </c>
      <c r="C33" t="inlineStr">
        <is>
          <t>X, The Moonshot Factory</t>
        </is>
      </c>
      <c r="D33" t="inlineStr">
        <is>
          <t>linkedin</t>
        </is>
      </c>
      <c r="E33" t="inlineStr"/>
      <c r="F33" t="inlineStr"/>
      <c r="G33" t="inlineStr">
        <is>
          <t>Mountain View, CA</t>
        </is>
      </c>
      <c r="H33" t="inlineStr"/>
      <c r="I33" t="inlineStr">
        <is>
          <t>**About Tapestry**
 Tapestry is Alphabet’s moonshot for the electric grid, working at the frontier where energy’s complexity meets AI’s potential. We were born at X, the innovation lab responsible for breakthrough technologies like Waymo, Verily and Google Brain.
 To keep pace with humanity’s growing energy needs, the world needs a grid that is visible and understandable. We provide that clarity by building advanced, AI\-enabled analytical and planning tools that allow the entire energy ecosystem to plan smarter, move faster, and operate more efficiently—ensuring electricity remains reliable and affordable for everyone.
 This is a global effort. Tapestry is proud to support partners in the U.S., U.K., Chile, New Zealand, Australia and Brazil as they build a cleaner, more resilient energy future.
 Joining Tapestry allows you to do the best work of your life as part of a multidisciplinary team of experts in AI, energy systems, software engineering and product design—all collaborating to reshape energy on a global scale. If you want to tackle problems that matter and build tools with real impact, we would love to meet you. Learn more about our team and our mission here.
**About The Role**
 We're looking for a Staff Machine Learning Engineer to join our team. In this role, you will be responsible for developing and deploying state of the art machine learning models to solve complex challenges that face today’s electric grid. You’ll have the opportunity to lead model building and development across diverse ML domains such as time series analysis, planning and reinforcement learning, multi modal information retrieval and reasoning and agentic AI. In this role, you will be responsible for setting a vision for one or more of the above areas, work with and mentor junior machine learning engineers, lead cross\-functional collaborations and build the state of the art machine learning models to help power the grid of tomorrow.
**How You Will Make 10x Impact**
* Design, train, and deploy machine learning models in production environments.
* Lead the development of ML systems for one or more of planning and reinforcement learning, forecasting and multimodal machine learning
* Set long term strategy and actively collaborate with product, engineering, and data science teams to identify and address key business problems
* Mentor junior engineers and scientists and contribute to the team’s technical growth.
* Stay abreast of the latest advancements in machine learning
**What You Should Have**
* Master’s Degree/Bachelor's Degree in Machine Learning, Computer Science, Statistics or equivalent practical experience.
* 10\+ years of professional experience in machine learning model development and engineering.
* Deep expertise in one or more of the following areas: planning and control, reinforcement learning, forecasting, multimodal machine learning and information retrieval
* Strong programming skills in Python and experience with ML frameworks like PyTorch or TensorFlow.
* Experience with building and deploying ML systems at scale, and a proven ability to lead applied ML research and developing the state of the art
* Proven ability to work on cross\-functional projects and deliver results in a fast\-paced, collaborative environment
**It’d Be Great If You Also Had These**
* PhD in Machine Learning, Computer Science, Statistics, or a related field
* Experience with cloud platforms such as AWS, GCP, or Azure.
* Familiarity with MLOps practices and tools.
* A strong portfolio of projects demonstrating expertise in multiple ML domains.
**Our values**
* Take charge: We take initiative and own outcomes that move the mission forward.
* Transform with purpose: We build solutions that solve real problems and create meaningful impact.
* Be a Tapestry, not a thread: We collaborate across diverse skills and perspectives to achieve more than we can individually.
* Always fine\-tune: We stay curious, seek feedback, and refine our understanding as we learn.
* Stay grounded: We listen openly, value different perspectives, and stay focused on what matters most.
**What We Offer**
 A culture that supports growth, ownership, and meaningful impact, along with:
* Competitive salary and equity
* Medical, dental, and vision coverage
* Generous PTO and flexible hybrid work model
* 401(k) with employer contribution
* Professional development
* The ability to work on important real\-world problems within an Alphabet\-backed environment
 The US base salary range for this full\-time position is $197,000 \- $288,000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34">
      <c r="A34" t="inlineStr">
        <is>
          <t>li-4362556689</t>
        </is>
      </c>
      <c r="B34" t="inlineStr">
        <is>
          <t>Applied AI Engineer</t>
        </is>
      </c>
      <c r="C34" t="inlineStr">
        <is>
          <t>Recruiting from Scratch</t>
        </is>
      </c>
      <c r="D34" t="inlineStr">
        <is>
          <t>linkedin</t>
        </is>
      </c>
      <c r="E34" t="inlineStr"/>
      <c r="F34" t="inlineStr"/>
      <c r="G34" t="inlineStr">
        <is>
          <t>New York, United States</t>
        </is>
      </c>
      <c r="H34" t="inlineStr"/>
      <c r="I34" t="inlineStr">
        <is>
          <t>**Who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**Job Title:** 
 Applied AI Engineer
**Location:** 
 New York City (In\-office)
**Employment Type:** 
 Full\-time
**Salary:** 
 $210,000 – $230,000
**Company Overview** 
 We are an AI\-native health insurance startup rebuilding healthcare from the ground up. Today’s healthcare experience is expensive, confusing, and often so frustrating that people delay care. Our mission is to change that by creating a proactive, technology\-driven health plan that helps people navigate care, understand costs, and avoid financial fear.
 Our platform delivers continuous, personalized support for members—helping with benefits navigation, appointment scheduling, care decisions, and proactive health outreach. Backed by top\-tier investors and led by a deeply technical founding team, we are scaling quickly, covering tens of thousands of members and seeing strong demand across employers, brokers, and partners.
**Role** 
 As an
 **Applied AI Engineer** 
 , you will own the end\-to\-end development of AI\-native product experiences that redefine how people interact with their healthcare. This is a
 **high\-ownership, product\-facing role** 
 where you’ll ship production AI systems used daily by real users.
 You’ll work at the intersection of
 **LLMs, product engineering, and complex healthcare workflows** 
 , building systems that reason, act, and scale in production.
**What You’ll Work On** 
* **AI\-Powered Care Triage:** 
 Build intelligent experiences that help users understand symptoms and navigate to the right level of care (ER, Urgent Care, Primary Care), preventing unnecessary visits and reducing out\-of\-pocket costs.
* **Always\-On Care Partner:** 
 Develop conversational AI that helps users understand lab results, diagnoses, and treatment plans—providing 24/7 support with clarity and empathy.
* **Proactive Health Engine:** 
 Create systems that analyze claims and behavioral data to drive personalized outreach for screenings, medication adherence, and preventive care.
* **Core AI Platform:** 
 Advance internal AI capabilities across prompt orchestration, context engineering, retrieval systems, agent workflows, and evaluation frameworks.
**Qualifications required** 
* Experience shipping
 **production AI\-powered products** 
 end\-to\-end
* Strong product mindset with a track record of owning
 **0→1 features**
* Hands\-on experience building
 **LLM\-powered applications** 
 in production
* Strong backend experience with
 **Python** 
 and relational databases (
 **Postgres** 
 )
* Experience designing
 **LLM agents** 
 , workflows, or autonomous systems
* Pragmatic approach to
 **LLM safety, reliability, and evaluation** 
 (guardrails, red\-teaming, latency/cost tradeoffs)
* Comfortable operating in
 **fast\-paced, early\-stage environments** 
 with high ownership
* Fluency using
 **AI\-assisted engineering tools** 
 (e.g., Cursor, Copilot)
**Nice to Have** 
* Experience with
 **TypeScript and React**
* Familiarity deploying AI workloads on
 **AWS or similar cloud platforms**
* Background in healthcare, fintech, insurance, or other regulated domains
**What We Offer** 
* High ownership and autonomy from day one
* Direct responsibility for core AI product experiences
* A mission\-driven team working on meaningful, real\-world problems
* Close collaboration with product, engineering, and leadership
* Competitive compensation and meaningful equity
* Benefits including:
* 100% paid health insurance
* Free lunches in the office
* Commuter benefits
* Team offsites and retreats
**Compensation** 
* **Base Salary:** 
 $210,000 – $230,000
* **Additional:** 
 Performance bonus \+ equity
* Final compensation determined by experience, skill level, and interview performance
**Why This Role** 
* Build AI systems that materially improve people’s lives
* Work on real, complex problems—not demos or research prototypes
* Join early at a company with strong traction, clear momentum, and long\-term upside
* Apply frontier AI to healthcare instead of ads or engagement metrics
* Be part of a high\-velocity, ambitious, and collaborative in\-office team</t>
        </is>
      </c>
    </row>
    <row r="35">
      <c r="A35" t="inlineStr">
        <is>
          <t>li-4269214620</t>
        </is>
      </c>
      <c r="B35" t="inlineStr">
        <is>
          <t>Senior Machine Learning Engineer, Tidal Personalization AI</t>
        </is>
      </c>
      <c r="C35" t="inlineStr">
        <is>
          <t>TIDAL</t>
        </is>
      </c>
      <c r="D35" t="inlineStr">
        <is>
          <t>linkedin</t>
        </is>
      </c>
      <c r="E35" t="inlineStr"/>
      <c r="F35" t="inlineStr"/>
      <c r="G35" t="inlineStr"/>
      <c r="H35" t="inlineStr"/>
      <c r="I35" t="inlineStr">
        <is>
          <t>TIDAL was founded for artists by artists as the next innovative streaming platform to bring value back to the music industry. We empower artists with the products, resources, services, and content required to take control of their careers and connect more deeply with fans. Available in over 60\+ countries, TIDAL continues to help artists break down economic barriers to continue creating what's next in culture. TIDAL is part of Block, Inc. (NYSE: SQ), a global technology company with a focus on financial services.
 The Role
 The Personalization AI team uses AI/ML to directly support Tidal's mission to be the first consideration for an artist when they want to share their music. On the listener side, we algorithmically surface music artists have shared by creating playlists, making recommendations, and supporting advanced search. We collaborate closely with Design, Business and engineering teams across TIDAL and the rest of Block. We use a wide range of models including simple heuristics, embeddings, deep learning and large\-language models.
 You Will
 * Work on a mixture of personalization and AI engineering
* Develop new AI/ML systems that power Tidal's homepage including semantic search, recommendations, UX and playlists
* Build production systems that personalize the listener's experience
* Be a technical leader and establish quality practices that stick, make broader design decisions and set an example for others to follow
* Collaborate with a cross functional team of designers, business partners, and software engineers to build new technologies and features
* Design experiments, test them on production users, analyze and repeat
 You Have
 * 8\+ years building and operating quality software
* 5\+ years of experience with recommender systems, ranking systems, or similar
* Led the development of complex models trained on large datasets powering customer facing features
* Strong software engineering skills
* Strong communication skills and customer empathy
* Experience with PyTorch, PySpark, Databricks and AWS is a plus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future.To find a location’s zone designation, please refer to this resource. If a location of interest is not listed, please speak with a recruiter for additional information.  
 Zone A:: $228,700 USD \- $343,100 USD
 Zone B: : $217,300 USD \- $325,900 USD
 Zone C:: $205,900 USD \- $308,900 USD
 Zone D:: $194,500 USD \- $291,700 USD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36">
      <c r="A36" t="inlineStr">
        <is>
          <t>li-4166735282</t>
        </is>
      </c>
      <c r="B36" t="inlineStr">
        <is>
          <t>Distinguished Machine Learning Engineer - Safety</t>
        </is>
      </c>
      <c r="C36" t="inlineStr">
        <is>
          <t>Roblox</t>
        </is>
      </c>
      <c r="D36" t="inlineStr">
        <is>
          <t>linkedin</t>
        </is>
      </c>
      <c r="E36" t="inlineStr"/>
      <c r="F36" t="inlineStr"/>
      <c r="G36" t="inlineStr">
        <is>
          <t>San Mateo, CA</t>
        </is>
      </c>
      <c r="H36" t="inlineStr"/>
      <c r="I36"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Distinguished Machine Learning Engineer/Technical Director in the Safety organization at Roblox, you will drive the overall technical vision and execution for all machine learning initiatives focused on maintaining the safety and civility of our users. Our industry\-leading safety features ensure Roblox remains a safe and inclusive environment for our community to express themselves creatively and share experiences without fear. The Safety org is the reason why Roblox is the safest place on the internet, protecting users You will provide technical leadership on AI/ML efforts for Trust and Safety as the Roblox platform scales to serve different age groups and geographic locations.
**You Will**
* Own the technical direction and implementation of machine learning solutions for safety\-related systems
* Lead and mentor other engineers, fostering a culture of technical excellence and inclusivity
* Break down long\-term product requirements into iterative deliverable stages, ensuring continuous improvement
* Craft and build large\-scale machine learning models with billions of parameters, ensuring production\-readiness
* Facilitate challenging technical decisions across multiple teams, demonstrating empathy and finding common understanding
* Collaborate with cross\-functional teams to define and prioritize the machine learning roadmap
**You Have**
* 10\+ years of experience delivering and improving large\-scale machine learning systems
* Proven expertise in creating and launching machine learning models from scratch
* Ability to handle data problems, train models with large datasets, and ensure system reliability at scale
* Experience with distributed systems, data architecture, and model extraction
* Strong programming skills and willingness to be hands\-on as necessary
* Prior experience in a leadership role with a technical focus, including mentoring engineering teams
**You Are**
* A creative and strategic problem\-solver, able to simplify complex issues while integrating fresh ideas
* Committed to fostering a diverse and inclusive workplace where everyone feels valued and supported
* Passionate about maintaining deep technical expertise while meeting end\-user needs
* Knowledgeable about cutting\-edge ML technologies, including LLMs
* Experienced in NLP or computer vision (preferred)
* Familiar with maintaining and evolving safety systems at scale (preferred)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$397,460—$455,720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7">
      <c r="A37" t="inlineStr">
        <is>
          <t>li-4293660490</t>
        </is>
      </c>
      <c r="B37" t="inlineStr">
        <is>
          <t>Senior Machine Learning Engineer</t>
        </is>
      </c>
      <c r="C37" t="inlineStr">
        <is>
          <t>Mercury</t>
        </is>
      </c>
      <c r="D37" t="inlineStr">
        <is>
          <t>linkedin</t>
        </is>
      </c>
      <c r="E37" t="inlineStr"/>
      <c r="F37" t="inlineStr"/>
      <c r="G37" t="inlineStr">
        <is>
          <t>Portland, OR</t>
        </is>
      </c>
      <c r="H37" t="inlineStr"/>
      <c r="I37" t="inlineStr">
        <is>
          <t>Before 1965, it was extremely difficult and time\-consuming to analyze complicated signals, like radio or images. You could solve it, but you had to throw a ton of compute at it. That all changed with the invention of the Fast Fourier transform, which could efficiently break that signal down into the frequencies that are a part of it. The Risk Onboarding team is working on efficiently reviewing customers’ applications without compromising on quality. We are the front line of defense for preventing money laundering and financial crimes, building systems to verify that someone is who they say they are and that we are allowed to do business with them.
 At Mercury, we are committed to crafting an exceptional banking\* experience for startups. Our team is passionately focused on ensuring our products create a safe environment that meets the needs of our customers, administrators, and regulators.
*\*Mercury is a fintech company, not an FDIC\-insured bank. Banking services provided through Choice Financial Group and Column N.A., Members FDIC.*
**As part of this role, you will:**
* Partner with data science \&amp; engineering teams to design and deploy ML \&amp; Gen AI microservices, primarily focusing on automating reviews
* Work with a full\-stack engineering team to embed these services into the overall review experience, including human in the loop, escalations, and feeding human decisions back into the service
* Implement testing, observability, alerting, and disaster recovery for all services
* Implement tracing, performance, and regression testing
* Feel a strong sense of product ownership and actively seek responsibility – we often self\-organize on small/medium projects, and we want someone who’s excited to help shape and build Mercury’s future
**The ideal candidate for the role has:**
* 7\+ years of experience in roles like machine learning engineering, data engineering, backend software engineering, and/or devops
* Expertise with:
+ A full modern data stack: Snowflake, dbt, Fivetran, Airbyte, Dagster, Airflow
+ SQL, dbt, Python
+ OLAP / OLTP data modelling and architecture
+ Key\-value stores: Redis, dynamoDB, or equivalent
+ Streaming / real\-time data pipelines: Kinesis, Kafka, Redpanda
+ API frameworks: FastAPI, Flask, etc.
+ Production ML Service experience
+ Working across full\-stack development environment, with experience transferable to Haskell, React, and TypeScript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$200,700 \- $250,900
*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here.</t>
        </is>
      </c>
    </row>
    <row r="38">
      <c r="A38" t="inlineStr">
        <is>
          <t>li-4334940541</t>
        </is>
      </c>
      <c r="B38" t="inlineStr">
        <is>
          <t>Senior Machine Learning Engineer</t>
        </is>
      </c>
      <c r="C38" t="inlineStr">
        <is>
          <t>Spotify</t>
        </is>
      </c>
      <c r="D38" t="inlineStr">
        <is>
          <t>linkedin</t>
        </is>
      </c>
      <c r="E38" t="inlineStr"/>
      <c r="F38" t="inlineStr"/>
      <c r="G38" t="inlineStr">
        <is>
          <t>New York, NY</t>
        </is>
      </c>
      <c r="H38" t="inlineStr"/>
      <c r="I38" t="inlineStr">
        <is>
          <t>The Personalization team makes deciding what to play next easier and more enjoyable for every listener. From Blend to Discover Weekly, we’re behind some of Spotify’s most\-loved features. We built them by understanding the world of music, podcasts, and audiobooks better than anyone else. Join us and you’ll keep millions of users listening by making great recommendations to each and every one of them.
 We are looking for a Senior Machine Learning Engineer to join the Personalization team \- an area of hardworking engineers that are passionate about understanding what drives user satisfaction with Spotify \- and who make impactful changes to recommendation systems to achieve this goal. As an integral part of the squad, you will collaborate with research scientists, data scientists and other engineers across PZN in prototyping and productizing state\-of\-the\-art ML at the intersection of recommendations and long\-term user satisfaction.
 What You'll Do
* Contribute to designing, scaling/building, evaluating, integrating, shipping, and refining ML models for the personalization of the main homepage
* Lead collaborations and align across PZN to integrate and A/B test mid\-term signals in various recommendation systems
* Promote and role\-model best practices of ML systems development, testing, evaluation, etc., both inside the team as well as throughout the organization.
 Who You Are
* You have a strong background in machine learning, enjoy applying theory to develop real\-world applications, with expertise in statistics and optimization, especially in sequential models, transformer architecture models, and fine\-tuning processes for sequential models
* You have hands\-on experience with large cross\-collaborative machine learning projects and managing stakeholders
* You have hands\-on experience implementing production machine learning systems at scale in Java, Scala, Python, or similar languages
* Experience with TensorFlow, PyTorch, Scikit\-learn, etc. is a strong plus
* You have some experience with large scale, distributed data processing frameworks/tools like Apache Beam, Apache Spark, or even our open source API for it \- Scio, and cloud platforms like GCP or AWS
* You care about agile software processes, data\-driven development, reliability, and disciplined experimentation.
 Where You'll Be
* We offer you the flexibility to work where you work best! For this role, you can be within the North America region as long as we have a work location.
 The United States base range for this position is $176,166 $251,666 plus equity. The benefits available for this position include health insurance, six month paid parental leave, 401(k) retirement plan, monthly meal allowance, 23 paid days off, 13 paid flexible holidays, paid sick leave. These ranges may be modified in the future.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Find our AI notice here: https://lifeatspotify.com/ai\-notice
 Today, we are the world’s most popular audio streaming subscription service.</t>
        </is>
      </c>
    </row>
    <row r="39">
      <c r="A39" t="inlineStr">
        <is>
          <t>li-4368028976</t>
        </is>
      </c>
      <c r="B39" t="inlineStr">
        <is>
          <t>Senior AI Engineer</t>
        </is>
      </c>
      <c r="C39" t="inlineStr">
        <is>
          <t>WORLDPAC</t>
        </is>
      </c>
      <c r="D39" t="inlineStr">
        <is>
          <t>linkedin</t>
        </is>
      </c>
      <c r="E39" t="inlineStr"/>
      <c r="F39" t="inlineStr"/>
      <c r="G39" t="inlineStr">
        <is>
          <t>Oakbrook Terrace, IL</t>
        </is>
      </c>
      <c r="H39" t="inlineStr"/>
      <c r="I39" t="inlineStr">
        <is>
          <t>We are seeking a technically skilled
 **Senior** 
**AI Engineer** 
 to design, develop, and deploy AI\-powered solutions across our organization. Your work will include building AI chat assistants, integrating AI with databases and business systems, and automating processes to drive efficiency and innovation.
**Key Responsibilities**
* Translate product requirements and user stories into robust AI/ML solutions
* In collaboration with external partners, design, develop, and deploy AI\-powered chat assistants and automation tools for internal teams
* Integrate AI solutions with existing databases, APIs, and business applications
* Build, train, evaluate, and maintain machine learning models, with a focus on production readiness and scalability
* Collaborate with IT and data teams to ensure data quality, security, and compliance
* Document technical designs, code, and deployment processes
* Stay current with advancements in AI/ML technologies and recommend best\-fit solutions
* Provide technical support for deployed AI systems and assist with troubleshooting as needed
**Required Qualifications**
* Bachelor’s degree in computer science, Engineering, Data Science, or a related field; or equivalent combination of education and relevant professional experience
* 6 \- 8 years of hands\-on experience developing and deploying AI/ML solutions in a production environment, with at least 4 years specifically focused on LLM\-based GenAI applications
* Proven experience developing LLM agents using frameworks such as LangChain, AutoGen, or similar orchestration layers
* Proficiency in Python and relevant AI/ML frameworks (e.g., TensorFlow, PyTorch, scikit\-learn)
* Experience with natural language processing (NLP) and building chatbots or conversational AI systems
* Strong knowledge of database systems and data integration
* Experience with cloud platforms (AWS, Azure, GCP) for deploying AI solutions
* Ability to write clean, maintainable, and well\-documented code
* Strong problem\-solving skills and attention to detail
* Experience with MLOps practices and tools for model deployment and monitoring
* Experience working in agile, cross\-functional teams
**Preferred Qualifications**
* Experience with RPA (Robotic Process Automation) tools
* Knowledge of data privacy and security best practice
**Collaboration**
* Work closely with the Product Manager, who will define and prioritize AI projects and features
* Collaborate with IT, data, and business teams to ensure seamless integration and deployment of AI solutions
**Posted Salary Range**
 USD $130,500\.00 \- USD $174,000\.00 /Yr.</t>
        </is>
      </c>
    </row>
    <row r="40">
      <c r="A40" t="inlineStr">
        <is>
          <t>li-4368360051</t>
        </is>
      </c>
      <c r="B40" t="inlineStr">
        <is>
          <t>Lead Data Scientist &amp; Machine Learning Engineer - Databricks ML &amp; Gen AI</t>
        </is>
      </c>
      <c r="C40" t="inlineStr">
        <is>
          <t>ON Data Staffing</t>
        </is>
      </c>
      <c r="D40" t="inlineStr">
        <is>
          <t>linkedin</t>
        </is>
      </c>
      <c r="E40" t="inlineStr"/>
      <c r="F40" t="inlineStr"/>
      <c r="G40" t="inlineStr"/>
      <c r="H40" t="inlineStr"/>
      <c r="I40" t="inlineStr">
        <is>
          <t>ON Data Staffing is currently seeking a talented Lead Data Scientist with expertise in Databricks and GenAI to join our client's remote team in the United States.
 As a key member of our client's Data Science and Machine Learning team, the Databricks ML Engineer will play a crucial role in developing and implementing state\-of\-the\-art machine learning models and algorithms to solve complex business problems. This is an exciting opportunity to work with cutting\-edge technologies and make a significant impact in a fast\-paced, collaborative environment.
 Responsibilities:
* Collaborate with cross\-functional teams to understand business requirements and design scalable machine learning solutions.
* Develop and deploy machine learning models using Databricks ML and other relevant technologies.
* Conduct thorough analysis of large\-scale datasets to extract meaningful insights and drive decision\-making.
* Optimize and fine\-tune machine learning models for performance and accuracy.
* Stay current with the latest advancements in machine learning and data science to continuously improve our capabilities.
 Requirements:
* Bachelor's or Master's degree in Computer Science, Engineering, Mathematics, or related field.
* Proven experience as a Machine Learning Engineer or Data Scientist, with a focus on building and deploying machine learning models.
* Strong proficiency in Databricks ML and other relevant tools such as TensorFlow, PyTorch, or scikit\-learn.
* Solid understanding of machine learning algorithms, statistical modeling, and data preprocessing techniques.
* Experience working with big data technologies such as Apache Spark is a plus.
* Excellent communication and collaboration skills, with the ability to work effectively in a remote team environment.</t>
        </is>
      </c>
    </row>
    <row r="41">
      <c r="A41" t="inlineStr">
        <is>
          <t>li-4368324992</t>
        </is>
      </c>
      <c r="B41" t="inlineStr">
        <is>
          <t>Senior Applied Scientist - Pricing</t>
        </is>
      </c>
      <c r="C41" t="inlineStr">
        <is>
          <t>Coinbase</t>
        </is>
      </c>
      <c r="D41" t="inlineStr">
        <is>
          <t>linkedin</t>
        </is>
      </c>
      <c r="E41" t="inlineStr"/>
      <c r="F41" t="inlineStr"/>
      <c r="G41" t="inlineStr"/>
      <c r="H41" t="inlineStr"/>
      <c r="I41"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Specifically, we’re looking for a Senior Applied Scientist to join our Retail Trading Team. In this role, you’ll take charge of pricing experimentation and play a pivotal role in determining our pricing strategy: you’ll spearhead testing design and analysis, find opportunities to improve engagement and our bottom line, and communicate your ideas to execs and leaders across the company.
**What you’ll be doing (ie. job duties):** 
* Act as a strategic partner and collaborate with cross\-functional stakeholders to develop pricing vision, roadmap and priorities
* Design and develop pricing models and their evaluation framework to determine optimal pricing strategy
* Develop causal models to help isolate the impact of fee changes using experiments and observational data
* Initiate, develop, and maintain data pipelines and data models with outstanding craftsmanship
* Synthesize findings, and recommendations in a clear and concise manner and communicate to senior leadership
**What we look for in you (ie. job requirements):** 
* Demonstration of our core cultural values: clear communication, positive energy, continuous learning, and efficient execution.
* PhD preferred, or a Master’s degree in a field such as Economics or Statistics with 5\+ years of relevant experience.
* Minimum 5 years of experience in pricing experimentation, data analysis and statistical modeling
* Strong proficiency in SQL, Python, R, or other programming languages used for data analysis and statistical modeling
* Ability to independently create plans for analytics projects and a track record of overseeing large / complex analytical projects spanning multiple teams
* Excellent communication and presentation skills with the ability to explain complex data and analysis to non\-technical stakeholders.
* Strong attention to detail and ability to work under tight deadlines
**Nice to haves:** 
* Experience applying causal inference techniques outside of controlled experiments
* Experience working at or on a Crypto\-focused company or at a crypto exchange
*Disclaimer: Applying for a specific role does not guarantee consideration for that exact position. Leveling and team matching are assessed throughout the interview process.* 
 ID: P75771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42">
      <c r="A42" t="inlineStr">
        <is>
          <t>li-4368357621</t>
        </is>
      </c>
      <c r="B42" t="inlineStr">
        <is>
          <t>AI/ML Engineer</t>
        </is>
      </c>
      <c r="C42" t="inlineStr">
        <is>
          <t>HYR Global Source Inc</t>
        </is>
      </c>
      <c r="D42" t="inlineStr">
        <is>
          <t>linkedin</t>
        </is>
      </c>
      <c r="E42" t="inlineStr"/>
      <c r="F42" t="inlineStr"/>
      <c r="G42" t="inlineStr">
        <is>
          <t>Charlotte, NC</t>
        </is>
      </c>
      <c r="H42" t="inlineStr"/>
      <c r="I42" t="inlineStr">
        <is>
          <t>**Position Name : AI/ML Engineer**
**Location: Malvern, PA/ Charlotte, NC/ Dallas, TX
 3 days’ on\-site required in one of these 3 locations**
**Position Type: Fulltime**
 Key Responsibilities
**Responsibilities**
* ore Responsibilities
* 
* Agentic AI \&amp; MCP Integration: Implement agentic frameworks (e.g., LangGraph, AutoGen) and Model Context Protocol (MCP) for secure tool orchestration.
* Generative AI Development: Build LLM\-based applications with RAG, structured output, and evaluation frameworks.
* AWS ML Engineering: Deploy models using SageMaker pipelines, ECS/ECR, Lambda; manage CI/CD and monitoring.
* Security \&amp; Identity: Integrate Okta/JWT token for API and service authentication; enforce token validation and claims.
* Governance : Deliver artifacts required by MDLC/MPLC (Model Documents, Data Dictionary, Monitoring Plan).
* Collaboration: Partner with PO, and business stakeholders to align solutions with objectives.
* Responsibilities
* 
* Design, develop, and optimize complex data pipelines using machine learning engineering best practices to ensure scalability, efficiency, and reliability.
* 
* Develop and implement robust MLOps pipeline to support the deployment, monitoring, and lifecycle management of AI/ML models in production environments.
* 
* Integrate and maintain data and model pipelines, proactively diagnosing data quality issues and documenting assumptions.
* 
* Collaborate closely with data scientists to validate model\-ready datasets and ensure thorough, accurate feature documentation.
* 
* Conduct exploratory data analysis and discovery on raw data sources, incorporating business context to support model development.
* 
* Track data lineage and perform root cause analysis during early\-stage exploration or issue resolution.
* 
* Partner with internal stakeholders to understand business processes and translate them into scalable analytical solutions.
* 
* Develop and maintain model monitoring scripts, investigate alerts, and coordinate timely resolutions.
* 
* Act as a subject matter expert in machine learning engineering on cross\-functional teams, contributing to high\-impact initiatives.
* 
* Stay current with advancements in AI/ML and evaluate their applicability to business challenges.
* Qualifications
* 
* Bachelor’s degree in Computer Science, Engineering, or related field (Master’s preferred).
* 
* 6\+ years of experience across Artificial Intelligence (AI) / Machine Learning (ML) engineering, data engineering, and MLOps implementation, including:
* o Designing and deploying production\-grade ML systems.
* o Building scalable data pipelines and ML workflows.
* o Managing model lifecycle in cloud environments.
* 
* Proficient in Python and familiar with ML frameworks such as TensorFlow, PyTorch, and Scikit\-learn.
* 
* Strong understanding and experience in AWS Machine Learning Stack including:
* o AWS SageMaker
* o AWS Glue
* o AWS Bedrock
* o AWS Data Pipelines
* o AWS Lambda Functions
* 
* Experience with Generative AI model development builing LLM based applications with RAG.
* 
* Experience implementing agentic frameworks (e.g., LangGraph, AutoGen) and Model Context Protocol (MCP) for orchestration.
* 
* Knowledge of React UI, GraphDB, and GenAI model performance evaluation
* 
* Experience with CI/CD, containerization (e.g., Docker), and orchestration tools (e.g., Kubernetes).
* 
* Solid grasp of software engineering principles including testing, version control (e.g., Git), and security.
* 
* Familiarity with the Machine Learning Development Lifecycle (MDLC) and best practices for reproducibility and scalability.
* 
* Strong communication and collaboration skills, with experience working across technical and business teams.
* 
* Ability to anticipate ambiguity and devise scalable solutions to address it.
 Follow us on LinkedIn \- https://www.linkedin.com/company/hyr\-global\-source\-inc</t>
        </is>
      </c>
    </row>
    <row r="43">
      <c r="A43" t="inlineStr">
        <is>
          <t>li-4368354625</t>
        </is>
      </c>
      <c r="B43" t="inlineStr">
        <is>
          <t>Machine Learning Engineer</t>
        </is>
      </c>
      <c r="C43" t="inlineStr">
        <is>
          <t>Knowtion Health</t>
        </is>
      </c>
      <c r="D43" t="inlineStr">
        <is>
          <t>linkedin</t>
        </is>
      </c>
      <c r="E43" t="inlineStr"/>
      <c r="F43" t="inlineStr"/>
      <c r="G43" t="inlineStr">
        <is>
          <t>Boca Raton, FL</t>
        </is>
      </c>
      <c r="H43" t="inlineStr"/>
      <c r="I43" t="inlineStr">
        <is>
          <t>Opening available for a Machine Learning Engineer to develop and enhance existing machine learning models and data solutions using Python, .NET, SAS, SQL Server, and Crystal Reports. Applicants must possess a Master of Science in Data Science and 6 months of experience in developing and enhancing existing machine learning models and data solutions using Python, .NET, SAS, SQL Server, and Crystal Reports. Send resume to RSource, LLC dba Knowtion Health, 433 Plaza Real, Suite 255, Boca Raton, FL 33432\.</t>
        </is>
      </c>
    </row>
    <row r="44">
      <c r="A44" t="inlineStr">
        <is>
          <t>li-4368333163</t>
        </is>
      </c>
      <c r="B44" t="inlineStr">
        <is>
          <t>Machine Learning Engineer</t>
        </is>
      </c>
      <c r="C44" t="inlineStr">
        <is>
          <t>Quora</t>
        </is>
      </c>
      <c r="D44" t="inlineStr">
        <is>
          <t>linkedin</t>
        </is>
      </c>
      <c r="E44" t="inlineStr"/>
      <c r="F44" t="inlineStr"/>
      <c r="G44" t="inlineStr"/>
      <c r="H44" t="inlineStr"/>
      <c r="I44" t="inlineStr">
        <is>
          <t>**About The Company**
 Quora is a privately held, remote\-first technology company dedicated to expanding the world's collective intelligence. Our mission is to foster knowledge sharing and facilitate meaningful connections among people worldwide. We operate two primary platforms: Quora, a global knowledge sharing platform with over 300 million monthly unique visitors, where users can share insights, ask questions, and learn from others across a wide range of topics; and Poe, an innovative AI\-powered platform that provides millions of users with access to a variety of advanced AI language models, including GPT\-5, Claude Sonnet 4\.5, Grok 4, and others. Our company culture emphasizes transparency, collaboration, and experimentation, empowering our teams to innovate and grow together. As a remote\-first organization, we offer flexibility and autonomy to our employees, enabling them to contribute meaningfully from multiple countries around the world. Join us in our journey to create a positive impact and drive technological and social progress through knowledge and AI advancements. For more details regarding employment eligibility by country.
**About The Role**
 We are seeking a talented Machine Learning Engineer to join our Monetization team, working specifically on the Quora product. This role offers the opportunity to tackle challenging problems related to advertising and revenue growth by optimizing our ad platform through advanced machine learning techniques. You will be responsible for managing the entire lifecycle of machine learning models—from data collection and feature engineering to model training, evaluation, and deployment—ensuring seamless integration into our production environment. As part of a highly collaborative and innovative team, you will work closely with cross\-functional partners, including product managers and engineers, to develop next\-generation targeting and bidding solutions that enhance advertiser performance and user experience. This position is ideal for professionals who thrive in a flexible, autonomous environment and are passionate about leveraging AI to solve real\-world problems at scale. Your contributions will directly influence Quora’s revenue streams and strengthen the connection between our users and business offerings, making a significant impact on the company’s growth trajectory.
**Qualifications**
* Bachelor’s or Master’s degree in Computer Science, Data Science, Machine Learning, or a related field
* Proven experience in developing and deploying machine learning models at scale
* Strong programming skills in Python, Java, or similar languages
* Experience with machine learning frameworks such as TensorFlow, PyTorch, or equivalent
* Knowledge of data pipelines, feature engineering, and data management techniques
* Familiarity with scalable ML systems and cloud platforms like AWS, GCP, or Azure
* Excellent problem\-solving skills and the ability to work independently in a remote environment
* Strong communication skills to collaborate effectively across teams
* Availability for meetings and impromptu communication during Quora's “coordination hours”
**Responsibilities**
* Improve existing machine learning systems by applying core coding skills and ML expertise
* Take end\-to\-end ownership of machine learning systems, including data pipelines, feature engineering, candidate extraction, model training, and deployment
* Apply state\-of\-the\-art machine learning algorithms at scale to develop next\-generation targeting and bidding products that influence key company metrics
* Collaborate with ML platform and product engineering teams to build scalable, efficient, and maintainable ML systems in production
* Work closely with product and business teams to develop innovative features aimed at optimizing ad targeting and bidding strategies
* Identify new opportunities for applying machine learning across various parts of the Ads product to generate additional value for users and advertisers
* Monitor and evaluate model performance, continuously iterating to enhance accuracy and efficiency
* Document processes and share insights to foster a culture of continuous learning and improvement
**Benefits**
* Competitive salary and performance\-based incentives
* Flexible remote work arrangements and autonomy in your role
* Comprehensive health, dental, and vision insurance coverage
* Generous paid time off and holiday leave
* Opportunities for professional development and continuous learning
* Inclusive and collaborative company culture that values diversity and innovation
* Access to cutting\-edge AI and machine learning technologies
 Equal Opportunity
 Quora is an equal opportunity employer. We celebrate diversity and are committed to creating an inclusive environment for all employees. We do not discriminate based on race, religion, color, national origin, gender, sexual orientation, age, disability, or any other protected status. All qualified applicants will receive consideration for employment without regard to these factors. We encourage candidates from all backgrounds to apply and join our mission to grow the world's collective intelligence.</t>
        </is>
      </c>
    </row>
    <row r="45">
      <c r="A45" t="inlineStr">
        <is>
          <t>li-4368324645</t>
        </is>
      </c>
      <c r="B45" t="inlineStr">
        <is>
          <t>ML Engineer</t>
        </is>
      </c>
      <c r="C45" t="inlineStr">
        <is>
          <t>Tempus AI</t>
        </is>
      </c>
      <c r="D45" t="inlineStr">
        <is>
          <t>linkedin</t>
        </is>
      </c>
      <c r="E45" t="inlineStr"/>
      <c r="F45" t="inlineStr"/>
      <c r="G45" t="inlineStr"/>
      <c r="H45" t="inlineStr"/>
      <c r="I45" t="inlineStr">
        <is>
          <t>**About The Company**
 Tempus is at the forefront of integrating advanced artificial intelligence into healthcare, aiming to revolutionize patient care through data\-driven insights. Our proprietary platform connects a comprehensive ecosystem of real\-world evidence, including genomics, medical imaging, clinical notes, and other biomedical data, to deliver real\-time, actionable insights to physicians. By harnessing the power of cutting\-edge AI technology, we enable personalized treatment plans, optimize clinical workflows, and accelerate medical research, ultimately improving patient outcomes worldwide.
**About The Role**
 We are seeking a highly experienced Staff Machine Learning Engineer specializing in large\-scale multimodal model systems engineering to join our innovative AI team. In this pivotal role, you will be responsible for designing, building, and maintaining the foundational data infrastructure that supports Tempus’s most advanced generative AI models. Your expertise will directly contribute to developing systems capable of analyzing complex, heterogeneous data types such as genomics, pathology images, radiology scans, and clinical notes. This position offers a unique opportunity to impact healthcare profoundly by enabling robust AI models that facilitate better diagnosis, treatment, and research.
 The ideal candidate will possess a strong background in data engineering, distributed systems, and machine learning infrastructure, with a focus on large\-scale multimodal data processing. Collaborating closely with cross\-functional teams, including research scientists, platform engineers, and clinicians, you will ensure the seamless ingestion, processing, and retrieval of vast datasets. Your work will be critical in establishing scalable, secure, and efficient data pipelines that underpin our AI models, supporting ongoing innovation in healthcare technology.
**Qualifications**
* Master’s degree or higher in Computer Science, Artificial Intelligence, Software Engineering, or related fields (PhD preferred).
* Minimum of 8\+ years of industry experience in designing, building, and operating large\-scale data pipelines and infrastructure.
* Proven expertise working with massive, heterogeneous datasets (terabytes\+) and modern distributed data processing frameworks such as Apache Spark, Ray, or Dask.
* Hands\-on experience with large\-scale ML data handling tools like Hugging Face Datasets, MosaicML Streaming, WebDataset, or Petastorm.
* Strong programming skills in Python and familiarity with MLOps platforms such as MLflow, Kubeflow, or SageMaker Pipelines.
* Deep understanding of data challenges associated with training large models, including foundation models, LLMs, and multimodal systems.
* Experience in developing and optimizing data ingestion strategies from various sources, including biomedical literature, knowledge graphs, and proprietary databases.
* Excellent leadership, communication, and collaboration skills, with a proven ability to mentor junior engineers and work effectively across multidisciplinary teams.
**Responsibilities**
* Architect and develop sophisticated data processing workflows for multimodal training data, ensuring compatibility with distributed ML training frameworks and GPU clusters.
* Design and implement strategies for efficient, compliant data ingestion from diverse sources, including internal databases, third\-party APIs, and public biomedical datasets.
* Optimize data storage solutions to facilitate large\-scale training and knowledge access, balancing cost, performance, and security considerations.
* Develop and maintain connectors and data loaders for accessing knowledge graphs, biomedical literature, and curated ontologies.
* Collaborate with infrastructure teams to leverage cloud\-native services on GCP, ensuring high performance, scalability, and security.
* Monitor, troubleshoot, and improve complex data workflows using tools like Airflow and Kubeflow Pipelines, ensuring robustness and reliability.
* Implement monitoring, logging, and alerting systems to detect data drift, quality issues, and pipeline failures, enabling continuous improvement.
* Analyze data I/O performance bottlenecks and implement solutions to optimize throughput and reduce latency.
* Manage cloud storage and processing costs effectively while maintaining high data processing standards.
**Benefits**
* Competitive salary aligned with experience and location.
* Comprehensive health, dental, and vision insurance plans.
* Incentive compensation and restricted stock units (RSUs).
* Flexible work arrangements, including remote options.
* Generous paid time off and holidays.
* Opportunities for professional development and continuous learning.
* Collaborative and innovative work environment focused on impactful healthcare solutions.
 Equal Opportunity
 Tempus is an equal opportunity employer. We celebrate diversity and are committed to creating an inclusive environment for all employees. We do not discriminate based on race, religion, color, national origin, gender, sexual orientation, age, marital status, veteran status, or disability. We believe that diverse perspectives foster innovation and are essential to our mission of transforming healthcare through data and AI.</t>
        </is>
      </c>
    </row>
    <row r="46">
      <c r="A46" t="inlineStr">
        <is>
          <t>li-4368011794</t>
        </is>
      </c>
      <c r="B46" t="inlineStr">
        <is>
          <t>ML Engineer</t>
        </is>
      </c>
      <c r="C46" t="inlineStr">
        <is>
          <t>Crossing Hurdles</t>
        </is>
      </c>
      <c r="D46" t="inlineStr">
        <is>
          <t>linkedin</t>
        </is>
      </c>
      <c r="E46" t="inlineStr"/>
      <c r="F46" t="inlineStr"/>
      <c r="G46" t="inlineStr"/>
      <c r="H46" t="inlineStr"/>
      <c r="I46" t="inlineStr">
        <is>
          <t>Crossing Hurdles is a global recruitment firm partnering with a fast\-growing AI\-powered recruiting marketplace modernizing how companies hire. Backed by top\-tier investors and trusted by industry leaders like Palantir, Shopify, and Coinbase, is building the first end\-to\-end AI recruiting marketplace that combines specialized recruiters with AI agents to help companies hire faster and more accurately.
**Role:** 
 ML Engineer
**YOE:** 
 4\+ years of experience in data engineering, deploying security\-sage ML solutions
**Location:** 
 Washington DC, DMV Area \| Hybrid
**Compensation:** 
 $150K – $215K
**Roles \&amp; Responsibilities**
* Lead enhancements to the Virtualitics AI Platform to ensure innovation, performance, and reliability.
* Build and maintain interactive dashboards using the Virtualitics Python SDK.
* Optimize data pipelines and access patterns for scalability and efficiency.
* Troubleshoot performance issues to ensure low latency and high availability.
* Design scalable, production\-ready AI solutions.
* Collaborate with engineering and product teams to deploy ML models.
* Contribute across ML, data engineering, and software development.
**Requirements**
* 4\+ years of experience in data engineering, deploying security\-sage ML solutions
* Willingness and eligibility to obtain U.S. Government security clearance
* CS degree from top 100 schools
* Strong programming skills in Python(panda) and experience with ML libraries such as PyTorch, TensorFlow, and scikit\-learn
* Hands\-on experience building, training, evaluating, and deploying machine learning models into production
* Understanding of data engineering concepts including data pipelines, ETL workflows, and optimizing data access patterns
**Why Candidate Should Join**
* Work on cutting\-edge AI and GenAI systems using LLMs, Reinforcement Learning, and modern ML frameworks in production environments.
* Own ML features end to end, from experimentation and training to deployment and optimization.
* Deliver high\-impact work that directly influences users and business outcomes.
* Learn and grow quickly while deepening expertise in applied ML and scalable AI systems.
* Thrive in a flexible, modern work environment that values autonomy and results.</t>
        </is>
      </c>
    </row>
    <row r="47">
      <c r="A47" t="inlineStr">
        <is>
          <t>li-4368311962</t>
        </is>
      </c>
      <c r="B47" t="inlineStr">
        <is>
          <t>Senior Machine Learning Engineer - Ads</t>
        </is>
      </c>
      <c r="C47" t="inlineStr">
        <is>
          <t>Uber</t>
        </is>
      </c>
      <c r="D47" t="inlineStr">
        <is>
          <t>linkedin</t>
        </is>
      </c>
      <c r="E47" t="inlineStr"/>
      <c r="F47" t="inlineStr"/>
      <c r="G47" t="inlineStr">
        <is>
          <t>New York, NY</t>
        </is>
      </c>
      <c r="H47" t="inlineStr"/>
      <c r="I47" t="inlineStr">
        <is>
          <t>**About The Role**
 The Ads Machine Learning (Ads ML) team at Uber is responsible for providing relevant ad recommendations to the users across the different applications within the Uber ecosystem. We focus on building a deep understanding of both user and merchant behavior to generate accurate ML signals that enhance the Ads auction system providing accurate pricing for our advertisers. Our goal is to maximize the benefits for both users and merchants within Uber's Ads distribution system.
 You will directly impact Uber's Ads systems by defining and executing the Ads ML roadmap, with a focus on enabling and accelerating large\-scale improvements to our recommendation and auction systems. Developing relevant, robust, and observable ad recommendations is crucial to Uber's fast growing Ads Business strategy, making this a highly impactful role.
* What the Candidate Will Do \-\-\-\-
* Design and implement machine learning models and algorithms to optimize ad recommendations and auction mechanisms.
* Develop and maintain scalable ML pipelines and data infrastructure to support real\-time and batch processing of large\-scale datasets.
* Apply advanced statistical and machine learning techniques to generate insights and improve the effectiveness of ad targeting and delivery.
* Collaborate with data scientists and engineers to build and refine predictive models that enhance user engagement and merchant benefits.
* Conduct rigorous experimentation and A/B testing to validate model performance and iterate on improvements.
* Define success metrics and develop dashboards to monitor and visualize the performance of ML models in production.
* Work closely with cross\-functional teams, including Product, Engineering, and Data Science, to translate business requirements into ML solutions.
* Mentor and provide technical guidance to junior ML engineers and data scientists.
* Stay up\-to\-date with the latest research and advancements in machine learning, recommendation systems, and ad auction techniques.
* Basic Qualifications \-\-\-\-
* Bachelor's degree or equivalent experience in Computer Science, Computer Engineering, Data Science, ML, Statistics, or other quantitative fields.
* Proven experience with designing and implementing machine learning models in production environments.
* Proficiency in using Python for developing ML models and handling large\-scale data sets.
* Solid understanding of SQL and experience using it in a production environment.
* Strong grasp of Big Data architecture and experience with ETL frameworks and platforms.
* Hands\-on experience with building batch data pipelines using technologies like Spark or other map\-reduce frameworks.
* Expertise in experimental design and analysis, including A/B testing, exploratory data analysis, and statistical analysis.
* Experience with data visualization tools and creating insightful dashboards.
* Proficiency with methodologies such as sampling, statistical estimates, and descriptive statistics.
* Ability to synthesize complex data analyses into clear and actionable insights to influence product direction.
* Experience with recommendation systems.
* Fast learner with a passion for solving complex problems and asking thoughtful questions to ensure effective solutions.
* Strong communication skills to engage with technical, non\-technical, and executive audiences effectively.
* Commitment to seeking and providing timely feedback to drive continuous improvement.
* Preferred Qualifications \-\-\-\-
* 5 years of industry experience as an ML engineer or equivalent.
* Expertise in building sophisticated systems and knowledge of Hadoop\-related technologies such as HDFS, Kafka, Hive, and Presto.
* Experience managing projects across large, ambiguous scopes and driving initiatives in a fast\-moving, cross\-functional environment.
* Experience with enabling production\-scale and maintaining large ML models.
* Experience in one or more object\-oriented programming languages (e.g. Python, Go, Java, C\+\+).
* Experience with REST APIs and Distributed Messaging / Kafka.
* Familiarity with recommendation systems and modern ad auction techniques.
* Experience with ad auctioning systems.
* Experience with state\-of\-the\-art deep learning techniques.
* Advanced degree (Ph.D. or M.S.) in Data Science, ML, or related disciplines.
 For New York, NY\-based roles: The base salary range for this role is USD$202,000 per year \- USD$224,000 per year. For San Francisco,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USD$202,000 per year \- USD$224,000 per year. For San Francisco,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48">
      <c r="A48" t="inlineStr">
        <is>
          <t>li-4368032621</t>
        </is>
      </c>
      <c r="B48" t="inlineStr">
        <is>
          <t>AI/ML Engineer</t>
        </is>
      </c>
      <c r="C48" t="inlineStr">
        <is>
          <t>Apexon</t>
        </is>
      </c>
      <c r="D48" t="inlineStr">
        <is>
          <t>linkedin</t>
        </is>
      </c>
      <c r="E48" t="inlineStr"/>
      <c r="F48" t="inlineStr"/>
      <c r="G48" t="inlineStr"/>
      <c r="H48" t="inlineStr"/>
      <c r="I48" t="inlineStr">
        <is>
          <t>Role Overview
 We are seeking an experienced AI/ML Engineer with strong expertise in Large Language Models (LLMs), Conversational AI systems, and Model Context Protocol (MCP). The role focuses on designing, building, and optimizing intelligent, scalable AI systems that power chatbots, copilots, and enterprise AI solutions.
 Key Responsibilities
 • Design, develop, and deploy AI/ML models with a focus on LLMs and Generative AI
 • Build and optimize Conversational AI systems (chatbots, virtual assistants, AI agents)
 • Implement LLM fine\-tuning, prompt engineering, RAG (Retrieval Augmented Generation), and evaluation pipelines
 • Develop and integrate MCP\-based architectures to manage context, tools, memory, and agent workflows
 • Work with vector databases (Pinecone, FAISS, Weaviate, Chroma)
 • Integrate LLMs with enterprise systems, APIs, and third\-party tools
 • Ensure model performance, scalability, security, and responsible AI usage
 • Collaborate with product, UX, and engineering teams to translate business requirements into AI solutions
 • Monitor, test, and continuously improve model accuracy and response quality
 Required Skills \&amp; Qualifications
 • Strong experience in Python and ML frameworks (PyTorch, TensorFlow)
 • Hands\-on experience with LLMs (OpenAI, Azure OpenAI, Anthropic, Google Gemini, open\-source models)
 • Expertise in Conversational AI platforms and frameworks (LangChain, LlamaIndex, Semantic Kernel)
 • Solid understanding of MCP (Model Context Protocol) concepts:
 o Context management
 o Tool calling
 o Memory handling
 o Agent orchestration
 • Experience with NLP techniques, embeddings, and semantic search
 • Familiarity with cloud platforms (AWS, GCP, Azure)
 • Experience with REST APIs, microservices, and containerization (Docker/Kubernetes)
 Good to Have
 • Experience with multi\-agent systems
 • Knowledge of speech\-to\-text / text\-to\-speech pipelines
 • Exposure to MLOps tools (MLflow, Kubeflow, CI/CD for ML)
 • Healthcare, FinTech, or enterprise\-domain AI experience
 • Understanding of AI governance, privacy, and compliance
 Educational Background
 • Bachelor’s or Master’s degree in Computer Science, AI/ML, Data Science, or related field
 • Equivalent practical experience is acceptable</t>
        </is>
      </c>
    </row>
    <row r="49">
      <c r="A49" t="inlineStr">
        <is>
          <t>li-4357463358</t>
        </is>
      </c>
      <c r="B49" t="inlineStr">
        <is>
          <t>ML Engineer</t>
        </is>
      </c>
      <c r="C49" t="inlineStr">
        <is>
          <t>Blue Signal Search</t>
        </is>
      </c>
      <c r="D49" t="inlineStr">
        <is>
          <t>linkedin</t>
        </is>
      </c>
      <c r="E49" t="inlineStr"/>
      <c r="F49" t="inlineStr"/>
      <c r="G49" t="inlineStr">
        <is>
          <t>New York, NY</t>
        </is>
      </c>
      <c r="H49" t="inlineStr"/>
      <c r="I49" t="inlineStr">
        <is>
          <t>**ML Engineer** 
***Location:***
*New York City, NY* 
 A stealth\-mode creative intelligence lab is pioneering a new frontier in AI and creativity—developing the world’s first system engineered for superhuman creative output. They're assembling an elite team of founding engineers to bring this vision to life. Backed by industry leaders and top\-tier investors, this venture combines cutting\-edge research, system design, and product engineering to shape the future of generative media.
 They’re seeking a Machine Learning Engineer – Creative Systems Architect to help transform novel research into production\-grade tools used across video, design, and storytelling applications. This is a rare opportunity to play a defining role at the ground floor of a deeply mission\-driven company.
**Key Responsibilities** 
* Build and scale ML systems from early prototypes to production\-ready creative applications.
* Design inference pipelines that integrate video, text, image, audio, and 3D content into dynamic multimodal outputs.
* Implement low\-latency serving strategies and progressive rendering for real\-time interactivity.
* Optimize models using quantization, memory management, and distributed architecture for high\-frequency use cases.
* Engineer backend systems capable of handling billions of requests while maintaining high fidelity and responsiveness.
* Collaborate cross\-functionally to ensure artistic direction is embedded into system feedback loops.
**What We’re Looking For** 
* Proven experience in deep learning system architecture, especially with PyTorch or JAX.
* Strong foundation in ML design, training workflows, and model evaluation best practices.
* Demonstrated success turning experimental ML models into high\-performance, user\-facing applications.
* Broad familiarity with ML literature, with interest beyond just generative models.
* Ownership mindset, comfort with ambiguity, and desire to solve tough technical problems that don't yet have playbooks.
**Ideal Candidate Traits** 
* Builder DNA: track record of hands\-on creation from scratch, not just iteration.
* Mission alignment: excited about using AI to unlock new forms of human creativity.
* Long\-term mindset: motivated by equity ownership and the impact of their contributions, not just cash comp.
* Open to relocation to NYC and ready to operate in a high\-energy, startup environment.
**Compensation \&amp; Perks** 
* Competitive Base Salary
* Equity: Founding\-level ownership
* Sponsorship: O\-1/EB\-1 visa sponsorship available for top\-tier international talent
* Tools: Access to large\-scale GPU clusters for experimentation and deployment
 This team is selective, with a bias toward ambition, originality, and execution over pedigree. If you’re passionate about creative problem solving and believe in the potential of AI as a co\-creator, this may be the most meaningful work you’ll ever do.
**About Blue Signal:** 
 Blue Signal is a leading executive search firm, specializing in engineering recruitment. Our engineering recruiting team has expertise placing high\-performing talent in areas such as electrical, mechanical, civil, and telecom engineering. Learn more at
 **bit.ly/46IAFRJ**</t>
        </is>
      </c>
    </row>
    <row r="50">
      <c r="A50" t="inlineStr">
        <is>
          <t>li-4299470604</t>
        </is>
      </c>
      <c r="B50" t="inlineStr">
        <is>
          <t>Machine Learning Engineer - Infra</t>
        </is>
      </c>
      <c r="C50" t="inlineStr">
        <is>
          <t>Genentech</t>
        </is>
      </c>
      <c r="D50" t="inlineStr">
        <is>
          <t>linkedin</t>
        </is>
      </c>
      <c r="E50" t="inlineStr"/>
      <c r="F50" t="inlineStr"/>
      <c r="G50" t="inlineStr">
        <is>
          <t>South San Francisco, CA</t>
        </is>
      </c>
      <c r="H50" t="inlineStr"/>
      <c r="I50"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Roche's AI for Drug Discovery (AIDD) group (Prescient Design), we are revolutionizing drug discovery with cutting\-edge machine learning techniques. We are seeking a highly motivated and skilled ML Engineer to join our growing team within Genentech Research and Early Development AI Drug Development (gRED AIDD). This role is crucial for enhancing the core features that power our machine learning initiatives. The ideal candidate will have deep experience building scalable software and infrastructure, while consistently adhering to corporate standards and best practices.
**What You'll Do**
* Design, implement, and maintain scalable and reliable ML infrastructure, leading the architecture and delivery of significant technical solutions.
* Proactively identify and solve complex, often cross\-functional, technical problems within the ML infrastructure domain.
* Collaborate closely with ML engineers and data scientists to understand and address their infrastructure needs.
* Document infrastructure designs, processes, and operational procedures.
* Mentor junior engineers and drive technical alignment and influence across teams.
**Who You Are**
* Proven experience designing, deploying, and managing infrastructure on AWS (EC2, S3, RDS, etc.).
* Proficiency in scripting languages (e.g., Python) and compiled languages (e.g., C\+\+, Go, Rust).
* Strong experience with Git and repository management.
* Demonstrated ability to lead technical projects from conception to completion and deliver high\-quality, scalable, and reliable software.
* Excellent problem\-solving skills and a proactive attitude, with the ability to anticipate needs and drive projects to completion.
* Strong communication and interpersonal skills to effectively collaborate with cross\-functional teams and influence technical decisions.
* Ability to thrive in a fast\-paced environment and adapt to evolving requirements while adhering to corporate guidelines.
**Preferred**
* Extensive experience with large\-scale ML model platforms and tools.
* Deep understanding and experience with PyTorch implementation, especially regarding scaling inference performance.
* A history of significant contributions to open\-source projects or industry standards.
 Relocation benefits are available for this job posting
 The expected salary range for this position, based on the primary location of California, is $147,600 \- 274,000\.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51">
      <c r="A51" t="inlineStr">
        <is>
          <t>li-4366898356</t>
        </is>
      </c>
      <c r="B51" t="inlineStr">
        <is>
          <t>AI/ML Engineer – (Next-Generation AI Platforms &amp; Workloads)</t>
        </is>
      </c>
      <c r="C51" t="inlineStr">
        <is>
          <t>VeeAR Projects Inc.</t>
        </is>
      </c>
      <c r="D51" t="inlineStr">
        <is>
          <t>linkedin</t>
        </is>
      </c>
      <c r="E51" t="inlineStr"/>
      <c r="F51" t="inlineStr"/>
      <c r="G51" t="inlineStr">
        <is>
          <t>Sunnyvale, CA</t>
        </is>
      </c>
      <c r="H51" t="inlineStr"/>
      <c r="I51" t="inlineStr">
        <is>
          <t>**Role Overview** 
 As a core member of our AI engineering team, you will design, develop, and optimize cutting\-edge AI models and workloads that run natively on our high\-performance GPU clusters. Leverage our SOTA infrastructure to train, fine\-tune, and serve massive\-scale models at unprecedented efficiency. Collaborate across infrastructure, product, and research teams to align hardware capabilities with real\-world AI demands, driving breakthroughs in performance, scalability, and innovation.
**Key Responsibilities** 
* Design, implement, and train state\-of\-the\-art ML models for high\-impact applications (e.g., NLP, Computer Vision, Network Optimization).
* Optimize AI workloads for extreme performance and scalability on large\-scale GPU systems like GB200 NVL72, using tools such as Dynamo, vLLM, and advanced inference engines.
* Partner with cross\-functional teams to co\-design hardware\-software solutions that maximize AI processing efficiency.
* Build robust tools, data pipelines, evaluation frameworks, and deployment systems.
* Track and incorporate the latest AI research and technological advancements.
* Contribute to product requirements (PRDs) and agile execution (sprint planning and delivery).
* Champion a culture of humility, bold innovation, and high\-velocity product delivery.
**Minimum Qualifications** 
* Bachelor's degree in Computer Science, Electrical Engineering, Mathematics, Statistics, or a related technical field.
* 3\+ years of hands\-on experience in machine learning, deep learning, and software engineering.
* Proficiency in Python; experience with C/C\+\+.
* Strong working knowledge of major AI/ML frameworks (PyTorch, TensorFlow, JAX, or similar).
* Solid foundation in data structures, algorithms, and software design principles.
**Preferred Qualifications** 
* Master's or PhD in Computer Science, AI/ML, or a related discipline.
* Experience with Large Language Models (LLMs), Generative AI, or Computer Vision.
* Familiarity with distributed training frameworks and techniques (e.g., Ray, DeepSpeed, Megatron\-LM).
* Proven expertise optimizing models for GPU inference (e.g., TensorRT, Triton Inference Server).
* Knowledge of MLOps tools and practices (Kubeflow, MLflow, etc.).</t>
        </is>
      </c>
    </row>
    <row r="52">
      <c r="A52" t="inlineStr">
        <is>
          <t>li-4358362942</t>
        </is>
      </c>
      <c r="B52" t="inlineStr">
        <is>
          <t>AI Engineer</t>
        </is>
      </c>
      <c r="C52" t="inlineStr">
        <is>
          <t>OATI</t>
        </is>
      </c>
      <c r="D52" t="inlineStr">
        <is>
          <t>linkedin</t>
        </is>
      </c>
      <c r="E52" t="inlineStr"/>
      <c r="F52" t="inlineStr"/>
      <c r="G52" t="inlineStr">
        <is>
          <t>Bloomington, MN</t>
        </is>
      </c>
      <c r="H52" t="inlineStr"/>
      <c r="I52" t="inlineStr">
        <is>
          <t>The Open Access Technology International (OATI) is seeking highly motivated individuals to join our team of AI Engineers focused on power systems. This is a fantastic opportunity to gain practical experience working on real\-world AI applications alongside leading experts in the energy sector. The starting salary for this role ranges from $100k \- $150k per year, commensurate with experience.
 Our team is tackling critical challenges in electric power system operations using Artificial Intelligence.
**Responsibilities:** 
* Conduct research and development on specific AI problems critical to power system operations, leveraging OATI's vast datasets spanning decades (e.g., forecasting load, wholesale electricity market prices, renewable energy generation; optimizing grid reliability, resiliency, and stability; signature analysis and anomaly detection).
* Design, build, and deploy agentic AI systems using frameworks such as LangChain, LangGraph and related agentic libraries.
* Implement and optimize retrieval\-augmented generation (RAG) pipelines ensuring agents can access and incorporate external knowledge sources for grounded, accurate responses.
* Fine\-tune and prompt\-engineer LLMs for task\-specific reasoning, planning and dynamic adaptation.
* Lead the development of enterprise\-grade AI platform that integrates advanced generative AI and LLM technologies.
* Design, build and fine\-tune large foundation AI models (e.g., LLMs, multimodal models) for the energy domain.
* Develop and deploy agentic AI systems capable of autonomous decision\-making and multi\-agent collaboration.
* Build and optimize neural network models tailored to use cases in the energy/power systems industry ensuring high performance and scalability.
* Implement and standardize Model Context Protocol based communication to ensure consistent context management across AI models and agents.
* Establish and enforce best practices for MLOps, model monitoring and observability to ensure robust, scalable and maintainable AI solutions
* Develop and implement machine learning models using popular frameworks (e.g., TensorFlow, PyTorch) to analyze and extract meaningful insights from power system data.
* Participate in the full research cycle, including literature review, data exploration, experimentation, analysis and presentation of findings.
* Collaborate effectively with other researchers, engineers and data scientists.
* Contribute to the development and documentation of technical code.
**Qualifications:** 
**Education:** 
 Bachelor’s or Master’s degree in Computer Science, Artificial Intelligence, Machine Learning, or a related field; PhD preferred.
**Technical Skills:** 
* 3\+ years building and deploying AI\-powered systems using LLMs, RAG and agentic architectures
* Solid Python programming skills and experience with modern AI/ML libraries.
* Advanced knowledge of LLMs, including fine\-tuning, prompt engineering, and evaluation
* Proven experience implementing RAG systems and integrating vector databases or external knowledge stores.
* Proven experience in building and fine\-tuning foundation models (e.g., LLMs, vision transformers, multimodal models) for different domains (such as energy, healthcare, finance, etc.).
* Past experience in implementing association rule mining algorithms to uncover patterns and relationships within large and diverse datasets,
* Past experience in building similarity search pipelines using vector representations to enable accurate ranking and retrieval based on multidimensional feature similarity.
* Deep knowledge of agentic AI frameworks and multi\-agent system design.
* Proven ability to design and implement multi\-agent systems and agent\-to\-agent communication
* Strong background in neural network architectures, including transformers and other models.
* Strong background in advanced mathematics and statistics for model optimization and validation
* Familiarity of Model Context Protocol and best practices for managing AI model context and state.
* Proficiency in Python and relevant AI/ML frameworks such as TensorFlow or PyTorch.
* Excellent problem\-solving skills and ability to communicate complex AI concepts to technical and non\-technical stakeholders.
* Strong foundation in machine learning concepts, including algorithms (e.g., deep learning, reinforcement learning) and statistical methods.
* Experience with AI system security, compliance, and ethical AI considerations.
* Knowledge of natural language processing (NLP) pipelines and data engineering.
* Familiarity with conversational AI and chat bot frameworks.
* Familiarity with version control systems like Git.
* Familiarity with SQL and No\-SQL database engines is a plus.
**Research and Project Experience:** 
* Experience conducting independent research or working on AI\-related projects.
* (For Ph.D. students) A strong publication record demonstrating research experience.
* (For Master's students) Experience conducting independent research or working on AI\-related projects.
**Other Skills:** 
* Excellent analytical and problem\-solving skills with the ability to tackle complex problems.
* Strong communication skills to present research findings and collaborate effectively within a team
* Ability to work independently and manage time effectively.
* A passion for research and development in the field of AI and a strong interest in the power sector.
**Benefits:** 
* Gain valuable experience working on real\-world AI projects with a significant impact on the future of power systems.
* Work alongside leading experts in AI and the energy sector.
* Potential for co\-authorship on research publications (depending on contribution).
* Opportunity to develop your research skills and expertise in a rapidly evolving field.
* Be part of a dynamic and collaborative research team working on a critical global challenge.</t>
        </is>
      </c>
    </row>
    <row r="53">
      <c r="A53" t="inlineStr">
        <is>
          <t>li-4368364532</t>
        </is>
      </c>
      <c r="B53" t="inlineStr">
        <is>
          <t>Senior Machine Learning Engineer</t>
        </is>
      </c>
      <c r="C53" t="inlineStr">
        <is>
          <t>kadence</t>
        </is>
      </c>
      <c r="D53" t="inlineStr">
        <is>
          <t>linkedin</t>
        </is>
      </c>
      <c r="E53" t="inlineStr"/>
      <c r="F53" t="inlineStr"/>
      <c r="G53" t="inlineStr">
        <is>
          <t>San Carlos, CA</t>
        </is>
      </c>
      <c r="H53" t="inlineStr"/>
      <c r="I53" t="inlineStr">
        <is>
          <t>**Company Overview** 
 A fast\-growing voice AI startup building human\-like AI agents that handle sales, support, and logistics calls at scale. With strong revenue traction and a small, high\-caliber team, the company is expanding beyond individual agents to reimagine the entire contact center as a coordinated team of AI workers.
**Responsibilities** 
* Own model performance end to end from training pipelines through post deployment monitoring in real world systems
* Fine tune large language models and audio models for real time, production grade voice AI use cases
* Design evaluation datasets, define rigorous metrics, and benchmark model performance across high impact tasks
* Deploy models into latency sensitive, high traffic environments and ensure reliability at scale
* Build systems to monitor live model performance, diagnose issues, and drive continuous improvements
* Develop scalable pipelines for structured human evaluation and integrate feedback into model iteration
* Partner closely with engineering to productionize models and improve inference speed and efficiency
* Design and maintain ML infrastructure that enables rapid experimentation, robust training, and continuous deployment
* Contribute to technical direction and ML strategy as an early member of a high ownership team
**Qualifications** 
* Proven experience training, shipping, and maintaining machine learning models in production environments
* Hands on experience with large language models, speech models, or audio related ML systems strongly preferred
* Strong proficiency in Python and modern ML frameworks such as PyTorch
* Experience building training pipelines, evaluation frameworks, and performance benchmarks
* Familiarity with deploying models in real time or latency sensitive systems is a major plus
* Ability to balance research quality with practical production constraints</t>
        </is>
      </c>
    </row>
    <row r="54">
      <c r="A54" t="inlineStr">
        <is>
          <t>li-4368314899</t>
        </is>
      </c>
      <c r="B54" t="inlineStr">
        <is>
          <t>Senior Machine Learning Engineer - Ads</t>
        </is>
      </c>
      <c r="C54" t="inlineStr">
        <is>
          <t>Uber</t>
        </is>
      </c>
      <c r="D54" t="inlineStr">
        <is>
          <t>linkedin</t>
        </is>
      </c>
      <c r="E54" t="inlineStr"/>
      <c r="F54" t="inlineStr"/>
      <c r="G54" t="inlineStr">
        <is>
          <t>San Francisco, CA</t>
        </is>
      </c>
      <c r="H54" t="inlineStr"/>
      <c r="I54" t="inlineStr">
        <is>
          <t>**About The Role**
 The Ads Machine Learning (Ads ML) team at Uber is responsible for providing relevant ad recommendations to the users across the different applications within the Uber ecosystem. We focus on building a deep understanding of both user and merchant behavior to generate accurate ML signals that enhance the Ads auction system providing accurate pricing for our advertisers. Our goal is to maximize the benefits for both users and merchants within Uber's Ads distribution system.
 You will directly impact Uber's Ads systems by defining and executing the Ads ML roadmap, with a focus on enabling and accelerating large\-scale improvements to our recommendation and auction systems. Developing relevant, robust, and observable ad recommendations is crucial to Uber's fast growing Ads Business strategy, making this a highly impactful role.
* What the Candidate Will Do \-\-\-\-
* Design and implement machine learning models and algorithms to optimize ad recommendations and auction mechanisms.
* Develop and maintain scalable ML pipelines and data infrastructure to support real\-time and batch processing of large\-scale datasets.
* Apply advanced statistical and machine learning techniques to generate insights and improve the effectiveness of ad targeting and delivery.
* Collaborate with data scientists and engineers to build and refine predictive models that enhance user engagement and merchant benefits.
* Conduct rigorous experimentation and A/B testing to validate model performance and iterate on improvements.
* Define success metrics and develop dashboards to monitor and visualize the performance of ML models in production.
* Work closely with cross\-functional teams, including Product, Engineering, and Data Science, to translate business requirements into ML solutions.
* Mentor and provide technical guidance to junior ML engineers and data scientists.
* Stay up\-to\-date with the latest research and advancements in machine learning, recommendation systems, and ad auction techniques.
* Basic Qualifications \-\-\-\-
* Bachelor's degree or equivalent experience in Computer Science, Computer Engineering, Data Science, ML, Statistics, or other quantitative fields.
* Proven experience with designing and implementing machine learning models in production environments.
* Proficiency in using Python for developing ML models and handling large\-scale data sets.
* Solid understanding of SQL and experience using it in a production environment.
* Strong grasp of Big Data architecture and experience with ETL frameworks and platforms.
* Hands\-on experience with building batch data pipelines using technologies like Spark or other map\-reduce frameworks.
* Expertise in experimental design and analysis, including A/B testing, exploratory data analysis, and statistical analysis.
* Experience with data visualization tools and creating insightful dashboards.
* Proficiency with methodologies such as sampling, statistical estimates, and descriptive statistics.
* Ability to synthesize complex data analyses into clear and actionable insights to influence product direction.
* Experience with recommendation systems.
* Fast learner with a passion for solving complex problems and asking thoughtful questions to ensure effective solutions.
* Strong communication skills to engage with technical, non\-technical, and executive audiences effectively.
* Commitment to seeking and providing timely feedback to drive continuous improvement.
* Preferred Qualifications \-\-\-\-
* 5 years of industry experience as an ML engineer or equivalent.
* Expertise in building sophisticated systems and knowledge of Hadoop\-related technologies such as HDFS, Kafka, Hive, and Presto.
* Experience managing projects across large, ambiguous scopes and driving initiatives in a fast\-moving, cross\-functional environment.
* Experience with enabling production\-scale and maintaining large ML models.
* Experience in one or more object\-oriented programming languages (e.g. Python, Go, Java, C\+\+).
* Experience with REST APIs and Distributed Messaging / Kafka.
* Familiarity with recommendation systems and modern ad auction techniques.
* Experience with ad auctioning systems.
* Experience with state\-of\-the\-art deep learning techniques.
* Advanced degree (Ph.D. or M.S.) in Data Science, ML, or related disciplines.
 For New York, NY\-based roles: The base salary range for this role is USD$202,000 per year \- USD$224,000 per year. For San Francisco,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USD$202,000 per year \- USD$224,000 per year. For San Francisco,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55">
      <c r="A55" t="inlineStr">
        <is>
          <t>li-4367898920</t>
        </is>
      </c>
      <c r="B55" t="inlineStr">
        <is>
          <t>AI Engineer</t>
        </is>
      </c>
      <c r="C55" t="inlineStr">
        <is>
          <t>Insight Global</t>
        </is>
      </c>
      <c r="D55" t="inlineStr">
        <is>
          <t>linkedin</t>
        </is>
      </c>
      <c r="E55" t="inlineStr"/>
      <c r="F55" t="inlineStr"/>
      <c r="G55" t="inlineStr"/>
      <c r="H55" t="inlineStr"/>
      <c r="I55" t="inlineStr">
        <is>
          <t>12 Month Contract\-To\-Hire : W2
 Fully Remote
**Required Qualifications:** 
* Node.js/TypeScript: 5\+ years, async patterns, generics, functional programming
* AI/LLM: Production experience, prompt engineering, tool use/function calling
* AWS: Bedrock, DynamoDB, Redis, PostgreSQL, IAM
* Testing: Jest, integration testing, TDD mindset Strongly Preferred
* Advanced AI: Multi\-agent orchestration, safety guardrails, LLM\-as\-judge evaluation, streaming (SSE)
* Distributed Systems: Task state management, event\-driven architecture, rate limiting at scale
* API Design: OpenAPI, JSON Schema validation, multi\-version support, BFF patterns
* DevOps: Docker, CI/CD, feature flags (LaunchDarkly), observability (OpenTelemetry, New Relic, CloudWatch)
**Preferred Qualifications:** 
* Healthcare: HIPAA, medical coding (CPT/HCPCS), insurance concepts
* Architecture: Plugin systems, A2A protocol, template engines
* Prompt Engineering: System prompt caching, tool schema design, evaluation frameworks
**Job Description** 
 Our Healthcare Insurance Client is looking to hire 4 AI Engineers. This position is remote work from home and contract to hire. This Digital Team works on the flagship web and mobile application for a national healthcare insurance client. As an AI Engineer you will be working on the Omni Member Experience. This is a full stack team but will primarily focused on backend server work. The Digital Product Organization would like to add new features this year such as AI Virtual Health Assistants and Site Search, which is natural languages questioning with a generative response based on existing APIs that connect to personal health benefits and member information. They are working on building out additional APIs. They are building Agents for Appeals, ID Cars, Member History, Medication, Appointment Scheduling, etc.
**Compensation** 
 :
 $80/hr to $100/hr.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row>
    <row r="56">
      <c r="A56" t="inlineStr">
        <is>
          <t>li-4368036212</t>
        </is>
      </c>
      <c r="B56" t="inlineStr">
        <is>
          <t>Generative AI Engineer</t>
        </is>
      </c>
      <c r="C56" t="inlineStr">
        <is>
          <t>Equifax</t>
        </is>
      </c>
      <c r="D56" t="inlineStr">
        <is>
          <t>linkedin</t>
        </is>
      </c>
      <c r="E56" t="inlineStr"/>
      <c r="F56" t="inlineStr"/>
      <c r="G56" t="inlineStr">
        <is>
          <t>Atlanta, GA</t>
        </is>
      </c>
      <c r="H56" t="inlineStr"/>
      <c r="I56" t="inlineStr">
        <is>
          <t>We seek a dynamic and driven individual with a strong technical foundation to serve as a Generative AI Engineer. You will leverage our data, technology, and analytics to build LLM pipelines that generate actionable insights for our business and customers.
 This key position involves working with large data sources on Google Cloud Platform (GCP) and Google AI Platform, designing, developing, and implementing cutting\-edge generative AI solutions on Vertex AI.
 This is a unique opportunity to shape the future of AI within the company, driving innovation by leveraging our cloud\-native technology (GCP/Vertex AI). Strong communication skills are required, and financial industry experience is preferred. This position provides an opportunity to work with best\-in\-class technology and a rich big data ecosystem.
**This role requires being in either our Alpharetta or Atlanta, Georgia office 3 days/week on Tues \- Thurs.**
**This position does not offer immigration sponsorship (current or future) including F\-1 STEM OPT extension support.**
**What You'll Do**
* Develop and deploy key components of GenAI solutions on Google Cloud Vertex AI to generate insights from structured and unstructured data.
* Integrate diverse data sources, data types, and data structures into AI / LLM based solutions, using data and technology best practices.
* Implement prompt engineering and RAG (Retrieval\-Augmented Generation) strategies to improve response accuracy.
* Integrate GenAI capabilities into data pipelines and dashboards, and APIs for real\-time analytics.
* Understand how business requests translate into AI\-enabled analytical and technical solutions.
* Develop and maintain a deep understanding of the latest advancements in AI,
 particularly in generative AI and its applications in data analysis and insight generation.
* Communicate complex technical concepts clearly and concisely to both technical and non\-technical audiences.
**What experience you need:**
* Bachelor’s degree or higher in Computer Science or Computer Engineering, Statistics, Mathematics, or a related quantitative field
* 2\+ years in shipping production grade software.
* 1\+ years experience in deploying solutions on modern cloud environments.
* Ability to learn and apply new technologies; passion for staying abreast of the latest advancements in Generative AI research and technology; passion for AI research and a strong desire to contribute to cutting\-edge projects
* Proficiency in Python, LangChain, and either Java or C/ C\+\+
* Experience with REST API clients and platforms such as Spring/ Flask.
* Strong communication skills of analytical results to technical and non\-technical audiences alike
**What could set you apart:**
* Master’s degree in a related field is a strong plus
* Exposure in Vertex AI, GCP AI/ML services (AutoML, BigQuery ML, Cloud Run, etc.) or a similar cloud technology
* Strong foundational skills in Linux Operating System.
* Understanding of NLP, deep learning, and generative architectures (Transformers, Diffusion Models, etc.)
* Background in credit risk, financial data analytics or risk modeling.
* Experience working with large datasets on a big data platform (e.g., Google Cloud, AWS, Snowflake, Hadoop)
* Experience in Business Intelligence, data visualization, and customer insights
 generation.
* Familiarity with data governance, model bias mitigation, and regulatory frameworks (GDPR, AI Act, SEC compliance).
* Experience with MLOps practices, model monitoring, and CI/CD for AI workflows.
* Knowledge of prompt tuning, fine\-tuning, and parameter\-efficient methods (LoRA, PEFT).
* Hands\-on experience with RAG, multi\-modal AI, and hybrid AI architectures.
* Contributions to the AI community through publications, open\-source projects, or conference presentations.</t>
        </is>
      </c>
    </row>
    <row r="57">
      <c r="A57" t="inlineStr">
        <is>
          <t>li-4321249899</t>
        </is>
      </c>
      <c r="B57" t="inlineStr">
        <is>
          <t>Senior Machine Learning Engineer, Vehicle Behaviors</t>
        </is>
      </c>
      <c r="C57" t="inlineStr">
        <is>
          <t>Stack AV</t>
        </is>
      </c>
      <c r="D57" t="inlineStr">
        <is>
          <t>linkedin</t>
        </is>
      </c>
      <c r="E57" t="inlineStr"/>
      <c r="F57" t="inlineStr"/>
      <c r="G57" t="inlineStr"/>
      <c r="H57" t="inlineStr"/>
      <c r="I57" t="inlineStr">
        <is>
          <t>**About Stack**
 Stack is developing revolutionary AI and advanced autonomous systems designed to enhance safety, reliability, and efficiency of modern operations. Stack's autonomous technology incorporates cutting\-edge advancements in artificial intelligence, robotics, machine learning, and cloud technologies, empowering us to create innovative solutions that address the needs and challenges of the dynamic trucking transportation industry. With decades of experience creating and deploying real world systems for demanding environments, the Stack team is dedicated to developing an autonomous solution ecosystem tailored to the trucking industry's unique demands.
**About The Team**
 The Vehicle Behaviors team is responsible for improving the decision\-making capabilities and reliability of the AV in real world scenarios. Working broadly across domains and planning components, this team owns everything from ML\-based Agent Predictions and Ego Trajectory Generation to safety\-critical and heuristic\-driven components like Trajectory Selection, to off\-board metrics and tools used to measure performance and prevent regressions. This team has some of the most visible, high\-impact work on the AV’s performance and plenty of challenging problems still to solve.
**About The Role**
 We are looking for strong machine learning engineers to help in developing and deploying motion planning components for next generation self\-driving systems. This requires strong ownership over critical components that cross domain boundaries. Candidates need to understand, experiment, improve, and field state\-of\-the\-art machine learning systems in real\-time, safety\-critical applications. We are focused on building a product. Candidates should have a mission\-driven mindset and customer\-centric obsession to deliver a compelling product, and be able to work with significant cross\-functional interactions. You might be a good fit for this role if you have experience with any of the following:
* Deploying state of the art ML models or architectures to solve planning problems on fielded products
* Refining ML outputs for use in down\-stream planning components
* Integrating ML\-based planning techniques side\-by\-side with heuristic approaches in production
* Building data mining, data introspection, or other critical ML tooling
**Responsibilities**
**What Success Looks Like**
* Design, scope, implement, and integrate machine learning systems to solve on\-vehicle behavior problems in a real\-time, resource\-constrained environment.
* Develop tooling and infrastructure necessary to measure and iterate on ML models.
* Work closely with systems engineers to ensure a safe, well tested product is delivered.
* Work closely with verification teams to ensure proper testing and validation of the motion planning modules. Make extensive use of unit testing, simulation, and log simulation to properly validate their work.
* Collaborate with other autonomy teams including perception, localization, controls, etc. to ensure solutions are appropriate for real\-world performance
* Identify bottlenecks and limitations in system performance, and develop novel motion planning components to unlock new capabilities and ensure a reliable system.
* Be involved in experimentation, design and iteration exercises, and help to align stakeholders by using strong presentation and communication skills.
**Experience**
* Strong Python skills
* Experience with key ML libraries like PyTorch and TensorRT
* Experience with cloud orchestration tools like Flyte
* Strong written and verbal communications skills
*We are proud to be an equal opportunity workplace. We believe that diverse teams produce the best ideas and outcomes. We are committed to building a culture of inclusion, entrepreneurship, and innovation across gender, race, age, sexual orientation, religion, disability, and identity.*
***Check out our Privacy Policy.***
**Please Note:** 
 Pursuant to its business activities and use of technology, Stack AV complies with all applicable U.S. national security laws, regulations, and administrative requirements, which can restrict Stack AV’s ability to employ certain persons in certain positions pursuant to a range of national security\-related requirements. As such, this position may be contingent upon Stack AV verifying a candidate’s residence, U.S. person status, and/or citizenship status. This position may also involve working with software and technologies subject to U.S. export control regulations. Under these regulations, it may be necessary for Stack AV to obtain a U.S. government export license prior to releasing its technologies to certain persons. If Stack AV determines that a candidate’s residence, U.S. person status, and/or citizenship status will require a license, prohibit the candidate from working in this position, or otherwise be subject to national security\-related restrictions, Stack AV expressly reserves the right to either consider the candidate for a different position that is not subject to such restrictions, on whatever terms and conditions Stack AV shall establish in its sole discretion, or, in the alternative, decline to move forward with the candidate’s application.</t>
        </is>
      </c>
    </row>
    <row r="58">
      <c r="A58" t="inlineStr">
        <is>
          <t>li-4368025610</t>
        </is>
      </c>
      <c r="B58" t="inlineStr">
        <is>
          <t>AI Engineer</t>
        </is>
      </c>
      <c r="C58" t="inlineStr">
        <is>
          <t>Haystack</t>
        </is>
      </c>
      <c r="D58" t="inlineStr">
        <is>
          <t>linkedin</t>
        </is>
      </c>
      <c r="E58" t="inlineStr"/>
      <c r="F58" t="inlineStr"/>
      <c r="G58" t="inlineStr"/>
      <c r="H58" t="inlineStr"/>
      <c r="I58" t="inlineStr">
        <is>
          <t>**AI Engineer \| Cincinnati, OH \| Remote\-Friendly** 
 We're working with Procter \&amp; Gamble on this exciting opportunity.
 Are you a seasoned AI/Machine Learning Engineer ready to revolutionize consumer products through cutting\-edge technology? Join a dynamic team to scale and operationalize large\-scale AI solutions, actively crafting best practices rather than just following them. This is your chance to make a tangible impact by solving some of the world’s most interesting problems using the latest AI advancements.
**The Role** 
 • Engage in advanced analytics alongside Data Scientists, delivering innovative algorithms and applications.
 • Optimize analytical solutions at scale, preparing data models, ETL pipelines, and distributed compute architectures.
 • Contribute to building and maintaining P\&amp;G's ecosystem of reusable code components, ensuring high code quality and strategic distribution.
 • Deploy solutions in multi\-cloud environments, specifically leveraging Azure (Databricks, Azure ML, AKS, ADF) and/or GCP (Composer, BigQuery, GKE, Kubeflow).
 • Operationalize Machine Learning models as integral elements of IT solutions and business processes, adhering to DevOps and Agile practices with CI/CD (GitHub Actions).
**What You'll Need** 
 • Proven experience as an ML/AI Engineer with expertise in Python and data processing.
 • Strong background in scaling and operationalization of large\-scale AI use cases.
 • Hands\-on experience with cloud platforms like Azure (Databricks, Azure ML, AKS, ADF) and/or GCP (Composer, BigQuery, GKE, Kubeflow).
 • Familiarity with DevOps practices, Agile methodologies (Jira), and CI/CD pipelines (GitHub Actions).
 • Ability to influence stakeholders and provide development governance to business and engineering teams.
**What's On Offer** 
 • The opportunity to work in a highly innovative environment, constantly challenging the status quo.
 • Play a pivotal role in crafting and implementing best practices for AI engineering.
 • Collaborate with diverse teams, including Data Science, Data Management, Platform, and InfoSecurity.
 • Utilize cutting\-edge AI technology to solve complex, real\-world problems.
**Apply via Haystack today!**</t>
        </is>
      </c>
    </row>
    <row r="59">
      <c r="A59" t="inlineStr">
        <is>
          <t>li-4368034488</t>
        </is>
      </c>
      <c r="B59" t="inlineStr">
        <is>
          <t>AI Engineer</t>
        </is>
      </c>
      <c r="C59" t="inlineStr">
        <is>
          <t>Haystack</t>
        </is>
      </c>
      <c r="D59" t="inlineStr">
        <is>
          <t>linkedin</t>
        </is>
      </c>
      <c r="E59" t="inlineStr"/>
      <c r="F59" t="inlineStr"/>
      <c r="G59" t="inlineStr">
        <is>
          <t>Cincinnati, OH</t>
        </is>
      </c>
      <c r="H59" t="inlineStr"/>
      <c r="I59" t="inlineStr">
        <is>
          <t>**AI Engineer \| Cincinnati, OH \| Remote\-Friendly** 
 We're working with Procter \&amp; Gamble on this exciting opportunity.
 Are you a seasoned AI/Machine Learning Engineer ready to revolutionize consumer products through cutting\-edge technology? Join a dynamic team to scale and operationalize large\-scale AI solutions, actively crafting best practices rather than just following them. This is your chance to make a tangible impact by solving some of the world’s most interesting problems using the latest AI advancements.
**The Role** 
 • Engage in advanced analytics alongside Data Scientists, delivering innovative algorithms and applications.
 • Optimize analytical solutions at scale, preparing data models, ETL pipelines, and distributed compute architectures.
 • Contribute to building and maintaining P\&amp;G's ecosystem of reusable code components, ensuring high code quality and strategic distribution.
 • Deploy solutions in multi\-cloud environments, specifically leveraging Azure (Databricks, Azure ML, AKS, ADF) and/or GCP (Composer, BigQuery, GKE, Kubeflow).
 • Operationalize Machine Learning models as integral elements of IT solutions and business processes, adhering to DevOps and Agile practices with CI/CD (GitHub Actions).
**What You'll Need** 
 • Proven experience as an ML/AI Engineer with expertise in Python and data processing.
 • Strong background in scaling and operationalization of large\-scale AI use cases.
 • Hands\-on experience with cloud platforms like Azure (Databricks, Azure ML, AKS, ADF) and/or GCP (Composer, BigQuery, GKE, Kubeflow).
 • Familiarity with DevOps practices, Agile methodologies (Jira), and CI/CD pipelines (GitHub Actions).
 • Ability to influence stakeholders and provide development governance to business and engineering teams.
**What's On Offer** 
 • The opportunity to work in a highly innovative environment, constantly challenging the status quo.
 • Play a pivotal role in crafting and implementing best practices for AI engineering.
 • Collaborate with diverse teams, including Data Science, Data Management, Platform, and InfoSecurity.
 • Utilize cutting\-edge AI technology to solve complex, real\-world problems.
**Apply via Haystack today!**</t>
        </is>
      </c>
    </row>
    <row r="60">
      <c r="A60" t="inlineStr">
        <is>
          <t>li-4368352607</t>
        </is>
      </c>
      <c r="B60" t="inlineStr">
        <is>
          <t>Senior Machine Learning Engineer, Generative AI Products, HBS Foundry</t>
        </is>
      </c>
      <c r="C60" t="inlineStr">
        <is>
          <t>Harvard Business School</t>
        </is>
      </c>
      <c r="D60" t="inlineStr">
        <is>
          <t>linkedin</t>
        </is>
      </c>
      <c r="E60" t="inlineStr"/>
      <c r="F60" t="inlineStr"/>
      <c r="G60" t="inlineStr">
        <is>
          <t>Boston, MA</t>
        </is>
      </c>
      <c r="H60" t="inlineStr"/>
      <c r="I60" t="inlineStr">
        <is>
          <t>**Company Description**
 By working at Harvard University, you join a vibrant community that advances Harvard's world\-changing mission in meaningful ways, inspires innovation and collaboration, and builds skills and expertise. We are dedicated to creating a diverse and welcoming environment where everyone can thrive.
**Why join HBS Foundry?**
 Harvard Business School (HBS) Foundry is a new initiative at Harvard Business School that helps founders build, fund, and launch their ventures through an AI\-driven digital learning platform. We’re a small, collaborative team within one of the world’s most respected institutions—combining the energy of a startup with the mission and reach of Harvard. Foundry brings together educators, engineers, and creative thinkers who are passionate about innovation, learning, and impact. Together, we’re developing tools and experiences that empower founders to grow their ventures and their confidence. It’s an exciting, fast\-moving environment where new ideas matter and every team member has the opportunity to shape what comes next.
**Job Description**
**Job Summary:**
 Lead comprehensive applications/web development for highly complex projects; typically work as part of a team to implement complex business solutions. Deliver strategic and expert coding; focus on overarching development strategy for a large, complex, multi\-faceted application. May manage a number of projects simultaneously.
**Job\-Specific Responsibilities:**
* Build trust and collaboration by being present on\-site and engaging directly with colleagues and various constituents.
* Architect, build, maintain, and improve new and existing suite of GenAI applications and their underlying systems.
* Automate machine learning pipelines, monitor performance and costs, and optimize models by using techniques such as LoRA/QLoRA.
* Establish reusable frameworks to streamline model building, deployment and monitoring. Incorporate comprehensive monitoring, logging, tracing, and alerting mechanisms.
* Build guardrails, compliance rules and oversight workflows into the GenAI application platform, such as establishing approval chains for model updates and staged rollout for production releases
* Develop templates, guides and sandbox environments for easy onboarding of new contributors and experimentation with new techniques
* Ensure development of user\-facing applications in the GenAI application platform is easy and safe by enforcing rigorous validation testing before publishing user\-generated models and implement a clear peer review process of applications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Build trust and collaboration by being present on\-site and engaging directly with colleagues and various constituents.
* Complete other responsibilities as assigned.
**Qualifications**
**Basic Qualifications:**
* Minimum of seven years’ post\-secondary education or relevant work experience
**Additional Qualifications and Skills:**
* Bachelor's degree in mathematics, physics, computer science, engineering, statistics, or an equivalent technical discipline desired
* Minimum of five years’ software development experience with Python and SQL.
* Minimum of three years’ experience building pipelines to deploy NLP and deep learning models into production in a cloud environment
* Minimum three years’ experience using PyTorch, Tensorflow, or MXNet, along with optimizing code for GPU clusters
* Experience building advanced workflows such as retrieval augmented generation, model chaining, dynamic prompting, PEFT/SFT, etc. using Langchain and similar tools
* Experience establishing model guardrails and developing bias detection and mitigation techniques for AI applications using tools such as NeMo
* Experience with various embedding models and setting up and tuning vector databases to improve performance of semantic search and retrieval systems
* Understand the underlying fundamentals such as Transformers, Self\-Attention mechanisms that form the theoretical foundation of LLMs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Additional Information
* Appointment End Date: This position is approved as a term appointment with an end date of June 30, 2027\. There is a possibility of renewal/extension.
* Standard Hours/Schedule: 40 hours per week
* Visa Sponsorship Information: Harvard University is unable to provide visa sponsorship for this position
* Pre\-Employment Screening: Identity, Education, Criminal
* Other Information:
+ This is a hybrid position which we consider to be a combination of remote and onsite work at our Boston, MA based campus. HBS expects all staff to be onsite a minimum of 3 days per week and departments provide onsite coverage Monday – Friday. Specific hours and days onsite will be determined by business needs and are subject to change with appropriate advanced notice.
+ We may conduct candidate interviews virtually (phone and/or via Zoom) and/or in\-person for this role
+ As part of our evaluation, candidates are required to complete a Take Home Assignment after clearing Technical Recruiter Screen. This assignment will test your specific skills/knowledge areas relevant to the role.
+ A cover letter is required to be considered for this opportunity
**Work Format Details**
 This position has been determined by school or unit leaders that some of the duties and responsibilities can be effectively performed at a non\-Harvard location. The work schedule and location will be set by the department at its discretion and based upon operational needs. When not working at a Harvard or Harvard\-designated location, employees in hybrid positions must work in a Harvard registered state in compliance with the University’s Policy on Employment Outside of Massachusetts. Additional details will be discussed during the interview process. Certain visa types and funding sources may limit work location. Individuals must meet work location sponsorship requirements prior to employment.
**Salary Grade and Ranges**
 This position is salary grade level 059\. Please visit  Harvard's Salary Ranges  to view the corresponding salary range and related information.
**Benefits**
 Harvard offers a comprehensive benefits package that is designed to support a healthy work\-life balance and your physical, mental and financial wellbeing. Because here, you are what matters. Our benefits include, but are not limited to:
* Generous paid time off including parental leave
* Medical, dental, and vision health insurance coverage starting on day one
* Retirement plans with university contributions
* Wellbeing and mental health resources
* Support for families and caregivers
* Professional development opportunities including tuition assistance and reimbursement
* Commuter benefits, discounts and campus perks
 Learn more about these and additional benefits on our Benefits \&amp; Wellbeing Page.
**EEO/Non\-Discrimination Commitment Statement**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t>
        </is>
      </c>
    </row>
    <row r="61">
      <c r="A61" t="inlineStr">
        <is>
          <t>li-4359752921</t>
        </is>
      </c>
      <c r="B61" t="inlineStr">
        <is>
          <t>Senior Applied AI Engineer</t>
        </is>
      </c>
      <c r="C61" t="inlineStr">
        <is>
          <t>Paradigm</t>
        </is>
      </c>
      <c r="D61" t="inlineStr">
        <is>
          <t>linkedin</t>
        </is>
      </c>
      <c r="E61" t="inlineStr"/>
      <c r="F61" t="inlineStr"/>
      <c r="G61" t="inlineStr"/>
      <c r="H61" t="inlineStr"/>
      <c r="I61" t="inlineStr">
        <is>
          <t>**Paradigm** 
 is a software company transforming the way that the residential construction \&amp; building product industries operate across the globe. We are looking for a
 **Senior Applied AI Engineer** 
 to be part of revolutionizing these industries.
 The Senior Applied AI Engineer will design, deploy, and optimize AI systems that power next\-generation construction workflows. In this role, you’ll build the bridge between machine learning models and real\-world applications—using LLMs, computer vision, retrieval systems, and agentic orchestration to automate key steps in the homebuilding process such as plan interpretation, takeoffs, estimating, and specification matching.
 This role blends hands\-on engineering, AI system design, and integration with enterprise platforms—turning AI capabilities into production\-ready features that builders, designers, and estimators can rely on daily.
**What You Will Do:**
* Build and deploy advanced agentic AI systems that combine large language models, computer vision, and rules\-based logic to automate construction workflows.
* Implement and optimize retrieval\-augmented generation (RAG) pipelines to connect LLMs with real\-time project data, specifications, and plan sets.
* Integrate AI models into production services and APIs for use in design, estimating, and procurement applications.
* Fine\-tune and adapt pre\-trained models for domain\-specific tasks such as plan understanding, entity extraction, and bill\-of\-material generation.
* Evaluate and refine model accuracy, reasoning quality, and cost efficiency through Evals, zero/few\-shot tests, Chain\-of\-Thought reasoning analysis, and LLM\-as\-a\-judge evaluation techniques.
* Optimize inference performance and ensure system reliability in live environments.
* Work closely with data engineers to structure, index, and prepare complex multimodal datasets (text, CAD/BIM files, images) for AI consumption.
* Implement and refine robust data pipelines for training, validation, and feedback loops to continuously improve performance.
* Ensure reproducibility, observability, and version control across model artifacts and pipelines.
* Collaborate with product and software engineering teams to embed AI outputs into digital platforms, ERP systems, and supplier integrations.
* Build robust APIs and SDKs that make AI features accessible to design and estimating applications.
* Ensure security, compliance, and data integrity across integrations.
* Partner with Applied ML Engineers and Software Engineers to move from prototype to production in fast, iterative cycles.
* Participate in internal experiments and perform evaluations and model improvement efforts.
* Stay current with emerging AI frameworks, agentic orchestration techniques, and developer tools and apply where appropriate.
* Support the growth of less experienced team members by mentoring, assisting with training, and acting as a resource.
**What You Need to Succeed:**
* Bachelor’s or Master’s degree in Computer Science, Artificial Intelligence, Machine Learning, or a related field is preferred.
* 7\+ years of experience designing, building, and deploying AI or ML\-powered systems in production, with recent hands\-on work applying LLMs or agentic architectures.
* Hands\-on experience with LLMs, retrieval\-augmented generation (RAG) pipelines, and multimodal models from providers such as OpenAI, Anthropic, or Hugging Face.
* Highly skilled in Python and at least one major ML framework (PyTorch, TensorFlow).
* Knowledge of agentic orchestration frameworks (e.g., LangGraph, Temporal, n8n, or similar) to design multi\-step, tool\-using AI systems.
* Experience deploying and integrating AI models using enterprise AI platforms such as Azure AI Foundry, AWS Bedrock, or Google Vertex AI.
* Working knowledge of retrieval systems, vector databases, and semantic search for contextual grounding.
* Advanced understanding of prompt engineering, model evaluation, and cost/performance optimization for large\-scale inference.
* Exceptional problem\-solving skills, curiosity, and a collaborative mindset.
* Exposure to construction or design automation workflows is preferred.
* Experience working with plan files, CAD/BIM data, or digital twin systems is preferred.
* Background in evaluation\-driven AI development, including zero/few\-shot testing, Chain\-of\-Thought reasoning, and LLM\-as\-a\-judge validation is preferred.
* Familiarity with data labeling, feedback loops, and fine\-tuning to improve domain\-specific accuracy is preferred.
* Familiarity with agent performance metrics and lifecycle management across production environments is preferred.
 Ready to Join? Apply now! MyParadigm.com/careers/
 \#Paradigm</t>
        </is>
      </c>
    </row>
    <row r="62">
      <c r="A62" t="inlineStr">
        <is>
          <t>li-4367330016</t>
        </is>
      </c>
      <c r="B62" t="inlineStr">
        <is>
          <t>Senior Generative &amp; Agentic AI Engineer</t>
        </is>
      </c>
      <c r="C62" t="inlineStr">
        <is>
          <t>CriticalRiver Inc.</t>
        </is>
      </c>
      <c r="D62" t="inlineStr">
        <is>
          <t>linkedin</t>
        </is>
      </c>
      <c r="E62" t="inlineStr"/>
      <c r="F62" t="inlineStr"/>
      <c r="G62" t="inlineStr">
        <is>
          <t>Pleasanton, CA</t>
        </is>
      </c>
      <c r="H62" t="inlineStr"/>
      <c r="I62" t="inlineStr">
        <is>
          <t>**CriticalRiver Inc. \| Full\-Time** 
**Pleasanton, CA (Hybrid work)** 
 CriticalRiver is seeking a
 **Generative \&amp; Agentic AI Engineer** 
 to lead the design and delivery of next\-generation AI solutions for our global clients. In this role, you’ll define AI strategy, architect intelligent systems, and mentor a team building real\-world generative and agentic AI applications.
**What you will do:** 
* Define and drive the strategy for generative and agentic AI initiatives
* Architect and build multi\-agent systems, RAG pipelines, and custom LLM solutions
* Lead and mentor a high\-performing AI engineering team
* Hands\-on development, fine\-tuning, and deployment of AI models and agents
* Evaluate and implement AI platforms and frameworks (LangGraph, LlamaIndex, Hugging Face, OpenAI, Google Vertex AI, Azure AI, Claude)
**What you will bring:** 
* Senior/lead experience in AI/ML with strong focus on NLP and LLMs
* Hands\-on expertise in generative AI, agent orchestration, prompt engineering, guardrails, and RAG
* Experience building autonomous or multi\-agent systems (LangGraph, CrewAI, ADK, or similar)
* Strong Python skills and experience with PyTorch/TensorFlow
* Ability to prototype AI\-driven business use cases using tools like Cursor, Copilot, Claude Code, Bolt, or V0
* Strong leadership and communication skills
**Nice to Have** 
* Experience with international (US/EU) clients
* Cloud GenAI experience (Google Gemini, AWS Bedrock, Azure OpenAI)
* Open\-source contributions or published AI work</t>
        </is>
      </c>
    </row>
    <row r="63">
      <c r="A63" t="inlineStr">
        <is>
          <t>li-4368379314</t>
        </is>
      </c>
      <c r="B63" t="inlineStr">
        <is>
          <t>Data Architect - Data Engineer III - AI/ML Engineer</t>
        </is>
      </c>
      <c r="C63" t="inlineStr">
        <is>
          <t>Truist</t>
        </is>
      </c>
      <c r="D63" t="inlineStr">
        <is>
          <t>linkedin</t>
        </is>
      </c>
      <c r="E63">
        <f>HYPERLINK("https://www.linkedin.com/jobs/view/4368379314", "https://www.linkedin.com/jobs/view/4368379314")</f>
        <v/>
      </c>
      <c r="F63" t="inlineStr"/>
      <c r="G63" t="inlineStr">
        <is>
          <t>Raleigh, NC</t>
        </is>
      </c>
      <c r="H63" t="inlineStr"/>
      <c r="I63"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 Bachelor's degree and 8\+ years of experience in a quantitative field such as Finance, Mathematics, Analytics, Data Science, Computer Science, or Engineering.
* Demonstrated knowledge and skill in strategic data assets warehousing and transactional application data concepts and technology.
* Proven experience with data engineering and ability to manage large data volumes.
* Demonstrate understanding of data analytics life cycle methodologies including data cleansing and preparation methodologies
* Strong familiarity with data extraction in a variety of environments (e.g., SQL, SAS, etc.).
* Experience in managing multiple projects with tight deadlines in a collaborative environment.
* Maintain a high level of competency in analytical principles, tools, and techniques.
**Preferred Qualifications:**
* Master's degree in field such as Finance, Mathematics, Analytics, Data Science, Computer Science, or Engineering.
* 10\+ years of experience in a quantitative field such as Finance, Mathematics, Analytics, Data Science, Computer Science or Engineering
* Strong foundation in Python and basic experience with ML libraries such as Scikit‑learn, TensorFlow, PyTorch, or HuggingFace.
* Understanding of machine learning concepts: dataset preparation, training/validation, evaluation, and inference.
* Familiarity with cloud fundamentals (AWS or Azure), containers (Docker), Git, and command‑line workflows.
* Eagerness to learn AWS AgentCore, Azure Service Fabric, and enterprise‑scale AI application development.
* Ability to write clean, maintainable code and follow software engineering best practices.
*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64">
      <c r="A64" t="inlineStr">
        <is>
          <t>li-4368387260</t>
        </is>
      </c>
      <c r="B64" t="inlineStr">
        <is>
          <t>Data Architect - Data Engineer III - AI/ML Engineer</t>
        </is>
      </c>
      <c r="C64" t="inlineStr">
        <is>
          <t>Truist</t>
        </is>
      </c>
      <c r="D64" t="inlineStr">
        <is>
          <t>linkedin</t>
        </is>
      </c>
      <c r="E64">
        <f>HYPERLINK("https://www.linkedin.com/jobs/view/4368387260", "https://www.linkedin.com/jobs/view/4368387260")</f>
        <v/>
      </c>
      <c r="F64" t="inlineStr"/>
      <c r="G64" t="inlineStr">
        <is>
          <t>Richmond, VA</t>
        </is>
      </c>
      <c r="H64" t="inlineStr"/>
      <c r="I64"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 Bachelor's degree and 8\+ years of experience in a quantitative field such as Finance, Mathematics, Analytics, Data Science, Computer Science, or Engineering.
* Demonstrated knowledge and skill in strategic data assets warehousing and transactional application data concepts and technology.
* Proven experience with data engineering and ability to manage large data volumes.
* Demonstrate understanding of data analytics life cycle methodologies including data cleansing and preparation methodologies
* Strong familiarity with data extraction in a variety of environments (e.g., SQL, SAS, etc.).
* Experience in managing multiple projects with tight deadlines in a collaborative environment.
* Maintain a high level of competency in analytical principles, tools, and techniques.
**Preferred Qualifications:**
* Master's degree in field such as Finance, Mathematics, Analytics, Data Science, Computer Science, or Engineering.
* 10\+ years of experience in a quantitative field such as Finance, Mathematics, Analytics, Data Science, Computer Science or Engineering
* Strong foundation in Python and basic experience with ML libraries such as Scikit‑learn, TensorFlow, PyTorch, or HuggingFace.
* Understanding of machine learning concepts: dataset preparation, training/validation, evaluation, and inference.
* Familiarity with cloud fundamentals (AWS or Azure), containers (Docker), Git, and command‑line workflows.
* Eagerness to learn AWS AgentCore, Azure Service Fabric, and enterprise‑scale AI application development.
* Ability to write clean, maintainable code and follow software engineering best practices.
*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65">
      <c r="A65" t="inlineStr">
        <is>
          <t>li-4368393220</t>
        </is>
      </c>
      <c r="B65" t="inlineStr">
        <is>
          <t>Data Architect - Data Engineer III - AI/ML Engineer</t>
        </is>
      </c>
      <c r="C65" t="inlineStr">
        <is>
          <t>Truist</t>
        </is>
      </c>
      <c r="D65" t="inlineStr">
        <is>
          <t>linkedin</t>
        </is>
      </c>
      <c r="E65">
        <f>HYPERLINK("https://www.linkedin.com/jobs/view/4368393220", "https://www.linkedin.com/jobs/view/4368393220")</f>
        <v/>
      </c>
      <c r="F65" t="inlineStr"/>
      <c r="G65" t="inlineStr">
        <is>
          <t>Atlanta, GA</t>
        </is>
      </c>
      <c r="H65" t="inlineStr"/>
      <c r="I6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 Bachelor's degree and 8\+ years of experience in a quantitative field such as Finance, Mathematics, Analytics, Data Science, Computer Science, or Engineering.
* Demonstrated knowledge and skill in strategic data assets warehousing and transactional application data concepts and technology.
* Proven experience with data engineering and ability to manage large data volumes.
* Demonstrate understanding of data analytics life cycle methodologies including data cleansing and preparation methodologies
* Strong familiarity with data extraction in a variety of environments (e.g., SQL, SAS, etc.).
* Experience in managing multiple projects with tight deadlines in a collaborative environment.
* Maintain a high level of competency in analytical principles, tools, and techniques.
**Preferred Qualifications:**
* Master's degree in field such as Finance, Mathematics, Analytics, Data Science, Computer Science, or Engineering.
* 10\+ years of experience in a quantitative field such as Finance, Mathematics, Analytics, Data Science, Computer Science or Engineering
* Strong foundation in Python and basic experience with ML libraries such as Scikit‑learn, TensorFlow, PyTorch, or HuggingFace.
* Understanding of machine learning concepts: dataset preparation, training/validation, evaluation, and inference.
* Familiarity with cloud fundamentals (AWS or Azure), containers (Docker), Git, and command‑line workflows.
* Eagerness to learn AWS AgentCore, Azure Service Fabric, and enterprise‑scale AI application development.
* Ability to write clean, maintainable code and follow software engineering best practices.
*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66">
      <c r="A66" t="inlineStr">
        <is>
          <t>li-4354491577</t>
        </is>
      </c>
      <c r="B66" t="inlineStr">
        <is>
          <t>Applied Scientist</t>
        </is>
      </c>
      <c r="C66" t="inlineStr">
        <is>
          <t>Adobe</t>
        </is>
      </c>
      <c r="D66" t="inlineStr">
        <is>
          <t>linkedin</t>
        </is>
      </c>
      <c r="E66">
        <f>HYPERLINK("https://www.linkedin.com/jobs/view/4354491577", "https://www.linkedin.com/jobs/view/4354491577")</f>
        <v/>
      </c>
      <c r="F66" t="inlineStr"/>
      <c r="G66" t="inlineStr">
        <is>
          <t>San Jose, CA</t>
        </is>
      </c>
      <c r="H66" t="inlineStr"/>
      <c r="I66"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Adobe Firefly Applied Science \&amp; Machine Learning (ASML) group is seeking a
 **Model Tech Lead** 
 to own the optimization and architectural evolution of our multimodal editing foundation models. This position is central to the delivery of Firefly’s proprietary foundation models, focusing on developing efficient training and inference solutions that directly enhance our profit margins. We are looking for a hands\-on technical authority with deep expertise in frontier foundation model areas to drive high\-performance, large\-scale AI delivery.
**Job Responsibilities**
**Drive Architectural Innovation:** 
 Design and implement novel MLLM architectures (e.g., sparse models, MoE) and specialized kernels, using deep expertise in quantization, pruning, and post\-training optimization to enhance efficiency.
**Implement Performance Roadmaps:** 
 Lead the end\-to\-end efficiency roadmap for Adobe’s multimodal editing stack, focusing on reducing computational costs for both large\-scale training and low\-latency inference while maintaining powerful performance.
**Technical Leadership \&amp; Execution:** 
 Lead a multi\-functional squad as a hands\-on authority, unblocking complex technical issues, conducting rigorous code reviews, and upholding high engineering standards for reproducibility and quality.
**Post\-Training Optimization:** 
 Oversee advanced model compression and deployment strategies, ensuring that frontier models are optimized for real\-world enterprise performance and scalability.
**What You’ll Need To Succeed**
* Advanced Technical Degree: Ph.D. in Computer Science, AI/ML, or a related field (or equivalent industry experience).
* Efficiency Expertise: Proven track record in model efficiency for foundation models, specifically in quantization, pruning, sparse architectures, and kernel optimization.
* Foundation Model Depth: Deep technical expertise in frontier foundation model research, including multimodal perception and generative editing.
* Leadership Impact: Experience leading multi\-functional squads and defining technical roadmaps that translate complex research into production\-ready, efficient models.
* Engineering Excellence: Proficiency in modern ML stacks (e.g., PyTorch, JAX) and specialized performance tools (e.g., CUDA, Triton, DeepSpeed, or FSDP).
**Preferred Experience**
* Experience optimizing MLLMs for high\-throughput, cost\-sensitive production environments.
* Familiarity with hardware\-aware optimization and custom operator development.
* Background in scaling large\-scale training runs while maintaining strict compute budgets and profit margin targets.
* A history of bridging the gap between ground breaking research in model sparsity and stable, enterprise\-grade deployment.
 \#FireflyGenAi
 Our compensation reflects the cost of labor across several  U.S. geographic markets, and we pay differently based on those defined markets. The U.S. pay range for this position is $142,700 \-\- $270,950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$187,100 \- $270,950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67">
      <c r="A67" t="inlineStr">
        <is>
          <t>li-4357554647</t>
        </is>
      </c>
      <c r="B67" t="inlineStr">
        <is>
          <t>AI/ML Engineer – Multiple Openings (Various Locations)</t>
        </is>
      </c>
      <c r="C67" t="inlineStr">
        <is>
          <t>HYR Global Source Inc</t>
        </is>
      </c>
      <c r="D67" t="inlineStr">
        <is>
          <t>linkedin</t>
        </is>
      </c>
      <c r="E67">
        <f>HYPERLINK("https://www.linkedin.com/jobs/view/4357554647", "https://www.linkedin.com/jobs/view/4357554647")</f>
        <v/>
      </c>
      <c r="F67" t="inlineStr"/>
      <c r="G67" t="inlineStr">
        <is>
          <t>Dallas, TX</t>
        </is>
      </c>
      <c r="H67" t="inlineStr"/>
      <c r="I67" t="inlineStr">
        <is>
          <t>**Title: AI/ML Engineer (2 openings)**
**Location: Malvern, PA (preferred) \- Charlotte, NC \| Dallas, TX**
**Work Model: Hybrid – 3 days onsite**
**Job Description**
* We are seeking an experienced AI/ML Engineer to design, build, and deploy scalable machine learning and generative AI solutions.
* This role will focus on LLM\-based applications, agentic AI frameworks, MLOps, and cloud\-native ML engineering on AWS.
**Key Responsibilities**
* Design and develop production\-grade AI/ML solutions, including LLM applications with RAG and structured outputs.
* Implement agentic AI frameworks (LangGraph, AutoGen) and Model Context Protocol (MCP) for secure orchestration.
* Build and manage scalable data, model, and MLOps pipelines using AWS services (SageMaker, Lambda, ECS/ECR).
* Integrate security and identity solutions (Okta, JWT) for API and service authentication.
* Monitor model performance, investigate alerts, and support end\-to\-end model lifecycle management.
* Collaborate with data scientists, product owners, and business stakeholders to align AI solutions with business goals.
* Produce required governance and compliance artifacts (MDLC/MPLC documentation).
**Qualifications**
* Bachelor’s degree in Computer Science, Engineering, or related field (Master’s preferred).
* 6\+ years of experience in AI/ML engineering, data engineering, and MLOps.
* Strong Python skills with hands\-on experience in TensorFlow, PyTorch, or Scikit\-learn.
* Deep experience with AWS ML stack (SageMaker, Bedrock, Glue, Lambda).
* Hands\-on experience building LLM\-based applications with RAG and GenAI evaluation frameworks.
* Experience with CI/CD, Docker, Kubernetes, and cloud\-native deployments.
* Solid understanding of software engineering best practices, security, and ML lifecycle management.
**Nice To Have**
* Experience with data governance, model explainability, and responsible AI practices.
* Familiarity with React UI, GraphDB, and GenAI performance evaluation.
 Follow us on LinkedIn \- https://www.linkedin.com/company/hyr\-global\-source\-inc</t>
        </is>
      </c>
    </row>
    <row r="68">
      <c r="A68" t="inlineStr">
        <is>
          <t>li-4368417088</t>
        </is>
      </c>
      <c r="B68" t="inlineStr">
        <is>
          <t>AIML - Machine Learning Engineer, Data and ML Innovation</t>
        </is>
      </c>
      <c r="C68" t="inlineStr">
        <is>
          <t>Apple</t>
        </is>
      </c>
      <c r="D68" t="inlineStr">
        <is>
          <t>linkedin</t>
        </is>
      </c>
      <c r="E68">
        <f>HYPERLINK("https://www.linkedin.com/jobs/view/4368417088", "https://www.linkedin.com/jobs/view/4368417088")</f>
        <v/>
      </c>
      <c r="F68" t="inlineStr"/>
      <c r="G68" t="inlineStr">
        <is>
          <t>Cupertino, CA</t>
        </is>
      </c>
      <c r="H68" t="inlineStr"/>
      <c r="I68" t="inlineStr">
        <is>
          <t>**Summary**
 Would you like to be a part of Apple’s AI and Machine Learning org, where we encourage and create groundbreaking technology for multi\-modal models with strong agent and reasoning capabilities?
 The Data and Machine Learning Innovation (DMLI) team is seeking a passionate Machine Learning Engineer to explore new methods, challenge existing metrics and protocols, and develop new insightful practices for real\-world ML challenges.
 As a team member, you will work on some of the most ambitious technical challenges in the field. Your role will involve collaborating closely with our team of machine learning researchers, engineers, and data scientists. Together, you will spearhead groundbreaking research initiatives and develop transformative products designed to build for billions of users worldwide.
**Description**
 As a Machine Learning (ML) Engineer, you will be entrusted with the critical role of innovating and applying innovative research in foundation models to with a particular focus on audio data. This includes working across the full ML pipeline—from pre\-training on large\-scale unlabeled audio corpora to post\-training evaluation and fine\-tuning with task\-specific datasets.
 The solutions you develop will have a significant impact on future Apple software and hardware products, as well as the broader ML ecosystem.
**Responsibilities**
* Your responsibilities will extend to designing and developing a comprehensive multi\-modal data generation and curation framework for foundation models at Apple.
* You will also contribute to building robust model evaluation pipelines that support continuous improvement and performance assessment.
* In addition, the role involves analyzing multi\-modal data to better understand its influence on model behavior and outcomes. Furthermore, you will have the opportunity to showcase your groundbreaking research work by publishing and presenting at premier academic venues.
* YOUR WORK MAY SPAN VARIOUS APPLICATIONS, INCLUDING:
* Designing self\-supervised and semi\-supervised representation learning pipelines, and fine\-tuning strategies for tasks like speech recognition and speaker identification.
* Applying data selection techniques such as novelty detection and active learning across multi modalities to improve data efficiency and reduce distributional gaps.
* Modeling data distributions using ML/statistical methods to uncover patterns, reduce redundancy, and handle out\-of\-distribution challenges.
* Rapidly learning new methods and domains as needed, and guiding product teams in selecting effective ML solutions.
**Minimum Qualifications**
* Deep technical skills in one or more machine learning areas, such as computer vision, audio, combinatorial optimization, causality analysis, natural language processing, and deep learning.
* Strong software development skills with proficiency in Python; hands\-on experience working with deep learning toolkits like PyTorch, TensorFlow, or JAX (one of).
* 5\+ years of experience developing and evaluating ML applications, demonstrating a passion for understanding and improving model/data quality.‘
**Preferred Qualifications**
* Deep understanding of multi\-modal foundation models.
* Staying up\-to\-date with emerging trends in generative AI and multi\-modal LLMs.
* The ability to formulate machine learning problems, design, experiment, implement, and communicate solutions effectively with multi\-functional teams.
* Demonstrated publication records in relevant conferences (e.g., CVPR, ICCV, ECCV, NeurIPS, ICML, ICLR, etc.).
* Track records of adopting ML to solve cross\-disciplinary problems.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9">
      <c r="A69" t="inlineStr">
        <is>
          <t>li-4368375620</t>
        </is>
      </c>
      <c r="B69" t="inlineStr">
        <is>
          <t>Senior ML Engineer</t>
        </is>
      </c>
      <c r="C69" t="inlineStr">
        <is>
          <t>Kouper</t>
        </is>
      </c>
      <c r="D69" t="inlineStr">
        <is>
          <t>linkedin</t>
        </is>
      </c>
      <c r="E69">
        <f>HYPERLINK("https://www.linkedin.com/jobs/view/4368375620", "https://www.linkedin.com/jobs/view/4368375620")</f>
        <v/>
      </c>
      <c r="F69" t="inlineStr"/>
      <c r="G69" t="inlineStr">
        <is>
          <t>New York, NY</t>
        </is>
      </c>
      <c r="H69" t="inlineStr"/>
      <c r="I69" t="inlineStr">
        <is>
          <t>**About Kouper Health**
 Kouper is redefining how care transitions happen. Backed by General Catalyst, CVS Health Ventures, 25madison, and leading health system partners, we’re on a mission to bridge the care transition gap and fundamentally improve the patient experience — helping people live longer, healthier lives.
**Position Overview:**
 We're looking for a Senior ML Engineer to build the AI systems that power personalized patient engagement at scale. You'll develop and optimize LLM\-based applications, build predictive models for patient outcomes, and create the evaluation frameworks that ensure our AI delivers on its promise. This is a foundational role where you'll shape how we apply machine learning to transform healthcare.
**Responsibilities**
* Design and build LLM\-powered applications for patient communication and care navigation
* Develop predictive models for patient engagement, risk stratification, and care optimization
* Build robust evaluation frameworks and metrics to measure model quality, safety, and clinical appropriateness
* Architect ML systems that handle diverse healthcare data sources while maintaining privacy and compliance
* Optimize model performance for latency, cost, and quality across production workloads
* Collaborate with product and clinical teams to translate healthcare problems into ML solutions
* Stay current on ML research and bring relevant innovations into production applications
* Partner with backend engineers to integrate ML systems into the broader platform architecture
**Qualifications**
* 5\+ years of experience in machine learning engineering with at least 2 years working with LLMs or NLP systems
* Strong proficiency in Python and ML frameworks (PyTorch, TensorFlow, Hugging Face)
* Hands\-on experience building and deploying LLM\-based applications in production
* Deep understanding of modern ML techniques: fine\-tuning, prompt engineering, RAG, embedding models
* Experience designing evaluation frameworks and metrics for ML system quality
* Strong software engineering fundamentals with ability to write production\-quality code
* Excellent problem\-solving skills and ability to translate ambiguous requirements into technical solutions
**Preferred Qualifications**
* Experience with healthcare AI applications or clinical NLP
* Background in conversational AI, dialogue systems, or voice\-based applications
* Research experience or publications in ML/NLP
* Familiarity with healthcare data standards (HL7, FHIR) and privacy requirements (HIPAA)
* Experience with ML infrastructure and MLOps (model serving, monitoring, feature stores)
**What We Offer**
* Competitive salary and equity package
* Flexible work environment and remote options
* Comprehensive health, dental, and retirement benefits
* The chance to make a significant impact in a mission\-driven startup focused on transforming patient care
* Location: NYC, SF, or Remote
* Expected Start Date: Feb 2026</t>
        </is>
      </c>
    </row>
    <row r="70">
      <c r="A70" t="inlineStr">
        <is>
          <t>li-4368403476</t>
        </is>
      </c>
      <c r="B70" t="inlineStr">
        <is>
          <t>Machine Learning Engineer</t>
        </is>
      </c>
      <c r="C70" t="inlineStr">
        <is>
          <t>Workerbee</t>
        </is>
      </c>
      <c r="D70" t="inlineStr">
        <is>
          <t>linkedin</t>
        </is>
      </c>
      <c r="E70">
        <f>HYPERLINK("https://www.linkedin.com/jobs/view/4368403476", "https://www.linkedin.com/jobs/view/4368403476")</f>
        <v/>
      </c>
      <c r="F70" t="inlineStr"/>
      <c r="G70" t="inlineStr"/>
      <c r="H70" t="inlineStr"/>
      <c r="I70" t="inlineStr">
        <is>
          <t>**Title:** 
 Machine Learning Engineer (Technical)
**Location:** 
 Dallas, TX \- Hybrid
*C2C not available \| No third\-party suppliers* 
**About Workerbee** 
 Workerbee is the AI\-powered platform for trusted, modern hiring.
 We connect companies with the right mix of enterprise\-proven experts and AI\-savvy specialists; full\-time, part\-time, or project\-based.
 Our intelligent, multi\-agent system deeply understands each specialist and every customer need, enabling better\-fit matches and faster results.
 We bring together people and intelligent systems to make hiring faster, smarter, and more human.
**We have customers in need of Machine Learning Engineer talent.** 
***By joining Workerbee you can be matched for project\-based, contract, or permanent opportunities with leading organizations.***
**As a Workerbee:** 
 You will help solve complex problems and bring real value to companies through hands\-on expertise in machine learning pipelines, model deployment, and scalable AI infrastructure.
**What our customers need help with:** 
* Designing, training, and deploying production\-ready ML models using frameworks like TensorFlow, PyTorch, or scikit\-learn
* Building end\-to\-end ML pipelines including data ingestion, preprocessing, feature engineering, and monitoring
* Optimizing model performance for scalability, latency, and reliability in cloud environments
* Implementing MLOps best practices using tools such as MLflow, Kubeflow, or SageMaker
* Collaborating with engineering teams to integrate models into APIs, microservices, or real\-time systems
**What stands out amongst top talent:** 
* Strong foundation in statistics, algorithms, and model evaluation techniques
* Experience deploying models in AWS, Azure, or GCP production environments
* Familiarity with containerization and orchestration using Docker and Kubernetes
* Proven ability to monitor model drift and maintain lifecycle management
* Clear communication of technical tradeoffs and model behavior to stakeholders
**Why Join Workerbee** 
* **Access:** 
 Work on high\-impact projects with leading companies across North America
* **Community:** 
 Join a trusted network of specialists and professionals in your field
* **Growth:** 
 Expand your skills through exclusive learning and development opportunities
* **Flexibility:** 
 Choose projects that fit your schedule and work style
 Workerbee Terms of Service</t>
        </is>
      </c>
    </row>
    <row r="71">
      <c r="A71" t="inlineStr">
        <is>
          <t>li-4368333163</t>
        </is>
      </c>
      <c r="B71" t="inlineStr">
        <is>
          <t>Machine Learning Engineer</t>
        </is>
      </c>
      <c r="C71" t="inlineStr">
        <is>
          <t>Quora</t>
        </is>
      </c>
      <c r="D71" t="inlineStr">
        <is>
          <t>linkedin</t>
        </is>
      </c>
      <c r="E71">
        <f>HYPERLINK("https://www.linkedin.com/jobs/view/4368333163", "https://www.linkedin.com/jobs/view/4368333163")</f>
        <v/>
      </c>
      <c r="F71" t="inlineStr"/>
      <c r="G71" t="inlineStr"/>
      <c r="H71" t="inlineStr"/>
      <c r="I71" t="inlineStr">
        <is>
          <t>**About The Company**
 Quora is a privately held, remote\-first technology company dedicated to expanding the world's collective intelligence. Our mission is to foster knowledge sharing and facilitate meaningful connections among people worldwide. We operate two primary platforms: Quora, a global knowledge sharing platform with over 300 million monthly unique visitors, where users can share insights, ask questions, and learn from others across a wide range of topics; and Poe, an innovative AI\-powered platform that provides millions of users with access to a variety of advanced AI language models, including GPT\-5, Claude Sonnet 4\.5, Grok 4, and others. Our company culture emphasizes transparency, collaboration, and experimentation, empowering our teams to innovate and grow together. As a remote\-first organization, we offer flexibility and autonomy to our employees, enabling them to contribute meaningfully from multiple countries around the world. Join us in our journey to create a positive impact and drive technological and social progress through knowledge and AI advancements. For more details regarding employment eligibility by country.
**About The Role**
 We are seeking a talented Machine Learning Engineer to join our Monetization team, working specifically on the Quora product. This role offers the opportunity to tackle challenging problems related to advertising and revenue growth by optimizing our ad platform through advanced machine learning techniques. You will be responsible for managing the entire lifecycle of machine learning models—from data collection and feature engineering to model training, evaluation, and deployment—ensuring seamless integration into our production environment. As part of a highly collaborative and innovative team, you will work closely with cross\-functional partners, including product managers and engineers, to develop next\-generation targeting and bidding solutions that enhance advertiser performance and user experience. This position is ideal for professionals who thrive in a flexible, autonomous environment and are passionate about leveraging AI to solve real\-world problems at scale. Your contributions will directly influence Quora’s revenue streams and strengthen the connection between our users and business offerings, making a significant impact on the company’s growth trajectory.
**Qualifications**
* Bachelor’s or Master’s degree in Computer Science, Data Science, Machine Learning, or a related field
* Proven experience in developing and deploying machine learning models at scale
* Strong programming skills in Python, Java, or similar languages
* Experience with machine learning frameworks such as TensorFlow, PyTorch, or equivalent
* Knowledge of data pipelines, feature engineering, and data management techniques
* Familiarity with scalable ML systems and cloud platforms like AWS, GCP, or Azure
* Excellent problem\-solving skills and the ability to work independently in a remote environment
* Strong communication skills to collaborate effectively across teams
* Availability for meetings and impromptu communication during Quora's “coordination hours”
**Responsibilities**
* Improve existing machine learning systems by applying core coding skills and ML expertise
* Take end\-to\-end ownership of machine learning systems, including data pipelines, feature engineering, candidate extraction, model training, and deployment
* Apply state\-of\-the\-art machine learning algorithms at scale to develop next\-generation targeting and bidding products that influence key company metrics
* Collaborate with ML platform and product engineering teams to build scalable, efficient, and maintainable ML systems in production
* Work closely with product and business teams to develop innovative features aimed at optimizing ad targeting and bidding strategies
* Identify new opportunities for applying machine learning across various parts of the Ads product to generate additional value for users and advertisers
* Monitor and evaluate model performance, continuously iterating to enhance accuracy and efficiency
* Document processes and share insights to foster a culture of continuous learning and improvement
**Benefits**
* Competitive salary and performance\-based incentives
* Flexible remote work arrangements and autonomy in your role
* Comprehensive health, dental, and vision insurance coverage
* Generous paid time off and holiday leave
* Opportunities for professional development and continuous learning
* Inclusive and collaborative company culture that values diversity and innovation
* Access to cutting\-edge AI and machine learning technologies
 Equal Opportunity
 Quora is an equal opportunity employer. We celebrate diversity and are committed to creating an inclusive environment for all employees. We do not discriminate based on race, religion, color, national origin, gender, sexual orientation, age, disability, or any other protected status. All qualified applicants will receive consideration for employment without regard to these factors. We encourage candidates from all backgrounds to apply and join our mission to grow the world's collective intelligence.</t>
        </is>
      </c>
    </row>
    <row r="72">
      <c r="A72" t="inlineStr">
        <is>
          <t>li-4368361984</t>
        </is>
      </c>
      <c r="B72" t="inlineStr">
        <is>
          <t>Machine Learning Engineer</t>
        </is>
      </c>
      <c r="C72" t="inlineStr">
        <is>
          <t>Petroplan</t>
        </is>
      </c>
      <c r="D72" t="inlineStr">
        <is>
          <t>linkedin</t>
        </is>
      </c>
      <c r="E72">
        <f>HYPERLINK("https://www.linkedin.com/jobs/view/4368361984", "https://www.linkedin.com/jobs/view/4368361984")</f>
        <v/>
      </c>
      <c r="F72" t="inlineStr"/>
      <c r="G72" t="inlineStr">
        <is>
          <t>Arlington, VA</t>
        </is>
      </c>
      <c r="H72" t="inlineStr"/>
      <c r="I72" t="inlineStr">
        <is>
          <t>**Machine Learning Engineer** 
 📍
 **Location:** 
 Arlington, VA
 I’m partnering with a
 **large U.S. energy infrastructure company** 
 that is building and scaling production\-grade machine learning and AI systems across its enterprise.
 They’re looking for a
 **Machine Learning Engineer** 
 with strong experience in
 **production ML** 
 , Databricks, and cloud\-based data platforms to design, deploy, and optimize ML pipelines at scale.
**Responsibilities:** 
* Build and productionize ML, deep learning, and AI models
* Design and optimize training and model serving pipelines
* Work heavily in
 **Databricks / PySpark**
* Improve model accuracy, performance, and observability
* Collaborate closely with data science, data engineering, and business teams
* Deploy scalable, reliable ML systems in a cloud environment
**Requirements:** 
* 5\+ years of ML engineering, software engineering, or data science experience
* Strong Python \&amp; SQL skills (Scala a plus)
* Hands\-on experience deploying ML models to production
* Experience with Databricks, data lakes, and CI/CD workflows
* Cloud experience (Azure, AWS, or similar)</t>
        </is>
      </c>
    </row>
    <row r="73">
      <c r="A73" t="inlineStr">
        <is>
          <t>li-4368324645</t>
        </is>
      </c>
      <c r="B73" t="inlineStr">
        <is>
          <t>ML Engineer</t>
        </is>
      </c>
      <c r="C73" t="inlineStr">
        <is>
          <t>Tempus AI</t>
        </is>
      </c>
      <c r="D73" t="inlineStr">
        <is>
          <t>linkedin</t>
        </is>
      </c>
      <c r="E73">
        <f>HYPERLINK("https://www.linkedin.com/jobs/view/4368324645", "https://www.linkedin.com/jobs/view/4368324645")</f>
        <v/>
      </c>
      <c r="F73">
        <f>HYPERLINK("https://www.wiraa.com/job-description/us6BD189EAB398371C63F681AF3224EB28?source=Linkedin&amp;urlHash=BzgJ", "https://www.wiraa.com/job-description/us6BD189EAB398371C63F681AF3224EB28?source=Linkedin&amp;urlHash=BzgJ")</f>
        <v/>
      </c>
      <c r="G73" t="inlineStr"/>
      <c r="H73" t="inlineStr"/>
      <c r="I73" t="inlineStr">
        <is>
          <t>**About The Company**
 Tempus is at the forefront of integrating advanced artificial intelligence into healthcare, aiming to revolutionize patient care through data\-driven insights. Our proprietary platform connects a comprehensive ecosystem of real\-world evidence, including genomics, medical imaging, clinical notes, and other biomedical data, to deliver real\-time, actionable insights to physicians. By harnessing the power of cutting\-edge AI technology, we enable personalized treatment plans, optimize clinical workflows, and accelerate medical research, ultimately improving patient outcomes worldwide.
**About The Role**
 We are seeking a highly experienced Staff Machine Learning Engineer specializing in large\-scale multimodal model systems engineering to join our innovative AI team. In this pivotal role, you will be responsible for designing, building, and maintaining the foundational data infrastructure that supports Tempus’s most advanced generative AI models. Your expertise will directly contribute to developing systems capable of analyzing complex, heterogeneous data types such as genomics, pathology images, radiology scans, and clinical notes. This position offers a unique opportunity to impact healthcare profoundly by enabling robust AI models that facilitate better diagnosis, treatment, and research.
 The ideal candidate will possess a strong background in data engineering, distributed systems, and machine learning infrastructure, with a focus on large\-scale multimodal data processing. Collaborating closely with cross\-functional teams, including research scientists, platform engineers, and clinicians, you will ensure the seamless ingestion, processing, and retrieval of vast datasets. Your work will be critical in establishing scalable, secure, and efficient data pipelines that underpin our AI models, supporting ongoing innovation in healthcare technology.
**Qualifications**
* Master’s degree or higher in Computer Science, Artificial Intelligence, Software Engineering, or related fields (PhD preferred).
* Minimum of 8\+ years of industry experience in designing, building, and operating large\-scale data pipelines and infrastructure.
* Proven expertise working with massive, heterogeneous datasets (terabytes\+) and modern distributed data processing frameworks such as Apache Spark, Ray, or Dask.
* Hands\-on experience with large\-scale ML data handling tools like Hugging Face Datasets, MosaicML Streaming, WebDataset, or Petastorm.
* Strong programming skills in Python and familiarity with MLOps platforms such as MLflow, Kubeflow, or SageMaker Pipelines.
* Deep understanding of data challenges associated with training large models, including foundation models, LLMs, and multimodal systems.
* Experience in developing and optimizing data ingestion strategies from various sources, including biomedical literature, knowledge graphs, and proprietary databases.
* Excellent leadership, communication, and collaboration skills, with a proven ability to mentor junior engineers and work effectively across multidisciplinary teams.
**Responsibilities**
* Architect and develop sophisticated data processing workflows for multimodal training data, ensuring compatibility with distributed ML training frameworks and GPU clusters.
* Design and implement strategies for efficient, compliant data ingestion from diverse sources, including internal databases, third\-party APIs, and public biomedical datasets.
* Optimize data storage solutions to facilitate large\-scale training and knowledge access, balancing cost, performance, and security considerations.
* Develop and maintain connectors and data loaders for accessing knowledge graphs, biomedical literature, and curated ontologies.
* Collaborate with infrastructure teams to leverage cloud\-native services on GCP, ensuring high performance, scalability, and security.
* Monitor, troubleshoot, and improve complex data workflows using tools like Airflow and Kubeflow Pipelines, ensuring robustness and reliability.
* Implement monitoring, logging, and alerting systems to detect data drift, quality issues, and pipeline failures, enabling continuous improvement.
* Analyze data I/O performance bottlenecks and implement solutions to optimize throughput and reduce latency.
* Manage cloud storage and processing costs effectively while maintaining high data processing standards.
**Benefits**
* Competitive salary aligned with experience and location.
* Comprehensive health, dental, and vision insurance plans.
* Incentive compensation and restricted stock units (RSUs).
* Flexible work arrangements, including remote options.
* Generous paid time off and holidays.
* Opportunities for professional development and continuous learning.
* Collaborative and innovative work environment focused on impactful healthcare solutions.
 Equal Opportunity
 Tempus is an equal opportunity employer. We celebrate diversity and are committed to creating an inclusive environment for all employees. We do not discriminate based on race, religion, color, national origin, gender, sexual orientation, age, marital status, veteran status, or disability. We believe that diverse perspectives foster innovation and are essential to our mission of transforming healthcare through data and AI.</t>
        </is>
      </c>
    </row>
    <row r="74">
      <c r="A74" t="inlineStr">
        <is>
          <t>li-4368418083</t>
        </is>
      </c>
      <c r="B74" t="inlineStr">
        <is>
          <t>AIML - Machine Learning Engineer, Data and ML Innovation</t>
        </is>
      </c>
      <c r="C74" t="inlineStr">
        <is>
          <t>Apple</t>
        </is>
      </c>
      <c r="D74" t="inlineStr">
        <is>
          <t>linkedin</t>
        </is>
      </c>
      <c r="E74">
        <f>HYPERLINK("https://www.linkedin.com/jobs/view/4368418083", "https://www.linkedin.com/jobs/view/4368418083")</f>
        <v/>
      </c>
      <c r="F74" t="inlineStr"/>
      <c r="G74" t="inlineStr">
        <is>
          <t>Seattle, WA</t>
        </is>
      </c>
      <c r="H74" t="inlineStr"/>
      <c r="I74" t="inlineStr">
        <is>
          <t>**Summary**
 Would you like to be a part of Apple’s AI and Machine Learning org, where we encourage and create groundbreaking technology for multi\-modal models with strong agent and reasoning capabilities?
 The Data and Machine Learning Innovation (DMLI) team is seeking a passionate Machine Learning Engineer to explore new methods, challenge existing metrics and protocols, and develop new insightful practices for real\-world ML challenges.
 As a team member, you will work on some of the most ambitious technical challenges in the field. Your role will involve collaborating closely with our team of machine learning researchers, engineers, and data scientists. Together, you will spearhead groundbreaking research initiatives and develop transformative products designed to build for billions of users worldwide.
**Description**
 As a Machine Learning (ML) Engineer, you will be entrusted with the critical role of innovating and applying innovative research in foundation models to with a particular focus on audio data. This includes working across the full ML pipeline—from pre\-training on large\-scale unlabeled audio corpora to post\-training evaluation and fine\-tuning with task\-specific datasets.
 The solutions you develop will have a significant impact on future Apple software and hardware products, as well as the broader ML ecosystem.
**Responsibilities**
* Your responsibilities will extend to designing and developing a comprehensive multi\-modal data generation and curation framework for foundation models at Apple.
* You will also contribute to building robust model evaluation pipelines that support continuous improvement and performance assessment.
* In addition, the role involves analyzing multi\-modal data to better understand its influence on model behavior and outcomes. Furthermore, you will have the opportunity to showcase your groundbreaking research work by publishing and presenting at premier academic venues.
* YOUR WORK MAY SPAN VARIOUS APPLICATIONS, INCLUDING:
* Designing self\-supervised and semi\-supervised representation learning pipelines, and fine\-tuning strategies for tasks like speech recognition and speaker identification.
* Applying data selection techniques such as novelty detection and active learning across multi modalities to improve data efficiency and reduce distributional gaps.
* Modeling data distributions using ML/statistical methods to uncover patterns, reduce redundancy, and handle out\-of\-distribution challenges.
* Rapidly learning new methods and domains as needed, and guiding product teams in selecting effective ML solutions.
**Minimum Qualifications**
* Deep technical skills in one or more machine learning areas, such as computer vision, audio, combinatorial optimization, causality analysis, natural language processing, and deep learning.
* Strong software development skills with proficiency in Python; hands\-on experience working with deep learning toolkits like PyTorch, TensorFlow, or JAX (one of).
* 5\+ years of experience developing and evaluating ML applications, demonstrating a passion for understanding and improving model/data quality.‘
**Preferred Qualifications**
* Deep understanding of multi\-modal foundation models.
* Staying up\-to\-date with emerging trends in generative AI and multi\-modal LLMs.
* The ability to formulate machine learning problems, design, experiment, implement, and communicate solutions effectively with multi\-functional teams.
* Demonstrated publication records in relevant conferences (e.g., CVPR, ICCV, ECCV, NeurIPS, ICML, ICLR, etc.).
* Track records of adopting ML to solve cross\-disciplinary problems.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5">
      <c r="A75" t="inlineStr">
        <is>
          <t>li-4317507136</t>
        </is>
      </c>
      <c r="B75" t="inlineStr">
        <is>
          <t>AI Engineer</t>
        </is>
      </c>
      <c r="C75" t="inlineStr">
        <is>
          <t>Develop Health</t>
        </is>
      </c>
      <c r="D75" t="inlineStr">
        <is>
          <t>linkedin</t>
        </is>
      </c>
      <c r="E75">
        <f>HYPERLINK("https://www.linkedin.com/jobs/view/4317507136", "https://www.linkedin.com/jobs/view/4317507136")</f>
        <v/>
      </c>
      <c r="F75" t="inlineStr"/>
      <c r="G75" t="inlineStr">
        <is>
          <t>Menlo Park, CA</t>
        </is>
      </c>
      <c r="H75" t="inlineStr"/>
      <c r="I75" t="inlineStr">
        <is>
          <t>Develop Health is on a mission to use AI to radically accelerate access to life\-saving medications. By automating complex, manual healthcare processes—like benefit verification and prior authorization—
 **we’ve grown from $0 to \&gt;$10M in annual recurring revenue in less than 2 years, and currently help more than 400,000 new patients every month** 
 .
 We’re partnering with some of the largest pharmacy benefit managers and payers in the nation, revolutionizing how healthcare interactions occur by eliminating human delays and inefficiencies. Our small, elite team of founders and engineers have previously launched and exited successful healthcare startups including Rupa Health and Canvas Medical. We are now scaling rapidly following a major funding round.
**About The Role** 
 We’re hiring an
 **AI Engineer** 
 to take models from prototype to production and drive real clinical impact through applied AI. You’ll have significant autonomy to define high‑value projects, build production‑ready systems, and ensure our models are safe, reliable, and deeply useful in the healthcare workflow.
 You’ll work closely with our product engineers, clinical leaders, and CTO to ensure that our AI delivers measurable improvements in patient access and operational efficiency. This is a hands‑on role that combines cutting‑edge AI development with pragmatic engineering and evaluation.
**What You'll Do \- Impact In Your First 3\-6 Months:** 
* Build and curate datasets and context sources to enable exceptional prompt engineering and evaluation of frontier LLMs, optimizing inputs, retrieval, and context to deliver cutting‑edge performance and reliability.
* Design and maintain evaluation pipelines that rigorously measure model accuracy, reliability, and real‑world clinical value.
* Prompt, test, and iterate on LLM workflows—including retrieval, agent logic, and tool use—to achieve industry‑leading performance.
* Deploy models into production: design APIs, integrate inference into our Python‑based backend, and implement observability and monitoring.
* Stay on the frontier of AI research, evaluating and incorporating advancements that enhance our platform.
**What You’ll Own – Driving Growth Beyond 12 Months:** 
* Develop and scale systems for continuous model improvement and learning, informed by real production feedback.
* Build AI infrastructure and tooling to enable other teams to safely prototype and deploy models.
* Collaborate with engineering leadership to architect the next‑generation AI platform that supports 100× transaction volume.
* Advance the AI‑driven features of our product—making our automation smarter, faster, and more context‑aware.
* Mentor future AI hires and help shape the company’s applied AI roadmap.
**What You’ll Bring On Day 1:** 
* 3\+ years of experience in applied AI or machine learning engineering.
* Deep, hands‑on experience with LLMs, modern AI frameworks, and evaluation techniques.
* Strong proficiency in Python, including API design and integration of AI models into production systems.
* Demonstrated ability to independently identify impactful projects and deliver them end‑to‑end.
* A mindset oriented toward ownership, autonomy, and measurable outcomes, not ticket‑driven work.
* Comfort operating in a fast‑paced, high‑autonomy startup environment.
* Availability to work on‑site in Menlo Park at least three days per week.
**What You’ll Need To Learn Quickly:** 
* How our AI systems integrate with benefit verification and prior authorization workflows, and develop a deep understanding of the healthcare ecosystem—how data moves through payers, providers, and patients, and how our automation fits into these processes.
* Our internal data sources, operational rhythms, and model evaluation standards.
* Emerging AI techniques relevant to retrieval‑augmented generation, fine‑tuning, and evaluation automation.
**Bonus Points:** 
* Experience in healthcare or health‑tech environments.
* Prior startup or founding‑team experience.
* Familiarity with observability and monitoring frameworks for production ML systems.
* Contributions to open‑source AI projects or applied research.
**What We Offer:** 
* Competitive salary \+ meaningful equity in a company growing 10× year‑over‑year.
* Health, dental, and vision coverage; flexible PTO.
* High‑end workstation \&amp; tooling budget.
* The opportunity to build AI that directly improves access to care for millions of patients.</t>
        </is>
      </c>
    </row>
    <row r="76">
      <c r="A76" t="inlineStr">
        <is>
          <t>li-4368041824</t>
        </is>
      </c>
      <c r="B76" t="inlineStr">
        <is>
          <t>AI Engineer</t>
        </is>
      </c>
      <c r="C76" t="inlineStr">
        <is>
          <t>GEI Consultants, Inc.</t>
        </is>
      </c>
      <c r="D76" t="inlineStr">
        <is>
          <t>linkedin</t>
        </is>
      </c>
      <c r="E76">
        <f>HYPERLINK("https://www.linkedin.com/jobs/view/4368041824", "https://www.linkedin.com/jobs/view/4368041824")</f>
        <v/>
      </c>
      <c r="F76" t="inlineStr"/>
      <c r="G76" t="inlineStr">
        <is>
          <t>Cary, NC</t>
        </is>
      </c>
      <c r="H76" t="inlineStr"/>
      <c r="I76"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sitehere.
**GEI’s Total Rewards Package Includes**
*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
 x
 8
 10
 12
 Other work hours
*GEI is an AA/equal opportunity employer, including disabled and veterans.*</t>
        </is>
      </c>
    </row>
    <row r="77">
      <c r="A77" t="inlineStr">
        <is>
          <t>li-4352433333</t>
        </is>
      </c>
      <c r="B77" t="inlineStr">
        <is>
          <t>AI Engineer (New Graduate)</t>
        </is>
      </c>
      <c r="C77" t="inlineStr">
        <is>
          <t>Distyl</t>
        </is>
      </c>
      <c r="D77" t="inlineStr">
        <is>
          <t>linkedin</t>
        </is>
      </c>
      <c r="E77">
        <f>HYPERLINK("https://www.linkedin.com/jobs/view/4352433333", "https://www.linkedin.com/jobs/view/4352433333")</f>
        <v/>
      </c>
      <c r="F77" t="inlineStr"/>
      <c r="G77" t="inlineStr">
        <is>
          <t>New York, NY</t>
        </is>
      </c>
      <c r="H77" t="inlineStr"/>
      <c r="I77" t="inlineStr">
        <is>
          <t>**About Distyl AI**
 Distyl AI develops production\-grade AI systems to power core operational workflows for Fortune 500 companies. Powered by a strategic partnership with OpenAI, in\-house software accelerators, and deep enterprise AI expertise, we deliver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 from the customer’s problem and holding ourselves accountable for creating both financial impact and improving the lives of end\-users.
 Distyl is led by proven leaders from top companies like Palantir and Apple and is backed by Lightspeed, Khosla, Coatue, Dell Technologies Capital, Nat Friedman (Former CEO of GitHub), Brad Gerstner (Founder and CEO of Altimeter), and board members of over a dozen Fortune 500 companies.
**What We Are Looking For**
 We’re hiring early\-career / new\-graduate AI Engineers who are excited to build real\-world AI systems and grow quickly in a fast\-paced, customer\-facing environment. As a new grad at Distyl, you’ll be a hands\-on contributor from day one, working alongside experienced engineers to design, implement, and deploy production\-grade AI systems powered by Large Language Models (LLMs).
 This role offers structured exposure to both technical engineering work and real\-world business applications of AI. You’ll begin by learning through hands\-on development and shadowing customer work, and over time grow into greater ownership of technical decisions and solution design.
 This role is ideal for candidates who have strong technical fundamentals, a passion for AI, and a desire to learn how cutting\-edge GenAI systems are built and deployed in enterprise settings.
**Key Responsibilities**
 As an AI Engineer (New Graduate) at Distyl, you will:
**Build LLM\-Powered Systems**
* Design, implement, and deploy GenAI applications under the guidance of senior engineers
* Contribute to prompt design, agent logic, retrieval\-augmented generation (RAG), and model evaluation Help build full\-stack AI applications that deliver measurable business value
**Learn Through Customer\-Focused Work**
* Gain exposure to customer\-facing work by initially shadowing technical conversations and learning how business needs are translated into system design, with opportunities over time to take on more responsibility in technical decision\-making and implementation
* Partner with senior engineers to understand customer problems and translate requirements into technical solutions
* Participate in customer discussions, solution design sessions, and iterative delivery
**Contribute to Our Platform**
* Help improve Distillery, Distyl’s internal LLM application platform, by building reusable components, tools, and workflows
* Learn best practices for scalable, maintainable AI infrastructure
**Deliver Production\-Quality Code**
* Write clean, well\-tested, and observable code that meets reliability, performance, and security standards
* Learn how production AI systems are monitored, debugged, and improved over time
**Evaluate and Improve AI Systems**
* Assist with evaluating AI systems across accuracy, latency, cost, and robustness.
* Apply feedback from users and metrics to improve system performance
**Grow as an Engineer**
* Continuously develop your skills in LLMs, software engineering, and AI through mentorship, code reviews, and hands\-on project work
* Learn modern development workflows and deployment practices used in enterprise AI
**Who You Are**
 We’re excited to meet candidates who are curious, motivated, and eager to learn. Strong candidates typically have:
* A degree in Computer Science, Engineering, AI/ML, or a related field
* Proficiency in Python or TypeScript, with strong software engineering fundamentals
* Academic, internship, or project experience with LLMs or GenAI systems, such as:
+ Prompting and prompt experimentation
+ RAG pipelines
+ Simple AI agents or tool\-using systems
* Familiarity with LLM tooling or frameworks (e.g., LangChain, LlamaIndex, Agents SDK, or similar), or strong interest in learning them.
* Experience building projects end\-to\-end (school projects, internships, hackathons, or open\-source)
* Comfort working in collaborative environments and learning from feedback. Basic familiarity with cloud platforms (AWS, GCP, or Azure), Docker, or CI/CD is a plus, but not required
**What Success Looks Like In This Role**
 In your first year, you’ll:
* Ship production AI features used by real customers
* Develop a strong foundation in LLM systems and AI engineering best practices.
* Grow into owning meaningful components of customer\-facing AI systems
* Build confidence working across the full lifecycle of AI development—from problem definition to deployment
* Gain structured customer exposure—starting by shadowing technical discussions and learning how business requirements map to technical solutions, and gradually taking on more ownership in both technical execution and customer\-facing conversations
* Mentorship from experienced AI engineers through hands\-on project work, code reviews, and design discussions
**What We Offer**
* The base salary range for this role is $130K – $150K, depending on experience, location, and level. In addition to base compensation, this role is eligible for meaningful equity, along with a comprehensive benefits package
* 100% covered medical, dental, and vision for employees and dependents
* 401(k) with additional perks (e.g., commuter benefits, in‑office lunch)
* Access to state‑of‑the‑art models, generous usage of modern AI tools, and real‑world business problems
* Ownership of high‑impact projects across top enterprises
* A mission‑driven, fast‑moving culture that prizes curiosity, pragmatism, and excellence
 Distyl has offices in San Francisco and New York. This role follows a hybrid collaboration model with 3\+ days per week (Tuesday–Thursday) in‑office.
***We’re grateful for the strong interest in this role. The best way to get your profile in front of our team is to apply directly through our careers page, where all applications are reviewed. Due to the high volume of interest, we’re not able to review or respond to all direct emails or LinkedIn messages. We will be in touch with every applicant once we’ve completed our review, regardless of the decision.***
 Compensation Range: $150K \- $170K</t>
        </is>
      </c>
    </row>
    <row r="78">
      <c r="A78" t="inlineStr">
        <is>
          <t>li-4368409938</t>
        </is>
      </c>
      <c r="B78" t="inlineStr">
        <is>
          <t>AI/ML Engineer - Remote</t>
        </is>
      </c>
      <c r="C78" t="inlineStr">
        <is>
          <t>Optum</t>
        </is>
      </c>
      <c r="D78" t="inlineStr">
        <is>
          <t>linkedin</t>
        </is>
      </c>
      <c r="E78">
        <f>HYPERLINK("https://www.linkedin.com/jobs/view/4368409938", "https://www.linkedin.com/jobs/view/4368409938")</f>
        <v/>
      </c>
      <c r="F78" t="inlineStr"/>
      <c r="G78" t="inlineStr">
        <is>
          <t>Eden Prairie, MN</t>
        </is>
      </c>
      <c r="H78" t="inlineStr"/>
      <c r="I78"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Optum Technology Digital team is on a mission to disrupt the healthcare industry, transforming UHG into an industry\-leading Consumer brand. We deliver hyper\-personalized digital solutions that empower direct\-to\-consumer, digital\-first experiences, educating, guiding, and empowering consumers to access the right care at the right time. Our mission is to revolutionize healthcare for patients and providers by delivering cutting\-edge, personalized and conversational digital solutions. We're Consumer Obsessed, ensuring they receive exceptional support throughout their healthcare journeys. As we drive this transformation, we're revolutionizing customer interactions with the healthcare system, leveraging AI, cloud computing, and other disruptive technologies to tackle complex challenges. Serving UnitedHealth Group's digital technology needs, the Consumer Engineering team impacts millions of lives through UnitedHealthcare \&amp; Optum.
 The Optum Technology Chief Digital Office (CDO) Leadership team is transforming Optum to be an industry\-leading Consumer brand. We are on a journey towards delivering a best\-in\-the\-industry consumer experience to our patients and providers by delivering personalized digital solutions that support our consumers throughout their healthcare journeys. This team is transforming to meet the moment \- to begin radically altering the way our customers engage with the healthcare system using modern tech to solve some of the most complex problems experienced along the way.
 Serving all of UnitedHealth Group's digital technology needs, the CDO team is responsible for driving outcomes across nearly 30 million\+ human lives with UnitedHealthcare insurance, a number which puts UHC at the top of the pack as the largest managed care provider in the United States.
 You'll enjoy the flexibility to work remotely \* from anywhere within the U.S. as you take on some tough challenges. For all hires in the Minneapolis or Washington, D.C. area, you will be required to work in the office a minimum of four days per week.
**Primary Responsibilities**
* Design, develop, and deploy AI/ML models using GenAI technologies (LLMs, RAG, Agentic AI)
* Utilize agentic AI frameworks such as Claude Agents SDK, OpenAI Agents SDK or Langchain to build customer facing solutions, as well as automate internal processes
* Deploy AI/ML solutions in production public cloud environments (AWS, GCP, Azure)
* Conduct rigorous testing, validation, and performance optimization of Agentic AI systems
* Containerize AI/ML projects and implement CI/CD pipelines using tools like GitHub Actions
* Collaborate with stakeholders to preprocess, analyze, and interpret large\-scale datasets
* Study emerging trends and advancements in generative AI and ML technologies, putting learnings into practice in production systems
 You'll be rewarded and recognized for your performance in an environment that will challenge you and give you clear direction on what it takes to succeed in your role as well as provide development for other roles you may be interested in.
**Required Qualification**
* Bachelor's degree in Computer Science, Data Science, or related field
**Preferred Qualifications**
* Experience working on a consumer facing or opensource project
* Professional experience working on a Python or Typescript codebase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79">
      <c r="A79" t="inlineStr">
        <is>
          <t>li-4368426255</t>
        </is>
      </c>
      <c r="B79" t="inlineStr">
        <is>
          <t>Machine Learning Engineer (Agents &amp; LLMs)</t>
        </is>
      </c>
      <c r="C79" t="inlineStr">
        <is>
          <t>Katanemo</t>
        </is>
      </c>
      <c r="D79" t="inlineStr">
        <is>
          <t>linkedin</t>
        </is>
      </c>
      <c r="E79">
        <f>HYPERLINK("https://www.linkedin.com/jobs/view/4368426255", "https://www.linkedin.com/jobs/view/4368426255")</f>
        <v/>
      </c>
      <c r="F79" t="inlineStr"/>
      <c r="G79" t="inlineStr">
        <is>
          <t>Seattle, WA</t>
        </is>
      </c>
      <c r="H79" t="inlineStr"/>
      <c r="I79" t="inlineStr">
        <is>
          <t>**Are You Someone Who Is..** 
 Genuinely fascinated by what large language models (LLMS) can do, not only as standalone systems but as the foundation of new software experiences built by developers? Are you someone who is excited by the challenge of enabling the next 100 million developers to build AI Agents faster and with less toil? Are you eager to bridge the gap between research and deployment? Then this role is for you.
**About Katanemo** 
 Katanemo is a research and development company building the
 *open source stack* 
 for AI agents; our work sits at the edge of science and application \- building open source tools, infrastructure solutions and experimenting in real\-world customer scenarios to turn ideas into technologies others can rely on at scale.
 We believe the network is the most critical insertion point in the modern AI stack for agents. Control flow, environment state, agent capabilities all move as text across the wire. By making that traffic observable and programmable, the network becomes the foundation for reliability, routing, and reinforcement learning. But that’s just the beginning. This vantage point gives us a natural path into adjacent scenarios such as memory, evaluation, and agent coordination. Over time, we aim to provide developers with the full set of infrastructure primitives needed to build production\-grade agents—so they can focus on modeling business processes rather than wrestling with brittle frameworks or low\-level plumbing.
 Our first product, Plano, is a high\-performance proxy designed for agents. Plano pulls rote plumbing out of your framework so you can stay focused on what matters most: the core product logic of your agentic applications. Plano is backed by industry\-leading LLM research and built on Envoy by its core contributors, who built critical infrastructure at scale for modern workloads.
**About the Role** 
 We’re looking for an Applied ML Engineer with deep intuition and working experience in LLMs, embedding models, re\-ranking models, and evaluation techniques. This role is not “pure research” but sits right at the interface of research and deployment. You’ll work closely with research scientists to translate experimental techniques into production systems, and you’ll also play a direct role in customer deployments—helping adapt, tune, and evaluate models in real\-world scenarios to improve product performance.
 If you thrive at the edge of research and application, and you want to help define the agentic stack from the ground up, this is the role for you.
**What You’ll Do** 
* Work on technologies core to modern agents: LLMs, embedding models, re\-rankers, and evaluation systems
* Translate research prototypes into robust, scalable production systems
* Design and maintain ML training, fine\-tuning, and deployment pipelines
* Rapidly experiment and iterate, even when data is imperfect or incomplete
* Run experiments, analyze results, and adapt models in real\-world customer deployments
* Fine\-tune models for specific domains and scenarios
* Optimize inference for performance and reliability in distributed and cloud environments
* Collaborate with research scientists to bring novel techniques into production
* Improve infrastructure to support fast\-paced experimentation and customer\-facing innovation
**What You’ll Bring** 
* A fearless, hands\-on attitude and willingness to take on bold ML challenges
* MS/PhD in Computer Science (or related field). Bonus: specialization in NLP or NLU
* 5\+ years of professional experience building and scaling ML systems
* Strong experience with LLMs, embeddings, re\-ranking, and evaluation methods
* Solid understanding of modern ML techniques: transfer learning, multi\-task learning, reinforcement learning, unsupervised/semi\-supervised approaches
* Strong Python skills and experience with production\-level codebases
* Expertise with ML frameworks (PyTorch, TensorFlow) and deployment pipelines
* Proven ability to design, ship, and support ML\-powered products in production
* Comfort collaborating with scientists, engineers, and customers, and explaining complex techniques in plain language
**Equal Opportunity** 
 Qualified applicants will receive consideration for employment without regard to race, religion, color, national origin, ancestry, sex, gender, gender identity, sexual orientation, marital status, age, physical or mental disability or medical condition, genetic information, veteran status, or any other consideration made unlawful by federal, state, or local laws.</t>
        </is>
      </c>
    </row>
    <row r="80">
      <c r="A80" t="inlineStr">
        <is>
          <t>li-4333355314</t>
        </is>
      </c>
      <c r="B80" t="inlineStr">
        <is>
          <t>Machine Learning Engineer</t>
        </is>
      </c>
      <c r="C80" t="inlineStr">
        <is>
          <t>Robert Half</t>
        </is>
      </c>
      <c r="D80" t="inlineStr">
        <is>
          <t>linkedin</t>
        </is>
      </c>
      <c r="E80">
        <f>HYPERLINK("https://www.linkedin.com/jobs/view/4333355314", "https://www.linkedin.com/jobs/view/4333355314")</f>
        <v/>
      </c>
      <c r="F80" t="inlineStr"/>
      <c r="G80" t="inlineStr">
        <is>
          <t>El Segundo, CA</t>
        </is>
      </c>
      <c r="H80" t="inlineStr"/>
      <c r="I80" t="inlineStr">
        <is>
          <t>**Title:** 
 3D Machine Learning Engineer
**Location:** 
 Hybrid – El Segundo, CA
**Compensation:** 
 Up to $190,000 DOE \+ benefits
 We’re seeking a
 **3D Machine Learning Engineer** 
 to join our innovative R\&amp; D team developing cutting\-edge vision systems and AI\-driven 3D modeling solutions. This hybrid role in
 **El Segundo** 
 offers the opportunity to work on challenging projects at the intersection of
 **computer vision, deep learning, and image processing** 
 .
**Responsibilities** 
* Design, train, and optimize deep learning models using
 **TensorFlow** 
 and
 **Python** 
 for 2D and 3D visual data.
* Develop algorithms for
 **3D reconstruction** 
 ,
 **object recognition** 
 , and
 **scene understanding** 
 .
* Implement and evaluate models for
 **image segmentation** 
 ,
 **depth estimation** 
 , and
 **motion tracking** 
 .
* Collaborate with multidisciplinary teams of engineers and researchers to deploy models into production environments.
* Contribute to data preprocessing, augmentation, and model performance evaluation.
 For immediate consideration, direct message Reid Gormly on LinkedIN Today and Apply now
**Qualifications** 
* **Bachelor’s degree** 
 in Computer Science, Engineering, Mathematics, or related STEM field.
* **2\+ years** 
 of professional experience in
 **machine learning** 
 or
 **computer vision** 
 .
* Strong programming skills in
 **Python** 
 and experience with
 **TensorFlow** 
 (PyTorch a plus).
* Hands\-on experience with
 **2D/3D image processing** 
 ,
 **feature extraction** 
 , and
 **geometric modeling** 
 .
* Familiarity with 3D data formats (e.g., point clouds, meshes, depth maps) and visualization tools.
* Excellent problem\-solving skills and ability to work in a collaborative environment.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81">
      <c r="A81" t="inlineStr">
        <is>
          <t>li-4277737025</t>
        </is>
      </c>
      <c r="B81" t="inlineStr">
        <is>
          <t>AI Engineer</t>
        </is>
      </c>
      <c r="C81" t="inlineStr">
        <is>
          <t>Distyl</t>
        </is>
      </c>
      <c r="D81" t="inlineStr">
        <is>
          <t>linkedin</t>
        </is>
      </c>
      <c r="E81">
        <f>HYPERLINK("https://www.linkedin.com/jobs/view/4277737025", "https://www.linkedin.com/jobs/view/4277737025")</f>
        <v/>
      </c>
      <c r="F81" t="inlineStr"/>
      <c r="G81" t="inlineStr">
        <is>
          <t>New York, NY</t>
        </is>
      </c>
      <c r="H81" t="inlineStr"/>
      <c r="I81" t="inlineStr">
        <is>
          <t>**About Distyl AI**
 Distyl AI develops production\-grade AI systems to power core operational workflows for Fortune 500 companies. Powered by a strategic partnership with OpenAI, in\-house software accelerators, and deep enterprise AI expertise, we deliver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 from the customer’s problem and holding ourselves accountable for creating both financial impact and improving the lives of end\-users.
 Distyl is led by proven leaders from top companies like Palantir and Apple and is backed by Lightspeed, Khosla, Coatue, Dell Technologies Capital, Nat Friedman (Former CEO of GitHub), Brad Gerstner (Founder and CEO of Altimeter), and board members of over a dozen Fortune 500 companies.
**What We’re Looking For**
 We’re hiring
 **AI Engineers at all levels of experience** 
 , from early\-career builders to senior engineers who can lead large\-scale deployments and shape our customers' technical roadmap. Regardless of seniority, every AI Engineer at Distyl is a hands\-on contributor responsible for designing, implementing, and deploying production\-grade AI systems using Large Language Models (LLMs).
 At the most senior levels, our engineers operate as the
 **technical owners** 
 of F500 engagements, defining architecture, engaging with enterprise leaders, and leading technical teams to transform mission\-critical workflows.
**Key Responsibilities**
 All AI Engineers at Distyl are expected to:
* Design and Deploy LLM\-Powered Systems: Build and deploy robust GenAI systems that deliver measurable business value. Includes model evaluation, prompt design, agent/agentic logic, and full\-stack application development
* Engage Deeply with Customers: Work directly with customer stakeholders to understand their most pressing business and technical needs, and turn those into tailored, high\-impact AI solutions
* Build and Improve Our Platform: Contribute to the development of Distillery, our internal LLM application platform, by developing reusable tools, infrastructure, and workflows that scale across customers
* Deliver Production Quality: Ensure systems are observable, maintainable, and meet rigorous reliability, performance, and security standards
* Evaluate AI Systems Scientifically: Lead evaluation efforts balancing accuracy, latency, explainability, cost, and robustness
* Continuously Improve: Refine development workflows, platform architecture, and deployment practices to raise the engineering bar
**At Higher Levels Of Experience, You Will Also**
* Set technical direction and architecture for multi\-million\-dollar customer engagements
* Earn executive trust and guide enterprise engineers through rollout and long\-term operations
* Mentor and up\-level Distyl engineers via design reviews, architectural design reviews, leading by doing, and targeted coaching
**Who You Are**
 We believe great AI Engineers come from diverse backgrounds and are unified by deep curiosity, pragmatism, and engineering excellence. We’re excited to meet candidates with:
* Proficiency in Python or Typescript (experience with a diverse set of languages is a plus), with hands\-on experience using LLM tooling such as LangChain, LlamaIndex, Guardrails, MCP and Agents SDK
* Experience building and deploying LLM\-powered AI agents in production, including tool use, prompt orchestration, RAG, and long\-horizon task execution
* Deep understanding of agent design patterns, with practical experience in observability, debugging, and human\-in\-the\-loop feedback systems
* Skilled at solving complex, ambiguous problems using cutting\-edge AI techniques to deliver meaningful business outcomes
* Familiar with responsible AI practices (e.g., auditability, interpretability), and experienced in aligning AI systems with enterprise\-grade requirements
* Comfortable working across cloud environments (AWS, GCP, Azure) with modern DevOps tools (Docker, CI/CD), and collaborating closely with cross\-functional teams
* For senior roles: strong architectural and systems design, experience leading projects, navigating and deploying into enterprise hybrid cloud environments and mentor others
**What We Offer**
* The base salary range for this role is $130K – $250K, depending on experience, location, and level. In addition to base compensation, this role is eligible for meaningful equity, along with a comprehensive benefits package
* 100% covered medical, dental, and vision for employees and dependents
* 401(k) with additional perks (e.g., commuter benefits, in‑office lunch)
* Access to state‑of‑the‑art models, generous usage of modern AI tools, and real‑world business problems
* Ownership of high‑impact projects across top enterprises
* A mission‑driven, fast‑moving culture that prizes curiosity, pragmatism, and excellence
 Distyl has offices in San Francisco and New York. This role follows a hybrid collaboration model with 3\+ days per week (Tuesday–Thursday) in‑office.
 ***.***
***We’re grateful for the strong interest in this role. The best way to get your profile in front of our team is to apply directly through our careers page, where all applications are reviewed. Due to the high volume of interest, we’re not able to review or respond to all direct emails or LinkedIn messages. We will be in touch with every applicant once we’ve completed our review, regardless of the decision.***</t>
        </is>
      </c>
    </row>
    <row r="82">
      <c r="A82" t="inlineStr">
        <is>
          <t>li-4368376921</t>
        </is>
      </c>
      <c r="B82" t="inlineStr">
        <is>
          <t>Machine Learning Engineer III</t>
        </is>
      </c>
      <c r="C82" t="inlineStr">
        <is>
          <t>Expedia Group</t>
        </is>
      </c>
      <c r="D82" t="inlineStr">
        <is>
          <t>linkedin</t>
        </is>
      </c>
      <c r="E82">
        <f>HYPERLINK("https://www.linkedin.com/jobs/view/4368376921", "https://www.linkedin.com/jobs/view/4368376921")</f>
        <v/>
      </c>
      <c r="F82" t="inlineStr"/>
      <c r="G82" t="inlineStr">
        <is>
          <t>San Jose, CA</t>
        </is>
      </c>
      <c r="H82" t="inlineStr"/>
      <c r="I82" t="inlineStr">
        <is>
          <t>Machine Learning Engineer III
 Expedia Technology teams partner with our Product teams to create innovative products, services, and tools to deliver high\-quality experiences for travelers, partners, and our employees. A singular technology platform powered by data and machine learning provides secure, differentiated, and personalized experiences that drive loyalty and traveler satisfaction.
 We are seeking a Machine Learning Engineer III to join our high\-performing Advertising Technology team, where we build and operate large\-scale batch and real\-time ML systems that power pricing, inventory optimization, ranking, and trust \&amp; safety across the ad platform. This role sits at the intersection of machine learning, distributed systems, and MLOps, directly influencing how models are designed, deployed, and operated in production at scale.
 You will work closely with Software Engineering, Data Science, Product, and Platform teams to translate modeling ideas into reliable, observable, and scalable ML systems, while setting technical direction, raising engineering standards, and mentoring others as the platform and business grow.
**In this role, you will:** 
* ML Infrastructure \&amp; Pipelines: Design and implement scalable batch and real\-time ML pipelines to support advertising delivery and optimization across channels
* Model Deployment \&amp; Integration: Operationalize ML models developed by ML scientists, integrating them with ad delivery, bidding, ranking, and campaign management systems
* Data Engineering: Build and maintain reliable data pipelines to ingest, process, and transform large\-scale ad impressions, clicks, and conversion data
* Cross\-Functional Collaboration: Partner closely with ads product, engineering, analytics, and business teams to align ML solutions with marketplace and revenue goals
* Advertising at Scale: Enable low\-latency inference and real\-time decisioning for advertising systems serving millions of users across multiple brands and surfaces
* Tooling \&amp; Automation: Develop reusable components, APIs, and orchestration workflows to support experimentation, deployment, and rapid iteration in ad systems
* Monitoring \&amp; Optimization: Ensure reliability, scalability, and performance of ML\-powered ad systems through robust monitoring, alerting, and continuous optimization
**Minimum Qualifications** 
* Bachelor’s or Master’s degree in Computer Science, Engineering, Data Science, or a related quantitative field
* 3 years\+ of industry experience (or equivalent internships/research) working with machine learning or data\-driven systems
* Proficiency in Python and familiarity with ML frameworks such as PyTorch or TensorFlow
* Solid understanding of machine learning fundamentals, including supervised learning, feature engineering, model evaluation, and basic bias/variance tradeoffs
* Experience working with data pipelines and large datasets, using tools such as Spark, SQL, or similar
* Familiarity with software engineering fundamentals, including version control, testing, and basic system design
* Ability to collaborate effectively and communicate technical concepts clearly
**Preferred Qualifications** 
* Experience contributing to production ML systems, including model training, evaluation, or inference pipelines
* Familiarity with distributed data processing (Spark, Databricks) and cloud environments (AWS preferred)
* Exposure to MLOps concepts, such as model deployment, monitoring, or retraining workflows
* Experience building or experimenting with ranking, prediction, classification, recommendation, or NLP models
* Basic familiarity with real\-time or near–real\-time ML systems
* Background or interest in ads, marketplaces, e\-commerce, or travel platforms</t>
        </is>
      </c>
    </row>
    <row r="83">
      <c r="A83" t="inlineStr">
        <is>
          <t>li-4360725345</t>
        </is>
      </c>
      <c r="B83" t="inlineStr">
        <is>
          <t>Applied AI Engineer</t>
        </is>
      </c>
      <c r="C83" t="inlineStr">
        <is>
          <t>Ramp</t>
        </is>
      </c>
      <c r="D83" t="inlineStr">
        <is>
          <t>linkedin</t>
        </is>
      </c>
      <c r="E83">
        <f>HYPERLINK("https://www.linkedin.com/jobs/view/4360725345", "https://www.linkedin.com/jobs/view/4360725345")</f>
        <v/>
      </c>
      <c r="F83" t="inlineStr"/>
      <c r="G83" t="inlineStr">
        <is>
          <t>San Francisco, CA</t>
        </is>
      </c>
      <c r="H83" t="inlineStr"/>
      <c r="I83"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The Applied AI team at Ramp is at the forefront of leveraging AI to drive innovation across our platform. We are seeking strong full\-stack engineers who are proficient in web frameworks, backend development, and infrastructure. You will work on exciting projects such as AI Agents, Retrieval\-Augmented Generation, Structured Extraction (we made https://github.com/1rgs/jsonformer), internal tooling for customer\-facing teams, fine\-tuning models, and build infrastructure for LLM inference. If you're passionate about working on real production use cases of large language models (LLMs) and want to contribute to groundbreaking AI applications, this role is for you.
 What You’ll Do
* Ship full\-stack AI projects end to end
* Build and integrate components for AI infrastructure, supporting production\-level inference and fine\-tuning
* Develop and improve engineering processes, tools, and systems to scale AI solutions across Ramp
* Create tools and internal platforms to enhance the productivity and capabilities of Ramp's AI and engineering teams
 What You Need
* Proficiency in full\-stack development, with a strong understanding of web frameworks, backend systems, and cloud infrastructure
* A track record of working on full\-stack AI projects, particularly those involving production use cases of LLMs
* Experience building backend systems and infrastructure that can support AI\-driven products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84">
      <c r="A84" t="inlineStr">
        <is>
          <t>li-4328460392</t>
        </is>
      </c>
      <c r="B84" t="inlineStr">
        <is>
          <t>Machine Learning Engineer - VP</t>
        </is>
      </c>
      <c r="C84" t="inlineStr">
        <is>
          <t>Citi</t>
        </is>
      </c>
      <c r="D84" t="inlineStr">
        <is>
          <t>linkedin</t>
        </is>
      </c>
      <c r="E84">
        <f>HYPERLINK("https://www.linkedin.com/jobs/view/4328460392", "https://www.linkedin.com/jobs/view/4328460392")</f>
        <v/>
      </c>
      <c r="F84" t="inlineStr"/>
      <c r="G84" t="inlineStr">
        <is>
          <t>Jersey City, NJ</t>
        </is>
      </c>
      <c r="H84" t="inlineStr"/>
      <c r="I84" t="inlineStr">
        <is>
          <t>We are seeking a highly skilled and motivated Machine Learning Engineer to join our technology team. The ideal candidate will be responsible for designing, developing, and deploying cutting\-edge applications that leverage Generative AI and Large Language Models (LLMs). This role involves architecting end\-to\-end platform services with a focus on scalability, reliability, and performance. You will be a key player in driving the implementation of new AI\-driven systems and programs that will impact all business line at Citi globally.
**Responsibilities**
* Architect and Build AI Solutions: Design and architect end\-to\-end platform capabilities and services that integrate with Generative AI technologies.
* Implement RAG Solutions: Develop and deploy solutions using VectorRAG and GraphRAG techniques with both open\-source and commercial Large Language Models.
* Develop AI Workflows: Apply a strong understanding of Agentic AI workflows and frameworks to build sophisticated, automated systems.
* Drive DevOps Best Practices: Implement robust CI/CD pipelines, automated testing, and containerization (Docker, Kubernetes) to streamline the development and deployment of machine learning models.
* End\-to\-End Project Ownership: Manage your deliverables from conception to deployment, proactively identifying and mitigating risks to ensure project goals are met.
* Rapid Prototyping: Perform and lead quick proof\-of\-concept (POC) projects to evaluate and demonstrate the feasibility of new GenAI use cases.
* Ensure System Integrity: Appropriately assess and manage risk in all technical and business decisions, ensuring compliance with applicable laws, rules, and regulations, and maintaining transparency in reporting and managing control issues.
* Collaborate and Innovate: Work closely with cross\-functional teams to solve complex problems, adapt quickly to changing priorities, and contribute to a culture of innovation.
**Required Qualifications**
* Experience: 5\+ years of relevant experience in Software Development or a Systems Analysis role, with a strong focus on machine learning.
* Programming Skills: Strong object\-oriented programming skills with expert\-level proficiency in Python.
* AI/ML Expertise: Deep experience with AI/ML frameworks (e.g., Langchain) and hands\-on experience with Generative AI technologies and Large Language Models.
* Application Development: Proven experience building applications that apply LLMs and GenAI to use cases such as search, chat agents, and guided analytics.
* DevOps Knowledge: Strong, working knowledge of DevOps tools (e.g., Jenkins, GitLab, Docker, Kubernetes) and Infrastructure as Code (IaC) practices.
* Architectural Understanding: Solid understanding of modern software development practices, including microservices architecture and API design principles.
* Data Proficiency: Experience with various data storage solutions (e.g., NoSQL, SQL, data lakes) and data pipeline orchestration.
* Problem\-Solving: Excellent analytical and problem\-solving skills with a proven ability to troubleshoot complex technical issues and provide innovative solutions.
**Preferred Qualifications**
* Cloud Architecture: Experience with various cloud platforms (e.g., AWS, GCP, Azure) and architectures (e.g., single/multi\-tenant).
* Large\-Scale Systems: Experience designing and implementing microservices\-based architectures for large\-scale platforms in complex environments.
* Leadership: Demonstrated leadership, project management skills, and a proven track record of self\-motivation and continuous learning.
 \-\-\-\-\-\-\-\-\-\-\-\-\-\-\-\-\-\-\-\-\-\-\-\-\-\-\-\-\-\-\-\-\-\-\-\-\-\-\-\-\-\-\-\-\-\-\-\-\-\-\-\-\-\-
**Job Family Group:**
 Technology
 \-\-\-\-\-\-\-\-\-\-\-\-\-\-\-\-\-\-\-\-\-\-\-\-\-\-\-\-\-\-\-\-\-\-\-\-\-\-\-\-\-\-\-\-\-\-\-\-\-\-\-\-\-\-
**Job Family:**
 Applications Development
 \-\-\-\-\-\-\-\-\-\-\-\-\-\-\-\-\-\-\-\-\-\-\-\-\-\-\-\-\-\-\-\-\-\-\-\-\-\-\-\-\-\-\-\-\-\-\-\-\-\-\-\-\-\-
**Time Type:**
 Full time
 \-\-\-\-\-\-\-\-\-\-\-\-\-\-\-\-\-\-\-\-\-\-\-\-\-\-\-\-\-\-\-\-\-\-\-\-\-\-\-\-\-\-\-\-\-\-\-\-\-\-\-\-\-\-
**Primary Location:**
 Jersey City New Jersey United States
 \-\-\-\-\-\-\-\-\-\-\-\-\-\-\-\-\-\-\-\-\-\-\-\-\-\-\-\-\-\-\-\-\-\-\-\-\-\-\-\-\-\-\-\-\-\-\-\-\-\-\-\-\-\-
**Primary Location Full Time Salary Range:**
 $142,320\.00 \- $213,480\.00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AI Frameworks, Generative AI, Large Language Model (LLM) Fine\-Tuning, ML Frameworks, Python (Programming Language).
 \-\-\-\-\-\-\-\-\-\-\-\-\-\-\-\-\-\-\-\-\-\-\-\-\-\-\-\-\-\-\-\-\-\-\-\-\-\-\-\-\-\-\-\-\-\-\-\-\-\-\-\-\-\-
**Anticipated Posting Close Date:**
 Dec 26,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85">
      <c r="A85" t="inlineStr">
        <is>
          <t>li-4328580408</t>
        </is>
      </c>
      <c r="B85" t="inlineStr">
        <is>
          <t>Machine Learning Engineer - VP</t>
        </is>
      </c>
      <c r="C85" t="inlineStr">
        <is>
          <t>Citi</t>
        </is>
      </c>
      <c r="D85" t="inlineStr">
        <is>
          <t>linkedin</t>
        </is>
      </c>
      <c r="E85">
        <f>HYPERLINK("https://www.linkedin.com/jobs/view/4328580408", "https://www.linkedin.com/jobs/view/4328580408")</f>
        <v/>
      </c>
      <c r="F85" t="inlineStr"/>
      <c r="G85" t="inlineStr">
        <is>
          <t>Jersey City, NJ</t>
        </is>
      </c>
      <c r="H85" t="inlineStr"/>
      <c r="I85" t="inlineStr">
        <is>
          <t>We are seeking a highly skilled and motivated Machine Learning Engineer to join our technology team. The ideal candidate will be responsible for designing, developing, and deploying cutting\-edge applications that leverage Generative AI and Large Language Models (LLMs). This role involves architecting end\-to\-end platform services with a focus on scalability, reliability, and performance. You will be a key player in driving the implementation of new AI\-driven systems and programs that will impact all business line at Citi globally.
**Responsibilities**
* Architect and Build AI Solutions: Design and architect end\-to\-end platform capabilities and services that integrate with Generative AI technologies.
* Implement RAG Solutions: Develop and deploy solutions using VectorRAG and GraphRAG techniques with both open\-source and commercial Large Language Models.
* Develop AI Workflows: Apply a strong understanding of Agentic AI workflows and frameworks to build sophisticated, automated systems.
* Drive DevOps Best Practices: Implement robust CI/CD pipelines, automated testing, and containerization (Docker, Kubernetes) to streamline the development and deployment of machine learning models.
* End\-to\-End Project Ownership: Manage your deliverables from conception to deployment, proactively identifying and mitigating risks to ensure project goals are met.
* Rapid Prototyping: Perform and lead quick proof\-of\-concept (POC) projects to evaluate and demonstrate the feasibility of new GenAI use cases.
* Ensure System Integrity: Appropriately assess and manage risk in all technical and business decisions, ensuring compliance with applicable laws, rules, and regulations, and maintaining transparency in reporting and managing control issues.
* Collaborate and Innovate: Work closely with cross\-functional teams to solve complex problems, adapt quickly to changing priorities, and contribute to a culture of innovation.
**Required Qualifications**
* Experience: 5\+ years of relevant experience in Software Development or a Systems Analysis role, with a strong focus on machine learning.
* Programming Skills: Strong object\-oriented programming skills with expert\-level proficiency in Python.
* AI/ML Expertise: Deep experience with AI/ML frameworks (e.g., Langchain) and hands\-on experience with Generative AI technologies and Large Language Models.
* Application Development: Proven experience building applications that apply LLMs and GenAI to use cases such as search, chat agents, and guided analytics.
* DevOps Knowledge: Strong, working knowledge of DevOps tools (e.g., Jenkins, GitLab, Docker, Kubernetes) and Infrastructure as Code (IaC) practices.
* Architectural Understanding: Solid understanding of modern software development practices, including microservices architecture and API design principles.
* Data Proficiency: Experience with various data storage solutions (e.g., NoSQL, SQL, data lakes) and data pipeline orchestration.
* Problem\-Solving: Excellent analytical and problem\-solving skills with a proven ability to troubleshoot complex technical issues and provide innovative solutions.
**Preferred Qualifications**
* Cloud Architecture: Experience with various cloud platforms (e.g., AWS, GCP, Azure) and architectures (e.g., single/multi\-tenant).
* Large\-Scale Systems: Experience designing and implementing microservices\-based architectures for large\-scale platforms in complex environments.
* Leadership: Demonstrated leadership, project management skills, and a proven track record of self\-motivation and continuous learning.
 \-\-\-\-\-\-\-\-\-\-\-\-\-\-\-\-\-\-\-\-\-\-\-\-\-\-\-\-\-\-\-\-\-\-\-\-\-\-\-\-\-\-\-\-\-\-\-\-\-\-\-\-\-\-
**Job Family Group:**
 Technology
 \-\-\-\-\-\-\-\-\-\-\-\-\-\-\-\-\-\-\-\-\-\-\-\-\-\-\-\-\-\-\-\-\-\-\-\-\-\-\-\-\-\-\-\-\-\-\-\-\-\-\-\-\-\-
**Job Family:**
 Applications Development
 \-\-\-\-\-\-\-\-\-\-\-\-\-\-\-\-\-\-\-\-\-\-\-\-\-\-\-\-\-\-\-\-\-\-\-\-\-\-\-\-\-\-\-\-\-\-\-\-\-\-\-\-\-\-
**Time Type:**
 Full time
 \-\-\-\-\-\-\-\-\-\-\-\-\-\-\-\-\-\-\-\-\-\-\-\-\-\-\-\-\-\-\-\-\-\-\-\-\-\-\-\-\-\-\-\-\-\-\-\-\-\-\-\-\-\-
**Primary Location:**
 Jersey City New Jersey United States
 \-\-\-\-\-\-\-\-\-\-\-\-\-\-\-\-\-\-\-\-\-\-\-\-\-\-\-\-\-\-\-\-\-\-\-\-\-\-\-\-\-\-\-\-\-\-\-\-\-\-\-\-\-\-
**Primary Location Full Time Salary Range:**
 $142,320\.00 \- $213,480\.00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AI Agents, AI Frameworks, AI Ops, Generative AI, Large Language Models (LLMs), Machine Learning (ML), ML Frameworks, Python (Programming Language), Standard ML (Programming Language).
 \-\-\-\-\-\-\-\-\-\-\-\-\-\-\-\-\-\-\-\-\-\-\-\-\-\-\-\-\-\-\-\-\-\-\-\-\-\-\-\-\-\-\-\-\-\-\-\-\-\-\-\-\-\-
**Anticipated Posting Close Date:**
 Dec 26,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86">
      <c r="A86" t="inlineStr">
        <is>
          <t>li-4357565234</t>
        </is>
      </c>
      <c r="B86" t="inlineStr">
        <is>
          <t>AI/Machine Learning Engineer - Optical Systems</t>
        </is>
      </c>
      <c r="C86" t="inlineStr">
        <is>
          <t>Molex</t>
        </is>
      </c>
      <c r="D86" t="inlineStr">
        <is>
          <t>linkedin</t>
        </is>
      </c>
      <c r="E86">
        <f>HYPERLINK("https://www.linkedin.com/jobs/view/4357565234", "https://www.linkedin.com/jobs/view/4357565234")</f>
        <v/>
      </c>
      <c r="F86" t="inlineStr"/>
      <c r="G86" t="inlineStr">
        <is>
          <t>Fremont, CA</t>
        </is>
      </c>
      <c r="H86" t="inlineStr"/>
      <c r="I86" t="inlineStr">
        <is>
          <t>Molex is a global leader in the optical industry, renowned for delivering high\-performance, field\-proven wavelength management solutions. Our expertise spans components, modules, and integrated line\-cards, with a strong focus on innovation, miniaturization, and manufacturing automation. Our advanced optical, mechanical, electrical, and software design capabilities support the evolving needs of high\-density, high\-bandwidth, and flexible optical networks across telecom, datacom, hyperscale datacenters, artificial intelligence, and supercomputing.
 We are looking for a highly motivated AI / Machine Learning Engineer to join our R\&amp;D team in Fremont, CA. This position will focus on applying machine learning, data analytics, and image processing techniques to support the development, monitoring, and optimization of advanced optical products, including optical switching systems and OTDR\-based solutions.
 This role will work closely with multi\-disciplinary teams, including optical, electrical, software, and testing teams, sales and marketing, product line managers, as well as with colleagues across different geographic sites, to enable data\-driven insights and advanced algorithms for next\-generation optical products.
**What You Will Do**
* Design and implement AI and machine learning models for optical image processing, pattern recognition, anomaly detection, and system performance monitoring
* Develop and apply machine learning and data analysis methods to optical system data, including image, signal, and time\-series datasets
* Analyze experimental, manufacturing, and system\-level data to accelerate root cause analysis and failure mode understanding
* Support calibration, test optimization, and predictive maintenance initiatives using data\-driven approaches
* Work closely with cross\-functional teams to integrate AI solutions into the overall product workflow
* Document algorithms, data processing workflows, and experimental results following internal development and quality standards
* Lead AI development projects and provide technical guidance to project team members
**Who You Are (Basic Qualifications)**
* Master’s degree in Computer Science, Data Science, Electrical Engineering, or a related technical discipline with track focus on AI and machine learning
* At least 3 years of industry experience in AI and machine learning development
* Experience with image processing, signal processing, or time\-series analysis
* Experience deploying ML algorithms in production, hardware, embedded, or system\-level environments
* Experience collaborating with manufacturing or test teams on data\-driven process optimization
* Experience in machine learning, statistical modeling, and data analysis
* Experience with algorithm prototyping and analysis
* Proficient in data analysis and machine learning frameworks (e.g., PyTorch, TensorFlow, scikit\-learn, etc.)
* Experience in programming languages (e.g., Python, Java, etc.)
* Experience working with large, real\-world datasets and experimental data
**What Will Put You Ahead**
* Ph.D. degree in Computer Science, Data Science, or a related field
* Familiarity with optical systems, or hardware\-centric products
* Strong leadership and mentoring abilities
* Bilingual with Mandarin
*For this role, we anticipate paying $180,000\- $250,000 per year. This role is eligible for variable pay, issued as a monetary bonus or in another form.*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87">
      <c r="A87" t="inlineStr">
        <is>
          <t>li-4357505133</t>
        </is>
      </c>
      <c r="B87" t="inlineStr">
        <is>
          <t>Generative AI Engineer</t>
        </is>
      </c>
      <c r="C87" t="inlineStr">
        <is>
          <t>US Tech Solutions</t>
        </is>
      </c>
      <c r="D87" t="inlineStr">
        <is>
          <t>linkedin</t>
        </is>
      </c>
      <c r="E87">
        <f>HYPERLINK("https://www.linkedin.com/jobs/view/4357505133", "https://www.linkedin.com/jobs/view/4357505133")</f>
        <v/>
      </c>
      <c r="F87" t="inlineStr"/>
      <c r="G87" t="inlineStr">
        <is>
          <t>Irving, TX</t>
        </is>
      </c>
      <c r="H87" t="inlineStr"/>
      <c r="I87" t="inlineStr">
        <is>
          <t>**Job Overview** 
 We are seeking a Gen AI Engineer with a strong Python background to design, build, and deploy AI\-driven solutions. This role is open to professionals with experience in data engineering, data science, or machine learning engineering, and focuses on developing scalable GenAI workflows, APIs, and production\-ready AI systems. You will work closely with cross\-functional teams to bring modern LLM\-based solutions into real\-world applications.
**Roles \&amp; Responsibilities** 
* Design, develop, and maintain GenAI workflows and AI\-enabled applications
* Build and expose AI services via RESTful APIs using FastAPI and/or Flask
* Implement and optimize prompt engineering, RAG architectures, and agentic AI workflows
* Perform data processing and feature preparation to support AI/ML pipelines
* Deploy, monitor, and maintain AI models across development, testing, and production environments
* Conduct code reviews, write automated tests, and ensure high\-quality, maintainable code
* Document system design, APIs, workflows, and model behavior
* Collaborate with product, data, and engineering teams to deliver scalable AI solutions
**Must\-Have Technical / Functional Skills** 
* Strong hands\-on experience with Python
* Hands\-on experience in API development using FastAPI and/or Flask
* Experience in data processing and AI\-enabled workflows using Python
* Working knowledge of Large Language Models (LLMs) and prompt engineering
* Understanding of RAG architectures and agentic AI patterns
* Basic understanding of hybrid prompting techniques
* Experience with Generative AI frameworks and tools such as LangChain, Hugging Face, LlamaIndex, or similar
**Desired / Good\-to\-Have Skills** 
* Experience working with Gemini LLM or other enterprise LLMs
* Hands\-on experience with machine learning frameworks such as PyTorch, TensorFlow, or Keras.
**About US Tech Solutions:** 
 US Tech Solutions is a global staff augmentation firm providing a wide range of talent on\-demand and total workforce solutions. To know more about US Tech Solutions, please visit www.ustechsolutions.com.
 US Tech Solutions is an Equal Opportunity Employer. All qualified applicants will receive consideration for employment without regard to race, colour, religion, sex, sexual orientation, gender identity, national origin, disability, or status as a protected veteran.
 Recruiter Details:
 Karan Madan
 karanm@ustechsolutionsinc.com
 Internal ID: 25\-50926</t>
        </is>
      </c>
    </row>
    <row r="88">
      <c r="A88" t="inlineStr">
        <is>
          <t>li-4357575327</t>
        </is>
      </c>
      <c r="B88" t="inlineStr">
        <is>
          <t>AI Engineer</t>
        </is>
      </c>
      <c r="C88" t="inlineStr">
        <is>
          <t>Avesta Computer Services</t>
        </is>
      </c>
      <c r="D88" t="inlineStr">
        <is>
          <t>linkedin</t>
        </is>
      </c>
      <c r="E88">
        <f>HYPERLINK("https://www.linkedin.com/jobs/view/4357575327", "https://www.linkedin.com/jobs/view/4357575327")</f>
        <v/>
      </c>
      <c r="F88" t="inlineStr"/>
      <c r="G88" t="inlineStr">
        <is>
          <t>Fremont, CA</t>
        </is>
      </c>
      <c r="H88" t="inlineStr"/>
      <c r="I88" t="inlineStr">
        <is>
          <t>**Customer** 
 \- Our customer offers an enterprise grade, Agentic\-AI solution/platform to help customers de\-risk, optimize and rationalize their entire application portfolio, based on deep actionable insights.
**Job Title** 
 \-
 **AI Engineer** 
**Location** 
 \- Fremont, California, United States
**Type** 
 \- Fulltime
**H1 Sponsorship is available** 
 As an
 **AI Engineer** 
 , you’ll help build the next generation of
 **intelligent Agents** 
 that power this platform — autonomous systems that reason, collaborate, and deliver actionable insights across complex enterprise environments. You’ll work at the frontier of applied AI — blending model engineering, orchestration, and product thinking to make AI truly useful and reliable in enterprise contexts.
**What You’ll Do** 
* Design, build, and scale intelligent
 **multi\-agent systems** 
 that can autonomously perform complex reasoning, analysis, and decision\-support tasks.
* Architect and optimize
 **AI workflows** 
 that combine LLMs, tools, and retrieval mechanisms into reliable, explainable, and repeatable outcomes.
* Develop
 **evaluation and control frameworks** 
 to ensure agent accuracy, traceability, and performance in dynamic enterprise settings.
* Collaborate closely with product, engineering, and customer teams to translate business problems into scalable AI capabilities.
* Continuously refine agent behavior and orchestration through experimentation, system\-level tuning, and real\-world feedback.
**Who You Are** 
* 3–6 years of experience in applied AI, machine learning, or software systems engineering.
* **Hands\-on experience with LLM frameworks and agentic architectures (LangChain, LlamaIndex, AutoGen, or similar).**
* Strong software fundamentals in Python, APIs, and data handling — you can design systems, not just models.
* Deep curiosity about how AI can simulate reasoning, collaboration, and autonomy within real business ecosystems.
* Thrive in high\-context, high\-velocity environments where your work shapes the core intelligence of the company</t>
        </is>
      </c>
    </row>
    <row r="89">
      <c r="A89" t="inlineStr">
        <is>
          <t>li-4357582584</t>
        </is>
      </c>
      <c r="B89" t="inlineStr">
        <is>
          <t>Generative AI Engineer</t>
        </is>
      </c>
      <c r="C89" t="inlineStr">
        <is>
          <t>HCLTech</t>
        </is>
      </c>
      <c r="D89" t="inlineStr">
        <is>
          <t>linkedin</t>
        </is>
      </c>
      <c r="E89">
        <f>HYPERLINK("https://www.linkedin.com/jobs/view/4357582584", "https://www.linkedin.com/jobs/view/4357582584")</f>
        <v/>
      </c>
      <c r="F89" t="inlineStr"/>
      <c r="G89" t="inlineStr">
        <is>
          <t>Seattle, WA</t>
        </is>
      </c>
      <c r="H89" t="inlineStr"/>
      <c r="I89" t="inlineStr">
        <is>
          <t>HCLTech is looking for a highly talented and self\- motivated
 **Gen AI Engineer** 
 to join it in advancing the technological world through innovation and creativity.
**Job Title: Gen AI Engineer** 
**Job ID: 58038** 
**Position Type:** 
 Fulltime
**Location: USA / Seattle, WA** 
**Role/Responsibilities:** 
* Participate in the
 **analysis and design** 
 of GenAI and
 **Agentic AI** 
 applications.
* **Develop** 
 AI solutions using frameworks such as
 **Microsoft Agent Framework – Autogen, Semantic Kernel, Copilot Studio and LangChain/ LangGraph** 
 .
* Implement
 **data science / machine learning algorithms** 
 defined by Solution Architects.
* Follow
 **all SDLC phases** 
 : requirements, design, development, testing, deployment, and maintenance.
* **Collaborate** 
 with customers/stakeholders on project status and deliverables.
* Work with
 **Azure cloud platform is required.** 
 AWS / Google Cloud knowledge is a plus.
**Skills/Qualifications:** 
* **Python** 
 (scripting, data manipulation); familiarity with
 **NumPy, Pandas, Matplotlib, Scikit Learn etc.** 
 .
* GenAI / Agent frameworks:
 **Autogen, Semantic Kernel, Azure AI Foundry, Azure OpenAI** 
 , LangChain, LangGraph.
* Understanding of
 **machine learning fundamentals** 
 : supervised vs. unsupervised learning, neural networks, NLP.
* Familiarity with
 **GenAI tools** 
 :
 **MCP Server, Agent 2 Agent Communication, Hugging Face Transformers** 
 ,
 **OpenAI APIs** 
 , and
 **diffusion models** 
 (for image generation).
* Working knowledge of Azure platform and PaaS services
* Ability to work across the SDLC with clean code, testing, and documentation.
* Experience with
 **AutoGen / LangGraph multi\-agent patterns** 
**and orchestration** 
 .
* Knowledge of
 **RAG pipelines** 
 ,
 **vector databases** 
 , prompt optimization, and safety/guardrails.
* Exposure to
 **MLOps** 
 (model versioning, deployment, monitoring).
* **Cloud certifications** 
 (Microsoft Azure) is a plus.
**Pay and Benefits**
**Base Pay Range Minimum: $120,000 per year** 
**Base Pay Range Maximum: $140,000 per year** 
**HCLTech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**A candidate’s pay within the range will depend on their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 
**How You’ll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t>
        </is>
      </c>
    </row>
    <row r="90">
      <c r="A90" t="inlineStr">
        <is>
          <t>li-4357710516</t>
        </is>
      </c>
      <c r="B90" t="inlineStr">
        <is>
          <t>AI Engineer</t>
        </is>
      </c>
      <c r="C90" t="inlineStr">
        <is>
          <t>Kaleidoscope Innovation</t>
        </is>
      </c>
      <c r="D90" t="inlineStr">
        <is>
          <t>linkedin</t>
        </is>
      </c>
      <c r="E90">
        <f>HYPERLINK("https://www.linkedin.com/jobs/view/4357710516", "https://www.linkedin.com/jobs/view/4357710516")</f>
        <v/>
      </c>
      <c r="F90" t="inlineStr"/>
      <c r="G90" t="inlineStr">
        <is>
          <t>Cupertino, CA</t>
        </is>
      </c>
      <c r="H90" t="inlineStr"/>
      <c r="I90" t="inlineStr">
        <is>
          <t>Onsite: Sunnyvale, CA
**Primary Skills** 
 : Python, LLM, AI agent frameworks (Google ADK, LangChain
**Job Description \-**
 As the Lead Engineer, AI Agents, you will drive the technical vision and execution for a new class of intelligent agent\-based systems.
 Lead the end\-to\-end lifecycle of AI agents, from conceptualization to deployment and operational excellence.
 Guide a team of engineers to build and scale sophisticated AI agents that can reason, learn, and act across diverse data landscapes.
 Lead the integration of AI agents with the data and platforms ecosystem.
 Tackle complex AI challenges, such as ensuring agent reliability at scale, developing novel evaluation frameworks, and pioneering privacy\-preserving agentic architectures.
 Partner closely with teams in data science, engineering, operations, and research to translate high\-impact opportunities into robust, production\-grade solutions.
 Minimum Qualification \-
 8\+ years of software development or machine learning experience.
 M.S. or PhD in computer science, machine learning, or a related field or equivalent practical experience.
 4\+ years of experience in a technical leadership role.
 Strong programming skills in Python and applied experience with a range of LLMs.
 Expert in applying and extending AI agent frameworks (Google ADK, LangChain, etc.).
 Hands\-on experience developing, deploying, and operating AI agents in production.
 Experience deploying AI systems in large\-scale, hybrid environments with a focus on performance and reliability.
**Preferred Qualification \-**
 A portfolio of deployed agentic systems that have delivered significant, measurable impact.
 Experience in evaluation frameworks for AI agents.
 Proven expertise in optimizing AI agents for latency, scalability, and cost.
 A track record of thought leadership or contributions to the field of agentic AI.
**Kaleidoscope, an Infosys Company, is an equal opportunity employer, and all qualified applicants will receive consideration without regard to race, color, religion, sex, sexual orientation, gender identity, national origin, protected veteran status, spouse of protected veteran, or disability.**</t>
        </is>
      </c>
    </row>
    <row r="91">
      <c r="A91" t="inlineStr">
        <is>
          <t>li-4368388455</t>
        </is>
      </c>
      <c r="B91" t="inlineStr">
        <is>
          <t>Founding AI Engineer</t>
        </is>
      </c>
      <c r="C91" t="inlineStr">
        <is>
          <t>People In AI</t>
        </is>
      </c>
      <c r="D91" t="inlineStr">
        <is>
          <t>linkedin</t>
        </is>
      </c>
      <c r="E91">
        <f>HYPERLINK("https://www.linkedin.com/jobs/view/4368388455", "https://www.linkedin.com/jobs/view/4368388455")</f>
        <v/>
      </c>
      <c r="F91" t="inlineStr"/>
      <c r="G91" t="inlineStr"/>
      <c r="H91" t="inlineStr"/>
      <c r="I91" t="inlineStr">
        <is>
          <t>**Founding AI Engineer (Founding Engineer, AI Agents)** 
**$200,000 to $250,000 base \+ meaningful equity** 
**Remote (US time zones preferred)** 
**AI agents for real assets** 
 A stealth, venture\-backed startup is building AI “employees” for the teams responsible for developing large physical projects across North America. Think institutional real estate developers, asset managers, and operators managing billions in AUM. The work is deeply practical: long\-lived agent workflows, messy real\-world documents, and enterprise\-grade constraints where reliability matters.
 You will be the first full\-time engineering hire, partnering directly with the founding team to ship production agents end to end. This role is on a fast path to Head of Engineering for the right person.
 Responsibilities
* Build and ship agent\-based systems that run long\-lived, stateful workflows in production
* Own document ingestion and pipelines across PDFs, policies, drawings, spreadsheets, and emails
* Design retrieval, reasoning, and evaluation layers that improve continuously in production
* Build secure, multi\-tenant infrastructure patterns suitable for enterprise customers
* Deliver customer\-facing product surfaces and internal tools that help a very small team ship extremely fast
* Work directly with early customers to translate real workflows into productized agent capabilities
 Tech Stack and Environment
* Backend: TypeScript and Python services
* AI: Claude and OpenAI, multi\-agent systems, structured outputs, evaluation pipelines
* Agent tooling: LangGraph, Claude agent SDKs, MCP tools, emerging agent runtimes
* Infra: cloud\-native deployment, CI/CD, monitoring, security\-first design
* Frontend: Next.js, TypeScript, modern React
* Developer workflow: Cursor, Claude Code, internal coding agents used daily
 What we’re looking for
* Proven experience building and shipping AI agents to production (not just prototypes)
* Strong software fundamentals and good systems intuition
* Comfort owning deployment, reliability, and security decisions when needed
* Experience with document\-heavy workflows and data processing
* High ownership and high agency: you focus on outcomes, not just tickets
* AI\-native builder who adopts new tools fast and iterates quickly
 Why this role
* First engineering hire with direct ownership over what ships and how it scales
* Greenfield product space with real enterprise pull and concrete workflows
* Work on agents that do real jobs end to end, not just chat interfaces
* High upside: early stage, meaningful equity, and career\-defining scope
 About People In AI
 People In AI is a specialist recruiting partner focused on top AI and technical talent. We work closely with both candidates and hiring teams to provide clear context, tight process management, and honest guidance so you can make a confident decision without unnecessary noise.</t>
        </is>
      </c>
    </row>
    <row r="92">
      <c r="A92" t="inlineStr">
        <is>
          <t>li-4346017206</t>
        </is>
      </c>
      <c r="B92" t="inlineStr">
        <is>
          <t>Senior Machine Learning Engineer</t>
        </is>
      </c>
      <c r="C92" t="inlineStr">
        <is>
          <t>Ontra</t>
        </is>
      </c>
      <c r="D92" t="inlineStr">
        <is>
          <t>linkedin</t>
        </is>
      </c>
      <c r="E92">
        <f>HYPERLINK("https://www.linkedin.com/jobs/view/4346017206", "https://www.linkedin.com/jobs/view/4346017206")</f>
        <v/>
      </c>
      <c r="F92" t="inlineStr"/>
      <c r="G92" t="inlineStr"/>
      <c r="H92" t="inlineStr"/>
      <c r="I92" t="inlineStr">
        <is>
          <t>**About Ontra**
 Ontra is the leader in AI\-powered solutions for the private markets. Powered by industry\-leading AI, data from over 2 million contracts, and a global network of legal professionals, Ontra automates critical private market workflows across the fund lifecycle. Ontra’s solutions transform unstructured data trapped in static documents into actionable intelligence, enabling firms to accelerate contracts, streamline compliance, and automate entity management. Trusted by more than 1,000 global GPs, investment banks, law firms, and advisors – including nine of the top ten PEI\-ranked firms worldwide – Ontra helps firms focus on what’s important.
**Our Culture**
 Ontra is a remote\-first company that values the power of connection. We find innovative ways to stay connected, both virtually and in person. By promoting ownership, inspiring creativity, and championing collaboration, Ontra enables you to shape your impact and growth. Our commitment to innovation extends beyond our technology; it’s embedded in our culture, and AI plays a crucial role in everything we do.
 Our culture is one where belonging is the cornerstone of every interaction, rooted in acceptance and respect for all. Our commitment to inclusion begins at the application process, ensuring a fair and equitable hiring experience that values the unique contributions you bring from day one.
**About the Role**
 Ontra is seeking a
 **Senior Machine Learning Engineer** 
 reporting to our Head of Machine Learning.
 For this job, we are currently only hiring candidates based in the United States. For more information on where we employ, please see below.
 We’re looking for someone excited to revolutionize legal tech by designing and scaling advanced machine learning systems, with a focus on extraction, suggestion, graph representation and visualization, and search of legal entities from complex legal documents.
 If you are an innovative and analytical thinker with deep expertise in NLP, Knowledge Graph, and AI search, who thrives on solving complex, domain\-specific challenges through advanced machine learning techniques, we’d love to get to know you!
**What You’ll Do**
* **ML System Design:** 
 Design, build, and scale advanced machine learning systems to automate the extraction of legal obligations and private equity relationships from complex private equity documents.
* **Model Development:** 
 Develop and fine\-tune LLM solutions for legal workflows, enhancing the capabilities of Ontra’s AI systems with custom NER pipelines and AI search.
* **Collaboration and Integration:** 
 Work closely with product, design, data science, legal, and engineering teams to define project requirements and seamlessly integrate AI solutions into existing workflows.
* **Data and Pipeline Management:** 
 Review and refine datasets and machine learning pipelines to ensure they deliver high performance, scalability, and are tailored to evolving needs.
* **Production Deployment:** 
 Deploy and continuously monitor machine learning models in production, conducting experiments and implementing optimizations to improve model performance.
* **Workflow Improvement:** 
 Drive measurable improvements in legal review processes and enhance end\-user productivity through advanced AI applications and tools.
**What You’ll Bring**
* **Experience:** 
 5\+ years in applied machine learning or NLP roles.
* **Technical Expertise:** 
 Proficient understanding of transformer\-based architectures, embeddings, and document\-level NLP.
* **Production Deployment:** 
 Demonstrated experience in deploying ML models in production environments, including the use of orchestration and monitoring tools.
* **AI Search Proficiency:** 
 Familiarity with AI search, vector stores (e.g. OpenSearch, Pinecone, Weaviate), or hybrid RAG systems.
* **Educational Background:** 
 Bachelor’s or Master’s degree in Computer Science, Engineering, or a related field preferred.
**Pay Transparency**
 Ontra takes individual candidate location, experience, and skills into consideration when determining compensation. The base pay range is listed below.
 Some positions may be eligible for additional compensation, such as commission, variable compensation, profits interest units, or other equity\-based compensation, which are not included in the below base pay range.
 If you are selected to participate in our interview process, your Talent Acquisition Partner will share more details about the total compensation package for the role.
 Base Pay Range
 $230,400—$345,600 USD
**Hiring Locations**
 We currently hire exclusively in the locations listed below. Select jobs may have more specific location requirements due to business needs.
**United States**
*Arizona, California, Colorado, Connecticut, Florida, Georgia, Illinois, Kansas, Massachusetts, Maryland, Minnesota, North Carolina, New Jersey, Nevada, New York, Ohio, Oregon, Pennsylvania, Rhode Island, Tennessee, Texas, Utah, Virginia, Washington*
**APAC**
*Hong Kong*
**EMEA**
*United Kingdom*
**Benefits Snapshot**
* Remote\-first working policy, with office hubs in SF, NYC, Santa Barbara, and London
* Twice yearly team offsites for in\-person collaboration
* Paid flexible time off policy
* Paid parental leave and benefits
* Employer\-supported retirement contributions, varying by country
* Monthly phone and internet reimbursement
* Company\-sponsored LinkedIn Learning accounts, department budgets for professional development, and robust onboarding program
* Various options for medical, dental, and vision insurance
**Travel**
 Occasional travel is required for Ontra employees, including typically at least twice per year to attend team and larger group off\-sites for in\-person collaboration. For some roles, additional travel may be required based on the requirements of the role and business need.
**Inclusivity**
 Ontra is committed to the full inclusion of all qualified individuals. As part of this commitment, Ontra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people@ontra.ai.
**Personnel Privacy Notice:** 
 View here.
*Note on Employment Verification: All employees hired will be required to verify identity and eligibility to work in their particular location.*
*Note to External Agencies: We are not accepting any blind submissions or resumes/CVs from recruitment agencies. Any candidates sent to Ontra will NOT be accepted or considered as a submission without a signed agreement in place.*
 \#BI\-Remote</t>
        </is>
      </c>
    </row>
    <row r="93">
      <c r="A93" t="inlineStr">
        <is>
          <t>li-4367291612</t>
        </is>
      </c>
      <c r="B93" t="inlineStr">
        <is>
          <t>Senior AI/ML Engineer Vice President</t>
        </is>
      </c>
      <c r="C93" t="inlineStr">
        <is>
          <t>Citi</t>
        </is>
      </c>
      <c r="D93" t="inlineStr">
        <is>
          <t>linkedin</t>
        </is>
      </c>
      <c r="E93">
        <f>HYPERLINK("https://www.linkedin.com/jobs/view/4367291612", "https://www.linkedin.com/jobs/view/4367291612")</f>
        <v/>
      </c>
      <c r="F93" t="inlineStr"/>
      <c r="G93" t="inlineStr">
        <is>
          <t>Irving, TX</t>
        </is>
      </c>
      <c r="H93" t="inlineStr"/>
      <c r="I93" t="inlineStr">
        <is>
          <t>**Overview of the Role:**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Enterprise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We’ll enable growth and progress together.
 The Applications Development Technology Lead Analyst is a senior level position responsible for establishing and implementing new or revised application systems and programs in coordination with the Technology team. The overall objective of this role is to lead applications systems analysis and programming activities.
 The AI \&amp; ML Engineer, Vice President will be instrumental in implementing architecture and engineering processes, and best practices to enable \&amp; enhance AI capabilities to Citi’s Vistula Assistant CitiBot that is available for Citi.com customers. The candidate should have knowledge of AI \&amp; ML solutions, modern micro\-services architectures, and cloud infrastructure. The role is responsible for exploration, technical advisory, development and maintenance of AI services using secure, safe, and robust architecture(s).
**Responsibilities** 
 :
* Designing, implementing, and maintaining secure and stable AI/ML solutions using leading AI technology frameworks, including conversational AI solutions
* Aligning AI/ML use cases with business strategies and key performance indicators and other metrics
* Hands on work with one of the major AI programming languages Java, Python, Ruby, etc. Develop and maintain applications using Node.js and JavaScript, along with relevant frameworks.
* Working closely and lead software engineers to build new applications to run on AI/ML platforms. Perform data analysis, feature engineering, and NLP training to optimize model performance. Run what you build.
* Monitoring current and future trends and advancements in AI, machine learning, and other emerging technologies. Measure the performance \&amp; adjust.
* Provide vision for relevant technology systems, including those that support enterprise risk management and independent compliance applications, ensuring that engineers use blueprints, architecture, patterns, and design.
* Explore and prototype novel techniques in generative AI/ML including fine\-tuning, reinforcement learning with various of reward strategies, transfer learning, and multimodal alignment. Build and maintain chatbot solutions using Kore.AI ChatBot builder platforms
* Capable of building, articulating, and presenting new ideas to technical, non\-technical, and business communities.
* Experience managing vendor interactions for troubleshooting sessions, enhancement requests, and guiding vendor roadmaps to meet Citi standards and functional requirements.
* Self\-starter able to work with minimal supervision and in a global team of members with diverse skills and backgrounds.
* Contribute to the development of Generative AI use cases and proof\-of\-concept projects. Knowledge of GenAI services on GCP, AWS or Azure. Knowledge of Loggly \&amp; Splunk logging management applications.
**Recommended Qualifications:**
* 6\+ years of relevant experience in Apps Development or systems analysis role
* Extensive experience system analysis and in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**Education:**
* Bachelor’s degree/University degree or equivalent experience
* Master’s degree preferred
 This job description provides a high\-level review of the types of work performed. Other job\-related duties may be assigned as required.
 \-\-\-\-\-\-\-\-\-\-\-\-\-\-\-\-\-\-\-\-\-\-\-\-\-\-\-\-\-\-\-\-\-\-\-\-\-\-\-\-\-\-\-\-\-\-\-\-\-\-\-\-\-\-
**Job Family Group:**
 Technology
 \-\-\-\-\-\-\-\-\-\-\-\-\-\-\-\-\-\-\-\-\-\-\-\-\-\-\-\-\-\-\-\-\-\-\-\-\-\-\-\-\-\-\-\-\-\-\-\-\-\-\-\-\-\-
**Job Family:**
 Applications Development
 \-\-\-\-\-\-\-\-\-\-\-\-\-\-\-\-\-\-\-\-\-\-\-\-\-\-\-\-\-\-\-\-\-\-\-\-\-\-\-\-\-\-\-\-\-\-\-\-\-\-\-\-\-\-
**Time Type:**
 Full time
 \-\-\-\-\-\-\-\-\-\-\-\-\-\-\-\-\-\-\-\-\-\-\-\-\-\-\-\-\-\-\-\-\-\-\-\-\-\-\-\-\-\-\-\-\-\-\-\-\-\-\-\-\-\-
**Primary Location:**
 Irving Texas United States
 \-\-\-\-\-\-\-\-\-\-\-\-\-\-\-\-\-\-\-\-\-\-\-\-\-\-\-\-\-\-\-\-\-\-\-\-\-\-\-\-\-\-\-\-\-\-\-\-\-\-\-\-\-\-
**Primary Location Full Time Salary Range:**
 $125 760,00 \- $188 640,00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feb 06,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94">
      <c r="A94" t="inlineStr">
        <is>
          <t>li-4361214367</t>
        </is>
      </c>
      <c r="B94" t="inlineStr">
        <is>
          <t>Senior Machine Learning Engineer, Game Understanding</t>
        </is>
      </c>
      <c r="C94" t="inlineStr">
        <is>
          <t>Unity</t>
        </is>
      </c>
      <c r="D94" t="inlineStr">
        <is>
          <t>linkedin</t>
        </is>
      </c>
      <c r="E94">
        <f>HYPERLINK("https://www.linkedin.com/jobs/view/4361214367", "https://www.linkedin.com/jobs/view/4361214367")</f>
        <v/>
      </c>
      <c r="F94">
        <f>HYPERLINK("https://unity.com/careers/positions/7417455?gh_jid=7417455&amp;gh_src=ilfw6o&amp;urlHash=nQQi", "https://unity.com/careers/positions/7417455?gh_jid=7417455&amp;gh_src=ilfw6o&amp;urlHash=nQQi")</f>
        <v/>
      </c>
      <c r="G94" t="inlineStr">
        <is>
          <t>San Francisco, CA</t>
        </is>
      </c>
      <c r="H94" t="inlineStr"/>
      <c r="I94" t="inlineStr">
        <is>
          <t>**The opportunity**
 At Unity, we’re shaping the future of real\-time 3D development by enabling creators to harness intelligent, autonomous systems. Our next\-generation agentic AI \- goal\-directed, adaptive, and capable of reasoning and planning in dynamic environments \- is transforming how games and simulations come to life.
 We’re looking for a Senior Machine Learning Engineer to lead the development of the foundational AI systems within the Unity engine for game understanding, empowering creators to build more engaging content and have the games better discovered by targeted audiences. You will drive innovation in understanding game semantics, player experience, and how gamers perceive interactive content. Your work will translate cutting\-edge machine learning research into production\-ready systems that demonstrably improve workflows, recommendations, and in\-engine intelligence.
 If you’re excited about advancing AI, multi\-modal foundation models, and intelligent decision\-making in complex, real\-time environments, we encourage you to apply.
**What You'll Be Doing**
* Research, design, and implement the game understanding models.
* Collaborate across internal teams to deliver production use cases.
* End\-to\-end lead the high\-impact initiatives, from data curation and model development, to the production deployment.
* Contribute to the long\-term vision and roadmap for Unity’s agentic AI offerings, ensuring modularity, usability, and performance across platforms.
* Establish and champion best practices for model quality, simulation\-based evaluation, and ML/AI safety within real\-time systems.
**What We're Looking For**
* Advanced degree (MS or Ph.D.) in Computer Science, Machine Learning, or a related field.
* 5\+ years of hands\-on experience developing ML systems, ideally within real\-time or interactive production environments.
* Experience with multi\-modal foundation model, multi\-agent systems, orchestration, or AI tool integration.
* Track record of implementing research in one or more of the following fields: LLM, behavior modeling, reinforcement learning, multi\-modal model, or agentic systems.
* Excel at identifying promising research directions and turning ideas into working codes.
* Proficiency in at least one general\-purpose programming language (e.g., Python, C\+\+, Go, Java) and familiarity with ML frameworks (e.g., PyTorch, TensorFlow).
* Strong system design skills and the ability to architect performant, scalable ML systems.
* Excellent communication and collaboration skills; ability to work effectively with cross\-functional teams including ML researchers, game engine developers, designers, and product managers.
**You might also have**
* Passion for the gaming industry and AI applications in games.
* Familiarity with game development workflows.
* Experience working on large\-scale Ads systems.
* Publications or open\-source contributions in LLM, reinforcement learning, agent\-based modeling, or related areas.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$142,000—$269,000 USD</t>
        </is>
      </c>
    </row>
    <row r="95">
      <c r="A95" t="inlineStr">
        <is>
          <t>li-4368403599</t>
        </is>
      </c>
      <c r="B95" t="inlineStr">
        <is>
          <t>Senior Staff AI Engineer, Energy Systems</t>
        </is>
      </c>
      <c r="C95" t="inlineStr">
        <is>
          <t>Qcells North America</t>
        </is>
      </c>
      <c r="D95" t="inlineStr">
        <is>
          <t>linkedin</t>
        </is>
      </c>
      <c r="E95">
        <f>HYPERLINK("https://www.linkedin.com/jobs/view/4368403599", "https://www.linkedin.com/jobs/view/4368403599")</f>
        <v/>
      </c>
      <c r="F95">
        <f>HYPERLINK("https://careers.qcells.com/jobs/16913280-senior-staff-ai-engineer-energy-systems?tm_job=1879&amp;tm_event=view&amp;tm_company=92338&amp;bid=56&amp;urlHash=-0mr", "https://careers.qcells.com/jobs/16913280-senior-staff-ai-engineer-energy-systems?tm_job=1879&amp;tm_event=view&amp;tm_company=92338&amp;bid=56&amp;urlHash=-0mr")</f>
        <v/>
      </c>
      <c r="G95" t="inlineStr"/>
      <c r="H95" t="inlineStr"/>
      <c r="I95" t="inlineStr">
        <is>
          <t>**Description**
**POSITION DESCRIPTION:**
 We're looking for a highly skilled Senior Staff AI Engineer to join our Grid \&amp; Energy Analytics team at G\&amp;ES, focusing on the dynamic intersection of artificial intelligence and energy management. The ideal candidate will have a deep understanding of AI principles and their application in the energy sector, along with a strong background in software development. You'll be instrumental in developing and deploying cutting\-edge AI solutions that optimize energy systems, enhance forecasting capabilities, and drive sustainability
 This position will be preferably based out of Santa Clara or San Francisco office but could be a remote position.
**Responsibilities**
* Machine Learning Model Development and Deployment: Design, develop, and deploy various types of forecasts, including those for energy market prices and ancillary service prices, energy demand, renewable energy resource generation forecasting like PV and Wind.
* Design and implement Agentic AI systems: Design and implement Agentic AI systems for autonomous energy management. This includes building intelligent agents that make real\-time decisions to optimize energy usage and generation.
* Research and Innovation: Stay ahead of the curve by conducting creative research to identify and implement new machine learning approaches that improve model performance and platform metrics.
* Develop and deploy robust MLOPs pipelines: Identify, integrate, and manage new data sources to enhance model performance. Ensure the scalability and reliability of all data pipelines. Contribute to the design and development of our internal forecasting platform, supporting the entire machine learning development lifecycle and hosting models in production.
* Production Support: Provide ongoing support for production models, including monitoring performance, troubleshooting issues, and resolving production\-related problems to ensure reliability and uptime.
* Team Collaboration: Partner closely with other teams to ensure that our machine learning and Agentic AI solutions deliver end\-to\-end value.
* Energy Domain Knowledge: Apply knowledge of power systems modeling to create accurate and reliable AI solutions that consider the physical constraints and dynamics of energy grids.
**Required Qualifications**
* A higher degree (Master's or Ph.D.) is preferred, with a focus on machine learning, statistics, or related mathematics.
* Proficiency in Python with at least 5 years of experience in software development. You should be familiar with agile development practices and be able to write production\-quality code.
* Extensive experience in developing, deploying, and maintaining machine learning models in production, particularly for time series forecasting, clustering, classification applications.
* Theoretical and practical experience with a variety of forecasting algorithms and approaches, including statistical, regression, and deep learning algorithms. You should be able to select the most appropriate model for a given application.
* Experience with cloud\-hosted systems and related tooling, preferred in Azure/Fabric, including compute services, container orchestration, and various database and data warehouse platforms.
* Expertise with relevant Python Machine Learning libraries such as pandas, numpy, xgboost, lightgbm, pytorch, keras, scipy, statsmodels, transformers, nixtla, sklearn, plotly, seaborn, bokeh, and so on.
* Experience with setting up RAG (Retrieval\-Augmented Generation) pipelines, fine\-tuning, and deploying domain\-specific models and agents.
* Intrinsic motivation and a passion for learning, collaboration, and working in the clean energy space.
* Travel may be required up to 10%, depending on business needs.
**Preferred Qualifications**
* Experience with power systems modeling, including concepts like security\-constrained economic dispatch, unit commitment, or power flow models.
* Prior domain expertise in forecasting, analysis, or trading within electricity markets, such as ERCOT, CAISO, PJM, and others.
* Familiarity with energy storage and renewable asset optimization modeling.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96">
      <c r="A96" t="inlineStr">
        <is>
          <t>li-4368053586</t>
        </is>
      </c>
      <c r="B96" t="inlineStr">
        <is>
          <t>Generative AI Engineer, Vice President (Dallas, TX)</t>
        </is>
      </c>
      <c r="C96" t="inlineStr">
        <is>
          <t>Goldman Sachs</t>
        </is>
      </c>
      <c r="D96" t="inlineStr">
        <is>
          <t>linkedin</t>
        </is>
      </c>
      <c r="E96">
        <f>HYPERLINK("https://www.linkedin.com/jobs/view/4368053586", "https://www.linkedin.com/jobs/view/4368053586")</f>
        <v/>
      </c>
      <c r="F96" t="inlineStr"/>
      <c r="G96" t="inlineStr">
        <is>
          <t>Dallas, TX</t>
        </is>
      </c>
      <c r="H96" t="inlineStr"/>
      <c r="I96"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has a unique and differentiated set of data, including proprietary content, analytics, and research; leveraging these unique datasets and content will enable the firm to double down on its existing strengths and harness the power of Generative AI.
 Goldman Sachs is seeking Generative AI Scientist to join our dynamic GenAI Solutions team. As an integral part of the team, you will play a pivotal role in driving the adoption of cutting\-edge Generative AI technologies at the firm interacting directly with our business.
 In this role, you will have the opportunity to contribute to various Generative AI domains, including boosting developer productivity with Retrieval\-Augmented Generation (RAG) pipelines and knowledge graphs for information retrieval.
 As an AI Scientist, you will help address the unique challenges that arise in generative AI systems within the financial domain and contribute to the development of Goldman’s AI Assistant to empower our business.
**Your Responsibilities Will Include**
* Collaborating effectively with colleagues to advance production machine\-learning systems and applications.
* Conceptualizing, experimenting with, and assessing AI\-based software systems.
* Developing, testing, and maintaining high\-quality, production\-ready code.
* Demonstrating technical leadership by taking charge of cross\-team projects.
* Developing Retrieval\-Augmented Generation (RAG) techniques to enhance AI systems.
* Contributing to boost developer productivity with Generative AI.
**Required Qualifications**
* A Master's or Ph.D. degree in Computer Science, Machine Learning, Mathematics, Statistics, Physics, Engineering, Quantitative Finance, or equivalent relevant industry experience.
* A minimum of 5 years of experience in the industry that demonstrates your expertise.
* Extensive experience in software development for quantitative investment workflows in equities, fixed income, or multi\-asset strategies.
* Proficiency in contemporary programming languages like Python, C\+\+, or Java.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t>
        </is>
      </c>
    </row>
    <row r="97">
      <c r="A97" t="inlineStr">
        <is>
          <t>li-4367012592</t>
        </is>
      </c>
      <c r="B97" t="inlineStr">
        <is>
          <t>Senior AI Engineer Vice President</t>
        </is>
      </c>
      <c r="C97" t="inlineStr">
        <is>
          <t>Citi</t>
        </is>
      </c>
      <c r="D97" t="inlineStr">
        <is>
          <t>linkedin</t>
        </is>
      </c>
      <c r="E97">
        <f>HYPERLINK("https://www.linkedin.com/jobs/view/4367012592", "https://www.linkedin.com/jobs/view/4367012592")</f>
        <v/>
      </c>
      <c r="F97">
        <f>HYPERLINK("https://ad.doubleclick.net/ddm/trackclk/N4789.466581LINKEDIN.COM/B31905749.393702677;dc_trk_aid=614240951;dc_trk_cid=235979136;dc_lat=;dc_rdid=;tag_for_child_directed_treatment=;tfua=;ltd=;dc_tdv=1;dc_transparent=1;?https://jobs.citi.com/job/-/-/287/91165341152?source=APPLICANT_SOURCE-3-354&amp;utm_medium=job_posting&amp;utm_campaign=nam_experienced&amp;utm_content=social_media&amp;utm_term=393702677&amp;ss=paid&amp;utm_source=linkedin&amp;urlHash=mxMh", "https://ad.doubleclick.net/ddm/trackclk/N4789.466581LINKEDIN.COM/B31905749.393702677;dc_trk_aid=614240951;dc_trk_cid=235979136;dc_lat=;dc_rdid=;tag_for_child_directed_treatment=;tfua=;ltd=;dc_tdv=1;dc_transparent=1;?https://jobs.citi.com/job/-/-/287/91165341152?source=APPLICANT_SOURCE-3-354&amp;utm_medium=job_posting&amp;utm_campaign=nam_experienced&amp;utm_content=social_media&amp;utm_term=393702677&amp;ss=paid&amp;utm_source=linkedin&amp;urlHash=mxMh")</f>
        <v/>
      </c>
      <c r="G97" t="inlineStr">
        <is>
          <t>Irving, TX</t>
        </is>
      </c>
      <c r="H97" t="inlineStr"/>
      <c r="I97" t="inlineStr">
        <is>
          <t>**Overview of the Role (Required for every posting, at the top)**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Enterprise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We’ll enable growth and progress together.
 The Applications Development Technology Lead Analyst is a senior level position responsible for establishing and implementing new or revised application systems and programs in coordination with the Technology team. The overall objective of this role is to lead applications systems analysis and programming activities.
**Responsibilities:**
* Architect and Lead Design: Design, architect, and lead the development of sophisticated virtual assistants and chatbots, leveraging cutting\-edge Generative AI platforms and microservices architectures.
* Advanced NLP \&amp; NLU Strategy: Define and implement strategies for advanced Natural Language Processing (NLP) and Natural Language Understanding (NLU) models, focusing on complex intent recognition, advanced entity extraction, contextual reasoning, and human\-like conversational flows.
* GenAI Tooling \&amp; Innovation: Leverage and integrate state\-of\-the\-art NLP and GenAI tools for intent development, prompt engineering, and creating highly intelligent and adaptive bot interactions. Drive innovation by exploring new GenAI techniques and models.
* Agentic AI Systems: Architect and build advanced agentic AI systems capable of proactive problem\-solving, autonomous decision\-making, and sophisticated user engagement.
* Seamless Integration \&amp; Orchestration: Design and oversee the seamless integration of AI solutions with complex enterprise backend systems via robust APIs, ensuring high performance, scalability, and security across live chat platforms and other communication channels.
* Data Architecture \&amp; Security: Architect and implement secure, scalable, and compliant data storage and retrieval mechanisms for conversational data, leveraging advanced database solutions including but not limited to MongoDB, SQL, NoSQL solutions, and distributed data stores. Ensure adherence to data governance policies.
* Resilience \&amp; Reliability: Develop comprehensive error handling, fault tolerance, and fallback systems, including intelligent routing and seamless handoff to human agents, to ensure an exceptionally smooth and reliable user experience.
* Data Privacy \&amp; Compliance Leadership: Establish and enforce best practices for user data privacy and security, safeguarding sensitive information and ensuring strict compliance with relevant global regulations (e.g., GDPR, CCPA).
* Feature Roadmap \&amp; Implementation: Lead the development and integration of advanced bot features such as sophisticated FAQ automation, engaging small talk capabilities, rich content rendering, complex account troubleshooting workflows, and intelligent live agent handover.
* GenAI Thought Leadership: Stay at the absolute forefront of AI and Generative AI advancements. Evaluate, integrate, and drive the adoption of emerging GenAI platforms (e.g., Gemini, GPT models) and research breakthroughs to maintain a competitive edge.
**Recommended Qualifications:**
* Bachelor's degree in Computer Science, Information Technology, or a related quantitative field. Master's degree preferred.
* Minimum 6\+ years of proven experience as a Software Engineer or Architect, with significant leadership experience in designing and building large\-scale, AI\-powered applications.
* Extensive hands\-on experience in architecting and developing virtual assistants, chatbots, and conversational AI platforms using leading AI platforms (e.g., Kore.AI, Rasa, Dialogflow) and microservices architectures.
* Deep proficiency in Python (preferred) or JavaScript/TypeScript, with a strong understanding of software design patterns, data structures, and algorithms.
* Expert\-level understanding and practical experience in advanced NLP/NLU concepts, machine learning, and Generative AI techniques.
* Demonstrated experience with complex API integrations, enterprise system connectivity, and message queueing technologies.
* Strong expertise in database management (SQL, NoSQL), data modeling, and robust data security best practices.
* Exceptional problem\-solving, analytical, and critical thinking skills, with the ability to lead and mentor cross\-functional teams.
* Excellent communication, presentation, and interpersonal skills, with the ability to articulate complex technical concepts to diverse audiences.
* Proven experience with cloud platforms (AWS, Azure, GCP) including serverless architectures and managed AI/ML services.
* Experience with MLOps practices, CI/CD pipelines for AI models, and agile development methodologies at an enterprise scale.
* Contributions to open\-source GenAI/NLP projects, publications, or active participation in relevant AI/ML communities.
* Experience with containerization (Docker, Kubernetes) and orchestration technologies.
**Education:**
* Bachelor’s degree/University degree or equivalent experience
* Master’s degree preferred
 This job description provides a high\-level review of the types of work performed. Other job\-related duties may be assigned as required.
 \-\-\-\-\-\-\-\-\-\-\-\-\-\-\-\-\-\-\-\-\-\-\-\-\-\-\-\-\-\-\-\-\-\-\-\-\-\-\-\-\-\-\-\-\-\-\-\-\-\-\-\-\-\-
**Job Family Group:**
 Technology
 \-\-\-\-\-\-\-\-\-\-\-\-\-\-\-\-\-\-\-\-\-\-\-\-\-\-\-\-\-\-\-\-\-\-\-\-\-\-\-\-\-\-\-\-\-\-\-\-\-\-\-\-\-\-
**Job Family:**
 Applications Development
 \-\-\-\-\-\-\-\-\-\-\-\-\-\-\-\-\-\-\-\-\-\-\-\-\-\-\-\-\-\-\-\-\-\-\-\-\-\-\-\-\-\-\-\-\-\-\-\-\-\-\-\-\-\-
**Time Type:**
 Full time
 \-\-\-\-\-\-\-\-\-\-\-\-\-\-\-\-\-\-\-\-\-\-\-\-\-\-\-\-\-\-\-\-\-\-\-\-\-\-\-\-\-\-\-\-\-\-\-\-\-\-\-\-\-\-
**Primary Location:**
 Irving Texas United States
 \-\-\-\-\-\-\-\-\-\-\-\-\-\-\-\-\-\-\-\-\-\-\-\-\-\-\-\-\-\-\-\-\-\-\-\-\-\-\-\-\-\-\-\-\-\-\-\-\-\-\-\-\-\-
**Primary Location Full Time Salary Range:**
 $125 760,00 \- $188 640,00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feb 05,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98">
      <c r="A98" t="inlineStr">
        <is>
          <t>li-4368392591</t>
        </is>
      </c>
      <c r="B98" t="inlineStr">
        <is>
          <t>Lead AI Engineer</t>
        </is>
      </c>
      <c r="C98" t="inlineStr">
        <is>
          <t>OutSystems</t>
        </is>
      </c>
      <c r="D98" t="inlineStr">
        <is>
          <t>linkedin</t>
        </is>
      </c>
      <c r="E98">
        <f>HYPERLINK("https://www.linkedin.com/jobs/view/4368392591", "https://www.linkedin.com/jobs/view/4368392591")</f>
        <v/>
      </c>
      <c r="F98" t="inlineStr"/>
      <c r="G98" t="inlineStr">
        <is>
          <t>San Francisco County, CA</t>
        </is>
      </c>
      <c r="H98" t="inlineStr"/>
      <c r="I98" t="inlineStr">
        <is>
          <t>**There are NO limits to your career: come shape the future and be part of a truly unique global culture at OutSystems!**
**Lead AI Engineer, Agentic Solutions Acceleration**
**📍** 
 Hybrid role requiring three days per week on\-site in Menlo Park.
**The Role: Architecting, Guiding, and Scaling Enterprise AI Agents**
 The Lead AI Engineer will be the principal technical authority for the design, development, and deployment of the core AI Agent systems within the Solutions Team. You will be responsible for defining the reference architecture for all agentic solutions, mentoring senior engineers, and ensuring technical alignment with the Director's strategic vision.
**Key Responsibilities**
* Architectural Leadership \&amp; Strategy (Primary Focus)
* Define Agent Reference Architecture: Establish the standardized, reusable, and secure reference architecture for building, testing, and deploying all AI Agents within the OutSystems solutions portfolio.
* Technology Vetting: Evaluate and select the core Generative AI models, orchestration frameworks (e.g., LangChain, Semantic Kernel), and MLOps tools used by the team, balancing state\-of\-the\-art capabilities with enterprise reliability.
* Design Reviews: Lead architectural and code reviews for all agent components, ensuring scalability, security (especially around data leakage and access control), and compliance with Responsible AI principles.
* Advanced Development \&amp; Integration
* Complex Agent Development: Remain hands\-on by designing and coding the most complex, high\-impact agent components or tools that interact with core enterprise systems.
* Low\-Code Integration Strategy: Define the API and integration strategies for seamlessly and securely connecting agent back\-ends with the low\-code applications built on OutSystems.
* Performance and Governance: Oversee performance tuning of agents and implement robust logging, monitoring, and tracing mechanisms for all AI services in production.
* Mentorship and Alignment
* Technical Guidance: Mentor and guide the team of Senior AI Engineers and developers, fostering a culture of technical excellence, continuous learning, and innovation.
* Cross\-Functional Alignment: Collaborate closely with the Director of Solutions and Product Management to translate strategic objectives into clear, executable technical roadmaps and deliver solutions that meet market needs.
**Required Skills \&amp; Experience**
**Technical Expertise (The Must\-Haves)**
* AI Agent and System Architecture: 8\+ years of experience in software engineering, with experience building production\-grade AI Agents and complex intelligent systems within the enterprise.
* Generative AI Expert: Mastery of LLMs, advanced prompt engineering, RAG strategies, fine\-tuning, and grounding techniques. Proven ability to design agentic systems that require complex reasoning and tool use.
* Framework Leadership: Expert\-level knowledge and practical experience leading teams utilizing major AI Agent orchestration frameworks (LangChain, Semantic Kernel, or deep internal frameworks).
* Python and Scalability: Expert\-level coding skills in Python, coupled with extensive experience in cloud\-native deployment, containerization (Docker/Kubernetes), and managing scalable APIs (REST/gRPC).
* Security \&amp; Responsible AI: Demonstrated ability to implement security best practices (e.g., authorization, data masking) and enforce Responsible AI governance and guardrails in production systems.
**Desirable Expertise (A Strong Plus)**
* Low\-Code Platform Knowledge: Familiarity with the OutSystems platform or similar low\-code/no\-code platforms, understanding their integration patterns and architecture limitations.
**Leadership \&amp; Professional Attributes**
* Architectural Vision: Proven track record of defining and driving multi\-year technical roadmaps and architectural standards.
* Team Leadership: Experience successfully mentoring and leading technical peers or small engineering teams.
* Strategic Communicator: Exceptional ability to articulate complex technical risks and opportunities to executive stakeholders and non\-technical partners.
**The Longer Story**
 OutSystems enables enterprise teams to build AI\-powered applications and agents that reduce manual work, streamline internal operations, and accelerate impact. A proven low\-code foundation combined with agentic AI and AI app generation capabilities empowers teams to move up to 10x faster with the assurance of security, scalability, and governance built in.
 As the future becomes agentic, our customers need us now more than ever. AI has opened the door to extraordinary possibilities—but inside the enterprise, things are moving fast and feeling chaotic. Some early adopters are making progress in production, but for many, AI tools are sprawling without governance, data isn’t ready, and talent isn’t there yet. Enterprises are still drowning in application backlogs and struggling with legacy systems. But with the right platform, AI doesn’t have to add to the chaos. It can become the breakthrough that brings clarity—and drives real, enterprise\-wide impact. At OutSystems, we’ve built that platform, providing the tools necessary for enterprises to overcome these hurdles.
 We are looking for passionate, talented, and motivated people to join us in helping our customers build, deploy, and scale apps and agents—fast, helping them accelerate innovation while enabling secure, governed human\-AI collaboration.
 OutSystems is a truly global company, with more than 850,000 developer community members, 1,700 employees, more than 500 partners, and thousands of active customers in over 75 countries and across 21 industries. Founded in 2001, OutSystems has offices in the United States, United Kingdom, the Netherlands, Portugal, Germany, the UAE, Japan, Hong Kong, Malaysia, Australia, India, and Singapore, and of course has a thriving, worldwide community of remote employees.
 Amongst our customers are some of the world's most recognizable brands across diverse industries—brands like Toyota, Heineken, Bosch, KeyBank, and UCLA. These customers are the reason we have a 4\.6 star rating on G2\. Their success is ours, and their stories demonstrate tangible ROI and transformational impact. We are a 9x Gartner Magic Quadrant Leader for Low\-Code Application Platforms and a multi\-year leader in the Forrester Wave. We’re recognized not just as leaders but as visionaries with a strong ability to execute, now extending our leadership into the AI and agentic application development arena.
**Working at OutSystems**
 Our goal is to ensure that OutSystems is a place for bright, happy, and motivated people who share a common purpose and take pride in doing excellent work to pursue our vision of providing the AI\-powered low\-code development platform enterprise leaders trust to build, secure, and evolve their business applications, agents, and core systems. Our culture is focused on our core values of trust, customer success, innovation, and alignment. Our team members operate with transparency, integrity, and accountability, define success through the lens of the outcomes we deliver for our customers, push the boundaries with excellence, and work together toward our shared vision to deliver on what matters most.
**What do we have to offer you?**
* A company that is always growing, changing, and innovating. We challenge each other to innovate in our products, in our team, and how we use our own technology. And we give our teams space to be proactive and creative.
* Real career opportunities. We care about growth and development. Yes, vertical career progression is a possibility, but it's not the only one. From lateral moves and joining different teams to mastering specialized skills, we support your growth no matter what your goals are.
* Work colleagues that are as smart, hard\-working, and driven as you. We act as one global OutSystems team, taking ownership and working together toward a shared vision.
* Disrupting the status quo is in our DNA. In fact, it’s why our company exists.
* We ask “why” a lot. It helps us connect our individual work to the bigger picture and sometimes even uncover a better way.
 Are you ready for the next step in your career? Then we’d love to hear from you!
 OutSystems nurtures an inclusive culture of diversity, where everyone feels empowered to be their authentic self and perform at their best. A company that embraces the creativity and innovation that comes through diverse perspectives. We are committed to creating a team that reflects society through inclusive programs and initiatives and are proud to be an equal opportunity employer. All qualified applicants receive equal consideration regardless of race, place of origin, color, age, marital status, religion, sex, sexual orientation, gender expression or identity, protected veteran status, disability status or any other status protected by law.</t>
        </is>
      </c>
    </row>
    <row r="99">
      <c r="A99" t="inlineStr">
        <is>
          <t>li-4368037605</t>
        </is>
      </c>
      <c r="B99" t="inlineStr">
        <is>
          <t>Data Scientist (AI/ML Engineer)</t>
        </is>
      </c>
      <c r="C99" t="inlineStr">
        <is>
          <t>Jobs via Dice</t>
        </is>
      </c>
      <c r="D99" t="inlineStr">
        <is>
          <t>linkedin</t>
        </is>
      </c>
      <c r="E99">
        <f>HYPERLINK("https://www.linkedin.com/jobs/view/4368037605", "https://www.linkedin.com/jobs/view/4368037605")</f>
        <v/>
      </c>
      <c r="F99" t="inlineStr"/>
      <c r="G99" t="inlineStr">
        <is>
          <t>New York, NY</t>
        </is>
      </c>
      <c r="H99" t="inlineStr"/>
      <c r="I99" t="inlineStr">
        <is>
          <t>Dice is the leading career destination for tech experts at every stage of their careers. Our client, Fourways Consulting Services, is seeking the following. Apply via Dice today!
 Job Title: Data Scientist (AI/ML Engineer)
 Location: NYC \- Hybrid Onsite 2 Days/Week
 Duration: 12\+ Months Contract
 Description:
 Project \- Leveraging Llama to extract cybersecurity insights out of unstructured data from their ticketing system.
 Must have strong experience with:
 Llama
 Python
 Hadoop
 MCP
 Machine Learning (ML)
 They need a strong developer\- using llama and Hadoop (this is where the data sits), experience with MCP. They have various ways to pull the data out of their tickets but want someone who can come in and make recommendations on the best way to do it and then get it done. They have tight timelines.
 1st 6 months will be very heavy and then next 6 months will be a little easier doing day to day operations and maintenance</t>
        </is>
      </c>
    </row>
    <row r="100">
      <c r="A100" t="inlineStr">
        <is>
          <t>li-4357544023</t>
        </is>
      </c>
      <c r="B100" t="inlineStr">
        <is>
          <t>Sr. AI Engineer, Device Intelligence</t>
        </is>
      </c>
      <c r="C100" t="inlineStr">
        <is>
          <t>Danaher Corporation</t>
        </is>
      </c>
      <c r="D100" t="inlineStr">
        <is>
          <t>linkedin</t>
        </is>
      </c>
      <c r="E100">
        <f>HYPERLINK("https://www.linkedin.com/jobs/view/4357544023", "https://www.linkedin.com/jobs/view/4357544023")</f>
        <v/>
      </c>
      <c r="F100">
        <f>HYPERLINK("https://danaher.wd1.myworkdayjobs.com/DanaherJobs/job/Washington-DC-United-States/Sr-AI-Engineer\u002d\u002dDevice-Intelligence_R1299218/apply?source=APPLICANT_SOURCE_LINKEDIN_POSTING&amp;urlHash=CkCi", "https://danaher.wd1.myworkdayjobs.com/DanaherJobs/job/Washington-DC-United-States/Sr-AI-Engineer\u002d\u002dDevice-Intelligence_R1299218/apply?source=APPLICANT_SOURCE_LINKEDIN_POSTING&amp;urlHash=CkCi")</f>
        <v/>
      </c>
      <c r="G100" t="inlineStr">
        <is>
          <t>Washington, DC</t>
        </is>
      </c>
      <c r="H100" t="inlineStr"/>
      <c r="I100" t="inlineStr">
        <is>
          <t>**Bring more to life.**
 At Danaher, our work saves lives. And each of us plays a part. Fueled by our culture of continuous improvement, we turn ideas into impact – innovating at the speed of life.
 Our 63,000\+ associates work across the globe at more than 15 unique businesses within life sciences, diagnostics, and biotechnology.
 Are you ready to accelerate your potential and make a real difference? At Danaher, you can build an incredible career at a leading science and technology company, where we’re committed to hiring and developing from within. You’ll thrive in a culture of belonging where you and your unique viewpoint matter.
 Learn about the Danaher Business System which makes everything possible.
**The Sr. AI Engineer, Device Intelligence** 
 will be a key member of the AI Product and Imaging Innovation team, reporting to its Sr Director. This new role is instrumental in the implementation of cutting\-edge AI systems that leverage data created by Danaher devices to extract meaningful insights and dramatically improve user experience, with the goal of upleveling Danaher's devices across Life Sciences, Diagnostics and Biotechnology sectors. This position is remote in Europe or Eastern US.
**In This Role, You Will Have The Opportunity To**
* Collaborate with the Sr Director and the broader team to develop AI\-driven product improvements and create new products for Danaher devices, with an initial focus on imaging devices and the aim of extracting more valuable insights.
* Design and implement advanced AI systems, including next\-generation agentic workflows, LLMs and computer vision technologies, to enhance instrument automation and uplevel user capabilities.
* Work closely with cross\-functional and cross company teams to translate product concepts into concrete AI architectures, ensuring alignment with product success criteria and measurable KPIs.
* Lead the technical implementation of AI projects of notable complexity, involving multiple functions and typically spanning multi\-quarter timelines.
* Drive innovation in the AI software stack, focusing on maximizing value extraction from instruments for customers through AI systems.
* Collaborate with business stakeholders, technical experts, and subject matter experts to build comprehensive AI roadmaps for imaging products across various verticals.
**The Essential Requirements Of The Job Include**
* Bachelor's degree in computer science, electrical engineering, life sciences or a related field. An advanced degree (MS or PhD) in a relevant area (i.e. Neural Networks, Foundation Model, Agentic Workflows, Machine Learning, Computer Vision) is preferred.
* Long standing experience in the Life Science, Diagnostics, Biotechnology or Tech Industry, including multiple years of experience with Agentic Systems, LLMs, and/or Multimodal AI.
* Demonstrable expertise with at least 3 of the following: convolutional neural networks, foundation models, vector databases, AI evaluation methods, RAG approaches, agentic frameworks.
* Proven track record of successful end\-to\-end implementation of AI projects in imaging applications, particularly in life sciences or healthcare domains.
* Strong programming skills in languages such as Python or C\+\+, and extensive experience with deep learning frameworks (e.g., TensorFlow, PyTorch, OpenCV) and containerization technologies (e.g., Docker, Kubernetes).
* Demonstrated ability to work effectively with cross\-functional teams, communicate complex technical concepts to both technical and non\-technical stakeholders, and align AI development with product goals and roadmaps.
* Experience with cloud platforms (e.g., AWS, Google Cloud, Azure) for large\-scale image processing and familiarity with hardware acceleration technologies (e.g. TPUs, GPUs, ARM\-CPUs).
**It would be a plus if you also possess previous experience in:**
* Experience with regulatory processes, especially for medical devices and AI/ML\-based software as a medical device (SaMD).
* Familiarity with quality management systems and standards relevant to the life sciences and diagnostics industries.
* Knowledge of instrument control mechanisms and how they integrate with AI systems for enhanced automation.
 Within Danaher Diagnostics, we offer a broad array of comprehensive, competitive benefit programs that add value to our lives. Whether it’s a health care program or paid time off, our programs contribute to life beyond the job. Check out our benefits at Danaher Benefits Info.
 Within Danaher Corporate \- Digital Product Development,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within Danaher can provide.
 The annual salary range for this role is $150K\-$170K.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101">
      <c r="A101" t="inlineStr">
        <is>
          <t>li-4361214393</t>
        </is>
      </c>
      <c r="B101" t="inlineStr">
        <is>
          <t>Staff Applied AI Engineer</t>
        </is>
      </c>
      <c r="C101" t="inlineStr">
        <is>
          <t>Komodo Health</t>
        </is>
      </c>
      <c r="D101" t="inlineStr">
        <is>
          <t>linkedin</t>
        </is>
      </c>
      <c r="E101">
        <f>HYPERLINK("https://www.linkedin.com/jobs/view/4361214393", "https://www.linkedin.com/jobs/view/4361214393")</f>
        <v/>
      </c>
      <c r="F101" t="inlineStr"/>
      <c r="G101" t="inlineStr">
        <is>
          <t>New York, NY</t>
        </is>
      </c>
      <c r="H101" t="inlineStr"/>
      <c r="I101"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**The Opportunity At Komodo Health**
 Healthcare in the U.S. is a mess. Komodo Health is fixing that—with data. We’ve mapped the patient journey across the country to build the most complete picture of disease burden and treatment gaps. Our customers—pharma companies, payers, and health systems—use this data to make decisions that meaningfully improve patient outcomes.
 Labs@Komodo builds the AI\-native platforms and systems that turn this data into action. We are the team behind Marmot, Komodo’s AI\-native product—designed with AI embedded directly into both the interface and the development workflow. By combining Komodo’s unmatched healthcare data with modern LLMs, Marmot is delivering some of the most compelling real\-world insights of the new AI era.
**Mission Of The Role**
 As a Staff Applied AI Engineer, you are a cross\-functional AI leader and strategic thought partner. This role exists to define Komodo’s long\-term AI capabilities, set company\-wide technical standards, architect foundational AI systems, and guide teams toward scalable, safe, and innovative AI development. You will influence data strategy, drive build\-vs\-buy evaluations, and meaningfully shift Komodo’s AI\-native infrastructure and culture.
**Looking back on your first 12 months at Komodo Health, you will have accomplished…**
* Defined strategic AI capabilities aligned to Komodo’s core business and product roadmap.
* Architected reusable AI platforms, frameworks, or orchestration layers adopted across multiple teams.
* Set standards for responsible AI, safety, prompt design, explainability, and bias mitigation.
* Led high\-impact AI initiatives that shaped Komodo’s internal and external product strategy.
* Provided deep technical guidance that unblocked complex problems across teams.
* Built internal alignment on AI investment strategy, tooling, governance, and long\-term direction.
**What You’ll Own**
* Help design company\-wide AI vision, standards, and reference architectures.
* Defining and building foundational AI platforms (e.g., internal agent frameworks, orchestration systems).
* Acting as a multiplier by mentoring teams, running workshops, and driving organizational knowledge sharing.
* Making high\-level technical decisions, including evaluating major build\-vs\-buy choices for platforms and tooling.
* Shaping Komodo’s data strategy from an AI perspective—requirements, quality, orientation, and long\-term structure.
* Leading complex applied research initiatives that push Komodo into new AI capability frontiers.
* Ensuring Komodo’s AI systems meet high bars for reliability, accountability, ethics, and transparency.
**What You Bring To Komodo Health (required)**
* Recognized expert in applied AI with demonstrated impact across multiple teams or organizational domains.
* Extensive experience architecting end\-to\-end AI systems, multi\-agent architectures, and large\-scale orchestration frameworks.
* Deep technical sophistication with LLMs, agent safety, responsible AI, observability, and ML lifecycle governance.
* Strong fluency in Python, GenAI frameworks (vLLM, Strands, Crew AI), and full\-stack system integration.
* Experience influencing strategic technical direction and driving adoption of foundational AI frameworks.
* Exceptional communication skills with the ability to align diverse stakeholders.
**Expectations Of AI Use In This Role (required)**
 You will operate as a strategic AI leader—setting patterns, driving adoption, and ensuring Komodo stays at the forefront of applied AI innovation.
**Additional skills and experience we’d prioritize (nice to have)…**
* Deep healthcare data or healthcare system expertise
* Experience leading large\-scale distributed data and compute systems (e.g., Spark, Databricks, Snowflake).
* Location flexible to NYC or SF hybrid, and remote
 The pay range for each job posting reflects a minimum and maximum range of annual base pay that we reasonably expect to pay for this position within the US. We carefully consider multiple business\-related factors when determining compensation, including job\-related skills, work experience, geographic work location, relevant training and certifications, business needs and market demands.
 The starting annual base pay for this role is listed below. This position may be eligible for performance\-based bonuses as determined in the Company’s sole discretion and in accordance with a written agreement or plan. This role may also be eligible for equity awards. In addition, this role is eligible for benefits including, but not limited to, comprehensive health, dental, and vision insurance; flexible time off and holidays; 401(k) with company match; disability insurance and life insurance; and leaves of absence in accordance with applicable state and local laws and regulations and company policy.
**San Francisco Bay Area And New York City**
 $274,000—$322,000 USD
 All Other US Locations:
 $238,000—$280,000 USD
**Komodo's AI Standard**
 At Komodo, we're not just witnessing the AI revolution – we're leading it. This is a pivotal moment in time, where being first to market with AI transforms industries and sets the bar. We've already established industry leadership in leveraging AI to revolutionize healthcare, and we expect every team member to contribute. AI here isn't optional; it's foundational. We expect you to integrate AI into your daily work – from summarizing documents to automating workflows and uncovering insights. This isn't just about efficiency; it's about making every moment more meaningful, building on trust in AI, and driving our collective success.
***Join us in shaping the future of healthcare intelligence.*
 Where You’ll Work**
 Komodo Health has a hybrid work model; we recognize the power of choice and importance of flexibility for the well\-being of both our company and our individual Dragons. Roles may be completely remote based anywhere in the country listed, remote but based in a specific region, or local (commuting distance) to one of our hubs in San Francisco, New York City, or Chicago with remote work options.
**What We Offer**
 Positions may be eligible for company benefits in accordance with Company policy. We offer a competitive total rewards package including medical, dental and vision coverage along with a broad range of supplemental benefits including 401k Retirement Plan, prepaid legal assistance, and more. We also offer paid time off for vacation, sickness, holiday, and bereavement. We are pleased to be able to provide 100% company\-paid life insurance and long\-term disability insurance. This information is intended to be a general overview and may be modified by the Company due to business\-related factors.
**Equal Opportunity Statement**
 Komodo Health provides equal employment opportunities to all applicants and employees. We prohibit discrimination and harassment of any type with regard to race, color, religion, age, sex, national origin, disability status, genetics, protected veteran status, sexual orientation, gender identity or expression, or any other characteristic protected by federal, state, or local laws.
 By submitting your application, you acknowledge that you have read and understand Komodo Health’s Privacy Notice for Employees and Contractors.
*This notice explains how we collect, use, and retain applicant data.*</t>
        </is>
      </c>
    </row>
    <row r="102">
      <c r="A102" t="inlineStr">
        <is>
          <t>li-4360615943</t>
        </is>
      </c>
      <c r="B102" t="inlineStr">
        <is>
          <t>Senior Lead Machine Learning Engineer (Big Data and Machine Learning)</t>
        </is>
      </c>
      <c r="C102" t="inlineStr">
        <is>
          <t>Capital One</t>
        </is>
      </c>
      <c r="D102" t="inlineStr">
        <is>
          <t>linkedin</t>
        </is>
      </c>
      <c r="E102">
        <f>HYPERLINK("https://www.linkedin.com/jobs/view/4360615943", "https://www.linkedin.com/jobs/view/4360615943")</f>
        <v/>
      </c>
      <c r="F102" t="inlineStr"/>
      <c r="G102" t="inlineStr">
        <is>
          <t>New York, NY</t>
        </is>
      </c>
      <c r="H102" t="inlineStr"/>
      <c r="I102"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****Preferred Qualifications:****
* Master's or doctoral degree in computer science, electrical engineering, mathematics, or a similar field
* Experience developing and deploying ML solutions in a public cloud such as AWS, Azure, or Google Cloud Platform
* 4\+ years of on\-the\-job experience with an industry recognized ML framework such as scikit\-learn, PyTorch, Dask, Spark, or TensorFlow
* 3\+ years of experience developing performant, resilient, and maintainable code
* 3\+ years of experience with data gathering and preparation for ML models
* 3\+ years of people management experience
* ML industry impact through conference presentations, papers, blog posts, open source contributions, or patents
* 3\+ years of experience building production\-ready data pipelines that feed ML models
* Ability to communicate complex technical concepts clearly to a variety of audiences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Lead Machine Learning Engineer
 McLean, VA: $229,900 \- $262,400 for Sr. Lead Machine Learning Engineer
 New York, NY: $250,800 \- $286,200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3">
      <c r="A103" t="inlineStr">
        <is>
          <t>li-4361125773</t>
        </is>
      </c>
      <c r="B103" t="inlineStr">
        <is>
          <t>Senior Lead Machine Learning Engineer</t>
        </is>
      </c>
      <c r="C103" t="inlineStr">
        <is>
          <t>Capital One</t>
        </is>
      </c>
      <c r="D103" t="inlineStr">
        <is>
          <t>linkedin</t>
        </is>
      </c>
      <c r="E103">
        <f>HYPERLINK("https://www.linkedin.com/jobs/view/4361125773", "https://www.linkedin.com/jobs/view/4361125773")</f>
        <v/>
      </c>
      <c r="F103" t="inlineStr"/>
      <c r="G103" t="inlineStr">
        <is>
          <t>San Francisco, CA</t>
        </is>
      </c>
      <c r="H103" t="inlineStr"/>
      <c r="I10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****Preferred Qualifications:****
* Master’s Degree
* 9\+ years of experience in at least one of the following:, Python,
* 3\+ years of experience with AWS, GCP, Azure, or another cloud service
* 4\+ years of experience in open source frameworks
* 3\+ years of experience with Agnetic Workflows
* 3\+ years of experience with Langgraph or Langchain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Machine Learning Engineer
 New York, NY: $250,800 \- $286,200 for Sr. Lead Machine Learning Engineer
 San Francisco, CA: $250,800 \- $286,200 for Sr. Lead Machine Learning Engineer
 San Jose, CA: $250,800 \- $286,200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4">
      <c r="A104" t="inlineStr">
        <is>
          <t>li-4360625734</t>
        </is>
      </c>
      <c r="B104" t="inlineStr">
        <is>
          <t>Lead AI Engineer</t>
        </is>
      </c>
      <c r="C104" t="inlineStr">
        <is>
          <t>Capital One</t>
        </is>
      </c>
      <c r="D104" t="inlineStr">
        <is>
          <t>linkedin</t>
        </is>
      </c>
      <c r="E104">
        <f>HYPERLINK("https://www.linkedin.com/jobs/view/4360625734", "https://www.linkedin.com/jobs/view/4360625734")</f>
        <v/>
      </c>
      <c r="F104">
        <f>HYPERLINK("https://dsp.prng.co/851cnfb&amp;urlHash=rurW", "https://dsp.prng.co/851cnfb&amp;urlHash=rurW")</f>
        <v/>
      </c>
      <c r="G104" t="inlineStr">
        <is>
          <t>Cambridge, MA</t>
        </is>
      </c>
      <c r="H104" t="inlineStr"/>
      <c r="I104"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5">
      <c r="A105" t="inlineStr">
        <is>
          <t>li-4368037519</t>
        </is>
      </c>
      <c r="B105" t="inlineStr">
        <is>
          <t>Staff Full Stack / AI Engineer</t>
        </is>
      </c>
      <c r="C105" t="inlineStr">
        <is>
          <t>Piper Companies</t>
        </is>
      </c>
      <c r="D105" t="inlineStr">
        <is>
          <t>linkedin</t>
        </is>
      </c>
      <c r="E105">
        <f>HYPERLINK("https://www.linkedin.com/jobs/view/4368037519", "https://www.linkedin.com/jobs/view/4368037519")</f>
        <v/>
      </c>
      <c r="F105" t="inlineStr"/>
      <c r="G105" t="inlineStr">
        <is>
          <t>Raleigh, NC</t>
        </is>
      </c>
      <c r="H105" t="inlineStr"/>
      <c r="I105" t="inlineStr">
        <is>
          <t>Piper Companies is seeking a
 **Staff Full Stack / AI Engineer** 
 to join an innovative organization in the mobile and web\-based learning platform industry. The
 **Staff Full Stack / AI Engineer** 
 role is ideal for a seasoned professional passionate about building scalable applications and leveraging AI/ML technologies to enhance user experiences.
**Responsibilities of the Staff Full Stack / AI Engineer:**
* Design, develop, and maintain full\-stack applications for mobile and web\-based learning platforms.
* Collaborate with the R\&amp;D team to research, test, and implement emerging technologies and frameworks.
* Integrate AI/ML models into production systems to improve personalization and learning outcomes.
* Build and optimize APIs and backend services using Node.js and TypeScript.
* Work with MongoDB or other NoSQL databases to ensure efficient data storage and retrieval.
* Participate in code reviews, performance tuning, and troubleshooting to maintain high\-quality standards.
* Contribute to architectural decisions and mentor junior engineers on best practices.
**Qualifications of the Staff Full Stack / AI Engineer:**
* 8\+ years of professional experience in software engineering, with strong expertise in TypeScript and Node.js.
* Proven experience with AI/ML concepts and practical implementation in production environments.
* Hands\-on experience with MongoDB or other NoSQL databases.
* Strong understanding of modern web and mobile application development practices.
* Ability to learn and adapt quickly to new technologies in support of R\&amp;D initiatives.
* Excellent problem\-solving skills and a collaborative mindset.
**Compensation for the Staff Full Stack / AI Engineer includes:**
* Salary range: $175,000 \- $210,000
* Comprehensive benefits package including medical, dental, vision, 401(k), and PTO
* Flexible work arrangements
 This job opens for applications on 2/2/2026\. Applications for this job will be accepted for at least 30 days from the posting date.
 \#REMOTE</t>
        </is>
      </c>
    </row>
    <row r="106">
      <c r="A106" t="inlineStr">
        <is>
          <t>li-4361175608</t>
        </is>
      </c>
      <c r="B106" t="inlineStr">
        <is>
          <t>Senior Lead Machine Learning Engineer (Big Data and Machine Learning)</t>
        </is>
      </c>
      <c r="C106" t="inlineStr">
        <is>
          <t>Capital One</t>
        </is>
      </c>
      <c r="D106" t="inlineStr">
        <is>
          <t>linkedin</t>
        </is>
      </c>
      <c r="E106">
        <f>HYPERLINK("https://www.linkedin.com/jobs/view/4361175608", "https://www.linkedin.com/jobs/view/4361175608")</f>
        <v/>
      </c>
      <c r="F106" t="inlineStr"/>
      <c r="G106" t="inlineStr">
        <is>
          <t>McLean, VA</t>
        </is>
      </c>
      <c r="H106" t="inlineStr"/>
      <c r="I106"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****Preferred Qualifications:****
* Master's or doctoral degree in computer science, electrical engineering, mathematics, or a similar field
* Experience developing and deploying ML solutions in a public cloud such as AWS, Azure, or Google Cloud Platform
* 4\+ years of on\-the\-job experience with an industry recognized ML framework such as scikit\-learn, PyTorch, Dask, Spark, or TensorFlow
* 3\+ years of experience developing performant, resilient, and maintainable code
* 3\+ years of experience with data gathering and preparation for ML models
* 3\+ years of people management experience
* ML industry impact through conference presentations, papers, blog posts, open source contributions, or patents
* 3\+ years of experience building production\-ready data pipelines that feed ML models
* Ability to communicate complex technical concepts clearly to a variety of audiences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Lead Machine Learning Engineer
 McLean, VA: $229,900 \- $262,400 for Sr. Lead Machine Learning Engineer
 New York, NY: $250,800 \- $286,200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7">
      <c r="A107" t="inlineStr">
        <is>
          <t>li-4368045208</t>
        </is>
      </c>
      <c r="B107" t="inlineStr">
        <is>
          <t>Gen AI Architect/Senior Gen AI Engineer</t>
        </is>
      </c>
      <c r="C107" t="inlineStr">
        <is>
          <t>Jobs via Dice</t>
        </is>
      </c>
      <c r="D107" t="inlineStr">
        <is>
          <t>linkedin</t>
        </is>
      </c>
      <c r="E107">
        <f>HYPERLINK("https://www.linkedin.com/jobs/view/4368045208", "https://www.linkedin.com/jobs/view/4368045208")</f>
        <v/>
      </c>
      <c r="F107" t="inlineStr"/>
      <c r="G107" t="inlineStr">
        <is>
          <t>Frisco, TX</t>
        </is>
      </c>
      <c r="H107" t="inlineStr"/>
      <c r="I107" t="inlineStr">
        <is>
          <t>Dice is the leading career destination for tech experts at every stage of their careers. Our client, XFORIA Inc, is seeking the following. Apply via Dice today!
**Job Title: GenAI Architect / Senior GenAI Engineer**
**Location: Frisco, TX / Remote**
**Mode of Hire: H1T / Contract on W2**
**Job Summary**
 We are seeking a highly skilled GenAI Architect / Senior GenAI Engineer to design, build, and scale Generative AI solutions across the organization. The ideal candidate will have strong hands\-on experience with large language models, excellent communication skills, and the ability to work closely with business and technical stakeholders in an on\-site environment.
**Key Responsibilities**
* Design and architect end\-to\-end Generative AI solutions using LLMs and related technologies
* Lead development of GenAI use cases such as chatbots, copilots, summarization, search, and content generation
* Select, fine\-tune, and deploy LLMs (OpenAI, Azure OpenAI, Anthropic, open\-source models, etc.)
* Build and optimize RAG pipelines using vector databases (FAISS, Pinecone, Weaviate, Chroma, etc.)
* Ensure scalability, security, performance, and cost optimization of GenAI systems
* Collaborate closely with product, engineering, data science, and business teams
* Translate business requirements into technical GenAI solutions and architectures
* Mentor junior engineers and provide technical leadership
* Stay current with advancements in GenAI, LLMs, and AI tooling
**Required Skills \&amp; Qualifications**
* Strong experience in Generative AI, LLMs, NLP, and ML architectures
* Hands\-on experience with Python and GenAI frameworks (LangChain, LlamaIndex, Semantic Kernel, etc.)
* Experience with prompt engineering, fine\-tuning, and evaluation techniques
* Solid understanding of cloud platforms (AWS, Azure, or Google Cloud Platform)
* Experience with APIs, microservices, and MLOps practices
* Knowledge of vector databases and embedding strategies
* Excellent communication and stakeholder management skills
* Ability to work effectively in an on\-site, collaborative environment</t>
        </is>
      </c>
    </row>
    <row r="108">
      <c r="A108" t="inlineStr">
        <is>
          <t>li-4360730158</t>
        </is>
      </c>
      <c r="B108" t="inlineStr">
        <is>
          <t>Senior AI Engineer (LLM Core)</t>
        </is>
      </c>
      <c r="C108" t="inlineStr">
        <is>
          <t>Capital One</t>
        </is>
      </c>
      <c r="D108" t="inlineStr">
        <is>
          <t>linkedin</t>
        </is>
      </c>
      <c r="E108">
        <f>HYPERLINK("https://www.linkedin.com/jobs/view/4360730158", "https://www.linkedin.com/jobs/view/4360730158")</f>
        <v/>
      </c>
      <c r="F108" t="inlineStr"/>
      <c r="G108" t="inlineStr">
        <is>
          <t>McLean, VA</t>
        </is>
      </c>
      <c r="H108" t="inlineStr"/>
      <c r="I10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AI Engineer
 McLean, VA: $158,600 \- $181,000 for Senior AI Engineer
 New York, NY: $173,000 \- $197,400 for Senior AI Engineer
 San Francisco, CA: $173,000 \- $197,400 for Senior AI Engineer
 San Jose, CA: $173,000 \- $197,400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9">
      <c r="A109" t="inlineStr">
        <is>
          <t>li-4357495304</t>
        </is>
      </c>
      <c r="B109" t="inlineStr">
        <is>
          <t>Senior Software Engineer (AI Engineering)</t>
        </is>
      </c>
      <c r="C109" t="inlineStr">
        <is>
          <t>TWG Global</t>
        </is>
      </c>
      <c r="D109" t="inlineStr">
        <is>
          <t>linkedin</t>
        </is>
      </c>
      <c r="E109">
        <f>HYPERLINK("https://www.linkedin.com/jobs/view/4357495304", "https://www.linkedin.com/jobs/view/4357495304")</f>
        <v/>
      </c>
      <c r="F109" t="inlineStr"/>
      <c r="G109" t="inlineStr">
        <is>
          <t>Santa Monica, CA</t>
        </is>
      </c>
      <c r="H109" t="inlineStr"/>
      <c r="I109" t="inlineStr">
        <is>
          <t>At TWG Group Holdings, LLC (“TWG Global”), we drive innovation and business transformation across a range of industries—including financial services, insurance, technology, media, and sports—by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We're looking for a
 **Senior Software Engineer with** 
 with deep experience across the stack, with a strong command of modern frontend frameworks (
 **React** 
 ) and professional experience writing backend code in
 **Java** 
 . Ideal candidates will have a strong understanding of modern AI application patterns, including
 **agent\-based systems, tool calling, orchestration** 
 , and stateful workflows using frameworks such as
 **LangGraph** 
 or similar.
 You'll collaborate closely with product and design, and take ownership of complex engineering challenges from concept through production.
**Key Responsibilities:** 
* Lead development of React\-based UIs, with thoughtful component architecture and performance optimization
* Design, build, and maintain AI agent–based systems that perform multi\-step tasks using defined goals, tools, and decision logic.
* Design, build, and maintain full\-stack web applications
* Both design, develop, and maintain backend services, RESTful APIs, and data models
* Architect scalable systems and contribute to high\-level design and planning
* Drive code quality, testing, and engineering best practices across the team
* Collaborate across functions to deliver end\-to\-end product features
* Mentor junior engineers and support peer learning
**Qualifications:** 
* 5\+ years of professional software engineering experience building complex, scalable applications
* Demonstrated experience building real\-world AI applications, including agent workflows, orchestration logic, and modern LLM frameworks (e.g., LangGraph, LangChain, or equivalent).
* Strong proficiency in both React and Java, including state management and component architecture
* Solid understanding of database design, with experience in relational databases like PostgreSQL or MySQL
* Familiarity with distributed systems, microservices, and modern system design patterns
* Experience with cloud infrastructure (AWS, GCP, or Azure) and CI/CD pipelines
* Ability to write clean, well\-tested, maintainable code across the stack
* Bachelor's degree in Computer Science, Engineering, or related field
**Benefits** 
**Position Location:** 
 This position is preferred to be located in Santa Monica, CA, or New York, NY. Relocation support can be provided to the right candidates.
**Compensation:** 
 The base pay for this position is $190,000\-$200,000\. A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2026-02-03T01:11:07Z</dcterms:created>
  <dcterms:modified xsi:type="dcterms:W3CDTF">2026-02-03T01:11:07Z</dcterms:modified>
</cp:coreProperties>
</file>