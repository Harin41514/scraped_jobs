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in-7d06b05a2521b2a2</t>
        </is>
      </c>
      <c r="B2" t="inlineStr">
        <is>
          <t>Senior Data Scientist - Payment Integrity AI/ML</t>
        </is>
      </c>
      <c r="C2" t="inlineStr">
        <is>
          <t>Optum</t>
        </is>
      </c>
      <c r="D2" t="inlineStr">
        <is>
          <t>indeed</t>
        </is>
      </c>
      <c r="E2" t="inlineStr"/>
      <c r="F2" t="inlineStr"/>
      <c r="G2" t="inlineStr">
        <is>
          <t>Eden Prairie, MN, US</t>
        </is>
      </c>
      <c r="H2" s="2" t="n">
        <v>46054</v>
      </c>
      <c r="I2" t="inlineStr">
        <is>
          <t>Optum Insight is improving the flow of health data and information to create a more connected system. We remove friction and drive alignment between care providers and payers, and ultimately consumers. Our deep expertise in the industry and innovative technology empower us to help organizations reduce costs while improving risk management, quality and revenue growth. Ready to help us deliver results that improve lives? Join us to start **Caring. Connecting. Growing together.**
As part of Optum's Payment Integrity Decision Intelligence team, the Senior Data Scientist will support our mission to drive medical cost savings and efficiency within Payment Integrity clinical operations using advanced AI/ML tooling to drive detection and inventory prioritization. You will apply knowledge of statistics, machine learning, programming, data modeling to recognize patterns, identify opportunities that improve clinical audit processes.
You'll enjoy the flexibility to work remotely\* from anywhere within the U.S. as you take on some tough challenges. For all hires in the Minneapolis or Washington, D.C. area, you will be required to work in the office a minimum of four days per week.
 **Primary Responsibilities:**
* Interact with business stakeholders to understand their AI/ML requirements and deliver projects aligned with the business portfolio
* Drive and manage high\-impact data science projects from conception to deployment, ensuring alignment with business goals and timelines
* Partner with cross\-functional teams, including analytic engineering, infrastructure, and operations, to design and deploy models
* Document and communicate findings, methodologies, and insights to technical and non\-technical stakeholders
* Monitor and refine model performance through on\-going evaluation, ensuring robust performance
* Maintain compliance with legal, ethical, regulatory, and organizational standards
You'll be rewarded and recognized for your performance in an environment that will challenge you and give you clear direction on what it takes to succeed in your role as well as provide development for other roles you may be interested in.
**Required Qualifications:**
* 3\+ years of experience in Data Science
* 2\+ years of experience in traditional machine learning and statistical modelling
* 2\+ years of experience in coding in Python, SQL, and related languages
* 1\+ years of experience with big data technologies
* Appreciation of ethical considerations in data science and commitment to apply them in practice
 **Preferred Qualifications:**
* Experience with data processing in Spark
* Experience with Databricks
* Experience with healthcare claim data
* Experience in transitioning projects from proof\-of\-concept (PoC) to production, with a focus on scalability, reliability, and performance
* Demonstrated knowledge of the full life cycle of AI/ML projects, including EDA, model development, tuning, and drift analysis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3">
      <c r="A3" t="inlineStr">
        <is>
          <t>in-2f7e3d8db92af2e0</t>
        </is>
      </c>
      <c r="B3" t="inlineStr">
        <is>
          <t>Staff Product Data Scientist, Workspace</t>
        </is>
      </c>
      <c r="C3" t="inlineStr">
        <is>
          <t>Google</t>
        </is>
      </c>
      <c r="D3" t="inlineStr">
        <is>
          <t>indeed</t>
        </is>
      </c>
      <c r="E3" t="inlineStr"/>
      <c r="F3" t="inlineStr"/>
      <c r="G3" t="inlineStr">
        <is>
          <t>Sunnyvale, CA, US</t>
        </is>
      </c>
      <c r="H3" s="2" t="n">
        <v>46054</v>
      </c>
      <c r="I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**New York, NY, USA; Seattle, WA, USA; Sunnyvale, CA, USA**.### **Minimum qualifications:**
* Bachelor's degree in Statistics, Mathematics, Data Science, Engineering, Physics, Economics, or a related quantitative field.
* 10 years of experience using analytics to solve product or business problems, performing statistical analysis, and coding (e.g., Python, R, SQL) or 8 years work experience with a Master's degree.
### **Preferred qualifications:**
* Master's degree in Statistics, Mathematics, Data Science, Engineering, Physics, Economics, or a related quantitative field.
* 12 years of experience using analytics to solve product or business problems, performing statistical analysis, and coding (e.g., Python, R, SQL).
**About the job**
-----------------
In this role, you will dive deep, dissecting model performance from foundational layers to product specific fine\-tuning. You will balance how to blend techniques like autoratings, classic human eval, and reveal preference modeling to illuminate where we need to do better, and where we are doing well. Your findings will drive cross\-organizational engineering efforts, shaping the very core of our AI\-powered future. You will have the opportunity to work with technology and contribute to the development of a product that has the potential to transform the way people work.The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Conduct evaluations of our model performance, focusing on productivity\-related tasks and workflows across modalities (text, video, images, speech).
* Develop and implement evaluation frameworks and metrics to assess the model's strengths and weaknesses.
* Analyze evaluation data and generate reports to communicate findings to leadership.
* Collaborate closely with research and engineering teams to identify areas for improvement and contribute to the development of new evaluation methodologies.
* Stay up\-to\-date with the latest advancements in LLM technology and evaluation techniques, and be conversant in (and understand the shortcomings of) industry benchmarks.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
      <c r="A4" t="inlineStr">
        <is>
          <t>in-34725a51a92fff48</t>
        </is>
      </c>
      <c r="B4" t="inlineStr">
        <is>
          <t>Staff Product Data Scientist, Workspace</t>
        </is>
      </c>
      <c r="C4" t="inlineStr">
        <is>
          <t>Google</t>
        </is>
      </c>
      <c r="D4" t="inlineStr">
        <is>
          <t>indeed</t>
        </is>
      </c>
      <c r="E4" t="inlineStr"/>
      <c r="F4" t="inlineStr"/>
      <c r="G4" t="inlineStr">
        <is>
          <t>Seattle, WA, US</t>
        </is>
      </c>
      <c r="H4" s="2" t="n">
        <v>46054</v>
      </c>
      <c r="I4"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**New York, NY, USA; Seattle, WA, USA; Sunnyvale, CA, USA**.### **Minimum qualifications:**
* Bachelor's degree in Statistics, Mathematics, Data Science, Engineering, Physics, Economics, or a related quantitative field.
* 10 years of experience using analytics to solve product or business problems, performing statistical analysis, and coding (e.g., Python, R, SQL) or 8 years work experience with a Master's degree.
### **Preferred qualifications:**
* Master's degree in Statistics, Mathematics, Data Science, Engineering, Physics, Economics, or a related quantitative field.
* 12 years of experience using analytics to solve product or business problems, performing statistical analysis, and coding (e.g., Python, R, SQL).
**About the job**
-----------------
In this role, you will dive deep, dissecting model performance from foundational layers to product specific fine\-tuning. You will balance how to blend techniques like autoratings, classic human eval, and reveal preference modeling to illuminate where we need to do better, and where we are doing well. Your findings will drive cross\-organizational engineering efforts, shaping the very core of our AI\-powered future. You will have the opportunity to work with technology and contribute to the development of a product that has the potential to transform the way people work.The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Conduct evaluations of our model performance, focusing on productivity\-related tasks and workflows across modalities (text, video, images, speech).
* Develop and implement evaluation frameworks and metrics to assess the model's strengths and weaknesses.
* Analyze evaluation data and generate reports to communicate findings to leadership.
* Collaborate closely with research and engineering teams to identify areas for improvement and contribute to the development of new evaluation methodologies.
* Stay up\-to\-date with the latest advancements in LLM technology and evaluation techniques, and be conversant in (and understand the shortcomings of) industry benchmarks.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
      <c r="A5" t="inlineStr">
        <is>
          <t>in-b8451b3615c908db</t>
        </is>
      </c>
      <c r="B5" t="inlineStr">
        <is>
          <t>Staff Product Data Scientist, Workspace</t>
        </is>
      </c>
      <c r="C5" t="inlineStr">
        <is>
          <t>Google</t>
        </is>
      </c>
      <c r="D5" t="inlineStr">
        <is>
          <t>indeed</t>
        </is>
      </c>
      <c r="E5" t="inlineStr"/>
      <c r="F5" t="inlineStr"/>
      <c r="G5" t="inlineStr">
        <is>
          <t>New York, NY, US</t>
        </is>
      </c>
      <c r="H5" s="2" t="n">
        <v>46054</v>
      </c>
      <c r="I5"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**New York, NY, USA; Seattle, WA, USA; Sunnyvale, CA, USA**.### **Minimum qualifications:**
* Bachelor's degree in Statistics, Mathematics, Data Science, Engineering, Physics, Economics, or a related quantitative field.
* 10 years of experience using analytics to solve product or business problems, performing statistical analysis, and coding (e.g., Python, R, SQL) or 8 years work experience with a Master's degree.
### **Preferred qualifications:**
* Master's degree in Statistics, Mathematics, Data Science, Engineering, Physics, Economics, or a related quantitative field.
* 12 years of experience using analytics to solve product or business problems, performing statistical analysis, and coding (e.g., Python, R, SQL).
**About the job**
-----------------
In this role, you will dive deep, dissecting model performance from foundational layers to product specific fine\-tuning. You will balance how to blend techniques like autoratings, classic human eval, and reveal preference modeling to illuminate where we need to do better, and where we are doing well. Your findings will drive cross\-organizational engineering efforts, shaping the very core of our AI\-powered future. You will have the opportunity to work with technology and contribute to the development of a product that has the potential to transform the way people work.The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Conduct evaluations of our model performance, focusing on productivity\-related tasks and workflows across modalities (text, video, images, speech).
* Develop and implement evaluation frameworks and metrics to assess the model's strengths and weaknesses.
* Analyze evaluation data and generate reports to communicate findings to leadership.
* Collaborate closely with research and engineering teams to identify areas for improvement and contribute to the development of new evaluation methodologies.
* Stay up\-to\-date with the latest advancements in LLM technology and evaluation techniques, and be conversant in (and understand the shortcomings of) industry benchmarks.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
      <c r="A6" t="inlineStr">
        <is>
          <t>in-71f9a9a05b3142c1</t>
        </is>
      </c>
      <c r="B6" t="inlineStr">
        <is>
          <t>Senior Data Scientist, Product, Google Play, Ads</t>
        </is>
      </c>
      <c r="C6" t="inlineStr">
        <is>
          <t>Google</t>
        </is>
      </c>
      <c r="D6" t="inlineStr">
        <is>
          <t>indeed</t>
        </is>
      </c>
      <c r="E6" t="inlineStr"/>
      <c r="F6" t="inlineStr"/>
      <c r="G6" t="inlineStr">
        <is>
          <t>Mountain View, CA, US</t>
        </is>
      </c>
      <c r="H6" s="2" t="n">
        <v>46054</v>
      </c>
      <c r="I6" t="inlineStr">
        <is>
          <t>### **Minimum qualifications:**
* Bachelor's degree in Statistics, Mathematics, Data Science, Engineering, Physics, Economics, or a related quantitative field.
* 8 years of experience using analytics to solve product or business problems, performing statistical analysis, and coding (e.g., Python, R, SQL) or 5 years of experience with a Master's degree.
### **Preferred qualifications:**
* Master's degree in Statistics, Mathematics, Data Science, Engineering, Physics, Economics, or a related quantitative field.
* Experience in advertising, and ads ranking.
**About the job**
-----------------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Google Play provides apps, games, and digital content services that bring Android devices to life. Play Store is the world’s largest apps distribution platform, which makes it easy for more than 3 billion Android monthly users across 190\+ markets worldwide to discover millions of high\-quality apps, games, books, and more. We are building and operating a global store connecting our users to amazing developer content. Trust, choice and delight are core tenets of our strategy. We are constantly innovating at scale and enabling more than 2 million developers to successfully operate their businesses worldwide in a rapidly changing global market; a critical driver of Google’s overall business growth.
At Play Dynamic Sears Ads (DSA), we work on a variety of challenging data science projects to drive product and go\-to\-market decisions for Play. Our goal is to Power Play’s growth by building an in\-depth understanding of our users and developers, enabling data\-driven decision making, through strategic insights, thought leadership, and unified data foundations.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Perform analysis utilizing relevant tools (e.g., SQL, R, Python). Help solve problems, narrow down multiple options into the best approach, and take ownership of open\-ended ambiguous business problems to reach an optimal solution.
* Partner with Games Data Science and Product Strategy team members, Play Games Product Management, Engineering, PMM, UX and other teams to understand user behavior, and design/analyze experiments and drive product insights to improve user experiences.
* Work across Cross\-platform Games, Developer Success, and Games Ecosystem to further our understanding of the Games business and the Loyalty Program at Play.
* Build and prototype analysis and business cases iteratively to provide insights at scale. Develop comprehensive knowledge of Google data structures and metrics, advocating for changes where needed for product development.
* Influence across teams to align resources and direction.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
      <c r="A7" t="inlineStr">
        <is>
          <t>in-d3350b3be39b78c8</t>
        </is>
      </c>
      <c r="B7" t="inlineStr">
        <is>
          <t>Data Scientist, Global E-commerce</t>
        </is>
      </c>
      <c r="C7" t="inlineStr">
        <is>
          <t>TikTok</t>
        </is>
      </c>
      <c r="D7" t="inlineStr">
        <is>
          <t>indeed</t>
        </is>
      </c>
      <c r="E7" t="inlineStr"/>
      <c r="F7" t="inlineStr"/>
      <c r="G7" t="inlineStr">
        <is>
          <t>Seattle, WA, US</t>
        </is>
      </c>
      <c r="H7" s="2" t="n">
        <v>46054</v>
      </c>
      <c r="I7" t="inlineStr">
        <is>
          <t>Data analysis
Data Scientist, Global E\-commerce
Location
:
Seattle
Employment Type
:
Regular
Job Code
:
A235742A
Responsibilities
**About the team:**  
Global e\-commerce is a content e\-commerce business with international short video product as the carrier. It is committed to becoming the first choice for users to discover and purchase good products with affordable prices. Global e\-commerce business team hopes to provide users with more tailored and efficient consumption experience, enabling merchants to receive consistent and reliable platform services in different scenarios such as live e\-commerce, short video content e\-commerce, so as to make more affordable and high\-quality products sell easily and a better life within reach.
**Responsibilities:**  
* Build out reporting to track product performance using data visualization tools.
* Bring strong desire to learn in a fast paced environment while collaborating with business stakeholders and technical leads.
* Exercise a high level of empathy in order to help the business identify and prioritize data needs and define proper metrics to measure initiative success.
* Use data to bring actionable insights that will help teams execute on their long\-term strategy and inform them how well they're performing at their goals.
Qualifications
**Minimum Qualifications:**  
* Bachelor's degree or above in computer science, statistics, math, internet security or other relevant majors.
* 5 years of work experience in data analytics/science or other relevant fields.
* Solid analytical skills. Proficiency in statistical analytical tools, such as SQL and Python.
**Preferred Qualifications:**  
* Familiarity with social/content online platform analytics, especially metrics design, product feature analytics and A/B testing methodologies. Bonus given to proficiency in data mining skills e.g. modern machine applications.
* Ability to think critically, objectively, rationally. Reason and communicate in a result\-oriented, data\-driven manner.
Job Information
【For Pay Transparency】Compensation Description (Annually)
The base salary range for this position in the selected city is $129960 \- $246240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8">
      <c r="A8" t="inlineStr">
        <is>
          <t>in-39eed8578da3628e</t>
        </is>
      </c>
      <c r="B8" t="inlineStr">
        <is>
          <t>Data Scientist, Global E-commerce</t>
        </is>
      </c>
      <c r="C8" t="inlineStr">
        <is>
          <t>TikTok</t>
        </is>
      </c>
      <c r="D8" t="inlineStr">
        <is>
          <t>indeed</t>
        </is>
      </c>
      <c r="E8" t="inlineStr"/>
      <c r="F8" t="inlineStr"/>
      <c r="G8" t="inlineStr">
        <is>
          <t>San Jose, CA, US</t>
        </is>
      </c>
      <c r="H8" s="2" t="n">
        <v>46054</v>
      </c>
      <c r="I8" t="inlineStr">
        <is>
          <t>Data analysis
Data Scientist, Global E\-commerce
Location
:
San Jose
Employment Type
:
Regular
Job Code
:
A235203A
Responsibilities
**About the team:**  
Global e\-commerce is a content e\-commerce business with international short video product as the carrier. It is committed to becoming the first choice for users to discover and purchase good products with affordable prices. Global e\-commerce business team hopes to provide users with more tailored and efficient consumption experience, enabling merchants to receive consistent and reliable platform services in different scenarios such as live e\-commerce, short video content e\-commerce, so as to make more affordable and high\-quality products sell easily and a better life within reach.
**Responsibilities:**  
* Build out reporting to track product performance using data visualization tools.
* Bring strong desire to learn in a fast paced environment while collaborating with business stakeholders and technical leads.
* Exercise a high level of empathy in order to help the business identify and prioritize data needs and define proper metrics to measure initiative success.
* Use data to bring actionable insights that will help teams execute on their long\-term strategy and inform them how well they're performing at their goals.
Qualifications
**Minimum Qualifications:**  
* Bachelor's degree or above in computer science, statistics, math, internet security or other relevant majors.
* 5 years of work experience in data analytics/science or other relevant fields.
* Solid analytical skills. Proficiency in statistical analytical tools, such as SQL and Python.
**Preferred Qualifications:**  
* Familiarity with social/content online platform analytics, especially metrics design, product feature analytics and A/B testing methodologies. Bonus given to proficiency in data mining skills e.g. modern machine applications.
* Ability to think critically, objectively, rationally. Reason and communicate in a result\-oriented, data\-driven manner.
Job Information
【For Pay Transparency】Compensation Description (Annually)
The base salary range for this position in the selected city is $136800 \- $259200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9">
      <c r="A9" t="inlineStr">
        <is>
          <t>in-d71268756bb1f84b</t>
        </is>
      </c>
      <c r="B9" t="inlineStr">
        <is>
          <t>Data Scientist</t>
        </is>
      </c>
      <c r="C9" t="inlineStr">
        <is>
          <t>JSR Tech Consulting</t>
        </is>
      </c>
      <c r="D9" t="inlineStr">
        <is>
          <t>indeed</t>
        </is>
      </c>
      <c r="E9" t="inlineStr"/>
      <c r="F9" t="inlineStr"/>
      <c r="G9" t="inlineStr">
        <is>
          <t>Newark, NJ, US</t>
        </is>
      </c>
      <c r="H9" s="2" t="n">
        <v>46054</v>
      </c>
      <c r="I9" t="inlineStr">
        <is>
          <t>Description: Are you interested in building capabilities that enable the organization with innovation, speed, agility, scalability and efficiency? When you join our organization at \*\*\*, you'll unlock an exciting and impactful career – all while growing your skills and advancing your profession at one of the world's leading financial services institutions.  
As a Data Scientist on/in the Data Science Team you will partner with Machine Learning Engineers, Data Engineers, Business Leaders and other professionals to build GenAI and ML models to improve advisor experience, perform lead scoring, and increase sales revenue. You will implement AI and machine learning models that will deliver stability, scalability and integration with other advisor products and services. You will implement capabilities to solve sophisticated business problems, deploy innovative products, services and experiences to delight our customers! In addition to deep technical expertise and experience, you will bring excellent problem solving, communication and teamwork skills, along with agile ways of working, strong business insight, an inclusive leadership attitude and a continuous learning focus to all that you do.  
The current work arrangement for this position is Hybrid (Newark, NJ) and requires your on\-site presence on a reoccurring weekly basis as determined by your business. Your manager will provide additional details relative to the specific number of days you are expected to be on\-site.  
Here is what you can expect in a typical day:  
* Provide deep technical leadership to a portfolio of high impact data science initiatives involving sales and advisor experience. Identify the optimal sets of data, models, training, and testing techniques required for successful product delivery. Remove complex technical impediments
* Leverage your experience and skills to identify new opportunities where data science and AI can improve experiences, gain efficiencies, and generate sales.
* Manage team members in AI/ML and model development, testing, training, and tuning. Apply hands\-on experience to ensuring best\-in\-class model development. Mentor team members in technical skill development and product ownership.
* Communicate clearly and concisely, in writing and verbally, all facets of model design and development. Continuously look for insights in models developed and generate new ideas for model improvement.
* Manage external vendors in the execution of parts of the data science development process as needed.
* Leverage continuous integration and continuous deployment best practices, including test automation and monitoring, to ensure successful deployment of ML models and application code on \*\*\*'s AI/ML platform.
* Bring a deep understanding of relevant and emerging technologies, give technical direction to team members and embed learning and innovation in the day\-to\-day.
* Work on significant and unique issues where analysis of situations or data requires an evaluation of intangible variables and may impact future concepts, products or technologies.
* Familiarity with Python, SQL, AWS, and JIRA.
* Familiarity with LLMs, deployment of LLMs, RAG, LangChain, LangGraph, and Agentic AI concepts.
The Skills and expertise you bring:  
* Applied Statistics, Computer Science, or Engineering or experience in related fields with a focus on machine learning, AI, and LLMs.
* Junior category industry experience with responsibility for developing and delivering advanced quantitative, AI/ML, analytical and statistical solutions.
* Ability to lead a small team with minimal guidance and effectively leverage diverse ideas, experiences, thoughts and perspectives to the benefit of the organization to deliver AI products.
* Ability to influence business stakeholders and to drive adoption of AI/ML solutions.
* Experience with agile development methodologies, Test\-Driven Development (TDD), and product management.
* Knowledge of business concepts, tools and processes that are needed for making sound decisions in the context of the company's business
* Demonstrated ability to mentor and operational management of data science team based on project requirements, resourcing requirements, and planning dependencies as appropriate, anticipate risks and bottlenecks and proactively takes actions
* Excellent problem solving, communication and collaboration skills, and stakeholder management
Significant experience and/or deep expertise with several of the following:  
* Machine Learning and AI: Understanding of machine learning theory, including the mathematics underlying machine learning algorithms. Expertise in the application of machine learning theory to building, training, testing, interpreting and monitoring machine learning models. Expertise in traditional machine learning models (unsupervised, XGBoost, etc.) and Large Language Models (OpenAI, Claude).
* Model Deployment: Understanding of model development life cycle, CI/CD/CT pipelines (using tools like Jenkins, CloudBees, Harness, etc.), A/B testing, and pipeline frameworks such as AWS SageMaker, and newer AWS/Azure Agentic AI infrastructure products.
* Data Acquisition and Transformation: Acquiring data from disparate data sources using APIs and SQL. Transform data using SQL and Python. Visualizing data using a diverse tool set including but not limited to Python.
* Database Management Systems: Knowledge of how databases are structured and function in order use them efficiently. May include multiple data environments, cloud/AWS, primary and foreign key relationships, table design, database schemas, etc.
* Data Analysis and Insights: Analyzing structured and unstructured data using data visualization, manipulation, and statistical methods to identify patterns, anomalies, relationships, and trends.
* Programming Languages: Python and SQL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payrate: 55 \- 65 /hr depending on experience  
\#LI\-AR1</t>
        </is>
      </c>
    </row>
    <row r="10">
      <c r="A10" t="inlineStr">
        <is>
          <t>in-5ecbcf7b77cf9199</t>
        </is>
      </c>
      <c r="B10" t="inlineStr">
        <is>
          <t>Senior Data Scientist</t>
        </is>
      </c>
      <c r="C10" t="inlineStr">
        <is>
          <t>Altak Group</t>
        </is>
      </c>
      <c r="D10" t="inlineStr">
        <is>
          <t>indeed</t>
        </is>
      </c>
      <c r="E10" t="inlineStr"/>
      <c r="F10" t="inlineStr"/>
      <c r="G10" t="inlineStr">
        <is>
          <t>VA, US</t>
        </is>
      </c>
      <c r="H10" s="2" t="n">
        <v>46055</v>
      </c>
      <c r="I10" t="inlineStr">
        <is>
          <t>**Key Responsibilities**
Lead the design, development, and deployment of advanced machine learning and statistical models using healthcare data (EHR, claims, imaging, wearable, and operational datasets).
Develop predictive and prescriptive models for patient risk stratification, disease progression, readmission prediction, cost optimization, and care pathway optimization.
Apply advanced analytics techniques, including time\-series analysis, NLP on clinical notes, survival analysis, and causal inference.
Collaborate closely with clinicians, healthcare product teams, and business stakeholders to translate clinical and operational problems into data science solutions.
Ensure data quality, feature engineering, model validation, and explainability are aligned with healthcare standards.
Support model deployment, monitoring, and performance optimization in production environments.
Mentor junior data scientists and contribute to best practices in data science, experimentation, and model governance.
Ensure compliance with healthcare regulations and data privacy standards (HIPAA, PHI handling, GDPR where applicable).
Communicate insights, findings, and recommendations clearly to technical and non\-technical stakeholders.
**Required Qualifications**
Bachelor’s or Master’s degree in Data Science, Computer Science, Statistics, Mathematics, Biomedical Informatics, or a related field (PhD is a plus).
5\+ years of hands\-on experience in data science, with at least 2\+ years working on healthcare data or healthcare analytics projects.
Strong proficiency in Python and SQL; experience with libraries such as Pandas, NumPy, Scikit\-learn, TensorFlow, PyTorch, or similar.
Solid understanding of machine learning algorithms, statistical modeling, and experimentation techniques.
Experience working with healthcare datasets such as EHR/EMR, claims, lab results, medical codes (ICD\-10, CPT, HCPCS, SNOMED).
Knowledge of data privacy, security, and compliance requirements in healthcare.
Strong analytical thinking, problem\-solving skills, and attention to detail.
Job Type: Full\-time
Pay: $55\.00 \- $65\.00 per hour
Work Location: In person</t>
        </is>
      </c>
    </row>
    <row r="11">
      <c r="A11" t="inlineStr">
        <is>
          <t>in-8c42f6ec8f1efd9f</t>
        </is>
      </c>
      <c r="B11" t="inlineStr">
        <is>
          <t>Data Scientist III</t>
        </is>
      </c>
      <c r="C11" t="inlineStr">
        <is>
          <t>Compassion International</t>
        </is>
      </c>
      <c r="D11" t="inlineStr">
        <is>
          <t>indeed</t>
        </is>
      </c>
      <c r="E11" t="inlineStr"/>
      <c r="F11" t="inlineStr"/>
      <c r="G11" t="inlineStr">
        <is>
          <t>Remote, US</t>
        </is>
      </c>
      <c r="H11" s="2" t="n">
        <v>46054</v>
      </c>
      <c r="I11" t="inlineStr">
        <is>
          <t>The expected salary range for this position is $106,400\.00 \- $125,010\.60\. Employees in specific high cost of labor locations in the United States (such as San Francisco, CA and Seattle, WA) may qualify for a geographic differential. Compassion International is not responsible for third parties who omit this information when copying and re\-posting job openings.
This career Data Scientist is responsible for developing complex algorithms using advanced modeling techniques to interpret data, extract insights, and help produce business\-driven solutions. The specialist further works with large data sets and will leverage machine learning techniques to inform and advise business decisions. At this career level, the incumbent generally conducts broad scale data science projects and initiatives independently or participates as a team member for major, complex, or international programs. He or she may coach and oversee the work of other specialists.
**What will you do?**
* Maintains a personal relationship with Jesus Christ. Is a consistent witness for Jesus Christ, maintains a courteous, Christ\-like attitude in dealing with people within and outside of Compassion, and faithfully upholds Compassion’s ministry in prayer.
* Acts as an advocate to raise the awareness of the needs of children. Understands Christ’s mandate to protect children. Commits to and prioritizes child protection considerations in all decision\-making, tasks and activities across the ministry. Abides by all behavioral expectations in Compassion’s Statement of Commitment to Child Protection and Code of Conduct. Reports any concerns of abuse, neglect or exploitation of children through Compassion’s internal reporting process and appropriately supports responses to incidents if they occur.
* Develops, analyzes, and models operational, program, marketing, or other organizational data to analyze the competitive performance of Compassion's business segments. Develops innovative strategies, quantifies the competitive performance of the organization's operations and/or markets. Further evaluates potential operational changes, and designs new approaches and data methodologies accordingly.
* Applies and integrates statistical, mathematical, predictive modeling and business analysis skills to manage and manipulate complex high volume data from a variety of sources. Further tests and troubleshoots internal advanced analytics tools and data programs. Works closely with vendors to manage maintenance of data modeling tools.
* Performs exploratory data analysis to understand relationships, opportunities to influence outcomes and how to attribute cross\-channel outcomes. Further develops proofs of concept to verify ideas and closes the loop to make sure that the proposed solution is performing as it should and is correctly understood by clients.
* Translates complex analytical and technical concepts for non\-technical team members to enable understanding and drive informed business decisions.
* Collaborates with cross\-functional teams across the organization to support data and cloud computing strategies.
* Stay up\-to\-date on industry and job\-related trends and best practices, including reading relevant publications, articles, blogs, etc.
* May coach and provide expertise to other professionals and support staff in the Data Science discipline.
**What do you bring?**
* Proven experience operationalizing large backlogs of AI/ML use cases
* Ability to establish AI best practices, standards, and reusable frameworks, enabling internal data scientists and analysts to deliver consistently
* Strong background in exploratory data analysis and algorithm selection, with a focus on prioritizing measurable financial impact and business value
* Demonstrated experience consolidating and rationalizing AI use cases across platforms, including savings calculations and alignment to enterprise technology strategy
* Deep understanding of MLOps and production ML lifecycle, including model deployment, monitoring, governance, and integration with mature DevOps processes
* Hands\-on experience designing and orchestrating end\-to\-end AI systems across teams and platforms, not just isolated models or prompts
* Proficiency with modern data and AI platforms, including AWS (SageMaker), Snowflake, DataRobot, Salesforce, and enterprise data warehouses
* Experience implementing Retrieval Augmented Generation (RAG) and context\-driven AI systems where prompts are augmented or replaced by governed data sources
**Why work here?**
* **The mission:** Join a team that is motivated to release children from poverty in Jesus’ name.
* **Our benefits** : Receive generous paid time off, 10% contribution to a 403(b) retirement fund on top of your salary, excellent healthcare coverage, free short\-term professional counseling, and **more** .
* **Spiritual growth:** Participate in regular chapel services, prayer groups, and department devotionals.
\#LI\-SP1 \#LI\-REMOTE</t>
        </is>
      </c>
    </row>
    <row r="12">
      <c r="A12" t="inlineStr">
        <is>
          <t>in-a3a0a12eea4987a4</t>
        </is>
      </c>
      <c r="B12" t="inlineStr">
        <is>
          <t>Expert Data Scientist - Fort Gordon, Georgia (APOGEE)</t>
        </is>
      </c>
      <c r="C12" t="inlineStr">
        <is>
          <t>Celestar Corporation</t>
        </is>
      </c>
      <c r="D12" t="inlineStr">
        <is>
          <t>indeed</t>
        </is>
      </c>
      <c r="E12" t="inlineStr"/>
      <c r="F12" t="inlineStr"/>
      <c r="G12" t="inlineStr">
        <is>
          <t>Fort Gordon, GA, US</t>
        </is>
      </c>
      <c r="H12" s="2" t="n">
        <v>46054</v>
      </c>
      <c r="I12" t="inlineStr">
        <is>
          <t>Celestar Corporation is seeking a **Data Scientist** to support **INSCOM** **under the Army Persistent Overhead Geospatial Intelligence (GEOINT) Exploitation Enterprise Support Services (APOGEE).** The primary place of performance will be **Fort Gordon, Georgia.** If interested and meet **ALL** the required qualifications and active clearance level, we encourage you to apply for this rewarding and impactful opportunity.
* **Anticipated Award Month:** March 2026
* **Anticipated Start Month:** May 2026
* **Period of Performance:** 1 Base \+ 4 Option Years
* **Location:** Fort Gordon, Georgia
* **CLEARANCE REQUIREMENT:** Active TS/SCI (within the last 5 years)
**About Us**:
Celestar, a proud Veteran\-Owned company, offers highly competitive salaries and benefits. Our comprehensive benefits package includes company\-paid employee and family dental insurance, employee health insurance, life insurance, and disability coverage. Additionally, we provide a 401(k)\-retirement plan with company matching, paid holidays, and personal time off.
**Responsibilities:**
* The Data ScientistConducts data analytics, data engineering, data mining, exploratory analysis, predictive analysis, and statistical analysis, and uses scientific techniques to correlate data into graphical, written, visual and verbal narrative products, enabling more informed analytic decisions. Proactively retrieves information from various sources, analyzes it for better understanding about the data set, and builds AI tools that automate certain processes. Duties typically include: creating various ML\-based tools or processes, such as recommendation engines or automated lead scoring systems. Performs statistical analysis, applies data mining techniques, and builds high quality prediction systems. Should be skilled in data visualization and use of graphical applications, including Microsoft Office (Power BI) and Tableau; major data science languages, such as R and Python; managing and merging of disparate data sources, preferably through R, Python, or SQL; statistical analysis; and data mining algorithms. Should have prior experience with large data Multi\-INT analytics, ML, and automated predictive analytics.
**Required** **qualifications/skills:**
**Education/Experience:**
* MA or MS from an accredited institution of higher learning in a STEM\-related discipline AND 5 years of relevant experience; **OR**
* BA/BS degree in a STEM\-related discipline AND 10 years of relevant experience
**Qualifications:**
* Demonstrated mastery and employment of geographic and geospatial scientific principles, tools, and analytical techniques, to be reflected throughout most of the relevant prior experience.
* Demonstrated experience and proficiency with data science techniques including (but not limited to) logistic regression, vector, natural language processing, principal component analysis, clustering techniques, neural networks, deep learning models, image recognition and algorithm employment or development in support of any of the foregoing.
* Demonstrated experience and proficiency with tabular analysis, SQL, and scripting languages (e.g., Python, R, Julia, etc.) to deliver unique insights otherwise unobtainable.
* Familiarity with agile software development project management frameworks (e.g., Scrum, Kanban, Lean, etc.) to deliver new capability.
* Demonstrated experience and proficiency with tabular analysis, SQL, and scripting languages (e.g., Python, R, Julia, etc.) to deliver unique insights otherwise unobtainable.
* Current/active TS/SCI clearance
***Desired Qualifications/Skills:***
* Experience working with IT, business, or operational metrics platforms (e.g., Splunk, Elastic, Confluence, etc.)
* Certification in AWS (AI/ML specialty).
* Knowledge of the National System for Geospatial\-Intelligence (NSG) tasking, collection, processing, exploitation and dissemination (TCPED) production chain.
* Experience working within a DoD or Intelligence Community (IC) operational environment and with DoD/IC geospatial data repositories.
* Familiarity with Army, DoD or IC GEOINT or Geospatial processes, policy and programs.
* Experience with Microsoft Office tools to deliver reports, graphics and briefings.
 **Come on board with a company that Values its Employees!**
Celestar Corporation is an Equal Opportunity Employer. The Celestar Corporation prohibits discrimination, harassment, and retaliation in employment based on race; color; religion; genetic information; national origin; sex (including same\-sex); sexual orientation; gender identity; pregnancy, childbirth, or related medical conditions; age; disability or handicap; citizenship status; marital status; service member/protected veteran status; or any other category protected by federal, state, or local law.</t>
        </is>
      </c>
    </row>
    <row r="13">
      <c r="A13" t="inlineStr">
        <is>
          <t>in-3f6d2b821eb4aa36</t>
        </is>
      </c>
      <c r="B13" t="inlineStr">
        <is>
          <t>Senior Data Scientist (Hybrid)</t>
        </is>
      </c>
      <c r="C13" t="inlineStr">
        <is>
          <t>iWorks Corporation</t>
        </is>
      </c>
      <c r="D13" t="inlineStr">
        <is>
          <t>indeed</t>
        </is>
      </c>
      <c r="E13" t="inlineStr"/>
      <c r="F13" t="inlineStr"/>
      <c r="G13" t="inlineStr">
        <is>
          <t>Naval Air Station Patuxent River, MD, US</t>
        </is>
      </c>
      <c r="H13" s="2" t="n">
        <v>46054</v>
      </c>
      <c r="I13" t="inlineStr">
        <is>
          <t>**Title:** Senior Data Scientist
**Location:** Hybrid, 50% on location (Patuxent River, MD)
**This position is contingent upon contract award**
**About iWorks:** iWorks Corporation, founded in 2005, is a leading provider of information technology and professional services to the federal government. We are a recognized leader in personnel security and vetting solutions, Agile, DevOps, DevSecOps, data analytics, and cloud solutions. Our continuous process improvement approach, combined with our business and technology expertise, results in innovative solutions.
We offer exceptional comprehensive benefits (Medical, Dental, Vision, Life and Disability); 401(k); Health and Wellness Benefits; and Paid Sick Time, Vacation Time, and Holiday Time. You're eligible for bonuses throughout the year as part of our incentive program for innovation and business development. All employees are also considered for an annual raise, commensurate with performance and company commitment.
**About this position:** iWorks Corporation is seeking a Senior Data Scientist to lead advanced analytics initiatives supporting federal IT modernization and mission\-critical programs. This role focuses on designing and deploying machine learning models, performing complex statistical analysis, and transforming large datasets into actionable insights for federal stakeholders.
The ideal candidate brings strong technical depth, experience working with federal data environments, and the ability to communicate complex findings to both technical and non\-technical audiences. This role will also provide technical leadership and mentorship to junior data professionals while ensuring compliance with federal data governance and security standards.
**Salary Range:** 145K \- 156K \- commensurate with the candidate's skills, experience, location, and qualifications.
**On a day\-to\-day basis, you will:**
* Lead the design, development, and deployment of predictive models and advanced machine learning solutions
* Analyze large, complex datasets to identify trends, patterns, anomalies, and forecasting insights
* Translate analytical findings into clear visualizations, dashboards, and executive\-level reports
* Collaborate with engineers, project managers, and federal stakeholders to define analytics goals, data requirements, and success metrics
* Ensure data quality, integrity, governance, and compliance with federal standards
* Support evidence\-based decision\-making across multiple federal programs
* Oversee and mentor junior data analysts and data scientists, promoting best practices and technical consistency
* Manage multiple analytics initiatives simultaneously while meeting project timelines
**Required Education/Qualifications:**
* **Clearance:** Secret security clearance fully adjudicated
* Master's or Ph.D. in Data Science, Computer Science, Statistics, or a related field
* Minimum of 5 years of experience in data science, analytics, or related roles
* Proficiency in Python, R, and SQL
* Hands\-on experience with machine learning, statistical modeling, and data mining techniques
* Experience building dashboards and visualizations using tools such as Tableau or Power BI
* Strong understanding of federal data governance, privacy, and security requirements, including FISMA, FedRAMP, and NIST frameworks
* Experience working with cloud platforms such as AWS, Azure, or GCP
* Excellent communication and presentation skills, with the ability to convey complex data insights clearly
* Ability to work independently and manage multiple projects concurrently
**Preferred Qualifications:**
* Experience supporting federal IT modernization initiatives
* Prior work with large\-scale or big data technologies
* Experience collaborating directly with federal clients or government stakeholders
* Leadership experience guiding or mentoring junior data professionals
* Familiarity with Agile or DevSecOps environments
**Please Note:** We maintain an on\-camera policy for all virtual company meetings to foster engagement and collaboration. Reasonable exceptions may be granted with prior approval from Human Resources and/or the applicable manager or client.
**FLSAEMPLOYMENT STATUS***:* FLSA EXEMPT AND FULL\-TIME POSITION
*iWorks Corporation is an Equal Employment Opportunity/Affirmative Action Employer. We evaluate qualified applicants without regard to race, color, religion, sex, national origin, disability, Veteran status, sexual orientation, or other protected characteristic.*</t>
        </is>
      </c>
    </row>
    <row r="14">
      <c r="A14" t="inlineStr">
        <is>
          <t>in-283d9305aebb9c6a</t>
        </is>
      </c>
      <c r="B14" t="inlineStr">
        <is>
          <t>Data Scientist</t>
        </is>
      </c>
      <c r="C14" t="inlineStr">
        <is>
          <t>Fifth Third Bank</t>
        </is>
      </c>
      <c r="D14" t="inlineStr">
        <is>
          <t>indeed</t>
        </is>
      </c>
      <c r="E14" t="inlineStr"/>
      <c r="F14" t="inlineStr"/>
      <c r="G14" t="inlineStr">
        <is>
          <t>Cincinnati, OH, US</t>
        </is>
      </c>
      <c r="H14" s="2" t="n">
        <v>46054</v>
      </c>
      <c r="I14" t="inlineStr">
        <is>
          <t>Make banking a Fifth Third better®  
We connect great people to great opportunities. Are you ready to take the next step? Discover a career in banking at Fifth Third Bank.*\*\*This position is not available for immigration sponsorship.*
The Data Scientist will perform data analysis, statistical analysis, and develop algorithms and methodologies on structured and unstructured data for on\-demand and software\-embedded use. Manage key analyses to drive more profitable business decisions. Focus on providing value\-added analysis and recommendations to support business growth.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Build large and complex information sets; Integrates and extracts relevant information from large amounts of both structured and unstructured data (internal and external) to enable analytical solutions.
* Conducts advanced analytics leveraging predictive modeling, machine learning, simulation, optimization and other techniques to deliver insights or develop analytical solutions to achieve business objectives.
* Develop and manage and develop analyses and algorithms that generate actionable insights and programs to improve long\-term revenue and relevance.
* Partner with key stakeholders to understand the underlying needs of the business and formulate, communicate and create buy\-in for analytics approaches and solutions.
* Effective communicate and translate business strategy and goals into manageable problems with well\-defined measurable objectives and outcomes.
* Transform formulated problems into implementations plans for experiments by developing data sources, applying/creating the appropriate methods, algorithms, and tools, as well as delivering statistically valid and reliable results.
* Ad hoc reporting and analytics to support requests from the Bank's various lines of business.
* Provides input into the creation of detailed project plans, work assignments, target dates and other aspects of assigned projects.
MINIMUM KNOWLEDGE, SKILLS AND ABILITIES REQUIRED:* Bachelor's degree in Statistics, Economics, Analytics, Mathematics, Computer Science, Information Technology or related field. Advanced degrees preferred, but not required.
* Typically requires minimum of 4\-5 years work experience.
* Database and analytical experience required.
* Excellent written and oral communications skills.
* Ability to effectively manage time.
* Independent and highly self\-motivated.
* Ability to communicate effectively.
* Strong PC skills including Microsoft Office (Word, Excel, Access, PowerPoint).
Data Scientist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45227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15">
      <c r="A15" t="inlineStr">
        <is>
          <t>in-1af4edda48e1d7e1</t>
        </is>
      </c>
      <c r="B15" t="inlineStr">
        <is>
          <t>Data Scientist</t>
        </is>
      </c>
      <c r="C15" t="inlineStr">
        <is>
          <t>WorldPac</t>
        </is>
      </c>
      <c r="D15" t="inlineStr">
        <is>
          <t>indeed</t>
        </is>
      </c>
      <c r="E15" t="inlineStr"/>
      <c r="F15" t="inlineStr"/>
      <c r="G15" t="inlineStr">
        <is>
          <t>Oak Brook, IL, US</t>
        </is>
      </c>
      <c r="H15" s="2" t="n">
        <v>46040</v>
      </c>
      <c r="I15" t="inlineStr">
        <is>
          <t>The Data Scientist will play a critical role in building, deploying, and scaling data science and AI solutions across Worldpac’s core business operations. This role blends hands\-on technical execution with a sharp focus on business impact — deploying production\-grade models that support pricing, procurement, supply chain, sales, and customer engagement. Ideal candidates will bring a strong foundation in traditional ML and optimization, experience deploying models in enterprise environments, and an understanding of how to apply emerging AI tools (including generative AI) for real\-world automation and workflow augmentation.
**Key Responsibilities:**
Machine Learning:
* Develop, deploy, and scale machine learning and optimization models across thousands of SKUs and customer accounts to drive margin growth, reduce waste, and optimize procurement.
* Apply forecasting, segmentation, and prescriptive modeling to enhance sales intelligence, pricing strategies, and inventory decisions.
* Build and maintain production pipelines that integrate AI models into operational systems and business workflows.
* Implement best practices for versioning, deployment, and monitoring of models in production.
* Partner with data engineering and IT teams to ensure scalable and stable integration with enterprise systems.
Applied GenAI and Workflow Automation:
* Design and deploy GenAI\-powered tools for use cases such as content automation for sales, intelligent customer interactions, and workflow augmentation — with a focus on measurable efficiency gains.
* Integrate generative AI capabilities into legacy systems and CRMs to enhance user productivity and decision\-making.
Business Alignment and Impact:
* Collaborate with cross\-functional stakeholders to identify and prioritize high\-impact use cases.
* Use external data sources (e.g., D\&amp;B, Google Places, business registries) to enrich models and expand customer intelligence.
* Track the business value of deployed solutions — including cost savings, revenue growth, and operational efficiencies.
**Team Collaboration and Mentorship:**
* Contribute to a culture of continuous improvement, peer learning, and delivery excellence.
* Mentor junior team members in practical data science and production deployment strategies.
**Qualifications:**
* Bachelor’s or Master’s degree in Data Science, Computer Science, Engineering, or related field.
* 4\+ years of experience in applied data science, with a track record of deploying models into production at enterprise scale.
* Strong foundation in classical Machine learning (e.g., regression, classification, clustering, time series) and optimization (e.g., linear/mixed\-integer programming).
* Demonstrated ability to scale models across complex domains — millions of records, thousands of suppliers/customers/SKUs.
* Experience integrating AI outputs into ERP, CRM, or operational systems.
* Familiarity with practical applications of generative AI for business productivity.
* Proficient in Python and ML libraries (scikit\-learn, XGBoost, pandas, etc.).
* Strong communication skills with the ability to explain technical topics to business stakeholders.
* Experience in B2B distribution, industrial supply, or adjacent sectors preferred
* Familiarity with business intelligence platforms (e.g., Power BI, Tableau) and integrating AI\-driven insights into dashboards is a plus.
* Preferred candidates will also bring previous exposure to third\-party data enrichment (e.g., D\&amp;B, business intelligence APIs) and/or understanding of cloud environments (AWS, Azure, GCP) and MLOps tooling (e.g., MLflow, Airflow).</t>
        </is>
      </c>
    </row>
    <row r="16">
      <c r="A16" t="inlineStr">
        <is>
          <t>in-ea51e4b62e81e76f</t>
        </is>
      </c>
      <c r="B16" t="inlineStr">
        <is>
          <t>Metabolic Modeling Data Scientist</t>
        </is>
      </c>
      <c r="C16" t="inlineStr">
        <is>
          <t>Corteva Agriscience</t>
        </is>
      </c>
      <c r="D16" t="inlineStr">
        <is>
          <t>indeed</t>
        </is>
      </c>
      <c r="E16" t="inlineStr"/>
      <c r="F16" t="inlineStr"/>
      <c r="G16" t="inlineStr">
        <is>
          <t>Indianapolis, IN, US</t>
        </is>
      </c>
      <c r="H16" s="2" t="n">
        <v>46033</v>
      </c>
      <c r="I16" t="inlineStr">
        <is>
          <t>Who We Are and What We Do
At Corteva Agriscience, you will help us grow what’s next. No matter your role, you will be part of a team that is building the future of agriculture – leading breakthroughs in the innovation and application of science and technology that will better the lives of people all over the world and fuel the progress of humankind.
Corteva Agriscience has an exciting opportunity for a **Metabolic Modeling Data Scientist** to develop and deploy predictive genome\-scale metabolic models that accelerate microbial strain optimization and bioprocess development. This role will apply their expertise to innovate nature\-inspired solutions to global challenges in agriculture. They will join a strong molecular data science team and work closely with cross\-functional teams from early discovery to downstream process engineering to generate actionable hypotheses, quantify flux bottlenecks, and translate multiomics and process data into decisions for Crop Health R\&amp;D.
**What You’ll Do:**
* Develop and maintain genome‑scale metabolic models for model and non‑model organisms; implement flux balance analysis (FBA/dFBA) and related approaches.
* Integrate multi‑omics datasets (genomics, transcriptomics, proteomics, metabolomics) into metabolic models to generate testable hypotheses.
* Apply AI/ML tools (e.g., ML‑assisted flux prediction, pathway inference etc.), perform metabolic flux analysis and estimate theoretical yields to inform media, feeding strategies, and optimization of titer/rate/yield.
* Reconstruct and validate metabolic pathways, including completing missing steps and proposing/assessing novel routes to increased metabolite productivity.
* Collaborate closely with strain engineering, biochemistry, and process engineering to ensure models are experimentally grounded and actionable.
* Communicate results via clear summaries and decision‑ready recommendations for program reviews and R\&amp;D planning.
What Skills You Need:
* PhD in Systems Biology, Computational Biology, Bioinformatics, Chemical/Biochemical Engineering, Microbiology, or related fields.
* Demonstrated experience building genome scale metabolic models, performing flux analysis, and integrating multi‑omics (such as genomics, transcriptomics, metabolomics) with experimental data for model refinement.
* Strong programming skills in Python (and R) for model development and data integration
**Preferred Skills:**
* Experience with industrially relevant non‑model microbes and fermentation datasets.
* Strong familiarity and proficiency working with latest models and techniques in this space, including tools such as COBRA Toolbox, CobraPy, KBase, or similar frameworks.
* Experience applying ML/AI to predictive metabolic modeling, pathway prediction, and/or flux estimation.
* Familiarity with version control (Git), workflow/pipeline tools, and reproducible model development practices.
* Ability to develop, improve and apply metabolic modeling techniques on non‑model organisms;
* Experience collaborating in cross‑disciplinary teams and ability to translate metabolic modeling insights into well\-designed strain engineering experiments for validation in partnership with wet‑lab teams.
\#LI\-BB1
**Benefits – How We’ll Support You:**
* Numerous development opportunities offered to build your skills
* Be part of a company with a higher purpose and contribute to making the world a better place
* Health benefits for you and your family on your first day of employment
* Four weeks of paid time off and two weeks of well\-being pay per year, plus paid holidays
* Excellent parental leave which includes a minimum of 16 weeks for mother and father
* Future planning with our competitive retirement savings plan and tuition reimbursement program
* 
* Check out life at Corteva! www.linkedin.com/company/corteva/life
Are you a good match? Apply today! We seek applicants from all backgrounds to ensure we get the best, most creative talent on our team.
Corteva Agriscience is an equal opportunity employer. We are committed to embracing our differences to enrich lives, advance innovation, and boost company performance. Qualified applicants will be considered without regard to race, color, religion, creed, sex, sexual orientation, gender identity, marital status, national origin, age, military or veteran status, pregnancy related conditions (including pregnancy, childbirth, or related medical conditions), disability or any other protected status in accordance with federal, state, or local laws.</t>
        </is>
      </c>
    </row>
    <row r="17">
      <c r="A17" t="inlineStr">
        <is>
          <t>in-9420489c72003dd4</t>
        </is>
      </c>
      <c r="B17" t="inlineStr">
        <is>
          <t>Applied Scientist, Amazon Special Projects</t>
        </is>
      </c>
      <c r="C17" t="inlineStr">
        <is>
          <t>Amazon.com</t>
        </is>
      </c>
      <c r="D17" t="inlineStr">
        <is>
          <t>indeed</t>
        </is>
      </c>
      <c r="E17" t="inlineStr"/>
      <c r="F17" t="inlineStr"/>
      <c r="G17" t="inlineStr">
        <is>
          <t>Boston, MA, US</t>
        </is>
      </c>
      <c r="H17" s="2" t="n">
        <v>46026</v>
      </c>
      <c r="I1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in-cccee52a39379b94</t>
        </is>
      </c>
      <c r="B18" t="inlineStr">
        <is>
          <t>Applied Scientist, Amazon Special Projects</t>
        </is>
      </c>
      <c r="C18" t="inlineStr">
        <is>
          <t>Amazon.com</t>
        </is>
      </c>
      <c r="D18" t="inlineStr">
        <is>
          <t>indeed</t>
        </is>
      </c>
      <c r="E18" t="inlineStr"/>
      <c r="F18" t="inlineStr"/>
      <c r="G18" t="inlineStr">
        <is>
          <t>Seattle, WA, US</t>
        </is>
      </c>
      <c r="H18" s="2" t="n">
        <v>46026</v>
      </c>
      <c r="I1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in-c3dc4f985a665ad3</t>
        </is>
      </c>
      <c r="B19" t="inlineStr">
        <is>
          <t>Applied Scientist, Last Mile Delivery Automation</t>
        </is>
      </c>
      <c r="C19" t="inlineStr">
        <is>
          <t>Amazon.com</t>
        </is>
      </c>
      <c r="D19" t="inlineStr">
        <is>
          <t>indeed</t>
        </is>
      </c>
      <c r="E19" t="inlineStr"/>
      <c r="F19" t="inlineStr"/>
      <c r="G19" t="inlineStr">
        <is>
          <t>Santa Clara, CA, US</t>
        </is>
      </c>
      <c r="H19" s="2" t="n">
        <v>46026</v>
      </c>
      <c r="I1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in-461efb684ca8b5c7</t>
        </is>
      </c>
      <c r="B20" t="inlineStr">
        <is>
          <t>Applied Scientist, Last Mile Delivery Automation</t>
        </is>
      </c>
      <c r="C20" t="inlineStr">
        <is>
          <t>Amazon.com</t>
        </is>
      </c>
      <c r="D20" t="inlineStr">
        <is>
          <t>indeed</t>
        </is>
      </c>
      <c r="E20" t="inlineStr"/>
      <c r="F20" t="inlineStr"/>
      <c r="G20" t="inlineStr">
        <is>
          <t>Bellevue, WA, US</t>
        </is>
      </c>
      <c r="H20" s="2" t="n">
        <v>46026</v>
      </c>
      <c r="I2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in-b46e5ac5ff8933b4</t>
        </is>
      </c>
      <c r="B21" t="inlineStr">
        <is>
          <t>Data Scientist</t>
        </is>
      </c>
      <c r="C21" t="inlineStr">
        <is>
          <t>Corteva Agriscience</t>
        </is>
      </c>
      <c r="D21" t="inlineStr">
        <is>
          <t>indeed</t>
        </is>
      </c>
      <c r="E21" t="inlineStr"/>
      <c r="F21" t="inlineStr"/>
      <c r="G21" t="inlineStr">
        <is>
          <t>Indianapolis, IN, US</t>
        </is>
      </c>
      <c r="H21" s="2" t="n">
        <v>46008</v>
      </c>
      <c r="I21" t="inlineStr">
        <is>
          <t>**Who We Are and What We Do**
At Corteva Agriscience, you will help us grow what’s next. No matter your role, you will be part of a team that is building the future of agriculture – leading breakthroughs in the innovation and application of science and technology that will better the lives of people all over the world and fuel the progress of humankind.
We are seeking a highly skilled **Data Scientist** with experience in bioprocess control to join our global Data Science team. This role will focus on applying artificial intelligence, machine learning, and statistical modeling to develop active bioprocess control algorithms, optimize bioprocess workflows, improve operational efficiency, and enable data\-driven decision\-making in manufacturing and R\&amp;D environments.
**What You’ll Do:**
* **Design and implement active process control strategies** , leveraging online measurements and dynamic parameter adjustment for improved productivity and safety.
* **Develop and deploy predictive models** for bioprocess optimization, including fermentation and downstream processing.
* Partner with engineers and scientists to **translate process insights into actionable improvements** , such as yield enhancement and cost reduction.
* **Analyze high\-complexity datasets** from bioprocess operations, including sensor data, batch records, and experimental results.
* **Collaborate with cross\-functional teams** to integrate data science solutions into plant operations, ensuring scalability and compliance.
* **Communicate findings** through clear visualizations, reports, and presentations to technical and non\-technical stakeholders.
* **Contribute to continuous improvement** of data pipelines and modeling frameworks for bioprocess control.
**What Skills You Need:**
* M.S. \+ 3 years’ experience or Ph.D. in Data Science, Computer Science, Chemical Engineering, Bioprocess Engineering, Statistics, or related quantitative field.
* Strong foundation in machine learning, statistical modeling, and process control.
* Proficiency in Python, R, or another programming language.
* Excellent communication and collaboration skills; ability to work in multidisciplinary teams.
**Preferred Skills:**
* Familiarity with bioprocess workflows, fermentation, and downstream processing.
* Hands\-on experience with bioprocess optimization models and active process control strategies.
* Experience with industrial data systems and cloud platforms.
* Knowledge of reinforcement learning or adaptive experimentation for process improvement.
\#LI\-BB1
**Benefits – How We’ll Support You:**
* Numerous development opportunities offered to build your skills
* Be part of a company with a higher purpose and contribute to making the world a better place
* Health benefits for you and your family on your first day of employment
* Four weeks of paid time off and two weeks of well\-being pay per year, plus paid holidays
* Excellent parental leave which includes a minimum of 16 weeks for mother and father
* Future planning with our competitive retirement savings plan and tuition reimbursement program
* 
* Check out life at Corteva! www.linkedin.com/company/corteva/life
Are you a good match? Apply today! We seek applicants from all backgrounds to ensure we get the best, most creative talent on our team.
Corteva Agriscience is an equal opportunity employer. We are committed to embracing our differences to enrich lives, advance innovation, and boost company performance. Qualified applicants will be considered without regard to race, color, religion, creed, sex, sexual orientation, gender identity, marital status, national origin, age, military or veteran status, pregnancy related conditions (including pregnancy, childbirth, or related medical conditions), disability or any other protected status in accordance with federal, state, or local laws.</t>
        </is>
      </c>
    </row>
    <row r="22">
      <c r="A22" t="inlineStr">
        <is>
          <t>in-453326d54034cf41</t>
        </is>
      </c>
      <c r="B22" t="inlineStr">
        <is>
          <t>Sr. Applied Scientist, Amazon Ads</t>
        </is>
      </c>
      <c r="C22" t="inlineStr">
        <is>
          <t>Amazon.com</t>
        </is>
      </c>
      <c r="D22" t="inlineStr">
        <is>
          <t>indeed</t>
        </is>
      </c>
      <c r="E22" t="inlineStr"/>
      <c r="F22" t="inlineStr"/>
      <c r="G22" t="inlineStr">
        <is>
          <t>Boston, MA, US</t>
        </is>
      </c>
      <c r="H22" s="2" t="n">
        <v>45998</v>
      </c>
      <c r="I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
      <c r="A23" t="inlineStr">
        <is>
          <t>in-562f405fd9c242f6</t>
        </is>
      </c>
      <c r="B23" t="inlineStr">
        <is>
          <t>Sr. Applied Scientist, Amazon Ads</t>
        </is>
      </c>
      <c r="C23" t="inlineStr">
        <is>
          <t>Amazon.com</t>
        </is>
      </c>
      <c r="D23" t="inlineStr">
        <is>
          <t>indeed</t>
        </is>
      </c>
      <c r="E23" t="inlineStr"/>
      <c r="F23" t="inlineStr"/>
      <c r="G23" t="inlineStr">
        <is>
          <t>Tukwila, WA, US</t>
        </is>
      </c>
      <c r="H23" s="2" t="n">
        <v>45998</v>
      </c>
      <c r="I2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
      <c r="A24" t="inlineStr">
        <is>
          <t>in-6ded563a594e7e8b</t>
        </is>
      </c>
      <c r="B24" t="inlineStr">
        <is>
          <t>Sr. Applied Scientist, Amazon Ads</t>
        </is>
      </c>
      <c r="C24" t="inlineStr">
        <is>
          <t>Amazon.com</t>
        </is>
      </c>
      <c r="D24" t="inlineStr">
        <is>
          <t>indeed</t>
        </is>
      </c>
      <c r="E24" t="inlineStr"/>
      <c r="F24" t="inlineStr"/>
      <c r="G24" t="inlineStr">
        <is>
          <t>Palo Alto, CA, US</t>
        </is>
      </c>
      <c r="H24" s="2" t="n">
        <v>45998</v>
      </c>
      <c r="I2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
      <c r="A25" t="inlineStr">
        <is>
          <t>in-66d624568caa3d5c</t>
        </is>
      </c>
      <c r="B25" t="inlineStr">
        <is>
          <t>Sr. Applied Scientist, Amazon Ads</t>
        </is>
      </c>
      <c r="C25" t="inlineStr">
        <is>
          <t>Amazon.com</t>
        </is>
      </c>
      <c r="D25" t="inlineStr">
        <is>
          <t>indeed</t>
        </is>
      </c>
      <c r="E25" t="inlineStr"/>
      <c r="F25" t="inlineStr"/>
      <c r="G25" t="inlineStr">
        <is>
          <t>Brooklyn, NY, US</t>
        </is>
      </c>
      <c r="H25" s="2" t="n">
        <v>45998</v>
      </c>
      <c r="I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6">
      <c r="A26" t="inlineStr">
        <is>
          <t>in-9188a8c57ba132cb</t>
        </is>
      </c>
      <c r="B26" t="inlineStr">
        <is>
          <t>Sr. Applied Scientist, Amazon Ads</t>
        </is>
      </c>
      <c r="C26" t="inlineStr">
        <is>
          <t>Amazon.com</t>
        </is>
      </c>
      <c r="D26" t="inlineStr">
        <is>
          <t>indeed</t>
        </is>
      </c>
      <c r="E26" t="inlineStr"/>
      <c r="F26" t="inlineStr"/>
      <c r="G26" t="inlineStr">
        <is>
          <t>Boulder, CO, US</t>
        </is>
      </c>
      <c r="H26" s="2" t="n">
        <v>45998</v>
      </c>
      <c r="I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
      <c r="A27" t="inlineStr">
        <is>
          <t>in-432c604e456c48be</t>
        </is>
      </c>
      <c r="B27" t="inlineStr">
        <is>
          <t>Sr. Applied Scientist, Amazon Ads</t>
        </is>
      </c>
      <c r="C27" t="inlineStr">
        <is>
          <t>Amazon.com</t>
        </is>
      </c>
      <c r="D27" t="inlineStr">
        <is>
          <t>indeed</t>
        </is>
      </c>
      <c r="E27" t="inlineStr"/>
      <c r="F27" t="inlineStr"/>
      <c r="G27" t="inlineStr">
        <is>
          <t>Seattle, WA, US</t>
        </is>
      </c>
      <c r="H27" s="2" t="n">
        <v>45998</v>
      </c>
      <c r="I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
      <c r="A28" t="inlineStr">
        <is>
          <t>in-460b2ffda989262b</t>
        </is>
      </c>
      <c r="B28" t="inlineStr">
        <is>
          <t>Sr. Applied Scientist, Amazon Ads</t>
        </is>
      </c>
      <c r="C28" t="inlineStr">
        <is>
          <t>Amazon.com</t>
        </is>
      </c>
      <c r="D28" t="inlineStr">
        <is>
          <t>indeed</t>
        </is>
      </c>
      <c r="E28" t="inlineStr"/>
      <c r="F28" t="inlineStr"/>
      <c r="G28" t="inlineStr">
        <is>
          <t>Sunnyvale, CA, US</t>
        </is>
      </c>
      <c r="H28" s="2" t="n">
        <v>45998</v>
      </c>
      <c r="I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9">
      <c r="A29" t="inlineStr">
        <is>
          <t>in-8555e05937fe4520</t>
        </is>
      </c>
      <c r="B29" t="inlineStr">
        <is>
          <t>Sr. Applied Scientist, Amazon Ads</t>
        </is>
      </c>
      <c r="C29" t="inlineStr">
        <is>
          <t>Amazon.com</t>
        </is>
      </c>
      <c r="D29" t="inlineStr">
        <is>
          <t>indeed</t>
        </is>
      </c>
      <c r="E29" t="inlineStr"/>
      <c r="F29" t="inlineStr"/>
      <c r="G29" t="inlineStr">
        <is>
          <t>Corvallis, OR, US</t>
        </is>
      </c>
      <c r="H29" s="2" t="n">
        <v>45998</v>
      </c>
      <c r="I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0">
      <c r="A30" t="inlineStr">
        <is>
          <t>in-891d71de8e1612b8</t>
        </is>
      </c>
      <c r="B30" t="inlineStr">
        <is>
          <t>Sr. Applied Scientist, Amazon Ads</t>
        </is>
      </c>
      <c r="C30" t="inlineStr">
        <is>
          <t>Amazon.com</t>
        </is>
      </c>
      <c r="D30" t="inlineStr">
        <is>
          <t>indeed</t>
        </is>
      </c>
      <c r="E30" t="inlineStr"/>
      <c r="F30" t="inlineStr"/>
      <c r="G30" t="inlineStr">
        <is>
          <t>New York, NY, US</t>
        </is>
      </c>
      <c r="H30" s="2" t="n">
        <v>45998</v>
      </c>
      <c r="I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
      <c r="A31" t="inlineStr">
        <is>
          <t>in-23602e6c1670ace0</t>
        </is>
      </c>
      <c r="B31" t="inlineStr">
        <is>
          <t>Sr. Applied Scientist, Amazon Ads</t>
        </is>
      </c>
      <c r="C31" t="inlineStr">
        <is>
          <t>Amazon.com</t>
        </is>
      </c>
      <c r="D31" t="inlineStr">
        <is>
          <t>indeed</t>
        </is>
      </c>
      <c r="E31" t="inlineStr"/>
      <c r="F31" t="inlineStr"/>
      <c r="G31" t="inlineStr">
        <is>
          <t>Santa Monica, CA, US</t>
        </is>
      </c>
      <c r="H31" s="2" t="n">
        <v>45998</v>
      </c>
      <c r="I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2">
      <c r="A32" t="inlineStr">
        <is>
          <t>in-18c9ca8d98f05235</t>
        </is>
      </c>
      <c r="B32" t="inlineStr">
        <is>
          <t>Applied Scientist, ML Compiler</t>
        </is>
      </c>
      <c r="C32" t="inlineStr">
        <is>
          <t>Amazon Web Services</t>
        </is>
      </c>
      <c r="D32" t="inlineStr">
        <is>
          <t>indeed</t>
        </is>
      </c>
      <c r="E32" t="inlineStr"/>
      <c r="F32" t="inlineStr"/>
      <c r="G32" t="inlineStr">
        <is>
          <t>Cupertino, CA, US</t>
        </is>
      </c>
      <c r="H32" s="2" t="n">
        <v>45993</v>
      </c>
      <c r="I3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in-fb577ad87ed2210f</t>
        </is>
      </c>
      <c r="B33" t="inlineStr">
        <is>
          <t>Senior Data Scientist, Data and Machine Learning, WWPS US Federal</t>
        </is>
      </c>
      <c r="C33" t="inlineStr">
        <is>
          <t>Amazon Web Services</t>
        </is>
      </c>
      <c r="D33" t="inlineStr">
        <is>
          <t>indeed</t>
        </is>
      </c>
      <c r="E33" t="inlineStr"/>
      <c r="F33" t="inlineStr"/>
      <c r="G33" t="inlineStr">
        <is>
          <t>Jessup, MD, US</t>
        </is>
      </c>
      <c r="H33" s="2" t="n">
        <v>45993</v>
      </c>
      <c r="I33"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34">
      <c r="A34" t="inlineStr">
        <is>
          <t>in-746582cefe757411</t>
        </is>
      </c>
      <c r="B34" t="inlineStr">
        <is>
          <t>Data Scientist, Data and Machine Learning, WWPS US Federal</t>
        </is>
      </c>
      <c r="C34" t="inlineStr">
        <is>
          <t>Amazon Web Services</t>
        </is>
      </c>
      <c r="D34" t="inlineStr">
        <is>
          <t>indeed</t>
        </is>
      </c>
      <c r="E34" t="inlineStr"/>
      <c r="F34" t="inlineStr"/>
      <c r="G34" t="inlineStr">
        <is>
          <t>Arlington, VA, US</t>
        </is>
      </c>
      <c r="H34" s="2" t="n">
        <v>45993</v>
      </c>
      <c r="I34"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35">
      <c r="A35" t="inlineStr">
        <is>
          <t>in-a2f7150dfb0f966b</t>
        </is>
      </c>
      <c r="B35" t="inlineStr">
        <is>
          <t>Data Scientist, Data and Machine Learning, WWPS US Federal</t>
        </is>
      </c>
      <c r="C35" t="inlineStr">
        <is>
          <t>Amazon Web Services</t>
        </is>
      </c>
      <c r="D35" t="inlineStr">
        <is>
          <t>indeed</t>
        </is>
      </c>
      <c r="E35" t="inlineStr"/>
      <c r="F35" t="inlineStr"/>
      <c r="G35" t="inlineStr">
        <is>
          <t>Jessup, MD, US</t>
        </is>
      </c>
      <c r="H35" s="2" t="n">
        <v>45993</v>
      </c>
      <c r="I35"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36">
      <c r="A36" t="inlineStr">
        <is>
          <t>in-a9b61c21bc45fba8</t>
        </is>
      </c>
      <c r="B36" t="inlineStr">
        <is>
          <t>Senior Data Scientist, Data and Machine Learning, WWPS US Federal</t>
        </is>
      </c>
      <c r="C36" t="inlineStr">
        <is>
          <t>Amazon Web Services</t>
        </is>
      </c>
      <c r="D36" t="inlineStr">
        <is>
          <t>indeed</t>
        </is>
      </c>
      <c r="E36" t="inlineStr"/>
      <c r="F36" t="inlineStr"/>
      <c r="G36" t="inlineStr">
        <is>
          <t>Herndon, VA, US</t>
        </is>
      </c>
      <c r="H36" s="2" t="n">
        <v>45993</v>
      </c>
      <c r="I36"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37">
      <c r="A37" t="inlineStr">
        <is>
          <t>in-74a7d32891672274</t>
        </is>
      </c>
      <c r="B37" t="inlineStr">
        <is>
          <t>Data Scientist, Data and Machine Learning, WWPS US Federal</t>
        </is>
      </c>
      <c r="C37" t="inlineStr">
        <is>
          <t>Amazon Web Services</t>
        </is>
      </c>
      <c r="D37" t="inlineStr">
        <is>
          <t>indeed</t>
        </is>
      </c>
      <c r="E37" t="inlineStr"/>
      <c r="F37" t="inlineStr"/>
      <c r="G37" t="inlineStr">
        <is>
          <t>Herndon, VA, US</t>
        </is>
      </c>
      <c r="H37" s="2" t="n">
        <v>45993</v>
      </c>
      <c r="I37"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38">
      <c r="A38" t="inlineStr">
        <is>
          <t>in-c09384e13436f01a</t>
        </is>
      </c>
      <c r="B38" t="inlineStr">
        <is>
          <t>Data Scientist, Data and Machine Learning, WWPS US Federal</t>
        </is>
      </c>
      <c r="C38" t="inlineStr">
        <is>
          <t>Amazon Web Services</t>
        </is>
      </c>
      <c r="D38" t="inlineStr">
        <is>
          <t>indeed</t>
        </is>
      </c>
      <c r="E38" t="inlineStr"/>
      <c r="F38" t="inlineStr"/>
      <c r="G38" t="inlineStr">
        <is>
          <t>Denver, CO, US</t>
        </is>
      </c>
      <c r="H38" s="2" t="n">
        <v>45993</v>
      </c>
      <c r="I38"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39">
      <c r="A39" t="inlineStr">
        <is>
          <t>in-3b06bbb92fde0a8a</t>
        </is>
      </c>
      <c r="B39" t="inlineStr">
        <is>
          <t>Senior Data Scientist, Data and Machine Learning, WWPS US Federal</t>
        </is>
      </c>
      <c r="C39" t="inlineStr">
        <is>
          <t>Amazon Web Services</t>
        </is>
      </c>
      <c r="D39" t="inlineStr">
        <is>
          <t>indeed</t>
        </is>
      </c>
      <c r="E39" t="inlineStr"/>
      <c r="F39" t="inlineStr"/>
      <c r="G39" t="inlineStr">
        <is>
          <t>St. Louis, MO, US</t>
        </is>
      </c>
      <c r="H39" s="2" t="n">
        <v>45993</v>
      </c>
      <c r="I39"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0">
      <c r="A40" t="inlineStr">
        <is>
          <t>in-d21c9b8f5b251dec</t>
        </is>
      </c>
      <c r="B40" t="inlineStr">
        <is>
          <t>Senior Data Scientist, Data and Machine Learning, WWPS US Federal</t>
        </is>
      </c>
      <c r="C40" t="inlineStr">
        <is>
          <t>Amazon Web Services</t>
        </is>
      </c>
      <c r="D40" t="inlineStr">
        <is>
          <t>indeed</t>
        </is>
      </c>
      <c r="E40" t="inlineStr"/>
      <c r="F40" t="inlineStr"/>
      <c r="G40" t="inlineStr">
        <is>
          <t>Denver, CO, US</t>
        </is>
      </c>
      <c r="H40" s="2" t="n">
        <v>45993</v>
      </c>
      <c r="I40"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1">
      <c r="A41" t="inlineStr">
        <is>
          <t>in-661cd03101b6ab30</t>
        </is>
      </c>
      <c r="B41" t="inlineStr">
        <is>
          <t>Senior Data Scientist, Data and Machine Learning, WWPS US Federal</t>
        </is>
      </c>
      <c r="C41" t="inlineStr">
        <is>
          <t>Amazon Web Services</t>
        </is>
      </c>
      <c r="D41" t="inlineStr">
        <is>
          <t>indeed</t>
        </is>
      </c>
      <c r="E41" t="inlineStr"/>
      <c r="F41" t="inlineStr"/>
      <c r="G41" t="inlineStr">
        <is>
          <t>Arlington, VA, US</t>
        </is>
      </c>
      <c r="H41" s="2" t="n">
        <v>45993</v>
      </c>
      <c r="I41"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42">
      <c r="A42" t="inlineStr">
        <is>
          <t>in-35298f26c4348471</t>
        </is>
      </c>
      <c r="B42" t="inlineStr">
        <is>
          <t>Data Scientist, Data and Machine Learning, WWPS US Federal</t>
        </is>
      </c>
      <c r="C42" t="inlineStr">
        <is>
          <t>Amazon Web Services</t>
        </is>
      </c>
      <c r="D42" t="inlineStr">
        <is>
          <t>indeed</t>
        </is>
      </c>
      <c r="E42" t="inlineStr"/>
      <c r="F42" t="inlineStr"/>
      <c r="G42" t="inlineStr">
        <is>
          <t>St. Louis, MO, US</t>
        </is>
      </c>
      <c r="H42" s="2" t="n">
        <v>45993</v>
      </c>
      <c r="I42"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43">
      <c r="A43" t="inlineStr">
        <is>
          <t>in-8708da68e39fce39</t>
        </is>
      </c>
      <c r="B43" t="inlineStr">
        <is>
          <t>Senior Applied Scientist, Locomotion, Amazon Industrial Robotics</t>
        </is>
      </c>
      <c r="C43" t="inlineStr">
        <is>
          <t>Amazon.com</t>
        </is>
      </c>
      <c r="D43" t="inlineStr">
        <is>
          <t>indeed</t>
        </is>
      </c>
      <c r="E43" t="inlineStr"/>
      <c r="F43" t="inlineStr"/>
      <c r="G43" t="inlineStr">
        <is>
          <t>Reading, MA, US</t>
        </is>
      </c>
      <c r="H43" s="2" t="n">
        <v>45992</v>
      </c>
      <c r="I4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in-44b72f3ed83d586b</t>
        </is>
      </c>
      <c r="B44" t="inlineStr">
        <is>
          <t>Senior Applied Scientist, Locomotion, Amazon Industrial Robotics</t>
        </is>
      </c>
      <c r="C44" t="inlineStr">
        <is>
          <t>Amazon.com</t>
        </is>
      </c>
      <c r="D44" t="inlineStr">
        <is>
          <t>indeed</t>
        </is>
      </c>
      <c r="E44" t="inlineStr"/>
      <c r="F44" t="inlineStr"/>
      <c r="G44" t="inlineStr">
        <is>
          <t>Reading, MA, US</t>
        </is>
      </c>
      <c r="H44" s="2" t="n">
        <v>45992</v>
      </c>
      <c r="I4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in-394ffec30cd9e4e6</t>
        </is>
      </c>
      <c r="B45" t="inlineStr">
        <is>
          <t>Senior Applied Scientist, Artificial General Intelligence</t>
        </is>
      </c>
      <c r="C45" t="inlineStr">
        <is>
          <t>Amazon.com</t>
        </is>
      </c>
      <c r="D45" t="inlineStr">
        <is>
          <t>indeed</t>
        </is>
      </c>
      <c r="E45" t="inlineStr"/>
      <c r="F45" t="inlineStr"/>
      <c r="G45" t="inlineStr">
        <is>
          <t>Sunnyvale, CA, US</t>
        </is>
      </c>
      <c r="H45" s="2" t="n">
        <v>45980</v>
      </c>
      <c r="I4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in-0a3eeeed25da530b</t>
        </is>
      </c>
      <c r="B46" t="inlineStr">
        <is>
          <t>Senior Applied Scientist, Artificial General Intelligence</t>
        </is>
      </c>
      <c r="C46" t="inlineStr">
        <is>
          <t>Amazon.com</t>
        </is>
      </c>
      <c r="D46" t="inlineStr">
        <is>
          <t>indeed</t>
        </is>
      </c>
      <c r="E46" t="inlineStr"/>
      <c r="F46" t="inlineStr"/>
      <c r="G46" t="inlineStr">
        <is>
          <t>Seattle, WA, US</t>
        </is>
      </c>
      <c r="H46" s="2" t="n">
        <v>45980</v>
      </c>
      <c r="I4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in-e2b4d27d259182dd</t>
        </is>
      </c>
      <c r="B47" t="inlineStr">
        <is>
          <t>Senior Applied Scientist, Artificial General Intelligence</t>
        </is>
      </c>
      <c r="C47" t="inlineStr">
        <is>
          <t>Amazon.com</t>
        </is>
      </c>
      <c r="D47" t="inlineStr">
        <is>
          <t>indeed</t>
        </is>
      </c>
      <c r="E47" t="inlineStr"/>
      <c r="F47" t="inlineStr"/>
      <c r="G47" t="inlineStr">
        <is>
          <t>New York, NY, US</t>
        </is>
      </c>
      <c r="H47" s="2" t="n">
        <v>45980</v>
      </c>
      <c r="I4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in-52fc4454c925eca4</t>
        </is>
      </c>
      <c r="B48" t="inlineStr">
        <is>
          <t>Senior Applied Scientist, Artificial General Intelligence</t>
        </is>
      </c>
      <c r="C48" t="inlineStr">
        <is>
          <t>Amazon.com</t>
        </is>
      </c>
      <c r="D48" t="inlineStr">
        <is>
          <t>indeed</t>
        </is>
      </c>
      <c r="E48" t="inlineStr"/>
      <c r="F48" t="inlineStr"/>
      <c r="G48" t="inlineStr">
        <is>
          <t>Boston, MA, US</t>
        </is>
      </c>
      <c r="H48" s="2" t="n">
        <v>45980</v>
      </c>
      <c r="I4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in-12c6d467e44c49a8</t>
        </is>
      </c>
      <c r="B49" t="inlineStr">
        <is>
          <t>Applied Scientist II, SPB Advertiser Guidance</t>
        </is>
      </c>
      <c r="C49" t="inlineStr">
        <is>
          <t>Amazon.com</t>
        </is>
      </c>
      <c r="D49" t="inlineStr">
        <is>
          <t>indeed</t>
        </is>
      </c>
      <c r="E49" t="inlineStr"/>
      <c r="F49" t="inlineStr"/>
      <c r="G49" t="inlineStr">
        <is>
          <t>New York, NY, US</t>
        </is>
      </c>
      <c r="H49" s="2" t="n">
        <v>45980</v>
      </c>
      <c r="I4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in-c801e6d4d67fbc86</t>
        </is>
      </c>
      <c r="B50" t="inlineStr">
        <is>
          <t>Applied Scientist II, SPB Advertiser Guidance</t>
        </is>
      </c>
      <c r="C50" t="inlineStr">
        <is>
          <t>Amazon.com</t>
        </is>
      </c>
      <c r="D50" t="inlineStr">
        <is>
          <t>indeed</t>
        </is>
      </c>
      <c r="E50" t="inlineStr"/>
      <c r="F50" t="inlineStr"/>
      <c r="G50" t="inlineStr">
        <is>
          <t>Palo Alto, CA, US</t>
        </is>
      </c>
      <c r="H50" s="2" t="n">
        <v>45980</v>
      </c>
      <c r="I5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in-d204ad6b86d663e0</t>
        </is>
      </c>
      <c r="B51" t="inlineStr">
        <is>
          <t>Applied Scientist II, SPB Advertiser Guidance</t>
        </is>
      </c>
      <c r="C51" t="inlineStr">
        <is>
          <t>Amazon.com</t>
        </is>
      </c>
      <c r="D51" t="inlineStr">
        <is>
          <t>indeed</t>
        </is>
      </c>
      <c r="E51" t="inlineStr"/>
      <c r="F51" t="inlineStr"/>
      <c r="G51" t="inlineStr">
        <is>
          <t>Seattle, WA, US</t>
        </is>
      </c>
      <c r="H51" s="2" t="n">
        <v>45980</v>
      </c>
      <c r="I5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in-6cc1ade06631bac6</t>
        </is>
      </c>
      <c r="B52" t="inlineStr">
        <is>
          <t>Principal Applied Scientist, Sponsored Products and Brands</t>
        </is>
      </c>
      <c r="C52" t="inlineStr">
        <is>
          <t>Amazon.com</t>
        </is>
      </c>
      <c r="D52" t="inlineStr">
        <is>
          <t>indeed</t>
        </is>
      </c>
      <c r="E52" t="inlineStr"/>
      <c r="F52" t="inlineStr"/>
      <c r="G52" t="inlineStr">
        <is>
          <t>Seattle, WA, US</t>
        </is>
      </c>
      <c r="H52" s="2" t="n">
        <v>45979</v>
      </c>
      <c r="I5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in-cfeb9adecd34b30c</t>
        </is>
      </c>
      <c r="B53" t="inlineStr">
        <is>
          <t>Principal Applied Scientist, Sponsored Products and Brands</t>
        </is>
      </c>
      <c r="C53" t="inlineStr">
        <is>
          <t>Amazon.com</t>
        </is>
      </c>
      <c r="D53" t="inlineStr">
        <is>
          <t>indeed</t>
        </is>
      </c>
      <c r="E53" t="inlineStr"/>
      <c r="F53" t="inlineStr"/>
      <c r="G53" t="inlineStr">
        <is>
          <t>New York, NY, US</t>
        </is>
      </c>
      <c r="H53" s="2" t="n">
        <v>45979</v>
      </c>
      <c r="I5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in-8360cfbaa20a8358</t>
        </is>
      </c>
      <c r="B54" t="inlineStr">
        <is>
          <t>Sr. Applied Scientist, AGI Foundations</t>
        </is>
      </c>
      <c r="C54" t="inlineStr">
        <is>
          <t>Amazon.com</t>
        </is>
      </c>
      <c r="D54" t="inlineStr">
        <is>
          <t>indeed</t>
        </is>
      </c>
      <c r="E54" t="inlineStr"/>
      <c r="F54" t="inlineStr"/>
      <c r="G54" t="inlineStr">
        <is>
          <t>Boston, MA, US</t>
        </is>
      </c>
      <c r="H54" s="2" t="n">
        <v>45978</v>
      </c>
      <c r="I5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in-2c12014c8c48afcb</t>
        </is>
      </c>
      <c r="B55" t="inlineStr">
        <is>
          <t>Sr. Applied Scientist, AGI Foundations</t>
        </is>
      </c>
      <c r="C55" t="inlineStr">
        <is>
          <t>Amazon.com</t>
        </is>
      </c>
      <c r="D55" t="inlineStr">
        <is>
          <t>indeed</t>
        </is>
      </c>
      <c r="E55" t="inlineStr"/>
      <c r="F55" t="inlineStr"/>
      <c r="G55" t="inlineStr">
        <is>
          <t>New York, NY, US</t>
        </is>
      </c>
      <c r="H55" s="2" t="n">
        <v>45978</v>
      </c>
      <c r="I5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in-f44d0888a621baab</t>
        </is>
      </c>
      <c r="B56" t="inlineStr">
        <is>
          <t>Sr. Applied Scientist, AGI Foundations</t>
        </is>
      </c>
      <c r="C56" t="inlineStr">
        <is>
          <t>Amazon.com</t>
        </is>
      </c>
      <c r="D56" t="inlineStr">
        <is>
          <t>indeed</t>
        </is>
      </c>
      <c r="E56" t="inlineStr"/>
      <c r="F56" t="inlineStr"/>
      <c r="G56" t="inlineStr">
        <is>
          <t>Bellevue, WA, US</t>
        </is>
      </c>
      <c r="H56" s="2" t="n">
        <v>45978</v>
      </c>
      <c r="I5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in-6455c99474fd6cf6</t>
        </is>
      </c>
      <c r="B57" t="inlineStr">
        <is>
          <t>Sr. Applied Scientist, AGI Foundations</t>
        </is>
      </c>
      <c r="C57" t="inlineStr">
        <is>
          <t>Amazon.com</t>
        </is>
      </c>
      <c r="D57" t="inlineStr">
        <is>
          <t>indeed</t>
        </is>
      </c>
      <c r="E57" t="inlineStr"/>
      <c r="F57" t="inlineStr"/>
      <c r="G57" t="inlineStr">
        <is>
          <t>Sunnyvale, CA, US</t>
        </is>
      </c>
      <c r="H57" s="2" t="n">
        <v>45978</v>
      </c>
      <c r="I5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in-b8b957fbcfe5e562</t>
        </is>
      </c>
      <c r="B58" t="inlineStr">
        <is>
          <t>Applied Scientist II, Robotics and ML, Amazon Industrial Robotics</t>
        </is>
      </c>
      <c r="C58" t="inlineStr">
        <is>
          <t>Amazon.com</t>
        </is>
      </c>
      <c r="D58" t="inlineStr">
        <is>
          <t>indeed</t>
        </is>
      </c>
      <c r="E58" t="inlineStr"/>
      <c r="F58" t="inlineStr"/>
      <c r="G58" t="inlineStr">
        <is>
          <t>Reading, MA, US</t>
        </is>
      </c>
      <c r="H58" s="2" t="n">
        <v>45975</v>
      </c>
      <c r="I5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in-657debdcfd8a42c3</t>
        </is>
      </c>
      <c r="B59" t="inlineStr">
        <is>
          <t>Applied Scientist II, Robotics and ML, Amazon Industrial Robotics</t>
        </is>
      </c>
      <c r="C59" t="inlineStr">
        <is>
          <t>Amazon.com</t>
        </is>
      </c>
      <c r="D59" t="inlineStr">
        <is>
          <t>indeed</t>
        </is>
      </c>
      <c r="E59" t="inlineStr"/>
      <c r="F59" t="inlineStr"/>
      <c r="G59" t="inlineStr">
        <is>
          <t>Reading, MA, US</t>
        </is>
      </c>
      <c r="H59" s="2" t="n">
        <v>45975</v>
      </c>
      <c r="I5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in-f8a0cd2b60d93429</t>
        </is>
      </c>
      <c r="B60" t="inlineStr">
        <is>
          <t>Principal Applied Scientist, Amazon AGI</t>
        </is>
      </c>
      <c r="C60" t="inlineStr">
        <is>
          <t>Amazon.com</t>
        </is>
      </c>
      <c r="D60" t="inlineStr">
        <is>
          <t>indeed</t>
        </is>
      </c>
      <c r="E60" t="inlineStr"/>
      <c r="F60" t="inlineStr"/>
      <c r="G60" t="inlineStr">
        <is>
          <t>Boston, MA, US</t>
        </is>
      </c>
      <c r="H60" s="2" t="n">
        <v>45964</v>
      </c>
      <c r="I6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in-36bae29b67131862</t>
        </is>
      </c>
      <c r="B61" t="inlineStr">
        <is>
          <t>Principal Applied Scientist, Amazon AGI</t>
        </is>
      </c>
      <c r="C61" t="inlineStr">
        <is>
          <t>Amazon.com</t>
        </is>
      </c>
      <c r="D61" t="inlineStr">
        <is>
          <t>indeed</t>
        </is>
      </c>
      <c r="E61" t="inlineStr"/>
      <c r="F61" t="inlineStr"/>
      <c r="G61" t="inlineStr">
        <is>
          <t>San Francisco, CA, US</t>
        </is>
      </c>
      <c r="H61" s="2" t="n">
        <v>45964</v>
      </c>
      <c r="I6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in-8de5c571f3e4e07b</t>
        </is>
      </c>
      <c r="B62" t="inlineStr">
        <is>
          <t>Sr. Applied Scientist, AGI Foundations</t>
        </is>
      </c>
      <c r="C62" t="inlineStr">
        <is>
          <t>Amazon.com</t>
        </is>
      </c>
      <c r="D62" t="inlineStr">
        <is>
          <t>indeed</t>
        </is>
      </c>
      <c r="E62" t="inlineStr"/>
      <c r="F62" t="inlineStr"/>
      <c r="G62" t="inlineStr">
        <is>
          <t>Boston, MA, US</t>
        </is>
      </c>
      <c r="H62" s="2" t="n">
        <v>45963</v>
      </c>
      <c r="I6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in-1584ee689f7560c2</t>
        </is>
      </c>
      <c r="B63" t="inlineStr">
        <is>
          <t>Sr. Applied Scientist, AGI Foundations</t>
        </is>
      </c>
      <c r="C63" t="inlineStr">
        <is>
          <t>Amazon.com</t>
        </is>
      </c>
      <c r="D63" t="inlineStr">
        <is>
          <t>indeed</t>
        </is>
      </c>
      <c r="E63" t="inlineStr"/>
      <c r="F63" t="inlineStr"/>
      <c r="G63" t="inlineStr">
        <is>
          <t>New York, NY, US</t>
        </is>
      </c>
      <c r="H63" s="2" t="n">
        <v>45963</v>
      </c>
      <c r="I6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in-1757851b79289ee0</t>
        </is>
      </c>
      <c r="B64" t="inlineStr">
        <is>
          <t>Sr. Applied Scientist, AGI Foundations</t>
        </is>
      </c>
      <c r="C64" t="inlineStr">
        <is>
          <t>Amazon.com</t>
        </is>
      </c>
      <c r="D64" t="inlineStr">
        <is>
          <t>indeed</t>
        </is>
      </c>
      <c r="E64" t="inlineStr"/>
      <c r="F64" t="inlineStr"/>
      <c r="G64" t="inlineStr">
        <is>
          <t>Bellevue, WA, US</t>
        </is>
      </c>
      <c r="H64" s="2" t="n">
        <v>45963</v>
      </c>
      <c r="I6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in-d98ae598ddd131a0</t>
        </is>
      </c>
      <c r="B65" t="inlineStr">
        <is>
          <t>Sr. Applied Scientist, Sponsored Product Off-Search</t>
        </is>
      </c>
      <c r="C65" t="inlineStr">
        <is>
          <t>Amazon.com</t>
        </is>
      </c>
      <c r="D65" t="inlineStr">
        <is>
          <t>indeed</t>
        </is>
      </c>
      <c r="E65" t="inlineStr"/>
      <c r="F65" t="inlineStr"/>
      <c r="G65" t="inlineStr">
        <is>
          <t>Seattle, WA, US</t>
        </is>
      </c>
      <c r="H65" s="2" t="n">
        <v>45963</v>
      </c>
      <c r="I6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in-18f817671219aa36</t>
        </is>
      </c>
      <c r="B66" t="inlineStr">
        <is>
          <t>Sr. Applied Scientist, Sponsored Product Off-Search</t>
        </is>
      </c>
      <c r="C66" t="inlineStr">
        <is>
          <t>Amazon.com</t>
        </is>
      </c>
      <c r="D66" t="inlineStr">
        <is>
          <t>indeed</t>
        </is>
      </c>
      <c r="E66" t="inlineStr"/>
      <c r="F66" t="inlineStr"/>
      <c r="G66" t="inlineStr">
        <is>
          <t>New York, NY, US</t>
        </is>
      </c>
      <c r="H66" s="2" t="n">
        <v>45963</v>
      </c>
      <c r="I6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in-d24c98d4697d3f34</t>
        </is>
      </c>
      <c r="B67" t="inlineStr">
        <is>
          <t>Applied Scientist, AWS Agentic AI</t>
        </is>
      </c>
      <c r="C67" t="inlineStr">
        <is>
          <t>Amazon Web Services</t>
        </is>
      </c>
      <c r="D67" t="inlineStr">
        <is>
          <t>indeed</t>
        </is>
      </c>
      <c r="E67" t="inlineStr"/>
      <c r="F67" t="inlineStr"/>
      <c r="G67" t="inlineStr">
        <is>
          <t>New York, NY, US</t>
        </is>
      </c>
      <c r="H67" s="2" t="n">
        <v>45962</v>
      </c>
      <c r="I6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in-b6279755768c57c1</t>
        </is>
      </c>
      <c r="B68" t="inlineStr">
        <is>
          <t>Applied Scientist, AWS Agentic AI</t>
        </is>
      </c>
      <c r="C68" t="inlineStr">
        <is>
          <t>Amazon Web Services</t>
        </is>
      </c>
      <c r="D68" t="inlineStr">
        <is>
          <t>indeed</t>
        </is>
      </c>
      <c r="E68" t="inlineStr"/>
      <c r="F68" t="inlineStr"/>
      <c r="G68" t="inlineStr">
        <is>
          <t>Seattle, WA, US</t>
        </is>
      </c>
      <c r="H68" s="2" t="n">
        <v>45962</v>
      </c>
      <c r="I6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in-6928e6ce7a2cf801</t>
        </is>
      </c>
      <c r="B69" t="inlineStr">
        <is>
          <t>Applied Scientist, AWS Agentic AI</t>
        </is>
      </c>
      <c r="C69" t="inlineStr">
        <is>
          <t>Amazon Web Services</t>
        </is>
      </c>
      <c r="D69" t="inlineStr">
        <is>
          <t>indeed</t>
        </is>
      </c>
      <c r="E69" t="inlineStr"/>
      <c r="F69" t="inlineStr"/>
      <c r="G69" t="inlineStr">
        <is>
          <t>Santa Clara, CA, US</t>
        </is>
      </c>
      <c r="H69" s="2" t="n">
        <v>45962</v>
      </c>
      <c r="I6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in-e2203a1f69c157ed</t>
        </is>
      </c>
      <c r="B70" t="inlineStr">
        <is>
          <t>Applied Scientist, Prime Video - Content Understanding, Localization &amp; Enrichment Team</t>
        </is>
      </c>
      <c r="C70" t="inlineStr">
        <is>
          <t>Amazon.com</t>
        </is>
      </c>
      <c r="D70" t="inlineStr">
        <is>
          <t>indeed</t>
        </is>
      </c>
      <c r="E70" t="inlineStr"/>
      <c r="F70" t="inlineStr"/>
      <c r="G70" t="inlineStr">
        <is>
          <t>Seattle, WA, US</t>
        </is>
      </c>
      <c r="H70" s="2" t="n">
        <v>45943</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1">
      <c r="A71" t="inlineStr">
        <is>
          <t>in-1f8be9b92e64400b</t>
        </is>
      </c>
      <c r="B71" t="inlineStr">
        <is>
          <t>Applied Scientist, Prime Video - Content Understanding, Localization &amp; Enrichment Team</t>
        </is>
      </c>
      <c r="C71" t="inlineStr">
        <is>
          <t>Amazon.com</t>
        </is>
      </c>
      <c r="D71" t="inlineStr">
        <is>
          <t>indeed</t>
        </is>
      </c>
      <c r="E71" t="inlineStr"/>
      <c r="F71" t="inlineStr"/>
      <c r="G71" t="inlineStr">
        <is>
          <t>San Francisco, CA, US</t>
        </is>
      </c>
      <c r="H71" s="2" t="n">
        <v>45943</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2">
      <c r="A72" t="inlineStr">
        <is>
          <t>in-d0777cec65baf7a1</t>
        </is>
      </c>
      <c r="B72" t="inlineStr">
        <is>
          <t>Principal Applied Scientist, Advertiser Growth, Amazon Sponsored Products &amp; Brands</t>
        </is>
      </c>
      <c r="C72" t="inlineStr">
        <is>
          <t>Amazon.com</t>
        </is>
      </c>
      <c r="D72" t="inlineStr">
        <is>
          <t>indeed</t>
        </is>
      </c>
      <c r="E72" t="inlineStr"/>
      <c r="F72" t="inlineStr"/>
      <c r="G72" t="inlineStr">
        <is>
          <t>New York, NY, US</t>
        </is>
      </c>
      <c r="H72" s="2" t="n">
        <v>45942</v>
      </c>
      <c r="I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in-ed40477f9267cacb</t>
        </is>
      </c>
      <c r="B73" t="inlineStr">
        <is>
          <t>Principal Applied Scientist, Advertiser Growth, Amazon Sponsored Products &amp; Brands</t>
        </is>
      </c>
      <c r="C73" t="inlineStr">
        <is>
          <t>Amazon.com</t>
        </is>
      </c>
      <c r="D73" t="inlineStr">
        <is>
          <t>indeed</t>
        </is>
      </c>
      <c r="E73" t="inlineStr"/>
      <c r="F73" t="inlineStr"/>
      <c r="G73" t="inlineStr">
        <is>
          <t>Palo Alto, CA, US</t>
        </is>
      </c>
      <c r="H73" s="2" t="n">
        <v>45942</v>
      </c>
      <c r="I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in-0020fe00b60d1c5c</t>
        </is>
      </c>
      <c r="B74" t="inlineStr">
        <is>
          <t>Principal Applied Scientist, Advertiser Growth, Amazon Sponsored Products &amp; Brands</t>
        </is>
      </c>
      <c r="C74" t="inlineStr">
        <is>
          <t>Amazon.com</t>
        </is>
      </c>
      <c r="D74" t="inlineStr">
        <is>
          <t>indeed</t>
        </is>
      </c>
      <c r="E74" t="inlineStr"/>
      <c r="F74" t="inlineStr"/>
      <c r="G74" t="inlineStr">
        <is>
          <t>Seattle, WA, US</t>
        </is>
      </c>
      <c r="H74" s="2" t="n">
        <v>45942</v>
      </c>
      <c r="I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in-343be43447acf924</t>
        </is>
      </c>
      <c r="B75" t="inlineStr">
        <is>
          <t>Applied Scientist</t>
        </is>
      </c>
      <c r="C75" t="inlineStr">
        <is>
          <t>Amazon.com</t>
        </is>
      </c>
      <c r="D75" t="inlineStr">
        <is>
          <t>indeed</t>
        </is>
      </c>
      <c r="E75" t="inlineStr"/>
      <c r="F75" t="inlineStr"/>
      <c r="G75" t="inlineStr">
        <is>
          <t>Palo Alto, CA, US</t>
        </is>
      </c>
      <c r="H75" s="2" t="n">
        <v>45939</v>
      </c>
      <c r="I7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in-5a55147d4fbcc6be</t>
        </is>
      </c>
      <c r="B76" t="inlineStr">
        <is>
          <t>Sr. Applied Scientist, SPB Advertiser Guidance</t>
        </is>
      </c>
      <c r="C76" t="inlineStr">
        <is>
          <t>Amazon.com</t>
        </is>
      </c>
      <c r="D76" t="inlineStr">
        <is>
          <t>indeed</t>
        </is>
      </c>
      <c r="E76" t="inlineStr"/>
      <c r="F76" t="inlineStr"/>
      <c r="G76" t="inlineStr">
        <is>
          <t>Seattle, WA, US</t>
        </is>
      </c>
      <c r="H76" s="2" t="n">
        <v>45939</v>
      </c>
      <c r="I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in-3e10760beefb53be</t>
        </is>
      </c>
      <c r="B77" t="inlineStr">
        <is>
          <t>Sr. Applied Scientist, SPB Advertiser Guidance</t>
        </is>
      </c>
      <c r="C77" t="inlineStr">
        <is>
          <t>Amazon.com</t>
        </is>
      </c>
      <c r="D77" t="inlineStr">
        <is>
          <t>indeed</t>
        </is>
      </c>
      <c r="E77" t="inlineStr"/>
      <c r="F77" t="inlineStr"/>
      <c r="G77" t="inlineStr">
        <is>
          <t>Palo Alto, CA, US</t>
        </is>
      </c>
      <c r="H77" s="2" t="n">
        <v>45939</v>
      </c>
      <c r="I7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in-d640f811da2335c8</t>
        </is>
      </c>
      <c r="B78" t="inlineStr">
        <is>
          <t>Applied Scientist</t>
        </is>
      </c>
      <c r="C78" t="inlineStr">
        <is>
          <t>Amazon.com</t>
        </is>
      </c>
      <c r="D78" t="inlineStr">
        <is>
          <t>indeed</t>
        </is>
      </c>
      <c r="E78" t="inlineStr"/>
      <c r="F78" t="inlineStr"/>
      <c r="G78" t="inlineStr">
        <is>
          <t>New York, NY, US</t>
        </is>
      </c>
      <c r="H78" s="2" t="n">
        <v>45939</v>
      </c>
      <c r="I7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in-6287389df456eeb3</t>
        </is>
      </c>
      <c r="B79" t="inlineStr">
        <is>
          <t>Sr. Applied Scientist, SPB Advertiser Guidance</t>
        </is>
      </c>
      <c r="C79" t="inlineStr">
        <is>
          <t>Amazon.com</t>
        </is>
      </c>
      <c r="D79" t="inlineStr">
        <is>
          <t>indeed</t>
        </is>
      </c>
      <c r="E79" t="inlineStr"/>
      <c r="F79" t="inlineStr"/>
      <c r="G79" t="inlineStr">
        <is>
          <t>New York, NY, US</t>
        </is>
      </c>
      <c r="H79" s="2" t="n">
        <v>45939</v>
      </c>
      <c r="I7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in-eb836a60a47a24df</t>
        </is>
      </c>
      <c r="B80" t="inlineStr">
        <is>
          <t>Applied Scientist</t>
        </is>
      </c>
      <c r="C80" t="inlineStr">
        <is>
          <t>Amazon.com</t>
        </is>
      </c>
      <c r="D80" t="inlineStr">
        <is>
          <t>indeed</t>
        </is>
      </c>
      <c r="E80" t="inlineStr"/>
      <c r="F80" t="inlineStr"/>
      <c r="G80" t="inlineStr">
        <is>
          <t>Seattle, WA, US</t>
        </is>
      </c>
      <c r="H80" s="2" t="n">
        <v>45939</v>
      </c>
      <c r="I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in-2c0d2a9019e9eeef</t>
        </is>
      </c>
      <c r="B81" t="inlineStr">
        <is>
          <t>Applied Scientist II, Prime Video - Personalization and Discovery Science, Personalization and Discovery Science</t>
        </is>
      </c>
      <c r="C81" t="inlineStr">
        <is>
          <t>Amazon.com</t>
        </is>
      </c>
      <c r="D81" t="inlineStr">
        <is>
          <t>indeed</t>
        </is>
      </c>
      <c r="E81" t="inlineStr"/>
      <c r="F81" t="inlineStr"/>
      <c r="G81" t="inlineStr">
        <is>
          <t>Seattle, WA, US</t>
        </is>
      </c>
      <c r="H81" s="2" t="n">
        <v>45930</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in-d07e3a02a1bab229</t>
        </is>
      </c>
      <c r="B82" t="inlineStr">
        <is>
          <t>Applied Scientist II, Prime Video - Personalization and Discovery Science, Personalization and Discovery Science</t>
        </is>
      </c>
      <c r="C82" t="inlineStr">
        <is>
          <t>Amazon.com</t>
        </is>
      </c>
      <c r="D82" t="inlineStr">
        <is>
          <t>indeed</t>
        </is>
      </c>
      <c r="E82" t="inlineStr"/>
      <c r="F82" t="inlineStr"/>
      <c r="G82" t="inlineStr">
        <is>
          <t>Sunnyvale, CA, US</t>
        </is>
      </c>
      <c r="H82" s="2" t="n">
        <v>45930</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in-901111b5dd2e9b48</t>
        </is>
      </c>
      <c r="B83" t="inlineStr">
        <is>
          <t>Applied Scientist II, Prime Video - Personalization and Discovery Science, Personalization and Discovery Science</t>
        </is>
      </c>
      <c r="C83" t="inlineStr">
        <is>
          <t>Amazon.com</t>
        </is>
      </c>
      <c r="D83" t="inlineStr">
        <is>
          <t>indeed</t>
        </is>
      </c>
      <c r="E83" t="inlineStr"/>
      <c r="F83" t="inlineStr"/>
      <c r="G83" t="inlineStr">
        <is>
          <t>New York, NY, US</t>
        </is>
      </c>
      <c r="H83" s="2" t="n">
        <v>45930</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in-a9fbda6a89e0f4d3</t>
        </is>
      </c>
      <c r="B84" t="inlineStr">
        <is>
          <t>Senior Applied Scientist, Sponsored Products and Brands</t>
        </is>
      </c>
      <c r="C84" t="inlineStr">
        <is>
          <t>Amazon.com</t>
        </is>
      </c>
      <c r="D84" t="inlineStr">
        <is>
          <t>indeed</t>
        </is>
      </c>
      <c r="E84" t="inlineStr"/>
      <c r="F84" t="inlineStr"/>
      <c r="G84" t="inlineStr">
        <is>
          <t>Seattle, WA, US</t>
        </is>
      </c>
      <c r="H84" s="2" t="n">
        <v>45922</v>
      </c>
      <c r="I8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in-5b7ef94b3dd12aa9</t>
        </is>
      </c>
      <c r="B85" t="inlineStr">
        <is>
          <t>Senior Applied Scientist, Sponsored Products and Brands</t>
        </is>
      </c>
      <c r="C85" t="inlineStr">
        <is>
          <t>Amazon.com</t>
        </is>
      </c>
      <c r="D85" t="inlineStr">
        <is>
          <t>indeed</t>
        </is>
      </c>
      <c r="E85" t="inlineStr"/>
      <c r="F85" t="inlineStr"/>
      <c r="G85" t="inlineStr">
        <is>
          <t>New York, NY, US</t>
        </is>
      </c>
      <c r="H85" s="2" t="n">
        <v>45922</v>
      </c>
      <c r="I8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in-2a61c46e0d709c92</t>
        </is>
      </c>
      <c r="B86" t="inlineStr">
        <is>
          <t>Applied Scientist, Workplace Health &amp; Safety</t>
        </is>
      </c>
      <c r="C86" t="inlineStr">
        <is>
          <t>Amazon.com</t>
        </is>
      </c>
      <c r="D86" t="inlineStr">
        <is>
          <t>indeed</t>
        </is>
      </c>
      <c r="E86" t="inlineStr"/>
      <c r="F86" t="inlineStr"/>
      <c r="G86" t="inlineStr">
        <is>
          <t>Nashville, TN, US</t>
        </is>
      </c>
      <c r="H86" s="2" t="n">
        <v>45917</v>
      </c>
      <c r="I8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in-614ab1f926a522ff</t>
        </is>
      </c>
      <c r="B87" t="inlineStr">
        <is>
          <t>Applied Scientist, Workplace Health &amp; Safety</t>
        </is>
      </c>
      <c r="C87" t="inlineStr">
        <is>
          <t>Amazon.com</t>
        </is>
      </c>
      <c r="D87" t="inlineStr">
        <is>
          <t>indeed</t>
        </is>
      </c>
      <c r="E87" t="inlineStr"/>
      <c r="F87" t="inlineStr"/>
      <c r="G87" t="inlineStr">
        <is>
          <t>Bellevue, WA, US</t>
        </is>
      </c>
      <c r="H87" s="2" t="n">
        <v>45917</v>
      </c>
      <c r="I8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in-44a6de9321486f2d</t>
        </is>
      </c>
      <c r="B88" t="inlineStr">
        <is>
          <t>Applied Scientist II, Prime Video - Personalization and Discovery Science</t>
        </is>
      </c>
      <c r="C88" t="inlineStr">
        <is>
          <t>Amazon.com</t>
        </is>
      </c>
      <c r="D88" t="inlineStr">
        <is>
          <t>indeed</t>
        </is>
      </c>
      <c r="E88" t="inlineStr"/>
      <c r="F88" t="inlineStr"/>
      <c r="G88" t="inlineStr">
        <is>
          <t>New York, NY, US</t>
        </is>
      </c>
      <c r="H88" s="2" t="n">
        <v>45881</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in-f4bcd01181ba0c53</t>
        </is>
      </c>
      <c r="B89" t="inlineStr">
        <is>
          <t>Sr. Applied Scientist, Prime Video - Personalization and Discovery Science</t>
        </is>
      </c>
      <c r="C89" t="inlineStr">
        <is>
          <t>Amazon.com</t>
        </is>
      </c>
      <c r="D89" t="inlineStr">
        <is>
          <t>indeed</t>
        </is>
      </c>
      <c r="E89" t="inlineStr"/>
      <c r="F89" t="inlineStr"/>
      <c r="G89" t="inlineStr">
        <is>
          <t>Sunnyvale, CA, US</t>
        </is>
      </c>
      <c r="H89" s="2" t="n">
        <v>45881</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in-af0440f9dbe0fd07</t>
        </is>
      </c>
      <c r="B90" t="inlineStr">
        <is>
          <t>Applied Scientist II, Prime Video - Personalization and Discovery Science</t>
        </is>
      </c>
      <c r="C90" t="inlineStr">
        <is>
          <t>Amazon.com</t>
        </is>
      </c>
      <c r="D90" t="inlineStr">
        <is>
          <t>indeed</t>
        </is>
      </c>
      <c r="E90" t="inlineStr"/>
      <c r="F90" t="inlineStr"/>
      <c r="G90" t="inlineStr">
        <is>
          <t>Seattle, WA, US</t>
        </is>
      </c>
      <c r="H90" s="2" t="n">
        <v>45881</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in-258bb0921a973e5c</t>
        </is>
      </c>
      <c r="B91" t="inlineStr">
        <is>
          <t>Applied Scientist II, Prime Video - Personalization and Discovery Science</t>
        </is>
      </c>
      <c r="C91" t="inlineStr">
        <is>
          <t>Amazon.com</t>
        </is>
      </c>
      <c r="D91" t="inlineStr">
        <is>
          <t>indeed</t>
        </is>
      </c>
      <c r="E91" t="inlineStr"/>
      <c r="F91" t="inlineStr"/>
      <c r="G91" t="inlineStr">
        <is>
          <t>Sunnyvale, CA, US</t>
        </is>
      </c>
      <c r="H91" s="2" t="n">
        <v>45881</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in-99e320a129c5e4ab</t>
        </is>
      </c>
      <c r="B92" t="inlineStr">
        <is>
          <t>Sr. Applied Scientist, Prime Video - Personalization and Discovery Science</t>
        </is>
      </c>
      <c r="C92" t="inlineStr">
        <is>
          <t>Amazon.com</t>
        </is>
      </c>
      <c r="D92" t="inlineStr">
        <is>
          <t>indeed</t>
        </is>
      </c>
      <c r="E92" t="inlineStr"/>
      <c r="F92" t="inlineStr"/>
      <c r="G92" t="inlineStr">
        <is>
          <t>Seattle, WA, US</t>
        </is>
      </c>
      <c r="H92" s="2" t="n">
        <v>45881</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in-533b2e662c984caa</t>
        </is>
      </c>
      <c r="B93" t="inlineStr">
        <is>
          <t>Sr. Applied Scientist, Prime Video - Personalization and Discovery Science</t>
        </is>
      </c>
      <c r="C93" t="inlineStr">
        <is>
          <t>Amazon.com</t>
        </is>
      </c>
      <c r="D93" t="inlineStr">
        <is>
          <t>indeed</t>
        </is>
      </c>
      <c r="E93" t="inlineStr"/>
      <c r="F93" t="inlineStr"/>
      <c r="G93" t="inlineStr">
        <is>
          <t>New York, NY, US</t>
        </is>
      </c>
      <c r="H93" s="2" t="n">
        <v>45881</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in-561111ed8cd75a05</t>
        </is>
      </c>
      <c r="B94" t="inlineStr">
        <is>
          <t>Sr. Applied Scientist, Amazon Advertising</t>
        </is>
      </c>
      <c r="C94" t="inlineStr">
        <is>
          <t>Amazon.com</t>
        </is>
      </c>
      <c r="D94" t="inlineStr">
        <is>
          <t>indeed</t>
        </is>
      </c>
      <c r="E94" t="inlineStr"/>
      <c r="F94" t="inlineStr"/>
      <c r="G94" t="inlineStr">
        <is>
          <t>Arlington, VA,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in-220c5a6ea4dcf67e</t>
        </is>
      </c>
      <c r="B95" t="inlineStr">
        <is>
          <t>Sr. Applied Scientist, Amazon Advertising</t>
        </is>
      </c>
      <c r="C95" t="inlineStr">
        <is>
          <t>Amazon.com</t>
        </is>
      </c>
      <c r="D95" t="inlineStr">
        <is>
          <t>indeed</t>
        </is>
      </c>
      <c r="E95" t="inlineStr"/>
      <c r="F95" t="inlineStr"/>
      <c r="G95" t="inlineStr">
        <is>
          <t>Palo Alto, CA,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in-46d0f2037c42efc3</t>
        </is>
      </c>
      <c r="B96" t="inlineStr">
        <is>
          <t>Sr. Applied Scientist, Amazon Advertising</t>
        </is>
      </c>
      <c r="C96" t="inlineStr">
        <is>
          <t>Amazon.com</t>
        </is>
      </c>
      <c r="D96" t="inlineStr">
        <is>
          <t>indeed</t>
        </is>
      </c>
      <c r="E96" t="inlineStr"/>
      <c r="F96" t="inlineStr"/>
      <c r="G96" t="inlineStr">
        <is>
          <t>Austin, TX,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in-7895d49b85b05015</t>
        </is>
      </c>
      <c r="B97" t="inlineStr">
        <is>
          <t>Sr. Applied Scientist, Amazon Advertising</t>
        </is>
      </c>
      <c r="C97" t="inlineStr">
        <is>
          <t>Amazon.com</t>
        </is>
      </c>
      <c r="D97" t="inlineStr">
        <is>
          <t>indeed</t>
        </is>
      </c>
      <c r="E97" t="inlineStr"/>
      <c r="F97" t="inlineStr"/>
      <c r="G97" t="inlineStr">
        <is>
          <t>Simi Valley, CA,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in-f0ee9ae0136e1bba</t>
        </is>
      </c>
      <c r="B98" t="inlineStr">
        <is>
          <t>Sr. Applied Scientist, Amazon Advertising</t>
        </is>
      </c>
      <c r="C98" t="inlineStr">
        <is>
          <t>Amazon.com</t>
        </is>
      </c>
      <c r="D98" t="inlineStr">
        <is>
          <t>indeed</t>
        </is>
      </c>
      <c r="E98" t="inlineStr"/>
      <c r="F98" t="inlineStr"/>
      <c r="G98" t="inlineStr">
        <is>
          <t>Los Angeles, CA,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in-eb9f3f46022983b3</t>
        </is>
      </c>
      <c r="B99" t="inlineStr">
        <is>
          <t>Sr. Applied Scientist, Amazon Advertising</t>
        </is>
      </c>
      <c r="C99" t="inlineStr">
        <is>
          <t>Amazon.com</t>
        </is>
      </c>
      <c r="D99" t="inlineStr">
        <is>
          <t>indeed</t>
        </is>
      </c>
      <c r="E99" t="inlineStr"/>
      <c r="F99" t="inlineStr"/>
      <c r="G99" t="inlineStr">
        <is>
          <t>New York, NY, US</t>
        </is>
      </c>
      <c r="H99" s="2"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in-beb987b9800d2af2</t>
        </is>
      </c>
      <c r="B100" t="inlineStr">
        <is>
          <t>Sr. Applied Scientist, Amazon Advertising</t>
        </is>
      </c>
      <c r="C100" t="inlineStr">
        <is>
          <t>Amazon.com</t>
        </is>
      </c>
      <c r="D100" t="inlineStr">
        <is>
          <t>indeed</t>
        </is>
      </c>
      <c r="E100" t="inlineStr"/>
      <c r="F100" t="inlineStr"/>
      <c r="G100" t="inlineStr">
        <is>
          <t>West Hollywood, CA, US</t>
        </is>
      </c>
      <c r="H100" s="2"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in-05f86df02df9721a</t>
        </is>
      </c>
      <c r="B101" t="inlineStr">
        <is>
          <t>Sr. Applied Scientist, Amazon Advertising</t>
        </is>
      </c>
      <c r="C101" t="inlineStr">
        <is>
          <t>Amazon.com</t>
        </is>
      </c>
      <c r="D101" t="inlineStr">
        <is>
          <t>indeed</t>
        </is>
      </c>
      <c r="E101" t="inlineStr"/>
      <c r="F101" t="inlineStr"/>
      <c r="G101" t="inlineStr">
        <is>
          <t>Seattle, WA, US</t>
        </is>
      </c>
      <c r="H101" s="2"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in-eddae9535459193a</t>
        </is>
      </c>
      <c r="B102" t="inlineStr">
        <is>
          <t>Applied Scientist, Prime Video - Personalization and Discovery Science</t>
        </is>
      </c>
      <c r="C102" t="inlineStr">
        <is>
          <t>Amazon.com</t>
        </is>
      </c>
      <c r="D102" t="inlineStr">
        <is>
          <t>indeed</t>
        </is>
      </c>
      <c r="E102" t="inlineStr"/>
      <c r="F102" t="inlineStr"/>
      <c r="G102" t="inlineStr">
        <is>
          <t>New York, NY, US</t>
        </is>
      </c>
      <c r="H102" s="2" t="n">
        <v>45845</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in-cce307871cdc4878</t>
        </is>
      </c>
      <c r="B103" t="inlineStr">
        <is>
          <t>Applied Scientist, Prime Video - Personalization and Discovery Science</t>
        </is>
      </c>
      <c r="C103" t="inlineStr">
        <is>
          <t>Amazon.com</t>
        </is>
      </c>
      <c r="D103" t="inlineStr">
        <is>
          <t>indeed</t>
        </is>
      </c>
      <c r="E103" t="inlineStr"/>
      <c r="F103" t="inlineStr"/>
      <c r="G103" t="inlineStr">
        <is>
          <t>Seattle, WA, US</t>
        </is>
      </c>
      <c r="H103" s="2" t="n">
        <v>45845</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in-7af6cfdfd226df01</t>
        </is>
      </c>
      <c r="B104" t="inlineStr">
        <is>
          <t>Applied Scientist, Prime Video - Personalization and Discovery Science</t>
        </is>
      </c>
      <c r="C104" t="inlineStr">
        <is>
          <t>Amazon.com</t>
        </is>
      </c>
      <c r="D104" t="inlineStr">
        <is>
          <t>indeed</t>
        </is>
      </c>
      <c r="E104" t="inlineStr"/>
      <c r="F104" t="inlineStr"/>
      <c r="G104" t="inlineStr">
        <is>
          <t>Sunnyvale, CA, US</t>
        </is>
      </c>
      <c r="H104" s="2" t="n">
        <v>45845</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in-9c9a6f07e1b0b6cd</t>
        </is>
      </c>
      <c r="B105" t="inlineStr">
        <is>
          <t>Senior Applied Scientist, Artificial General Intelligence</t>
        </is>
      </c>
      <c r="C105" t="inlineStr">
        <is>
          <t>Amazon.com</t>
        </is>
      </c>
      <c r="D105" t="inlineStr">
        <is>
          <t>indeed</t>
        </is>
      </c>
      <c r="E105" t="inlineStr"/>
      <c r="F105" t="inlineStr"/>
      <c r="G105" t="inlineStr">
        <is>
          <t>Sunnyvale, CA, US</t>
        </is>
      </c>
      <c r="H105" s="2" t="n">
        <v>45838</v>
      </c>
      <c r="I10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in-df85b2cbaeb3c94c</t>
        </is>
      </c>
      <c r="B106" t="inlineStr">
        <is>
          <t>Senior Applied Scientist, Artificial General Intelligence</t>
        </is>
      </c>
      <c r="C106" t="inlineStr">
        <is>
          <t>Amazon.com</t>
        </is>
      </c>
      <c r="D106" t="inlineStr">
        <is>
          <t>indeed</t>
        </is>
      </c>
      <c r="E106" t="inlineStr"/>
      <c r="F106" t="inlineStr"/>
      <c r="G106" t="inlineStr">
        <is>
          <t>New York, NY, US</t>
        </is>
      </c>
      <c r="H106" s="2" t="n">
        <v>45838</v>
      </c>
      <c r="I10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in-ed2428d6593d713d</t>
        </is>
      </c>
      <c r="B107" t="inlineStr">
        <is>
          <t>Senior Applied Scientist, Artificial General Intelligence</t>
        </is>
      </c>
      <c r="C107" t="inlineStr">
        <is>
          <t>Amazon.com</t>
        </is>
      </c>
      <c r="D107" t="inlineStr">
        <is>
          <t>indeed</t>
        </is>
      </c>
      <c r="E107" t="inlineStr"/>
      <c r="F107" t="inlineStr"/>
      <c r="G107" t="inlineStr">
        <is>
          <t>Boston, MA, US</t>
        </is>
      </c>
      <c r="H107" s="2" t="n">
        <v>45838</v>
      </c>
      <c r="I10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in-e2e45195be216703</t>
        </is>
      </c>
      <c r="B108" t="inlineStr">
        <is>
          <t>Sr. Applied Scientist, Sales AI</t>
        </is>
      </c>
      <c r="C108" t="inlineStr">
        <is>
          <t>Amazon.com</t>
        </is>
      </c>
      <c r="D108" t="inlineStr">
        <is>
          <t>indeed</t>
        </is>
      </c>
      <c r="E108" t="inlineStr"/>
      <c r="F108" t="inlineStr"/>
      <c r="G108" t="inlineStr">
        <is>
          <t>Sunnyvale, CA, US</t>
        </is>
      </c>
      <c r="H108" s="2" t="n">
        <v>45830</v>
      </c>
      <c r="I10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in-80912e0bc7912984</t>
        </is>
      </c>
      <c r="B109" t="inlineStr">
        <is>
          <t>Sr. Applied Scientist, Sales AI</t>
        </is>
      </c>
      <c r="C109" t="inlineStr">
        <is>
          <t>Amazon.com</t>
        </is>
      </c>
      <c r="D109" t="inlineStr">
        <is>
          <t>indeed</t>
        </is>
      </c>
      <c r="E109" t="inlineStr"/>
      <c r="F109" t="inlineStr"/>
      <c r="G109" t="inlineStr">
        <is>
          <t>New York, NY, US</t>
        </is>
      </c>
      <c r="H109" s="2" t="n">
        <v>45830</v>
      </c>
      <c r="I10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in-a087a68b76b67975</t>
        </is>
      </c>
      <c r="B110" t="inlineStr">
        <is>
          <t>Sr. Applied Scientist, Sales AI</t>
        </is>
      </c>
      <c r="C110" t="inlineStr">
        <is>
          <t>Amazon.com</t>
        </is>
      </c>
      <c r="D110" t="inlineStr">
        <is>
          <t>indeed</t>
        </is>
      </c>
      <c r="E110" t="inlineStr"/>
      <c r="F110" t="inlineStr"/>
      <c r="G110" t="inlineStr">
        <is>
          <t>Seattle, WA, US</t>
        </is>
      </c>
      <c r="H110" s="2" t="n">
        <v>45830</v>
      </c>
      <c r="I11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in-ddfec9158b64d271</t>
        </is>
      </c>
      <c r="B111" t="inlineStr">
        <is>
          <t>Principal Applied Scientist, Delivery Foundation Model</t>
        </is>
      </c>
      <c r="C111" t="inlineStr">
        <is>
          <t>Amazon.com</t>
        </is>
      </c>
      <c r="D111" t="inlineStr">
        <is>
          <t>indeed</t>
        </is>
      </c>
      <c r="E111" t="inlineStr"/>
      <c r="F111" t="inlineStr"/>
      <c r="G111" t="inlineStr">
        <is>
          <t>Bellevue, WA, US</t>
        </is>
      </c>
      <c r="H111" s="2" t="n">
        <v>45810</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in-6200ac494c728cc8</t>
        </is>
      </c>
      <c r="B112" t="inlineStr">
        <is>
          <t>Principal Applied Scientist, Delivery Foundation Model</t>
        </is>
      </c>
      <c r="C112" t="inlineStr">
        <is>
          <t>Amazon.com</t>
        </is>
      </c>
      <c r="D112" t="inlineStr">
        <is>
          <t>indeed</t>
        </is>
      </c>
      <c r="E112" t="inlineStr"/>
      <c r="F112" t="inlineStr"/>
      <c r="G112" t="inlineStr">
        <is>
          <t>New York, NY, US</t>
        </is>
      </c>
      <c r="H112" s="2" t="n">
        <v>45810</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in-21b0bdfbe27b7d0f</t>
        </is>
      </c>
      <c r="B113" t="inlineStr">
        <is>
          <t>Principal Applied Scientist, Delivery Foundation Model</t>
        </is>
      </c>
      <c r="C113" t="inlineStr">
        <is>
          <t>Amazon.com</t>
        </is>
      </c>
      <c r="D113" t="inlineStr">
        <is>
          <t>indeed</t>
        </is>
      </c>
      <c r="E113" t="inlineStr"/>
      <c r="F113" t="inlineStr"/>
      <c r="G113" t="inlineStr">
        <is>
          <t>Santa Clara, CA, US</t>
        </is>
      </c>
      <c r="H113" s="2" t="n">
        <v>45810</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in-2abe29c9a18c813f</t>
        </is>
      </c>
      <c r="B114" t="inlineStr">
        <is>
          <t>Principal Applied Scientist, Delivery Foundation Model</t>
        </is>
      </c>
      <c r="C114" t="inlineStr">
        <is>
          <t>Amazon.com</t>
        </is>
      </c>
      <c r="D114" t="inlineStr">
        <is>
          <t>indeed</t>
        </is>
      </c>
      <c r="E114" t="inlineStr"/>
      <c r="F114" t="inlineStr"/>
      <c r="G114" t="inlineStr">
        <is>
          <t>Austin, TX, US</t>
        </is>
      </c>
      <c r="H114" s="2" t="n">
        <v>45810</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in-5564c40cdc60ed30</t>
        </is>
      </c>
      <c r="B115" t="inlineStr">
        <is>
          <t>Senior Applied Scientist, Delivery Foundation Model</t>
        </is>
      </c>
      <c r="C115" t="inlineStr">
        <is>
          <t>Amazon.com</t>
        </is>
      </c>
      <c r="D115" t="inlineStr">
        <is>
          <t>indeed</t>
        </is>
      </c>
      <c r="E115" t="inlineStr"/>
      <c r="F115" t="inlineStr"/>
      <c r="G115" t="inlineStr">
        <is>
          <t>Santa Clara, CA, US</t>
        </is>
      </c>
      <c r="H115" s="2" t="n">
        <v>45806</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in-d26c6fbcad0004d2</t>
        </is>
      </c>
      <c r="B116" t="inlineStr">
        <is>
          <t>Senior Applied Scientist, Delivery Foundation Model</t>
        </is>
      </c>
      <c r="C116" t="inlineStr">
        <is>
          <t>Amazon.com</t>
        </is>
      </c>
      <c r="D116" t="inlineStr">
        <is>
          <t>indeed</t>
        </is>
      </c>
      <c r="E116" t="inlineStr"/>
      <c r="F116" t="inlineStr"/>
      <c r="G116" t="inlineStr">
        <is>
          <t>New York, NY, US</t>
        </is>
      </c>
      <c r="H116" s="2" t="n">
        <v>45806</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in-bf8dcacb598e8915</t>
        </is>
      </c>
      <c r="B117" t="inlineStr">
        <is>
          <t>Senior Applied Scientist, Delivery Foundation Model</t>
        </is>
      </c>
      <c r="C117" t="inlineStr">
        <is>
          <t>Amazon.com</t>
        </is>
      </c>
      <c r="D117" t="inlineStr">
        <is>
          <t>indeed</t>
        </is>
      </c>
      <c r="E117" t="inlineStr"/>
      <c r="F117" t="inlineStr"/>
      <c r="G117" t="inlineStr">
        <is>
          <t>Bellevue, WA, US</t>
        </is>
      </c>
      <c r="H117" s="2" t="n">
        <v>45806</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in-7d8c984822ab2bdc</t>
        </is>
      </c>
      <c r="B118" t="inlineStr">
        <is>
          <t>Principal Applied Scientist, Delivery Foundation Model</t>
        </is>
      </c>
      <c r="C118" t="inlineStr">
        <is>
          <t>Amazon.com</t>
        </is>
      </c>
      <c r="D118" t="inlineStr">
        <is>
          <t>indeed</t>
        </is>
      </c>
      <c r="E118" t="inlineStr"/>
      <c r="F118" t="inlineStr"/>
      <c r="G118" t="inlineStr">
        <is>
          <t>New York, NY, US</t>
        </is>
      </c>
      <c r="H118" s="2" t="n">
        <v>45757</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in-52381f26059b8aab</t>
        </is>
      </c>
      <c r="B119" t="inlineStr">
        <is>
          <t>Principal Applied Scientist, Delivery Foundation Model</t>
        </is>
      </c>
      <c r="C119" t="inlineStr">
        <is>
          <t>Amazon.com</t>
        </is>
      </c>
      <c r="D119" t="inlineStr">
        <is>
          <t>indeed</t>
        </is>
      </c>
      <c r="E119" t="inlineStr"/>
      <c r="F119" t="inlineStr"/>
      <c r="G119" t="inlineStr">
        <is>
          <t>Bellevue, WA, US</t>
        </is>
      </c>
      <c r="H119" s="2" t="n">
        <v>45757</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in-cb78ecb49f30c54f</t>
        </is>
      </c>
      <c r="B120" t="inlineStr">
        <is>
          <t>Principal Applied Scientist, Delivery Foundation Model</t>
        </is>
      </c>
      <c r="C120" t="inlineStr">
        <is>
          <t>Amazon.com</t>
        </is>
      </c>
      <c r="D120" t="inlineStr">
        <is>
          <t>indeed</t>
        </is>
      </c>
      <c r="E120" t="inlineStr"/>
      <c r="F120" t="inlineStr"/>
      <c r="G120" t="inlineStr">
        <is>
          <t>Santa Clara, CA, US</t>
        </is>
      </c>
      <c r="H120" s="2" t="n">
        <v>45757</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in-63d53d63720fa5d0</t>
        </is>
      </c>
      <c r="B121" t="inlineStr">
        <is>
          <t>Principal Applied Scientist, FAR (Frontier AI &amp; Robotics)</t>
        </is>
      </c>
      <c r="C121" t="inlineStr">
        <is>
          <t>Amazon.com</t>
        </is>
      </c>
      <c r="D121" t="inlineStr">
        <is>
          <t>indeed</t>
        </is>
      </c>
      <c r="E121" t="inlineStr"/>
      <c r="F121" t="inlineStr"/>
      <c r="G121" t="inlineStr">
        <is>
          <t>San Francisco, CA, US</t>
        </is>
      </c>
      <c r="H121" s="2" t="n">
        <v>45740</v>
      </c>
      <c r="I12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in-4170ab01d12cc46b</t>
        </is>
      </c>
      <c r="B122" t="inlineStr">
        <is>
          <t>Principal Applied Scientist, FAR (Frontier AI &amp; Robotics)</t>
        </is>
      </c>
      <c r="C122" t="inlineStr">
        <is>
          <t>Amazon.com</t>
        </is>
      </c>
      <c r="D122" t="inlineStr">
        <is>
          <t>indeed</t>
        </is>
      </c>
      <c r="E122" t="inlineStr"/>
      <c r="F122" t="inlineStr"/>
      <c r="G122" t="inlineStr">
        <is>
          <t>Seattle, WA, US</t>
        </is>
      </c>
      <c r="H122" s="2" t="n">
        <v>45740</v>
      </c>
      <c r="I12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in-fc1aeb9de0c3c27a</t>
        </is>
      </c>
      <c r="B123" t="inlineStr">
        <is>
          <t>Applied Scientist, Alexa Smart Home</t>
        </is>
      </c>
      <c r="C123" t="inlineStr">
        <is>
          <t>Amazon.com</t>
        </is>
      </c>
      <c r="D123" t="inlineStr">
        <is>
          <t>indeed</t>
        </is>
      </c>
      <c r="E123" t="inlineStr"/>
      <c r="F123" t="inlineStr"/>
      <c r="G123" t="inlineStr">
        <is>
          <t>Sunnyvale, CA, US</t>
        </is>
      </c>
      <c r="H123" s="2" t="n">
        <v>46033</v>
      </c>
      <c r="I12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4">
      <c r="A124" t="inlineStr">
        <is>
          <t>in-d074f8c34c11e971</t>
        </is>
      </c>
      <c r="B124" t="inlineStr">
        <is>
          <t>Applied Scientist, Alexa Smart Home</t>
        </is>
      </c>
      <c r="C124" t="inlineStr">
        <is>
          <t>Amazon.com</t>
        </is>
      </c>
      <c r="D124" t="inlineStr">
        <is>
          <t>indeed</t>
        </is>
      </c>
      <c r="E124" t="inlineStr"/>
      <c r="F124" t="inlineStr"/>
      <c r="G124" t="inlineStr">
        <is>
          <t>Seattle, WA, US</t>
        </is>
      </c>
      <c r="H124" s="2" t="n">
        <v>46033</v>
      </c>
      <c r="I12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5">
      <c r="A125" t="inlineStr">
        <is>
          <t>in-1241e2ce3531db39</t>
        </is>
      </c>
      <c r="B125" t="inlineStr">
        <is>
          <t>Senior Data Scientist</t>
        </is>
      </c>
      <c r="C125" t="inlineStr">
        <is>
          <t>The Hartford</t>
        </is>
      </c>
      <c r="D125" t="inlineStr">
        <is>
          <t>indeed</t>
        </is>
      </c>
      <c r="E125">
        <f>HYPERLINK("https://www.indeed.com/viewjob?jk=1241e2ce3531db39", "https://www.indeed.com/viewjob?jk=1241e2ce3531db39")</f>
        <v/>
      </c>
      <c r="F125">
        <f>HYPERLINK("https://click.appcast.io/t/pTy01rzx2GyJE3Pkoiaab01cmLDaCBNOG_ekrnbwNNg=", "https://click.appcast.io/t/pTy01rzx2GyJE3Pkoiaab01cmLDaCBNOG_ekrnbwNNg=")</f>
        <v/>
      </c>
      <c r="G125" t="inlineStr">
        <is>
          <t>Hartford, CT, US</t>
        </is>
      </c>
      <c r="H125" s="3" t="n">
        <v>46054</v>
      </c>
      <c r="I125" t="inlineStr">
        <is>
          <t>Sr Data Scientist \- GD07AE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seeks a Senior Data Scientist Employee Benefits Data Science, AI, and Analytics (DSAIA) to develop machine learning solutions supporting actuarial pricing, underwriting, and reserving modeling.
The Employee Benefits DSAIA team is a rapidly growing team focused on providing deep insight, automation, and augmentation across the policy lifecycle for Employee Benefits customers and internal business stakeholders. The EB DSAIA team supports a portfolio across the EB lifecycle, from sales and underwriting to policy installation, renewal, and everything in between.
As a Senior Data Scientist in the Employee Benefits DSAIA team, you will participate in the entire solution lifecycle. You’ll partner with cross\-functional business and technical partners to understand business strategies and design, develop, implement, and evolve modeling solutions. We use the latest generative models, machine learning methods, MLOps deployment methods, and Agile delivery frameworks to build innovative and efficient solutions that maximize business value. This cutting\-edge and forward\-focused organization presents the opportunity for collaboration, self\-organization within the team, influencing decision\-making, and visibility as we focus on continuous business value delivery.
This role will have a Hybrid work schedule, with the expectation of working in an office (Columbus, OH, Chicago, IL, Hartford, CT or Charlotte, NC) 3 days a week (Tuesday through Thursday).
**Responsibilities:**
* Create statistical models, algorithms, and machine learning techniques to achieve financial objectives, solve business problems, and identify long term opportunities that improve the customer journey
* Collaborate and partner with business stakeholders in a way that supports and sustains a culture that treats analytics as a corporate asset
* Partner with Actuarial and Data teams to monitor and manage the End\-to\-End lifecycle of the rating models and underlying data which feeds them
* Lead execution of modeling and machine learning projects that focus on internal team collaboration with Data Scientists, Data Engineers, and Product Owners
* Assist in identifying and assessing the value of new data sources and analytical techniques to ensure ongoing competitive advantage
* Contribute to successful implementation of strategies to achieve targeted business objectives
* Develop knowledge of The Hartford's formal and informal structures, business processes, and data sources in your area of expertise
* Remain current on research techniques and become familiar with state\-of\-the\-art tools in generative AI
* Provide economic, qualitative, and statistical support to ensure accuracy of characteristics and metrics being applied to business decisions
* Learn/bring best practices to guide the direction of our Data Science and Data Engineering workflows
**Qualifications:**
* 5\+ years of relevant industry experience recommended
* Master’s or Ph.D. in Statistics, Applied Mathematics, Quantitative Economics, Actuarial Science, Data Science, Computer Science, or a similar analytical field; or progress towards a relevant professional designation
* Proficiency in statistical modeling, inference, and building machine learning algorithms in Python
* Proficiency in SQL and navigating databases to extract relevant attributes
* Proficiency in Unix and Git
* Proficiency in the end\-to\-end modeling lifecycle, from requirements gathering to monitoring and validation
* Experience building modeling solutions in cloud\-native environments, such as SageMaker, a plus
* Able to communicate effectively with both technical and non\-technical teams
* Able to translate complex technical topics into business solutions and strategies as well as turn business requirements into a technical solution
* Experience with leading project execution and driving change to core business processes through the innovative use of quantitative techniques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$110,720 \- $166,080
Equal Opportunity Employer/Sex/Race/Color/Veterans/Disability/Sexual Orientation/Gender Identity or Expression/Religion/Age</t>
        </is>
      </c>
    </row>
    <row r="126">
      <c r="A126" t="inlineStr">
        <is>
          <t>in-a68877c435ff8a87</t>
        </is>
      </c>
      <c r="B126" t="inlineStr">
        <is>
          <t>Senior Data Scientist</t>
        </is>
      </c>
      <c r="C126" t="inlineStr">
        <is>
          <t>The Hartford</t>
        </is>
      </c>
      <c r="D126" t="inlineStr">
        <is>
          <t>indeed</t>
        </is>
      </c>
      <c r="E126">
        <f>HYPERLINK("https://www.indeed.com/viewjob?jk=a68877c435ff8a87", "https://www.indeed.com/viewjob?jk=a68877c435ff8a87")</f>
        <v/>
      </c>
      <c r="F126">
        <f>HYPERLINK("https://click.appcast.io/t/-BYhuf-fj5pKcM74jkAm2tqGOrmMI-XCEAjUss9pfuM=", "https://click.appcast.io/t/-BYhuf-fj5pKcM74jkAm2tqGOrmMI-XCEAjUss9pfuM=")</f>
        <v/>
      </c>
      <c r="G126" t="inlineStr">
        <is>
          <t>Columbus, OH, US</t>
        </is>
      </c>
      <c r="H126" s="3" t="n">
        <v>46054</v>
      </c>
      <c r="I126" t="inlineStr">
        <is>
          <t>Sr Data Scientist \- GD07AE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seeks a Senior Data Scientist Employee Benefits Data Science, AI, and Analytics (DSAIA) to develop machine learning solutions supporting actuarial pricing, underwriting, and reserving modeling.
The Employee Benefits DSAIA team is a rapidly growing team focused on providing deep insight, automation, and augmentation across the policy lifecycle for Employee Benefits customers and internal business stakeholders. The EB DSAIA team supports a portfolio across the EB lifecycle, from sales and underwriting to policy installation, renewal, and everything in between.
As a Senior Data Scientist in the Employee Benefits DSAIA team, you will participate in the entire solution lifecycle. You’ll partner with cross\-functional business and technical partners to understand business strategies and design, develop, implement, and evolve modeling solutions. We use the latest generative models, machine learning methods, MLOps deployment methods, and Agile delivery frameworks to build innovative and efficient solutions that maximize business value. This cutting\-edge and forward\-focused organization presents the opportunity for collaboration, self\-organization within the team, influencing decision\-making, and visibility as we focus on continuous business value delivery.
This role will have a Hybrid work schedule, with the expectation of working in an office (Columbus, OH, Chicago, IL, Hartford, CT or Charlotte, NC) 3 days a week (Tuesday through Thursday).
**Responsibilities:**
* Create statistical models, algorithms, and machine learning techniques to achieve financial objectives, solve business problems, and identify long term opportunities that improve the customer journey
* Collaborate and partner with business stakeholders in a way that supports and sustains a culture that treats analytics as a corporate asset
* Partner with Actuarial and Data teams to monitor and manage the End\-to\-End lifecycle of the rating models and underlying data which feeds them
* Lead execution of modeling and machine learning projects that focus on internal team collaboration with Data Scientists, Data Engineers, and Product Owners
* Assist in identifying and assessing the value of new data sources and analytical techniques to ensure ongoing competitive advantage
* Contribute to successful implementation of strategies to achieve targeted business objectives
* Develop knowledge of The Hartford's formal and informal structures, business processes, and data sources in your area of expertise
* Remain current on research techniques and become familiar with state\-of\-the\-art tools in generative AI
* Provide economic, qualitative, and statistical support to ensure accuracy of characteristics and metrics being applied to business decisions
* Learn/bring best practices to guide the direction of our Data Science and Data Engineering workflows
**Qualifications:**
* 5\+ years of relevant industry experience recommended
* Master’s or Ph.D. in Statistics, Applied Mathematics, Quantitative Economics, Actuarial Science, Data Science, Computer Science, or a similar analytical field; or progress towards a relevant professional designation
* Proficiency in statistical modeling, inference, and building machine learning algorithms in Python
* Proficiency in SQL and navigating databases to extract relevant attributes
* Proficiency in Unix and Git
* Proficiency in the end\-to\-end modeling lifecycle, from requirements gathering to monitoring and validation
* Experience building modeling solutions in cloud\-native environments, such as SageMaker, a plus
* Able to communicate effectively with both technical and non\-technical teams
* Able to translate complex technical topics into business solutions and strategies as well as turn business requirements into a technical solution
* Experience with leading project execution and driving change to core business processes through the innovative use of quantitative techniques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$110,720 \- $166,080
Equal Opportunity Employer/Sex/Race/Color/Veterans/Disability/Sexual Orientation/Gender Identity or Expression/Religion/Age</t>
        </is>
      </c>
    </row>
    <row r="127">
      <c r="A127" t="inlineStr">
        <is>
          <t>in-b7805225d1c403fc</t>
        </is>
      </c>
      <c r="B127" t="inlineStr">
        <is>
          <t>Senior Data Scientist</t>
        </is>
      </c>
      <c r="C127" t="inlineStr">
        <is>
          <t>The Hartford</t>
        </is>
      </c>
      <c r="D127" t="inlineStr">
        <is>
          <t>indeed</t>
        </is>
      </c>
      <c r="E127">
        <f>HYPERLINK("https://www.indeed.com/viewjob?jk=b7805225d1c403fc", "https://www.indeed.com/viewjob?jk=b7805225d1c403fc")</f>
        <v/>
      </c>
      <c r="F127">
        <f>HYPERLINK("https://click.appcast.io/t/tj3a3S7s0e-GykBVMKoz8DqcMf2-1FfAZgyd45tBuDw=", "https://click.appcast.io/t/tj3a3S7s0e-GykBVMKoz8DqcMf2-1FfAZgyd45tBuDw=")</f>
        <v/>
      </c>
      <c r="G127" t="inlineStr">
        <is>
          <t>Chicago, IL, US</t>
        </is>
      </c>
      <c r="H127" s="3" t="n">
        <v>46054</v>
      </c>
      <c r="I127" t="inlineStr">
        <is>
          <t>Sr Data Scientist \- GD07AE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seeks a Senior Data Scientist Employee Benefits Data Science, AI, and Analytics (DSAIA) to develop machine learning solutions supporting actuarial pricing, underwriting, and reserving modeling.
The Employee Benefits DSAIA team is a rapidly growing team focused on providing deep insight, automation, and augmentation across the policy lifecycle for Employee Benefits customers and internal business stakeholders. The EB DSAIA team supports a portfolio across the EB lifecycle, from sales and underwriting to policy installation, renewal, and everything in between.
As a Senior Data Scientist in the Employee Benefits DSAIA team, you will participate in the entire solution lifecycle. You’ll partner with cross\-functional business and technical partners to understand business strategies and design, develop, implement, and evolve modeling solutions. We use the latest generative models, machine learning methods, MLOps deployment methods, and Agile delivery frameworks to build innovative and efficient solutions that maximize business value. This cutting\-edge and forward\-focused organization presents the opportunity for collaboration, self\-organization within the team, influencing decision\-making, and visibility as we focus on continuous business value delivery.
This role will have a Hybrid work schedule, with the expectation of working in an office (Columbus, OH, Chicago, IL, Hartford, CT or Charlotte, NC) 3 days a week (Tuesday through Thursday).
**Responsibilities:**
* Create statistical models, algorithms, and machine learning techniques to achieve financial objectives, solve business problems, and identify long term opportunities that improve the customer journey
* Collaborate and partner with business stakeholders in a way that supports and sustains a culture that treats analytics as a corporate asset
* Partner with Actuarial and Data teams to monitor and manage the End\-to\-End lifecycle of the rating models and underlying data which feeds them
* Lead execution of modeling and machine learning projects that focus on internal team collaboration with Data Scientists, Data Engineers, and Product Owners
* Assist in identifying and assessing the value of new data sources and analytical techniques to ensure ongoing competitive advantage
* Contribute to successful implementation of strategies to achieve targeted business objectives
* Develop knowledge of The Hartford's formal and informal structures, business processes, and data sources in your area of expertise
* Remain current on research techniques and become familiar with state\-of\-the\-art tools in generative AI
* Provide economic, qualitative, and statistical support to ensure accuracy of characteristics and metrics being applied to business decisions
* Learn/bring best practices to guide the direction of our Data Science and Data Engineering workflows
**Qualifications:**
* 5\+ years of relevant industry experience recommended
* Master’s or Ph.D. in Statistics, Applied Mathematics, Quantitative Economics, Actuarial Science, Data Science, Computer Science, or a similar analytical field; or progress towards a relevant professional designation
* Proficiency in statistical modeling, inference, and building machine learning algorithms in Python
* Proficiency in SQL and navigating databases to extract relevant attributes
* Proficiency in Unix and Git
* Proficiency in the end\-to\-end modeling lifecycle, from requirements gathering to monitoring and validation
* Experience building modeling solutions in cloud\-native environments, such as SageMaker, a plus
* Able to communicate effectively with both technical and non\-technical teams
* Able to translate complex technical topics into business solutions and strategies as well as turn business requirements into a technical solution
* Experience with leading project execution and driving change to core business processes through the innovative use of quantitative techniques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$110,720 \- $166,080
Equal Opportunity Employer/Sex/Race/Color/Veterans/Disability/Sexual Orientation/Gender Identity or Expression/Religion/Age</t>
        </is>
      </c>
    </row>
    <row r="128">
      <c r="A128" t="inlineStr">
        <is>
          <t>in-2e7a47873ba76a49</t>
        </is>
      </c>
      <c r="B128" t="inlineStr">
        <is>
          <t>Senior Data Scientist</t>
        </is>
      </c>
      <c r="C128" t="inlineStr">
        <is>
          <t>The Hartford</t>
        </is>
      </c>
      <c r="D128" t="inlineStr">
        <is>
          <t>indeed</t>
        </is>
      </c>
      <c r="E128">
        <f>HYPERLINK("https://www.indeed.com/viewjob?jk=2e7a47873ba76a49", "https://www.indeed.com/viewjob?jk=2e7a47873ba76a49")</f>
        <v/>
      </c>
      <c r="F128">
        <f>HYPERLINK("https://click.appcast.io/t/L2CedF_4bOe708aYQ7nU1NeDakimGSaTyUl4UJiMqxE=", "https://click.appcast.io/t/L2CedF_4bOe708aYQ7nU1NeDakimGSaTyUl4UJiMqxE=")</f>
        <v/>
      </c>
      <c r="G128" t="inlineStr">
        <is>
          <t>Charlotte, NC, US</t>
        </is>
      </c>
      <c r="H128" s="3" t="n">
        <v>46054</v>
      </c>
      <c r="I128" t="inlineStr">
        <is>
          <t>Sr Data Scientist \- GD07AE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seeks a Senior Data Scientist Employee Benefits Data Science, AI, and Analytics (DSAIA) to develop machine learning solutions supporting actuarial pricing, underwriting, and reserving modeling.
The Employee Benefits DSAIA team is a rapidly growing team focused on providing deep insight, automation, and augmentation across the policy lifecycle for Employee Benefits customers and internal business stakeholders. The EB DSAIA team supports a portfolio across the EB lifecycle, from sales and underwriting to policy installation, renewal, and everything in between.
As a Senior Data Scientist in the Employee Benefits DSAIA team, you will participate in the entire solution lifecycle. You’ll partner with cross\-functional business and technical partners to understand business strategies and design, develop, implement, and evolve modeling solutions. We use the latest generative models, machine learning methods, MLOps deployment methods, and Agile delivery frameworks to build innovative and efficient solutions that maximize business value. This cutting\-edge and forward\-focused organization presents the opportunity for collaboration, self\-organization within the team, influencing decision\-making, and visibility as we focus on continuous business value delivery.
This role will have a Hybrid work schedule, with the expectation of working in an office (Columbus, OH, Chicago, IL, Hartford, CT or Charlotte, NC) 3 days a week (Tuesday through Thursday).
**Responsibilities:**
* Create statistical models, algorithms, and machine learning techniques to achieve financial objectives, solve business problems, and identify long term opportunities that improve the customer journey
* Collaborate and partner with business stakeholders in a way that supports and sustains a culture that treats analytics as a corporate asset
* Partner with Actuarial and Data teams to monitor and manage the End\-to\-End lifecycle of the rating models and underlying data which feeds them
* Lead execution of modeling and machine learning projects that focus on internal team collaboration with Data Scientists, Data Engineers, and Product Owners
* Assist in identifying and assessing the value of new data sources and analytical techniques to ensure ongoing competitive advantage
* Contribute to successful implementation of strategies to achieve targeted business objectives
* Develop knowledge of The Hartford's formal and informal structures, business processes, and data sources in your area of expertise
* Remain current on research techniques and become familiar with state\-of\-the\-art tools in generative AI
* Provide economic, qualitative, and statistical support to ensure accuracy of characteristics and metrics being applied to business decisions
* Learn/bring best practices to guide the direction of our Data Science and Data Engineering workflows
**Qualifications:**
* 5\+ years of relevant industry experience recommended
* Master’s or Ph.D. in Statistics, Applied Mathematics, Quantitative Economics, Actuarial Science, Data Science, Computer Science, or a similar analytical field; or progress towards a relevant professional designation
* Proficiency in statistical modeling, inference, and building machine learning algorithms in Python
* Proficiency in SQL and navigating databases to extract relevant attributes
* Proficiency in Unix and Git
* Proficiency in the end\-to\-end modeling lifecycle, from requirements gathering to monitoring and validation
* Experience building modeling solutions in cloud\-native environments, such as SageMaker, a plus
* Able to communicate effectively with both technical and non\-technical teams
* Able to translate complex technical topics into business solutions and strategies as well as turn business requirements into a technical solution
* Experience with leading project execution and driving change to core business processes through the innovative use of quantitative techniques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$110,720 \- $166,080
Equal Opportunity Employer/Sex/Race/Color/Veterans/Disability/Sexual Orientation/Gender Identity or Expression/Religion/Age</t>
        </is>
      </c>
    </row>
    <row r="129">
      <c r="A129" t="inlineStr">
        <is>
          <t>in-975fb26894e1ef83</t>
        </is>
      </c>
      <c r="B129" t="inlineStr">
        <is>
          <t>Data Scientist 1- Data Engineer</t>
        </is>
      </c>
      <c r="C129" t="inlineStr">
        <is>
          <t>Truist</t>
        </is>
      </c>
      <c r="D129" t="inlineStr">
        <is>
          <t>indeed</t>
        </is>
      </c>
      <c r="E129">
        <f>HYPERLINK("https://www.indeed.com/viewjob?jk=975fb26894e1ef83", "https://www.indeed.com/viewjob?jk=975fb26894e1ef83")</f>
        <v/>
      </c>
      <c r="F129">
        <f>HYPERLINK("https://careers.truist.com/us/en/job/TBJTBFUSR0110887EXTERNALENUS/Data-Scientist-1-Data-Engineer?utm_source=indeed&amp;utm_medium=phenom-feeds", "https://careers.truist.com/us/en/job/TBJTBFUSR0110887EXTERNALENUS/Data-Scientist-1-Data-Engineer?utm_source=indeed&amp;utm_medium=phenom-feeds")</f>
        <v/>
      </c>
      <c r="G129" t="inlineStr">
        <is>
          <t>Atlanta, GA, US</t>
        </is>
      </c>
      <c r="H129" s="3" t="n">
        <v>46054</v>
      </c>
      <c r="I129"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Apply advanced analytical and statistical methods to convert complex data into clear, actionable insights that enhance business performance and reduce enterprise risk. This role requires strong data manipulation skills and hands\-on experience working with large datasets across multiple platforms. Candidates should have 2\+ years of experience using SAS, SQL, Python, and Excel, along with a solid understanding of database structures and data warehousing concepts. The individual will collaborate with cross\-functional teams to identify trends, optimize processes, and support data driven decision\-making across the organization.  
LOCATION:  
Please note that candidate must be located in \*or\* willing to self\-relocate to one of the following locations:  
Charlotte, NC  
Atlanta, GA  
Truist 'in office' requirement is 5 days per week. No full remote or relocation assistance available at this time.**ESSENTIAL DUTIES AND RESPONSIBILITIES**  
Following is a summary of the essential functions for this job. Other duties may be performed, both major and minor, which are not mentioned below. Specific activities may change from time to time.  
1\. Independently perform sophisticated data analytics (ranging from classical econometrics to machine learning, neural networks, and natural language processing) in a variety of environments using structured and unstructured data.  
2\. Produce compelling data visualizations to communicate insights and influence outcomes among a wide array of stakeholders.  
3\. Take accountability and ownership of end\-to\-end data science solution design, technical delivery, and measurable business outcome.  
4\. Engage in stakeholder meetings to identify business objectives and scope solution requirements.  
5\. With minimal guidance, write, document, and deploy custom code in a variety of environments (Python, SAS, R, etc.) to create predictive analytics applications.  
6\. Use, maintain, share and collaborate through Truist internal code repositories to foster continual learning and cross\-pollination of skillsets.  
7\. Actively research and advocate adoption of emerging methods and technologies in the data science field, with the eye of continually advancing Truist’s capabilities.  
8\. Exercise sound judgment and fosters risk management culture throughout design, development, and deployment practices; partner with cross\-functional teams to coordinate rules on data usage, data governance and analytics capabilities.
 **QUALIFICATIONS**  
**Required Qualifications:**  
The requirements listed below are representative of the knowledge, skill and/or ability required. Reasonable accommodations may be made to enable individuals with disabilities to perform the essential functions.  
1\. Bachelor’s degree and zero to four or more years of experience in a quantitative field such as Finance, Mathematics, Analytics, Data Science, Computer Science, or Engineering, or equivalent education and related training  
2\. Exhibit understanding of statistical methods, including a broad understanding of classical statistics, probability theory, econometrics, time\-series, and primary statistical tests  
3\. Familiarity with linear algebra concepts for optimization, complex matrix operations, eigenvalue decompositions, and principal components; working knowledge of calculus/differential equations, with understanding of stochastic processes  
4\. Demonstrate understanding of data cleansing and preparation methodologies, including regex, filtering, indexing, interpolation, and outlier treatment  
5\. Strong familiarity with data extraction in a variety of environments (SQL, JQuery, etc.)  
6\. Working knowledge of Hadoop, Pig, Hive, and/or NoSQL, Spark  
7\. Experience in managing multiple projects with tight deadlines in a collaborative environment
**Preferred Qualifications:**  
1\. Master’s degree or MBA and 3 years of related experience.
2\. Strong understanding of database languages (SQL), spreadsheet, and data analysis tools (Excel, SAS, and or Python).  
3\. Previous experience in the banking industry.
 **OTHER JOB REQUIREMENTS / WORKING CONDITIONS**
**Sitting**  
Constantly (More than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30">
      <c r="A130" t="inlineStr">
        <is>
          <t>in-23b2c6805bf11457</t>
        </is>
      </c>
      <c r="B130" t="inlineStr">
        <is>
          <t>Data Scientist II (US)</t>
        </is>
      </c>
      <c r="C130" t="inlineStr">
        <is>
          <t>TD Bank</t>
        </is>
      </c>
      <c r="D130" t="inlineStr">
        <is>
          <t>indeed</t>
        </is>
      </c>
      <c r="E130">
        <f>HYPERLINK("https://www.indeed.com/viewjob?jk=23b2c6805bf11457", "https://www.indeed.com/viewjob?jk=23b2c6805bf11457")</f>
        <v/>
      </c>
      <c r="F130">
        <f>HYPERLINK("https://td.wd3.myworkdayjobs.com/en-US/TD_Bank_Careers/job/New-York-New-York/Data-Scientist-II--US-_R_1451232", "https://td.wd3.myworkdayjobs.com/en-US/TD_Bank_Careers/job/New-York-New-York/Data-Scientist-II--US-_R_1451232")</f>
        <v/>
      </c>
      <c r="G130" t="inlineStr">
        <is>
          <t>New York, NY, US</t>
        </is>
      </c>
      <c r="H130" s="3" t="n">
        <v>46054</v>
      </c>
      <c r="I130" t="inlineStr">
        <is>
          <t>**Work Location:**
New York, New York, United States of America
**Hours:**
40
**Pay Details:**
$76,290 \- $125,260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Analytics, Insights, \&amp; Artificial Intelligence
**Job Description:**
**Department Overview:**
**Why Work with Us?**
At TD Bank US Compliance, we're on a mission to build a more resilient and scalable compliance risk management function. As part of our team, you'll play a key role in reshaping compliance structures and processes, driving innovation at every level. Here, each team member has a chance to make a tangible impact – both in day\-to\-day operations and in the design of a future\-focused compliance program. This not just about implementing a new program – it's about creating a culture of compliance that will cascade throughout the organization.
**The Ideal Candidate**
The ideal candidate will thrive in a fast\-paced, start\-up\-like setting as we build a new compliance structure that aligns with the bank’s size, complexity, and risk profile. In this role, you’ll need to be strategic, tactical, collaborative and creative in your approach. You will manage day\-to\-day operations while also helping design and implement a forward\-thinking compliance program for the future.
Beyond technical expertise, we’re looking for someone with an entrepreneurial mindset—someone who can "roll up their sleeves", takes the initiative and can anticipate needs before they arise. A comfort level with ambiguity and the ability to excel in a dynamic, evolving landscape are essential as the US Compliance team redefines the bank's compliance program and structure.
Most importantly, the right candidate is seeking an intellectual challenge, has a desire to learn, and is committed to building something impactful from the ground up. At TD Bank, you’ll have the unique opportunity to help shape the future of the bank while collaborating with a team of enthusiastic colleagues dedicated to setting new industry standards.
The Fair Banking Compliance team oversees the governance and analytical processes to assure that predictive models and lending practices are fair and responsible. The Fair Banking Compliance analytics team is seeking a qualified Data Scientist II who will perform the quantitative analysis, model development, model review and related research to meet the business requirements of the team. This is a critical role in the oversight and review of models to ensure fair banking compliance. The incumbent of this role must have a strong working knowledge of building quantitative models, performing data analysis, recommending statistical tests, researching metrics and presenting results of data analysis. The role requires excellent verbal and written communication skills to communicate effectively with business partners.
**Key Responsibilities:**
* Develop\\Review models (traditional regressions as well as AI/ML based) to ensure fair banking compliance
* Perform quantitative analysis to identify fair lending risks
* Identify potential alternative ways to mitigate fair lending bias arising from models/policies
* Develop specialized analytical tools for projects or ongoing use
* Compile and generate ad\-hoc analytical reports
* Lead research efforts, applying expertise in statistical analysis and modeling
* Provide advisory support to line of business model owners regarding best practices for compliance guided by policies and industry standards/methods
* Lead cross\-functional teams or projects with significant complexity
* Independently manage end\-to\-end functional programs
* Use sophisticated analytical mindset to exercise judgement and identify solutions
* Communicate complex results to non\-technical audience
* Work autonomously as the lead and guide others within the area of expertise
* Independently handle multiple projects and prioritize based on changing business needs
**The above details are specific to the role which is outlined in the general description below. Please review the preferred background and experience section below in as you consider this opportunity.**
**Job Description Summary:**
The Data Scientist I is responsible for collecting data and using wide range of data science techniques, including but not limited to data wrangling, profiling and visualization, statistical inference, to uncover actionable insights or build analytics solutions that guide decision making and strategic planning.
**Depth \&amp; Scope:**
* Experienced professional role providing specialized guidance/assistance to function supported
* Focuses on short to medium\-term non\-routine specialized/ fewer complex issues and/or initial escalated matters
* Independently perform activities from end\-to\-end
**Education \&amp; Experience:**
* Undergraduate degree or advanced technical degree preferred (e.g., math, physics, engineering, finance or computer science) Graduate's degree preferred with either progressive project work experience, or;
* Past relevant work experience is a plus
**Desired Skills and Experience:**
* Graduate degree in a quantitative field is a plus. Research experience is a plus.
* 2\+ years of relevant work experience within a big bank.
* Demonstrated experience in development of predictive models using Python
* In\-depth knowledge of quantitative models and statistical analysis,
* Experience working with AI/ML based models. Proficiency in Python to be able to code multi objective optimization algorithms and display charts.
* Experience working with databases/datasets and data visualization tools (Tableau/Power BI)
* Strong communications skills, both written and verbal. Strong presentation skills
* Strong interpersonal and consultative communication skills with well\-developed presentation skills
**Customer Accountabilities:**
* Understands business context and data infrastructure and translates business problems to viable data science solutions
* Uses a wide range of programing languages (e.g. Python) and techniques for extracting and preparing data, applying statistics and various advanced analytics, along with business acumen to extract insights from the big data
* Visualizes insights from the data to tell and illustrate stories that clearly convey the meaning of results to decision\-makers and stakeholders at every level of technical understanding
* Collaborate with other partners, such as data and business analysts, software engineers, data engineers, and application developers to develop scalable and sustainable data science solutions that retains long term benefit to the business
**Shareholder Accountabilities:**
* Solicits and offers ideas for improving business processes through insights with the objective of improving effectiveness and efficiency
* Educates the organization on approaches, such as testing hypotheses and statistical validation of result
* Helps the organization understand the principles and the math behind the scientist process to drive organizational alignment
* Translates up to date information into continuous improvement activities that enhance performance
* Contributes to various operational activities and processes as assigned
* Is knowledgeable of practices and procedures within own area of responsibility and keeps abreast of emerging trends for own functional area
* Monitors service, productivity and assesses efficiency levels within own function and implements continuous process/performance improvements where opportunities exist
* Acquires and applies expertise in the discipline, provides guidance, assistance and direction to others
* Identifies, recommends and effectively executes standard practices applicable to the discipline
* Adheres to internal policies/procedures and applicable regulatory guidelines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issues/points of interest
* Supports the team by continuously enhancing knowledge/expertise in own area and participates in knowledge transfer within the team and business unit
* Keeps current on emerging trends/developments and grows knowledge of the business, related tools and techniques
* Participates in personal performance management and development activities, including cross training within own team
* Keeps others informed and up to date about the status/progress of projects and/or all relevant or useful information related to day\-to\-day activities
* Contributes to the success of the team by willingly assisting others in the completion and performance of work activities; provides training, coaching and/or guidance as appropriate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row>
    <row r="131">
      <c r="A131" t="inlineStr">
        <is>
          <t>in-4f928b340e93aa07</t>
        </is>
      </c>
      <c r="B131" t="inlineStr">
        <is>
          <t>Data Scientist - Level I - McLean, VA</t>
        </is>
      </c>
      <c r="C131" t="inlineStr">
        <is>
          <t>Lucayan Technology Solutions LLC</t>
        </is>
      </c>
      <c r="D131" t="inlineStr">
        <is>
          <t>indeed</t>
        </is>
      </c>
      <c r="E131">
        <f>HYPERLINK("https://www.indeed.com/viewjob?jk=4f928b340e93aa07", "https://www.indeed.com/viewjob?jk=4f928b340e93aa07")</f>
        <v/>
      </c>
      <c r="F131">
        <f>HYPERLINK("https://ats.rippling.com/lucayan-technology-solutions-llc/jobs/43c66c3f-50b9-4e1f-8d6e-718b05253b5b?jobSite=Indeed", "https://ats.rippling.com/lucayan-technology-solutions-llc/jobs/43c66c3f-50b9-4e1f-8d6e-718b05253b5b?jobSite=Indeed")</f>
        <v/>
      </c>
      <c r="G131" t="inlineStr">
        <is>
          <t>McLean, VA, US</t>
        </is>
      </c>
      <c r="H131" s="3" t="n">
        <v>46055</v>
      </c>
      <c r="I131" t="inlineStr">
        <is>
          <t>**About Lucayan Technology Solutions LLC**
At Lucayan Technology Solutions LLC, we deliver secure, innovative solutions in support of national defense and intelligence missions. As a trusted government contracting partner, we provide top\-tier intelligence and technology services that safeguard our nation. Our team is mission\-driven, and we are committed to building careers that matter.
 McLean, Virginia \| Full\-Time \| TS/SCI with Polygraph \| Onsite
 **Overview**
Lucayan Technology LLC is seeking a talented **Data Scientist** to join our growing team in **McLean, VA**. As a Data Scientist with Lucayan, you will apply advanced data science techniques to extract insights from complex datasets, support mission\-critical decision\-making, and deliver innovative analytics for the Intelligence Community.
### **What You’ll Do**
* Collect, clean, and analyze **large, complex datasets** from diverse sources.
* Develop and implement **machine learning models, predictive analytics, and statistical algorithms**.
* Evaluate and optimize models for accuracy and scalability.
* Communicate analytic insights and recommendations to stakeholders and leadership.
* Design visualizations, dashboards, and reports to present findings effectively.
* Collaborate with engineers, analysts, and mission teams to solve operational challenges.
* Stay up to date on **data science and AI/ML trends** to deliver innovative solutions.
### **Do You Have What It Takes?**
**Required:**
* **Active** **TS/SCI with Polygraph****.**
* Bachelor’s degree in a quantitative field (Data Science, Math, Statistics, Computer Science).
* **3\+ years** **of experience** in data science, analytics, AI/ML, or quantitative analysis.
* Proficiency with **Python, R, SQL/PostgreSQL, GitLab**.
* Hands\-on experience analyzing **large\-scale datasets**.
* Experience with **Palantir Foundry/Gotham** tools.
* Ability to convey complex data insights to non\-technical audiences.
**Preferred:**
* Experience with telecommunications metadata analysis.
* Exposure to **SIGINT, counterintelligence, or cyber operations**.
* Familiarity with **cloud platforms** (AWS, Spark, Kafka).
* Experience with Agile project workflows (Scrum, Jira, Confluence).</t>
        </is>
      </c>
    </row>
    <row r="132">
      <c r="A132" t="inlineStr">
        <is>
          <t>in-03ab720952fc1d4c</t>
        </is>
      </c>
      <c r="B132" t="inlineStr">
        <is>
          <t>Sr. Data Scientist, Marketing</t>
        </is>
      </c>
      <c r="C132" t="inlineStr">
        <is>
          <t>Terminix</t>
        </is>
      </c>
      <c r="D132" t="inlineStr">
        <is>
          <t>indeed</t>
        </is>
      </c>
      <c r="E132">
        <f>HYPERLINK("https://www.indeed.com/viewjob?jk=03ab720952fc1d4c", "https://www.indeed.com/viewjob?jk=03ab720952fc1d4c")</f>
        <v/>
      </c>
      <c r="F132">
        <f>HYPERLINK("https://terminix.wd1.myworkdayjobs.com/RentokilNorthAmerica/job/Chicago-Illinois/Sr-Data-Scientist--Marketing_R-063859", "https://terminix.wd1.myworkdayjobs.com/RentokilNorthAmerica/job/Chicago-Illinois/Sr-Data-Scientist--Marketing_R-063859")</f>
        <v/>
      </c>
      <c r="G132" t="inlineStr">
        <is>
          <t>Atlanta, GA, US</t>
        </is>
      </c>
      <c r="H132" s="3" t="n">
        <v>46054</v>
      </c>
      <c r="I132" t="inlineStr">
        <is>
          <t>**Benefits Start Day 1 for Full\-Time Colleagues \- No Waiting Period!**
*For more information about our benefits, see below!*
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
* Must be US Citizen or Green Card Holder to Apply
As a Senior Data Scientist, you will leverage your analytical and technical expertise to solve complex real\-world business problems. Working closely with marketing stakeholders, you will drive organic growth and optimization through the development and deployment of advanced AI/ML solutions. This role covers the full data lifecycle—from collecting, cleaning, and interpreting data to building robust models. Beyond execution, you will serve as a thought leader in the marketing domain, proactively introducing innovative concepts and data\-driven strategies to achieve our business goals.
**Duties \&amp; Responsibilities**
Technical Leadership \&amp; Strategy
* Independently lead the planning and execution of data science initiatives across multiple projects and functional areas.
* Mentor and coach junior team members on best practices in model architecture, coding standards, and testing methodologies.
* Evaluate and recommend new data sources, tools, and emerging technologies to keep the organization at the forefront of AI/ML innovation.
* Define project objectives by translating high\-level business goals into concrete technical requirements in collaboration with stakeholders.
Advanced Modeling \&amp; Analytics
* Design, develop, and validate robust machine learning models (including Supervised, Unsupervised, Ensemble methods, and Time\-series forecasting) to solve specific business problems.
* Apply advanced statistical techniques to perform classification, clustering, hypothesis testing, and predictive analysis.
* Conduct rigorous Exploratory Data Analysis (EDA) to identify hidden patterns, anomalies, and trends within large datasets.
* Drive experimentation (e.g., A/B testing) to measure the impact of model deployment and marketing strategies.
Data Engineering \&amp; MLOps
* Architect data pipelines for the collection, cleaning, and preprocessing of complex, high\-volume datasets from disparate sources.
* Oversee the deployment lifecycle, ensuring models are successfully integrated into production environments and monitored for performance drift.
* Maintain engineering excellence by documenting code, methodologies, and results clearly, ensuring reproducibility and scalability.
Communication \&amp; Business Impact
* Transform complex data into clear, actionable insights for non\-technical stakeholders using data visualizations, dashboards, and executive reports.
* Drive product innovation by contributing directly to the development of data\-driven features and marketing optimization tools.
* Act as a bridge between technical and non\-technical teams, ensuring data solutions align directly with marketing and organic growth KPIs.
**Candidate Requirements**
**Education**
* Bachelors, Master’s or PhD in Computer Science, Statistics, Mathematics, or a related quantitative field
**Experience**
* 8\+ years of relevant experience in data analysis, statistical modeling, and machine learning application.
**Skills \&amp; Competencies**
Technical Mastery
* Advanced proficiency in Python or R, with expert\-level knowledge of standard libraries (e.g., Pandas, NumPy, SciPy, Scikit\-Learn in Python; dplyr, tidyr, ggplot2 in R).
* Deep understanding of statistical concepts, probability theory, and experimental design (A/B testing, hypothesis testing).
* Extensive experience with ML algorithms, including linear/logistic regression, classification, clustering, dimensionality reduction, and ensemble methods.
* Advanced SQL skills with a strong understanding of database architecture and complex query optimization.
Data Intelligence \&amp; Strategy
* Proven ability to handle imperfect data, possessing strong analytical skills to clean, structure, and extract value from noisy or unstructured datasets.
* Data Visualization expertise using tools such as Matplotlib, Seaborn, Plotly, or Tableau to convey complex patterns simply.
Communication \&amp; Collaboration
* Excellent written and verbal communication, with a specific talent for translating technical findings into business implications for non\-technical leadership.
* Collaborative mindset with the ability to work independently on complex tasks while coordinating with cross\-functional teams.
* Growth mindset, demonstrating a continuous passion for learning new technologies in the rapidly evolving data science landscape.
Additional Qualifications
* Cloud \&amp; Big Data: Hands\-on experience with cloud platforms (AWS, Azure, GCP) and big data technologies (Spark, Hadoop, Databricks).
* MLOps \&amp; Engineering: Experience using version control (Git) in a team setting and deploying machine learning models into production environments (Docker, Kubernetes, CI/CD).
* Domain Knowledge: Prior experience in, e.g., Digital Marketing, Subscription business or home services industry is highly desirable.
**Base Pay Range**
------------------
Yearly: $120,000\.00 \- $150,000\.00
While starting pay falls within the given range, it can vary based on factors like geographic location, skills, education, and experience. Total earnings may also be affected by overtime, incentives, commissions, performance, and route assignment (where applicable).
**Why Choose Us?**  
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  
Below you'll find information about some of what we have to offer. All Full\-Time Colleagues qualify for the following and Part\-Time Colleagues qualify for most benefits after they meet certain criteria.  
Click here to read more about our Total Rewards Program which includes:  
**Professional and Personal Growth**
* Multiple avenues to grow your career
* Training and development programs available
* Tuition Reimbursement benefits (for FT Colleagues)
 **Health and Wellness**
* Full\-time colleagues are eligible to begin enrollment immediately upon hire with benefits starting on day 1
* Health benefits including Medical, Dental, Vision, Disability, and Life Insurance plus much more
 **Savings and Retirement**
* 401(k) retirement plan with company\-matching contributions
**Work\-Life Balance**
* Vacation days \&amp; sick days
* Company\-paid holidays \&amp; floating holidays
* A company mindset that prioritizes health, safety, and flexibility
We are looking for individuals who want to make a difference where our customers live and work. Is that you?
This company is a Drug Free workplace.
Rentokil is committed to complying with all Federal, State, and local laws related to the employment of qualified individuals with disabilities.
California residents click here to review your privacy rights.
It is unlawful in Massachusetts to require or administer a lie detector test as a condition of employment or continued employment. An employer who violates this law shall be subject to criminal penalties and civil liability.
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t>
        </is>
      </c>
    </row>
    <row r="133">
      <c r="A133" t="inlineStr">
        <is>
          <t>in-8198ada672d19e1c</t>
        </is>
      </c>
      <c r="B133" t="inlineStr">
        <is>
          <t>Sr. Data Scientist, Marketing</t>
        </is>
      </c>
      <c r="C133" t="inlineStr">
        <is>
          <t>Terminix</t>
        </is>
      </c>
      <c r="D133" t="inlineStr">
        <is>
          <t>indeed</t>
        </is>
      </c>
      <c r="E133">
        <f>HYPERLINK("https://www.indeed.com/viewjob?jk=8198ada672d19e1c", "https://www.indeed.com/viewjob?jk=8198ada672d19e1c")</f>
        <v/>
      </c>
      <c r="F133">
        <f>HYPERLINK("https://terminix.wd1.myworkdayjobs.com/RentokilNorthAmerica/job/Chicago-Illinois/Sr-Data-Scientist--Marketing_R-063859", "https://terminix.wd1.myworkdayjobs.com/RentokilNorthAmerica/job/Chicago-Illinois/Sr-Data-Scientist--Marketing_R-063859")</f>
        <v/>
      </c>
      <c r="G133" t="inlineStr">
        <is>
          <t>Chicago, IL, US</t>
        </is>
      </c>
      <c r="H133" s="3" t="n">
        <v>46054</v>
      </c>
      <c r="I133" t="inlineStr">
        <is>
          <t>**Benefits Start Day 1 for Full\-Time Colleagues \- No Waiting Period!**
*For more information about our benefits, see below!*
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
* Must be US Citizen or Green Card Holder to Apply
As a Senior Data Scientist, you will leverage your analytical and technical expertise to solve complex real\-world business problems. Working closely with marketing stakeholders, you will drive organic growth and optimization through the development and deployment of advanced AI/ML solutions. This role covers the full data lifecycle—from collecting, cleaning, and interpreting data to building robust models. Beyond execution, you will serve as a thought leader in the marketing domain, proactively introducing innovative concepts and data\-driven strategies to achieve our business goals.
**Duties \&amp; Responsibilities**
Technical Leadership \&amp; Strategy
* Independently lead the planning and execution of data science initiatives across multiple projects and functional areas.
* Mentor and coach junior team members on best practices in model architecture, coding standards, and testing methodologies.
* Evaluate and recommend new data sources, tools, and emerging technologies to keep the organization at the forefront of AI/ML innovation.
* Define project objectives by translating high\-level business goals into concrete technical requirements in collaboration with stakeholders.
Advanced Modeling \&amp; Analytics
* Design, develop, and validate robust machine learning models (including Supervised, Unsupervised, Ensemble methods, and Time\-series forecasting) to solve specific business problems.
* Apply advanced statistical techniques to perform classification, clustering, hypothesis testing, and predictive analysis.
* Conduct rigorous Exploratory Data Analysis (EDA) to identify hidden patterns, anomalies, and trends within large datasets.
* Drive experimentation (e.g., A/B testing) to measure the impact of model deployment and marketing strategies.
Data Engineering \&amp; MLOps
* Architect data pipelines for the collection, cleaning, and preprocessing of complex, high\-volume datasets from disparate sources.
* Oversee the deployment lifecycle, ensuring models are successfully integrated into production environments and monitored for performance drift.
* Maintain engineering excellence by documenting code, methodologies, and results clearly, ensuring reproducibility and scalability.
Communication \&amp; Business Impact
* Transform complex data into clear, actionable insights for non\-technical stakeholders using data visualizations, dashboards, and executive reports.
* Drive product innovation by contributing directly to the development of data\-driven features and marketing optimization tools.
* Act as a bridge between technical and non\-technical teams, ensuring data solutions align directly with marketing and organic growth KPIs.
**Candidate Requirements**
**Education**
* Bachelors, Master’s or PhD in Computer Science, Statistics, Mathematics, or a related quantitative field
**Experience**
* 8\+ years of relevant experience in data analysis, statistical modeling, and machine learning application.
**Skills \&amp; Competencies**
Technical Mastery
* Advanced proficiency in Python or R, with expert\-level knowledge of standard libraries (e.g., Pandas, NumPy, SciPy, Scikit\-Learn in Python; dplyr, tidyr, ggplot2 in R).
* Deep understanding of statistical concepts, probability theory, and experimental design (A/B testing, hypothesis testing).
* Extensive experience with ML algorithms, including linear/logistic regression, classification, clustering, dimensionality reduction, and ensemble methods.
* Advanced SQL skills with a strong understanding of database architecture and complex query optimization.
Data Intelligence \&amp; Strategy
* Proven ability to handle imperfect data, possessing strong analytical skills to clean, structure, and extract value from noisy or unstructured datasets.
* Data Visualization expertise using tools such as Matplotlib, Seaborn, Plotly, or Tableau to convey complex patterns simply.
Communication \&amp; Collaboration
* Excellent written and verbal communication, with a specific talent for translating technical findings into business implications for non\-technical leadership.
* Collaborative mindset with the ability to work independently on complex tasks while coordinating with cross\-functional teams.
* Growth mindset, demonstrating a continuous passion for learning new technologies in the rapidly evolving data science landscape.
Additional Qualifications
* Cloud \&amp; Big Data: Hands\-on experience with cloud platforms (AWS, Azure, GCP) and big data technologies (Spark, Hadoop, Databricks).
* MLOps \&amp; Engineering: Experience using version control (Git) in a team setting and deploying machine learning models into production environments (Docker, Kubernetes, CI/CD).
* Domain Knowledge: Prior experience in, e.g., Digital Marketing, Subscription business or home services industry is highly desirable.
**Base Pay Range**
------------------
Yearly: $120,000\.00 \- $150,000\.00
While starting pay falls within the given range, it can vary based on factors like geographic location, skills, education, and experience. Total earnings may also be affected by overtime, incentives, commissions, performance, and route assignment (where applicable).
**Why Choose Us?**  
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  
Below you'll find information about some of what we have to offer. All Full\-Time Colleagues qualify for the following and Part\-Time Colleagues qualify for most benefits after they meet certain criteria.  
Click here to read more about our Total Rewards Program which includes:  
**Professional and Personal Growth**
* Multiple avenues to grow your career
* Training and development programs available
* Tuition Reimbursement benefits (for FT Colleagues)
 **Health and Wellness**
* Full\-time colleagues are eligible to begin enrollment immediately upon hire with benefits starting on day 1
* Health benefits including Medical, Dental, Vision, Disability, and Life Insurance plus much more
 **Savings and Retirement**
* 401(k) retirement plan with company\-matching contributions
**Work\-Life Balance**
* Vacation days \&amp; sick days
* Company\-paid holidays \&amp; floating holidays
* A company mindset that prioritizes health, safety, and flexibility
We are looking for individuals who want to make a difference where our customers live and work. Is that you?
This company is a Drug Free workplace.
Rentokil is committed to complying with all Federal, State, and local laws related to the employment of qualified individuals with disabilities.
California residents click here to review your privacy rights.
It is unlawful in Massachusetts to require or administer a lie detector test as a condition of employment or continued employment. An employer who violates this law shall be subject to criminal penalties and civil liability.
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t>
        </is>
      </c>
    </row>
    <row r="134">
      <c r="A134" t="inlineStr">
        <is>
          <t>in-5768a0fff88f5373</t>
        </is>
      </c>
      <c r="B134" t="inlineStr">
        <is>
          <t>Senior Data Scientist</t>
        </is>
      </c>
      <c r="C134" t="inlineStr">
        <is>
          <t>Innovaccer</t>
        </is>
      </c>
      <c r="D134" t="inlineStr">
        <is>
          <t>indeed</t>
        </is>
      </c>
      <c r="E134">
        <f>HYPERLINK("https://www.indeed.com/viewjob?jk=5768a0fff88f5373", "https://www.indeed.com/viewjob?jk=5768a0fff88f5373")</f>
        <v/>
      </c>
      <c r="F134">
        <f>HYPERLINK("https://apply.workable.com/innovaccer-analytics/j/DC76E07897/", "https://apply.workable.com/innovaccer-analytics/j/DC76E07897/")</f>
        <v/>
      </c>
      <c r="G134" t="inlineStr">
        <is>
          <t>US</t>
        </is>
      </c>
      <c r="H134" s="3" t="n">
        <v>46054</v>
      </c>
      <c r="I134" t="inlineStr">
        <is>
          <t>**About the Role**
The technology that once promised to simplify patient care has brought more issues than anyone ever anticipated. At Innovaccer, we defeat this beast by making full use of all the data Healthcare has worked so hard to collect, and replacing long\-standing problems with ideal solutions.
Data is our bread and butter for innovation. We are looking for a Senior Data Scientist who understands healthcare data and can leverage the data to build algorithms to personalize treatments based on the clinical and behavioral history of patients. We are looking for a superstar who will define and build the next generation of predictive analytics tools in healthcare
**A Day in the Life**
* Design and lead the development of various artificial intelligence initiatives to help improve health and wellness of patients
* Work with the business leaders and customers to understand their pain\-points and build large\-scale solutions for them.
* Define technical architecture to productize Innovaccer’s machine\-learning algorithms and take them to market with partnerships with different organizations
* Proven ability to break down complex business problems into machine learning problems and design solution workflows.
* Work with our data platform and applications team to help them successfully integrate the data science capability or algorithms in their product/workflows.
* Work with development teams to build tools for repeatable data tasks that will accelerate and automate development cycle.
* Stay updated on advancements in AI/ML technologies and apply them to enhance existing systems.
**What You Need**
* Preferably Masters in Computer Science, Computer Engineering or other relevant fields (PhD Preferred)
* 3\+ years of experience in Data Science (healthcare experience will be a plus)
* Has proven experience in statistical and classical machine learning techniques and possess a customer\-focused attitude through conversations and documentation
* Strong hands\-on experience in Python \- building enterprise applications along with optimization techniques.
* Proficiency in crafting and optimizing SQL queries \[Experience with Snowflake preferred]
* Should have hands\-on experience with deep learning frameworks.
+ Pytorch
+ HuggingFace transformers
* Deep experience in classical and new age NLP techniques \- must have either trained or fine tuned a transformer architecture from scratch. \[Experience with T5 preferred]
* Understanding new age fine tuning techniques like PEFT \[experience with LoRA and QLoRA preferred]
* Has worked on distributed GPU training architectures
* Demonstrate experience with global and local model explainability using LIME, SHAP and associated techniques.
* Hands on experience with at least one ML platform from amongst Databricks, Azure ML, Sagemaker
* Good to have \- Hands on experience in API frameworks leveraging their capabilities for developing robust web applications. \[Experience with either FastAPI or Django preferred]
* Good to have \- Comfortable with AWS cloud technologies
We offer competitive benefits to set you up for success in and outside of work.  
**Here’s What We Offer**
* **Generous Paid Time Off:** Recharge and relax with 22 days of fixed time off per year, in addition to company holidays—because we believe work\-life balance fuels performance.
* **Best\-in\-Class Parental Leave:** Spend quality time with your growing family. We offer one of the industry’s most generous parental leave policies to support you during life’s most important moments.
* **Recognition \&amp; Rewards:** We celebrate wins—big and small. Get rewarded with monetary incentives and company\-wide recognition for your impact and dedication. Your hard work won’t go unnoticed.
* **Comprehensive Insurance Coverage:** Stay covered with medical, dental, and vision insurance, plus 100% company\-paid short\- and long\-term disability and basic life insurance. Optional perks include discounted legal aid and pet insurance.
Innovaccer Inc. is an equal opportunity employer. We celebrate diversity and are committed to fostering an inclusive workplace where all employees feel valued and empowered regardless of any characteristic protected by federal, state or local law including, without limitation, race, color, religion, gender, gender identity or expression, sexual orientation, national origin, genetics, medical condition, disability, age, marital status, or veteran status. Innovaccer Inc. participates in the E\-Verify program to confirm employment eligibility of all newly hired employees based out of the U.S. and employed by Innovaccer Inc.
 **Disclaimer:**
Innovaccer does not charge fees or require payment from individuals or agencies for securing employment with us. We do not guarantee job spots or engage in any financial transactions related to employment. If you encounter any posts or requests asking for payment or personal information, we strongly advise you to report them immediately to our HR department at px@innovaccer.com. Additionally, please exercise caution and verify the authenticity of any requests before disclosing personal and confidential information, including bank account details.
 **About Innovaccer**
Innovaccer activates the flow of healthcare data, empowering providers, payers, and government organizations to deliver intelligent and connected experiences that advance health outcomes. The Healthcare Intelligence Cloud equips every stakeholder in the patient journey to turn fragmented data into proactive, coordinated actions that elevate the quality of care and drive operational performance. Leading healthcare organizations like CommonSpirit Health, Atlantic Health, and Banner Health trust Innovaccer to integrate a system of intelligence into their existing infrastructure, extending the human touch in healthcare. For more information, visit **www.innovaccer.com**.</t>
        </is>
      </c>
    </row>
    <row r="135">
      <c r="A135" t="inlineStr">
        <is>
          <t>in-ee4940e3684575cf</t>
        </is>
      </c>
      <c r="B135" t="inlineStr">
        <is>
          <t>Data Scientist - Computer Vision, Data &amp; Machine Learning (DML)</t>
        </is>
      </c>
      <c r="C135" t="inlineStr">
        <is>
          <t>Dhara Consulting Group</t>
        </is>
      </c>
      <c r="D135" t="inlineStr">
        <is>
          <t>indeed</t>
        </is>
      </c>
      <c r="E135">
        <f>HYPERLINK("https://www.indeed.com/viewjob?jk=ee4940e3684575cf", "https://www.indeed.com/viewjob?jk=ee4940e3684575cf")</f>
        <v/>
      </c>
      <c r="F135">
        <f>HYPERLINK("https://www.clearancejobs.com/jobs/8734608/data-scientist-computer-vision-data-machine-learning-dml", "https://www.clearancejobs.com/jobs/8734608/data-scientist-computer-vision-data-machine-learning-dml")</f>
        <v/>
      </c>
      <c r="G135" t="inlineStr">
        <is>
          <t>Arlington, VA, US</t>
        </is>
      </c>
      <c r="H135" s="3" t="n">
        <v>46054</v>
      </c>
      <c r="I135" t="inlineStr">
        <is>
          <t>Posted today
Top Secret
$136,000 \- $184,000
Unspecified
IT \- Data Science
Arlington, VA (On\-Site/Office)**Description**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VA, Arlington \- 136,000\.00 \- 184,000\.00 USD annually  
USA, VA, Herndon \- 136,000\.00 \- 184,000\.00 USD annually**GROUP ID:** amazon**R****Recruiter**
**APPLY NOW**</t>
        </is>
      </c>
    </row>
    <row r="136">
      <c r="A136" t="inlineStr">
        <is>
          <t>in-a0faf359971faf18</t>
        </is>
      </c>
      <c r="B136" t="inlineStr">
        <is>
          <t>Data Scientist</t>
        </is>
      </c>
      <c r="C136" t="inlineStr">
        <is>
          <t>Booz Allen Hamilton</t>
        </is>
      </c>
      <c r="D136" t="inlineStr">
        <is>
          <t>indeed</t>
        </is>
      </c>
      <c r="E136">
        <f>HYPERLINK("https://www.indeed.com/viewjob?jk=a0faf359971faf18", "https://www.indeed.com/viewjob?jk=a0faf359971faf18")</f>
        <v/>
      </c>
      <c r="F136">
        <f>HYPERLINK("https://careers.boozallen.com/careers/JobDetail?jobId=120253", "https://careers.boozallen.com/careers/JobDetail?jobId=120253")</f>
        <v/>
      </c>
      <c r="G136" t="inlineStr">
        <is>
          <t>Honolulu, HI, US</t>
        </is>
      </c>
      <c r="H136" s="3" t="n">
        <v>46054</v>
      </c>
      <c r="I136" t="inlineStr">
        <is>
          <t>Data Scientist**The Opportunity:**
As a data scientist, you’re excited at the prospect of unlocking the secrets held by a data set, and you’re fascinated by the possibilities presented by machine learning, and artificial intelligence. In an increasingly connected world, massive amounts of structured and unstructured data are being generated daily transforming the landscape of information operations while also creating new opportunities. As a data scientist at Booz Allen, you can help turn these complex data sets into solutions for global challenges.
On our team, you will play a critical role in developing and maintaining data literacy training content, while also being responsible for developing innovative data analytics and visualizations. You will oversee training and analytics integration within Army systems, training, and internal applications such as Excel and Power Platform. Your efforts will enable personnel readiness at all levels by equipping them with the knowledge, skills, and tools required for mission success. You'll manage training programs and serve as a vital link between operators, developers, and leadership.  
In this role, you will participate in meetings with various stakeholders, ensuring training effectiveness while providing insights on data from across the command. This is a unique opportunity to shape the future of Data Literacy and contribute directly to the mission and readiness of the Army.
Join us. The world can’t wait.
**You Have:**
* 2\+ years of experience with data exploration, aggregation, analysis, and visualization
* 1\+ years of experience working in Excel
* 1\+ years of experience working with a Power Platform application
* Knowledge of data extraction and transformation
* Ability to plan, design, develop, and manage curriculum revolving around data literacy in both Excel and Power Platform Applications
* Ability to speak to large groups of individuals and articulate technical concepts to a broad audience
* Secret clearance
* Bachelor’s degree
**Nice If You Have:**
* 3\+ years of experience working with Power BI, Power Automate, and Power Apps
* Experience with DoW training and evaluation programs
* Ability to provide feedback to senior leaders regarding training and system features
* Ability to prepare and brief findings to commanders or senior decision\-makers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7">
      <c r="A137" t="inlineStr">
        <is>
          <t>in-9f4d122faf0a9eb4</t>
        </is>
      </c>
      <c r="B137" t="inlineStr">
        <is>
          <t>Data Scientist</t>
        </is>
      </c>
      <c r="C137" t="inlineStr">
        <is>
          <t>Booz Allen Hamilton</t>
        </is>
      </c>
      <c r="D137" t="inlineStr">
        <is>
          <t>indeed</t>
        </is>
      </c>
      <c r="E137">
        <f>HYPERLINK("https://www.indeed.com/viewjob?jk=9f4d122faf0a9eb4", "https://www.indeed.com/viewjob?jk=9f4d122faf0a9eb4")</f>
        <v/>
      </c>
      <c r="F137">
        <f>HYPERLINK("https://careers.boozallen.com/careers/JobDetail?jobId=120227", "https://careers.boozallen.com/careers/JobDetail?jobId=120227")</f>
        <v/>
      </c>
      <c r="G137" t="inlineStr">
        <is>
          <t>Washington, DC, US</t>
        </is>
      </c>
      <c r="H137" s="3" t="n">
        <v>46054</v>
      </c>
      <c r="I137"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to help create real\-world impact. You’ll work closely with clients to understand their questions and needs, and then dig into their data\-rich environments to find the pieces of their information puzzle. You’ll work with and learn from your teammates as you develop algorithms and systems. You’ll use the right combination of tools and frameworks to turn sets of disparate data points into objective answers so that your clients can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such as Python, R, or SQL
* Experience creating ETL pipelines, including querying APIs, cleaning and conditioning data, and creating schemas for data storage
* Knowledge of version control tools, including Git, GitLab, GitHub, or Bitbucket
* Knowledge of statistical analysis, predictive modeling, and machine learning methods
* Ability to design and develop automated analytic software, techniques, and algorithms
* Ability to use data visualization tools, including COTS software such as Tableau, PowerBI, or ArcGIS, or FOSS libraries such as seaborn, matplotlib, or ggplot
* TS/SCI clearance
* Bachelor's degree or 4\+ years of experience in data science or computer science in lieu of a degree
**Nice If You Have:**
* Experience working with GEOINT, HUMINT, MASINT, OSINT, and SIGINT, and the data and tools associated with these disciplines
* Experience with intelligence or operations analysis in the DoD or Intelligence Community
* Knowledge of DevOps, including CI/CD pipelines and Jenkins
* Possession of strong written and verbal communication skills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8">
      <c r="A138" t="inlineStr">
        <is>
          <t>in-6dc14f0077f93f33</t>
        </is>
      </c>
      <c r="B138" t="inlineStr">
        <is>
          <t>Data Scientist</t>
        </is>
      </c>
      <c r="C138" t="inlineStr">
        <is>
          <t>Booz Allen Hamilton</t>
        </is>
      </c>
      <c r="D138" t="inlineStr">
        <is>
          <t>indeed</t>
        </is>
      </c>
      <c r="E138">
        <f>HYPERLINK("https://www.indeed.com/viewjob?jk=6dc14f0077f93f33", "https://www.indeed.com/viewjob?jk=6dc14f0077f93f33")</f>
        <v/>
      </c>
      <c r="F138">
        <f>HYPERLINK("https://careers.boozallen.com/careers/JobDetail?jobId=120252", "https://careers.boozallen.com/careers/JobDetail?jobId=120252")</f>
        <v/>
      </c>
      <c r="G138" t="inlineStr">
        <is>
          <t>Honolulu, HI, US</t>
        </is>
      </c>
      <c r="H138" s="3" t="n">
        <v>46054</v>
      </c>
      <c r="I138" t="inlineStr">
        <is>
          <t>Data Scientist**The Opportunity:**
As a data scientist, you’re excited at the prospect of unlocking the secrets held by a data set, and you’re fascinated by the possibilities presented by machine learning and artificial intelligence. In an increasingly connected world, massive amounts of structured and unstructured data are being generated daily transforming the landscape of information operations while also creating new opportunities. As a Data Scientist at Booz Allen, you can help turn these complex data sets into solutions for global challenges.
On our team, you’ll use your leadership skills and data science expertise to create real\-world impact. You’ll work closely with clients to understand their requirements and explore the right tools that will help them succeed. You will work to understand analytic and data requirements across the command, while also being responsible for visualizing data readiness statistics.
You’ll use the right combination of tools and frameworks to turn sets of disparate data points into objective answers to advise your clients as they make informed decisions. Ultimately, you’ll provide a deep understanding of the data, what it all means, and how it can be used.
Join us. The world can't wait.
**You Have:**
* 2\+ years of experience with data exploration, aggregation, analysis, and visualization
* 2\+ years of experience with statistical and general\-purpose programming languages for data analysis
* Experience in DoW networks, data platforms, and analytics environments
* Ability to plan, develop, and organize regularly scheduled cadences with senior leadership to gather digital readiness requirements
* Ability to prepare and brief findings to commanders or senior decision\-makers
* Ability to provide feedback to senior leaders regarding digital readiness and system features
* Secret clearance
* Bachelor’s degree
**Nice If You Have:**
* Experience developing predictive data models, quantitative analyses, and visualization of targeted data sources
* Experience with Army and USARPAC data readiness and evaluation programs
* Knowledge of supplemental data integration tools, including data specific tooling beyond initial qualifications
* Knowledge of data policies, operations processes, procedures, and guidelines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9">
      <c r="A139" t="inlineStr">
        <is>
          <t>in-1211de18e048259c</t>
        </is>
      </c>
      <c r="B139" t="inlineStr">
        <is>
          <t>Data Scientist 5- Content DSE</t>
        </is>
      </c>
      <c r="C139" t="inlineStr">
        <is>
          <t>Netflix</t>
        </is>
      </c>
      <c r="D139" t="inlineStr">
        <is>
          <t>indeed</t>
        </is>
      </c>
      <c r="E139">
        <f>HYPERLINK("https://www.indeed.com/viewjob?jk=1211de18e048259c", "https://www.indeed.com/viewjob?jk=1211de18e048259c")</f>
        <v/>
      </c>
      <c r="F139">
        <f>HYPERLINK("https://explore.jobs.netflix.net/careers/job/790313894749", "https://explore.jobs.netflix.net/careers/job/790313894749")</f>
        <v/>
      </c>
      <c r="G139" t="inlineStr">
        <is>
          <t>Remote, US</t>
        </is>
      </c>
      <c r="H139" s="3" t="n">
        <v>46054</v>
      </c>
      <c r="I13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Content Data Science and Engineering team provides Netflix with a trusted measurement framework for content quality and value. We develop and evolve the metrics that inform billions of dollars in content investment decisions. As a measurement center of excellence, we don't just compute metrics \- we define what success means. Through continuous research, validation, and cross\-functional partnership, we ensure our frameworks remain rigorous and relevant as Netflix's content strategy evolves.
This role is for a Senior Data Scientist (L5\) focused on measurement strategy and metrics development. You'll create the scoreboard that others use to evaluate success. We're looking for curious, proactive measurement experts who independently identify gaps in our frameworks, propose impactful research initiatives, and build the evidence base that informs strategic content decisions.
**In this role, you will:**
* Design and validate measurement frameworks that accurately capture content quality, engagement, and business value across diverse content types
* Autonomously identify measurement gaps and pursue research with significant business impact, making compelling cases for prioritization
* Apply causal inference, observational analysis, and statistical modeling to understand drivers of content value and member satisfaction
* Ensure metrics measure what they intend to, identifying potential biases, edge cases, and unintended consequences before they impact decisions
* Partner across Content, Product, Finance, and Engineering to align measurement approaches with business needs and technical constraints
* Serve as a strategic thought partner to stakeholders, influencing content and product strategy through clear measurement insights
* Contribute to team growth through documentation, mentorship, and knowledge sharing that uplevels skills and practices
* Build well\-documented datasets, tools, and analytical frameworks that scale across the organization
* Present research clearly to technical and non\-technical audiences at all levels
**What you’ll bring:**
* Advanced degree (PhD or Master's) in Statistics, Economics, Quantitative Social Sciences, Operations Research, Mathematics, or related field
* 5\+ years applying statistical methods and causal inference to real\-world product or business problems
* Deep measurement expertise—metric design, bias detection, trade\-off analysis—with a track record of developing frameworks that informed strategic decisions, not just executing analyses using existing metrics
* Strong foundation in experimental design, regression analysis, and causal inference methods
* Proficiency in SQL and quantitative programming (Python or R)
* Ability to work independently: identifying impactful problems, scoping research, and driving projects from ambiguous starting points
* Comfort navigating problem spaces where the "right answer" requires judgment alongside calculation
* Excellent communication and influence across organizational levels, translating complex concepts for diverse audiences
* Intellectual curiosity and proactive mindset—asking "what should we be measuring?" not just "what are we measuring?"
* Embodies Netflix values while bringing fresh perspectives to strengthen our culture
**We'd be especially excited if you also have:**
* Experience in content analytics, user behavior measurement, or related domains
* Track record of mentoring and upleveling peers
* Comfort leveraging AI tools (LLMs, generative AI) to enhance analytical workflows and accelerate research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$372,000\.00 \- $600,000\.00\.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40">
      <c r="A140" t="inlineStr">
        <is>
          <t>in-c2bda9e9d4b931a3</t>
        </is>
      </c>
      <c r="B140" t="inlineStr">
        <is>
          <t>Data Scientist</t>
        </is>
      </c>
      <c r="C140" t="inlineStr">
        <is>
          <t>Marquette University</t>
        </is>
      </c>
      <c r="D140" t="inlineStr">
        <is>
          <t>indeed</t>
        </is>
      </c>
      <c r="E140">
        <f>HYPERLINK("https://www.indeed.com/viewjob?jk=c2bda9e9d4b931a3", "https://www.indeed.com/viewjob?jk=c2bda9e9d4b931a3")</f>
        <v/>
      </c>
      <c r="F140">
        <f>HYPERLINK("https://employment.marquette.edu/postings/24335", "https://employment.marquette.edu/postings/24335")</f>
        <v/>
      </c>
      <c r="G140" t="inlineStr">
        <is>
          <t>Milwaukee, WI, US</t>
        </is>
      </c>
      <c r="H140" s="3" t="n">
        <v>46042</v>
      </c>
      <c r="I140" t="inlineStr">
        <is>
          <t>**Be The Difference Begins with Great People.**  
Are you looking for a new opportunity where you can make the difference in the lives of students and faculty? We’re always looking for highly talented individuals to join our team – people who think big, care deeply, and believe in being the difference in their work and community.  
We prioritize student success, access to education, and service in our work to educate well\-rounded servant leaders who transform their fields, our society and the world. Our Catholic, Jesuit approach emphasizes student engagement with the world around them and formation of the heart and mind.  
We believe in our mission: The search for truth, the discovery and sharing of knowledge, the fostering of personal and professional excellence, the promotion of a life of faith, and the development of leadership expressed in service to others. These core values guide our relationships with our students, each other, and our community.  
Marquette University offers a rich and competitive Total Rewards package including **medical, dental, vision, 403(b) with up to 8% university match, generous time off package, and tuition benefits for employees, spouses, and dependents with no payback requirement!** For more information, please view the**Total Rewards Guide**.  
This is your next opportunity to join an organization that invests in their employees’ career journey by diversifying their skills, deepening their expert knowledge, encouraging a healthy work\-life balance, focusing on personal wellbeing, providing leadership training, and sustaining a culture of respect and inclusion.  
The Data Scientist provides accurate, reliable and actionable information to stakeholders across campus to enable effective decision\-making in support of student success.
Duties and Responsibilities
1\. **Data Management**: support the development and maintenance of OIRA’s data warehouse environment related to student success data* Audit data prior to census dates
* Maintain stored procedures for all data warehouse tables related to student success
* Direct the development of new data tables as analytics require
2\. **Reporting**: support existing and develop new reporting to advance student success goals* Build visualizations of operational and historical data related retention, graduation rates, and other student success metrics
* Build visualizations to support analytical models
3\. **Analytics**: support existing and develop new analytics to advance student success goals* Annually re\-train and deploy the first\-to\-second year retention model and evaluate its accuracy
* Evaluate effectiveness of student success early alerts and other student success initiatives · Develop and deploy models to predict success of continuing students
* Respond to research questions about student success
4\. **Survey research**: coordinate and analyze institutional surveys* Coordinate the development, data collection, and analysis of institutional surveys
* Serve on the Online Survey Review Group
* Maintain survey data in the data warehouse
* Maintain reports and visualizations of survey data
5\. **Collaboration** with stakeholders: develop strong partnerships with student success stakeholders to build a culture of continuous improvement* Clearly communicate findings to student success stakeholders
* Assist stakeholders in making data\-informed decisions to support student success
6\. Perform other duties and responsibilities as required, assigned, or requested.
Required Knowledge, Skills and Abilities
Bachelor’s degree in business, data science, statistics, mathematics, computer science, social or behavior science or another related field  
A minimum of 2 years of related experience.  
Proficiency in programming languages/statistical software (e.g., R, Python, SAS, SQL)  
Experience with advanced statistical techniques such as multivariate analysis, predictive modeling, machine learning, or optimization in a professional setting  
Proficiency in data visualization tools (e.g., Power BI, Tableau)  
Strong analytical and problem\-solving skills  
Excellent oral and written communication skills, particularly in articulating complex data and insights to stakeholders  
Demonstrated strong attention to detail involving data, systems, and documentation.  
Ability to manage and prioritize multiple projects simultaneously  
Proficiency in Microsoft Office applications, including Word, Excel, PowerPoint and Teams  
Preferred Knowledge, Skills and Abilities
Experience with project management  
Experience with DevOps and MLOps processes and procedures
Department Institutional Research Posting Date 01/21/2026 Closing Date Special Instructions to Applicants
All applicants must use the online system to apply for this position.
EOE Statement
It is the policy of Marquette University to provide equal employment opportunities (EEO) to all employees and applicants without regard to race, color, religion, sex, sexual orientation, gender identity, national origin, disability, protected veteran status or any other applicable federal or state\-protected classification.
**Required Documents**
----------------------
**Required Documents**
* Resume
* Cover Letter/Letter of Application
**Optional Documents**
* References</t>
        </is>
      </c>
    </row>
    <row r="141">
      <c r="A141" t="inlineStr">
        <is>
          <t>in-3a14dfe166f4af81</t>
        </is>
      </c>
      <c r="B141" t="inlineStr">
        <is>
          <t>Sr. Applied Scientist, Amazon Ads</t>
        </is>
      </c>
      <c r="C141" t="inlineStr">
        <is>
          <t>Amazon.com</t>
        </is>
      </c>
      <c r="D141" t="inlineStr">
        <is>
          <t>indeed</t>
        </is>
      </c>
      <c r="E141">
        <f>HYPERLINK("https://www.indeed.com/viewjob?jk=3a14dfe166f4af81", "https://www.indeed.com/viewjob?jk=3a14dfe166f4af81")</f>
        <v/>
      </c>
      <c r="F141">
        <f>HYPERLINK("https://www.amazon.jobs/jobs/3139328/sr-applied-scientist-amazon-ads?cmpid=DA_INAD200785B", "https://www.amazon.jobs/jobs/3139328/sr-applied-scientist-amazon-ads?cmpid=DA_INAD200785B")</f>
        <v/>
      </c>
      <c r="G141" t="inlineStr">
        <is>
          <t>New York, NY, US</t>
        </is>
      </c>
      <c r="H141" s="3" t="n">
        <v>45998</v>
      </c>
      <c r="I1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2">
      <c r="A142" t="inlineStr">
        <is>
          <t>in-a741369d25fbc0e9</t>
        </is>
      </c>
      <c r="B142" t="inlineStr">
        <is>
          <t>Sr. Applied Scientist, Amazon Ads</t>
        </is>
      </c>
      <c r="C142" t="inlineStr">
        <is>
          <t>Amazon.com</t>
        </is>
      </c>
      <c r="D142" t="inlineStr">
        <is>
          <t>indeed</t>
        </is>
      </c>
      <c r="E142">
        <f>HYPERLINK("https://www.indeed.com/viewjob?jk=a741369d25fbc0e9", "https://www.indeed.com/viewjob?jk=a741369d25fbc0e9")</f>
        <v/>
      </c>
      <c r="F142">
        <f>HYPERLINK("https://www.amazon.jobs/jobs/3139328/sr-applied-scientist-amazon-ads?cmpid=DA_INAD200785B", "https://www.amazon.jobs/jobs/3139328/sr-applied-scientist-amazon-ads?cmpid=DA_INAD200785B")</f>
        <v/>
      </c>
      <c r="G142" t="inlineStr">
        <is>
          <t>Boulder, CO, US</t>
        </is>
      </c>
      <c r="H142" s="3" t="n">
        <v>45998</v>
      </c>
      <c r="I1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3">
      <c r="A143" t="inlineStr">
        <is>
          <t>in-340e9ae15e136178</t>
        </is>
      </c>
      <c r="B143" t="inlineStr">
        <is>
          <t>Sr. Applied Scientist, Amazon Ads</t>
        </is>
      </c>
      <c r="C143" t="inlineStr">
        <is>
          <t>Amazon.com</t>
        </is>
      </c>
      <c r="D143" t="inlineStr">
        <is>
          <t>indeed</t>
        </is>
      </c>
      <c r="E143">
        <f>HYPERLINK("https://www.indeed.com/viewjob?jk=340e9ae15e136178", "https://www.indeed.com/viewjob?jk=340e9ae15e136178")</f>
        <v/>
      </c>
      <c r="F143">
        <f>HYPERLINK("https://www.amazon.jobs/jobs/3139328/sr-applied-scientist-amazon-ads?cmpid=DA_INAD200785B", "https://www.amazon.jobs/jobs/3139328/sr-applied-scientist-amazon-ads?cmpid=DA_INAD200785B")</f>
        <v/>
      </c>
      <c r="G143" t="inlineStr">
        <is>
          <t>Sunnyvale, CA, US</t>
        </is>
      </c>
      <c r="H143" s="3" t="n">
        <v>45998</v>
      </c>
      <c r="I1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4">
      <c r="A144" t="inlineStr">
        <is>
          <t>in-bf8e554362a23068</t>
        </is>
      </c>
      <c r="B144" t="inlineStr">
        <is>
          <t>Sr. Applied Scientist, Amazon Ads</t>
        </is>
      </c>
      <c r="C144" t="inlineStr">
        <is>
          <t>Amazon.com</t>
        </is>
      </c>
      <c r="D144" t="inlineStr">
        <is>
          <t>indeed</t>
        </is>
      </c>
      <c r="E144">
        <f>HYPERLINK("https://www.indeed.com/viewjob?jk=bf8e554362a23068", "https://www.indeed.com/viewjob?jk=bf8e554362a23068")</f>
        <v/>
      </c>
      <c r="F144">
        <f>HYPERLINK("https://www.amazon.jobs/jobs/3139328/sr-applied-scientist-amazon-ads?cmpid=DA_INAD200785B", "https://www.amazon.jobs/jobs/3139328/sr-applied-scientist-amazon-ads?cmpid=DA_INAD200785B")</f>
        <v/>
      </c>
      <c r="G144" t="inlineStr">
        <is>
          <t>Tukwila, WA, US</t>
        </is>
      </c>
      <c r="H144" s="3" t="n">
        <v>45998</v>
      </c>
      <c r="I1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5">
      <c r="A145" t="inlineStr">
        <is>
          <t>in-3fddd7009d5013d8</t>
        </is>
      </c>
      <c r="B145" t="inlineStr">
        <is>
          <t>Sr. Applied Scientist, Amazon Ads</t>
        </is>
      </c>
      <c r="C145" t="inlineStr">
        <is>
          <t>Amazon.com</t>
        </is>
      </c>
      <c r="D145" t="inlineStr">
        <is>
          <t>indeed</t>
        </is>
      </c>
      <c r="E145">
        <f>HYPERLINK("https://www.indeed.com/viewjob?jk=3fddd7009d5013d8", "https://www.indeed.com/viewjob?jk=3fddd7009d5013d8")</f>
        <v/>
      </c>
      <c r="F145">
        <f>HYPERLINK("https://www.amazon.jobs/jobs/3139328/sr-applied-scientist-amazon-ads?cmpid=DA_INAD200785B", "https://www.amazon.jobs/jobs/3139328/sr-applied-scientist-amazon-ads?cmpid=DA_INAD200785B")</f>
        <v/>
      </c>
      <c r="G145" t="inlineStr">
        <is>
          <t>Boston, MA, US</t>
        </is>
      </c>
      <c r="H145" s="3" t="n">
        <v>45998</v>
      </c>
      <c r="I1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6">
      <c r="A146" t="inlineStr">
        <is>
          <t>in-204d1eaccabc39ee</t>
        </is>
      </c>
      <c r="B146" t="inlineStr">
        <is>
          <t>Sr. Applied Scientist, Amazon Ads</t>
        </is>
      </c>
      <c r="C146" t="inlineStr">
        <is>
          <t>Amazon.com</t>
        </is>
      </c>
      <c r="D146" t="inlineStr">
        <is>
          <t>indeed</t>
        </is>
      </c>
      <c r="E146">
        <f>HYPERLINK("https://www.indeed.com/viewjob?jk=204d1eaccabc39ee", "https://www.indeed.com/viewjob?jk=204d1eaccabc39ee")</f>
        <v/>
      </c>
      <c r="F146">
        <f>HYPERLINK("https://www.amazon.jobs/jobs/3139328/sr-applied-scientist-amazon-ads?cmpid=DA_INAD200785B", "https://www.amazon.jobs/jobs/3139328/sr-applied-scientist-amazon-ads?cmpid=DA_INAD200785B")</f>
        <v/>
      </c>
      <c r="G146" t="inlineStr">
        <is>
          <t>Corvallis, OR, US</t>
        </is>
      </c>
      <c r="H146" s="3" t="n">
        <v>45998</v>
      </c>
      <c r="I1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7">
      <c r="A147" t="inlineStr">
        <is>
          <t>in-d6cb81452d79d99c</t>
        </is>
      </c>
      <c r="B147" t="inlineStr">
        <is>
          <t>Sr. Applied Scientist, Amazon Ads</t>
        </is>
      </c>
      <c r="C147" t="inlineStr">
        <is>
          <t>Amazon.com</t>
        </is>
      </c>
      <c r="D147" t="inlineStr">
        <is>
          <t>indeed</t>
        </is>
      </c>
      <c r="E147">
        <f>HYPERLINK("https://www.indeed.com/viewjob?jk=d6cb81452d79d99c", "https://www.indeed.com/viewjob?jk=d6cb81452d79d99c")</f>
        <v/>
      </c>
      <c r="F147">
        <f>HYPERLINK("https://www.amazon.jobs/jobs/3139328/sr-applied-scientist-amazon-ads?cmpid=DA_INAD200785B", "https://www.amazon.jobs/jobs/3139328/sr-applied-scientist-amazon-ads?cmpid=DA_INAD200785B")</f>
        <v/>
      </c>
      <c r="G147" t="inlineStr">
        <is>
          <t>Brooklyn, NY, US</t>
        </is>
      </c>
      <c r="H147" s="3" t="n">
        <v>45998</v>
      </c>
      <c r="I1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8">
      <c r="A148" t="inlineStr">
        <is>
          <t>in-3ad7683fec4751f3</t>
        </is>
      </c>
      <c r="B148" t="inlineStr">
        <is>
          <t>Sr. Applied Scientist, Amazon Ads</t>
        </is>
      </c>
      <c r="C148" t="inlineStr">
        <is>
          <t>Amazon.com</t>
        </is>
      </c>
      <c r="D148" t="inlineStr">
        <is>
          <t>indeed</t>
        </is>
      </c>
      <c r="E148">
        <f>HYPERLINK("https://www.indeed.com/viewjob?jk=3ad7683fec4751f3", "https://www.indeed.com/viewjob?jk=3ad7683fec4751f3")</f>
        <v/>
      </c>
      <c r="F148">
        <f>HYPERLINK("https://www.amazon.jobs/jobs/3139328/sr-applied-scientist-amazon-ads?cmpid=DA_INAD200785B", "https://www.amazon.jobs/jobs/3139328/sr-applied-scientist-amazon-ads?cmpid=DA_INAD200785B")</f>
        <v/>
      </c>
      <c r="G148" t="inlineStr">
        <is>
          <t>Seattle, WA, US</t>
        </is>
      </c>
      <c r="H148" s="3" t="n">
        <v>45998</v>
      </c>
      <c r="I1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9">
      <c r="A149" t="inlineStr">
        <is>
          <t>in-9f184f92ce0bb4ef</t>
        </is>
      </c>
      <c r="B149" t="inlineStr">
        <is>
          <t>Sr. Applied Scientist, Amazon Ads</t>
        </is>
      </c>
      <c r="C149" t="inlineStr">
        <is>
          <t>Amazon.com</t>
        </is>
      </c>
      <c r="D149" t="inlineStr">
        <is>
          <t>indeed</t>
        </is>
      </c>
      <c r="E149">
        <f>HYPERLINK("https://www.indeed.com/viewjob?jk=9f184f92ce0bb4ef", "https://www.indeed.com/viewjob?jk=9f184f92ce0bb4ef")</f>
        <v/>
      </c>
      <c r="F149">
        <f>HYPERLINK("https://www.amazon.jobs/jobs/3139328/sr-applied-scientist-amazon-ads?cmpid=DA_INAD200785B", "https://www.amazon.jobs/jobs/3139328/sr-applied-scientist-amazon-ads?cmpid=DA_INAD200785B")</f>
        <v/>
      </c>
      <c r="G149" t="inlineStr">
        <is>
          <t>Santa Monica, CA, US</t>
        </is>
      </c>
      <c r="H149" s="3" t="n">
        <v>45998</v>
      </c>
      <c r="I1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0">
      <c r="A150" t="inlineStr">
        <is>
          <t>in-f67f9909ed6835f3</t>
        </is>
      </c>
      <c r="B150" t="inlineStr">
        <is>
          <t>Sr. Applied Scientist, Amazon Ads</t>
        </is>
      </c>
      <c r="C150" t="inlineStr">
        <is>
          <t>Amazon.com</t>
        </is>
      </c>
      <c r="D150" t="inlineStr">
        <is>
          <t>indeed</t>
        </is>
      </c>
      <c r="E150">
        <f>HYPERLINK("https://www.indeed.com/viewjob?jk=f67f9909ed6835f3", "https://www.indeed.com/viewjob?jk=f67f9909ed6835f3")</f>
        <v/>
      </c>
      <c r="F150">
        <f>HYPERLINK("https://www.amazon.jobs/jobs/3139328/sr-applied-scientist-amazon-ads?cmpid=DA_INAD200785B", "https://www.amazon.jobs/jobs/3139328/sr-applied-scientist-amazon-ads?cmpid=DA_INAD200785B")</f>
        <v/>
      </c>
      <c r="G150" t="inlineStr">
        <is>
          <t>Palo Alto, CA, US</t>
        </is>
      </c>
      <c r="H150" s="3" t="n">
        <v>45998</v>
      </c>
      <c r="I1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1">
      <c r="A151" t="inlineStr">
        <is>
          <t>in-a92032f05d49039d</t>
        </is>
      </c>
      <c r="B151" t="inlineStr">
        <is>
          <t>Senior Applied Scientist, Artificial General Intelligence</t>
        </is>
      </c>
      <c r="C151" t="inlineStr">
        <is>
          <t>Amazon.com</t>
        </is>
      </c>
      <c r="D151" t="inlineStr">
        <is>
          <t>indeed</t>
        </is>
      </c>
      <c r="E151">
        <f>HYPERLINK("https://www.indeed.com/viewjob?jk=a92032f05d49039d", "https://www.indeed.com/viewjob?jk=a92032f05d49039d")</f>
        <v/>
      </c>
      <c r="F151">
        <f>HYPERLINK("https://www.amazon.jobs/jobs/3131971/senior-applied-scientist-artificial-general-intelligence?cmpid=DA_INAD200785B", "https://www.amazon.jobs/jobs/3131971/senior-applied-scientist-artificial-general-intelligence?cmpid=DA_INAD200785B")</f>
        <v/>
      </c>
      <c r="G151" t="inlineStr">
        <is>
          <t>Boston, MA, US</t>
        </is>
      </c>
      <c r="H151" s="3" t="n">
        <v>45980</v>
      </c>
      <c r="I15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in-ef0ccea8540b5ac3</t>
        </is>
      </c>
      <c r="B152" t="inlineStr">
        <is>
          <t>Senior Applied Scientist, Artificial General Intelligence</t>
        </is>
      </c>
      <c r="C152" t="inlineStr">
        <is>
          <t>Amazon.com</t>
        </is>
      </c>
      <c r="D152" t="inlineStr">
        <is>
          <t>indeed</t>
        </is>
      </c>
      <c r="E152">
        <f>HYPERLINK("https://www.indeed.com/viewjob?jk=ef0ccea8540b5ac3", "https://www.indeed.com/viewjob?jk=ef0ccea8540b5ac3")</f>
        <v/>
      </c>
      <c r="F152">
        <f>HYPERLINK("https://www.amazon.jobs/jobs/3131971/senior-applied-scientist-artificial-general-intelligence?cmpid=DA_INAD200785B", "https://www.amazon.jobs/jobs/3131971/senior-applied-scientist-artificial-general-intelligence?cmpid=DA_INAD200785B")</f>
        <v/>
      </c>
      <c r="G152" t="inlineStr">
        <is>
          <t>New York, NY, US</t>
        </is>
      </c>
      <c r="H152" s="3" t="n">
        <v>45980</v>
      </c>
      <c r="I15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in-830f2b4388285dc6</t>
        </is>
      </c>
      <c r="B153" t="inlineStr">
        <is>
          <t>Senior Applied Scientist, Artificial General Intelligence</t>
        </is>
      </c>
      <c r="C153" t="inlineStr">
        <is>
          <t>Amazon.com</t>
        </is>
      </c>
      <c r="D153" t="inlineStr">
        <is>
          <t>indeed</t>
        </is>
      </c>
      <c r="E153">
        <f>HYPERLINK("https://www.indeed.com/viewjob?jk=830f2b4388285dc6", "https://www.indeed.com/viewjob?jk=830f2b4388285dc6")</f>
        <v/>
      </c>
      <c r="F153">
        <f>HYPERLINK("https://www.amazon.jobs/jobs/3131971/senior-applied-scientist-artificial-general-intelligence?cmpid=DA_INAD200785B", "https://www.amazon.jobs/jobs/3131971/senior-applied-scientist-artificial-general-intelligence?cmpid=DA_INAD200785B")</f>
        <v/>
      </c>
      <c r="G153" t="inlineStr">
        <is>
          <t>Sunnyvale, CA, US</t>
        </is>
      </c>
      <c r="H153" s="3" t="n">
        <v>45980</v>
      </c>
      <c r="I15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in-b9e7e21de66d8060</t>
        </is>
      </c>
      <c r="B154" t="inlineStr">
        <is>
          <t>Senior Applied Scientist, Artificial General Intelligence</t>
        </is>
      </c>
      <c r="C154" t="inlineStr">
        <is>
          <t>Amazon.com</t>
        </is>
      </c>
      <c r="D154" t="inlineStr">
        <is>
          <t>indeed</t>
        </is>
      </c>
      <c r="E154">
        <f>HYPERLINK("https://www.indeed.com/viewjob?jk=b9e7e21de66d8060", "https://www.indeed.com/viewjob?jk=b9e7e21de66d8060")</f>
        <v/>
      </c>
      <c r="F154">
        <f>HYPERLINK("https://www.amazon.jobs/jobs/3131971/senior-applied-scientist-artificial-general-intelligence?cmpid=DA_INAD200785B", "https://www.amazon.jobs/jobs/3131971/senior-applied-scientist-artificial-general-intelligence?cmpid=DA_INAD200785B")</f>
        <v/>
      </c>
      <c r="G154" t="inlineStr">
        <is>
          <t>Seattle, WA, US</t>
        </is>
      </c>
      <c r="H154" s="3" t="n">
        <v>45980</v>
      </c>
      <c r="I15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in-255e331bc7e729d9</t>
        </is>
      </c>
      <c r="B155" t="inlineStr">
        <is>
          <t>Applied Scientist II, SPB Advertiser Guidance</t>
        </is>
      </c>
      <c r="C155" t="inlineStr">
        <is>
          <t>Amazon.com</t>
        </is>
      </c>
      <c r="D155" t="inlineStr">
        <is>
          <t>indeed</t>
        </is>
      </c>
      <c r="E155">
        <f>HYPERLINK("https://www.indeed.com/viewjob?jk=255e331bc7e729d9", "https://www.indeed.com/viewjob?jk=255e331bc7e729d9")</f>
        <v/>
      </c>
      <c r="F155">
        <f>HYPERLINK("https://www.amazon.jobs/jobs/3131876/applied-scientist-ii-spb-advertiser-guidance?cmpid=DA_INAD200785B", "https://www.amazon.jobs/jobs/3131876/applied-scientist-ii-spb-advertiser-guidance?cmpid=DA_INAD200785B")</f>
        <v/>
      </c>
      <c r="G155" t="inlineStr">
        <is>
          <t>Seattle, WA, US</t>
        </is>
      </c>
      <c r="H155" s="3" t="n">
        <v>45980</v>
      </c>
      <c r="I15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in-2aa4bad94807c04b</t>
        </is>
      </c>
      <c r="B156" t="inlineStr">
        <is>
          <t>Applied Scientist II, SPB Advertiser Guidance</t>
        </is>
      </c>
      <c r="C156" t="inlineStr">
        <is>
          <t>Amazon.com</t>
        </is>
      </c>
      <c r="D156" t="inlineStr">
        <is>
          <t>indeed</t>
        </is>
      </c>
      <c r="E156">
        <f>HYPERLINK("https://www.indeed.com/viewjob?jk=2aa4bad94807c04b", "https://www.indeed.com/viewjob?jk=2aa4bad94807c04b")</f>
        <v/>
      </c>
      <c r="F156">
        <f>HYPERLINK("https://www.amazon.jobs/jobs/3131876/applied-scientist-ii-spb-advertiser-guidance?cmpid=DA_INAD200785B", "https://www.amazon.jobs/jobs/3131876/applied-scientist-ii-spb-advertiser-guidance?cmpid=DA_INAD200785B")</f>
        <v/>
      </c>
      <c r="G156" t="inlineStr">
        <is>
          <t>Palo Alto, CA, US</t>
        </is>
      </c>
      <c r="H156" s="3" t="n">
        <v>45980</v>
      </c>
      <c r="I15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in-526d09138a25f635</t>
        </is>
      </c>
      <c r="B157" t="inlineStr">
        <is>
          <t>Applied Scientist II, SPB Advertiser Guidance</t>
        </is>
      </c>
      <c r="C157" t="inlineStr">
        <is>
          <t>Amazon.com</t>
        </is>
      </c>
      <c r="D157" t="inlineStr">
        <is>
          <t>indeed</t>
        </is>
      </c>
      <c r="E157">
        <f>HYPERLINK("https://www.indeed.com/viewjob?jk=526d09138a25f635", "https://www.indeed.com/viewjob?jk=526d09138a25f635")</f>
        <v/>
      </c>
      <c r="F157">
        <f>HYPERLINK("https://www.amazon.jobs/jobs/3131876/applied-scientist-ii-spb-advertiser-guidance?cmpid=DA_INAD200785B", "https://www.amazon.jobs/jobs/3131876/applied-scientist-ii-spb-advertiser-guidance?cmpid=DA_INAD200785B")</f>
        <v/>
      </c>
      <c r="G157" t="inlineStr">
        <is>
          <t>New York, NY, US</t>
        </is>
      </c>
      <c r="H157" s="3" t="n">
        <v>45980</v>
      </c>
      <c r="I15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in-801bf4188e8c2759</t>
        </is>
      </c>
      <c r="B158" t="inlineStr">
        <is>
          <t>Principal Applied Scientist, Sponsored Products and Brands</t>
        </is>
      </c>
      <c r="C158" t="inlineStr">
        <is>
          <t>Amazon.com</t>
        </is>
      </c>
      <c r="D158" t="inlineStr">
        <is>
          <t>indeed</t>
        </is>
      </c>
      <c r="E158">
        <f>HYPERLINK("https://www.indeed.com/viewjob?jk=801bf4188e8c2759", "https://www.indeed.com/viewjob?jk=801bf4188e8c2759")</f>
        <v/>
      </c>
      <c r="F158">
        <f>HYPERLINK("https://www.amazon.jobs/jobs/3130855/principal-applied-scientist-sponsored-products-and-brands?cmpid=DA_INAD200785B", "https://www.amazon.jobs/jobs/3130855/principal-applied-scientist-sponsored-products-and-brands?cmpid=DA_INAD200785B")</f>
        <v/>
      </c>
      <c r="G158" t="inlineStr">
        <is>
          <t>New York, NY, US</t>
        </is>
      </c>
      <c r="H158" s="3" t="n">
        <v>45979</v>
      </c>
      <c r="I15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in-98af2eba0a7b9c64</t>
        </is>
      </c>
      <c r="B159" t="inlineStr">
        <is>
          <t>Principal Applied Scientist, Sponsored Products and Brands</t>
        </is>
      </c>
      <c r="C159" t="inlineStr">
        <is>
          <t>Amazon.com</t>
        </is>
      </c>
      <c r="D159" t="inlineStr">
        <is>
          <t>indeed</t>
        </is>
      </c>
      <c r="E159">
        <f>HYPERLINK("https://www.indeed.com/viewjob?jk=98af2eba0a7b9c64", "https://www.indeed.com/viewjob?jk=98af2eba0a7b9c64")</f>
        <v/>
      </c>
      <c r="F159">
        <f>HYPERLINK("https://www.amazon.jobs/jobs/3130855/principal-applied-scientist-sponsored-products-and-brands?cmpid=DA_INAD200785B", "https://www.amazon.jobs/jobs/3130855/principal-applied-scientist-sponsored-products-and-brands?cmpid=DA_INAD200785B")</f>
        <v/>
      </c>
      <c r="G159" t="inlineStr">
        <is>
          <t>Seattle, WA, US</t>
        </is>
      </c>
      <c r="H159" s="3" t="n">
        <v>45979</v>
      </c>
      <c r="I15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in-f2064b4c000f8718</t>
        </is>
      </c>
      <c r="B160" t="inlineStr">
        <is>
          <t>Sr. Applied Scientist, AGI Foundations</t>
        </is>
      </c>
      <c r="C160" t="inlineStr">
        <is>
          <t>Amazon.com</t>
        </is>
      </c>
      <c r="D160" t="inlineStr">
        <is>
          <t>indeed</t>
        </is>
      </c>
      <c r="E160">
        <f>HYPERLINK("https://www.indeed.com/viewjob?jk=f2064b4c000f8718", "https://www.indeed.com/viewjob?jk=f2064b4c000f8718")</f>
        <v/>
      </c>
      <c r="F160">
        <f>HYPERLINK("https://www.amazon.jobs/jobs/3128807/sr-applied-scientist-agi-foundations?cmpid=DA_INAD200785B", "https://www.amazon.jobs/jobs/3128807/sr-applied-scientist-agi-foundations?cmpid=DA_INAD200785B")</f>
        <v/>
      </c>
      <c r="G160" t="inlineStr">
        <is>
          <t>Bellevue, WA, US</t>
        </is>
      </c>
      <c r="H160" s="3" t="n">
        <v>45978</v>
      </c>
      <c r="I16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in-ce45dbb6dc4e6f2e</t>
        </is>
      </c>
      <c r="B161" t="inlineStr">
        <is>
          <t>Sr. Applied Scientist, AGI Foundations</t>
        </is>
      </c>
      <c r="C161" t="inlineStr">
        <is>
          <t>Amazon.com</t>
        </is>
      </c>
      <c r="D161" t="inlineStr">
        <is>
          <t>indeed</t>
        </is>
      </c>
      <c r="E161">
        <f>HYPERLINK("https://www.indeed.com/viewjob?jk=ce45dbb6dc4e6f2e", "https://www.indeed.com/viewjob?jk=ce45dbb6dc4e6f2e")</f>
        <v/>
      </c>
      <c r="F161">
        <f>HYPERLINK("https://www.amazon.jobs/jobs/3128807/sr-applied-scientist-agi-foundations?cmpid=DA_INAD200785B", "https://www.amazon.jobs/jobs/3128807/sr-applied-scientist-agi-foundations?cmpid=DA_INAD200785B")</f>
        <v/>
      </c>
      <c r="G161" t="inlineStr">
        <is>
          <t>Boston, MA, US</t>
        </is>
      </c>
      <c r="H161" s="3" t="n">
        <v>45978</v>
      </c>
      <c r="I16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in-6533af62ec3ad571</t>
        </is>
      </c>
      <c r="B162" t="inlineStr">
        <is>
          <t>Sr. Applied Scientist, AGI Foundations</t>
        </is>
      </c>
      <c r="C162" t="inlineStr">
        <is>
          <t>Amazon.com</t>
        </is>
      </c>
      <c r="D162" t="inlineStr">
        <is>
          <t>indeed</t>
        </is>
      </c>
      <c r="E162">
        <f>HYPERLINK("https://www.indeed.com/viewjob?jk=6533af62ec3ad571", "https://www.indeed.com/viewjob?jk=6533af62ec3ad571")</f>
        <v/>
      </c>
      <c r="F162">
        <f>HYPERLINK("https://www.amazon.jobs/jobs/3128807/sr-applied-scientist-agi-foundations?cmpid=DA_INAD200785B", "https://www.amazon.jobs/jobs/3128807/sr-applied-scientist-agi-foundations?cmpid=DA_INAD200785B")</f>
        <v/>
      </c>
      <c r="G162" t="inlineStr">
        <is>
          <t>New York, NY, US</t>
        </is>
      </c>
      <c r="H162" s="3" t="n">
        <v>45978</v>
      </c>
      <c r="I16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in-cdc8a41cf3e9d26f</t>
        </is>
      </c>
      <c r="B163" t="inlineStr">
        <is>
          <t>Sr. Applied Scientist, AGI Foundations</t>
        </is>
      </c>
      <c r="C163" t="inlineStr">
        <is>
          <t>Amazon.com</t>
        </is>
      </c>
      <c r="D163" t="inlineStr">
        <is>
          <t>indeed</t>
        </is>
      </c>
      <c r="E163">
        <f>HYPERLINK("https://www.indeed.com/viewjob?jk=cdc8a41cf3e9d26f", "https://www.indeed.com/viewjob?jk=cdc8a41cf3e9d26f")</f>
        <v/>
      </c>
      <c r="F163">
        <f>HYPERLINK("https://www.amazon.jobs/jobs/3128807/sr-applied-scientist-agi-foundations?cmpid=DA_INAD200785B", "https://www.amazon.jobs/jobs/3128807/sr-applied-scientist-agi-foundations?cmpid=DA_INAD200785B")</f>
        <v/>
      </c>
      <c r="G163" t="inlineStr">
        <is>
          <t>Sunnyvale, CA, US</t>
        </is>
      </c>
      <c r="H163" s="3" t="n">
        <v>45978</v>
      </c>
      <c r="I16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in-4aab800873c95f0c</t>
        </is>
      </c>
      <c r="B164" t="inlineStr">
        <is>
          <t>Principal Applied Scientist, Amazon AGI</t>
        </is>
      </c>
      <c r="C164" t="inlineStr">
        <is>
          <t>Amazon.com</t>
        </is>
      </c>
      <c r="D164" t="inlineStr">
        <is>
          <t>indeed</t>
        </is>
      </c>
      <c r="E164">
        <f>HYPERLINK("https://www.indeed.com/viewjob?jk=4aab800873c95f0c", "https://www.indeed.com/viewjob?jk=4aab800873c95f0c")</f>
        <v/>
      </c>
      <c r="F164">
        <f>HYPERLINK("https://www.amazon.jobs/jobs/3128808/principal-applied-scientist-amazon-agi?cmpid=DA_INAD200785B", "https://www.amazon.jobs/jobs/3128808/principal-applied-scientist-amazon-agi?cmpid=DA_INAD200785B")</f>
        <v/>
      </c>
      <c r="G164" t="inlineStr">
        <is>
          <t>San Francisco, CA, US</t>
        </is>
      </c>
      <c r="H164" s="3" t="n">
        <v>45964</v>
      </c>
      <c r="I16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in-459fed7b5a55ee54</t>
        </is>
      </c>
      <c r="B165" t="inlineStr">
        <is>
          <t>Principal Applied Scientist, Amazon AGI</t>
        </is>
      </c>
      <c r="C165" t="inlineStr">
        <is>
          <t>Amazon.com</t>
        </is>
      </c>
      <c r="D165" t="inlineStr">
        <is>
          <t>indeed</t>
        </is>
      </c>
      <c r="E165">
        <f>HYPERLINK("https://www.indeed.com/viewjob?jk=459fed7b5a55ee54", "https://www.indeed.com/viewjob?jk=459fed7b5a55ee54")</f>
        <v/>
      </c>
      <c r="F165">
        <f>HYPERLINK("https://www.amazon.jobs/jobs/3128808/principal-applied-scientist-amazon-agi?cmpid=DA_INAD200785B", "https://www.amazon.jobs/jobs/3128808/principal-applied-scientist-amazon-agi?cmpid=DA_INAD200785B")</f>
        <v/>
      </c>
      <c r="G165" t="inlineStr">
        <is>
          <t>Boston, MA, US</t>
        </is>
      </c>
      <c r="H165" s="3" t="n">
        <v>45964</v>
      </c>
      <c r="I16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in-1fd8309b2d5c23b7</t>
        </is>
      </c>
      <c r="B166" t="inlineStr">
        <is>
          <t>Sr. Applied Scientist, AGI Foundations</t>
        </is>
      </c>
      <c r="C166" t="inlineStr">
        <is>
          <t>Amazon.com</t>
        </is>
      </c>
      <c r="D166" t="inlineStr">
        <is>
          <t>indeed</t>
        </is>
      </c>
      <c r="E166">
        <f>HYPERLINK("https://www.indeed.com/viewjob?jk=1fd8309b2d5c23b7", "https://www.indeed.com/viewjob?jk=1fd8309b2d5c23b7")</f>
        <v/>
      </c>
      <c r="F166">
        <f>HYPERLINK("https://www.amazon.jobs/jobs/3123268/sr-applied-scientist-agi-foundations?cmpid=DA_INAD200785B", "https://www.amazon.jobs/jobs/3123268/sr-applied-scientist-agi-foundations?cmpid=DA_INAD200785B")</f>
        <v/>
      </c>
      <c r="G166" t="inlineStr">
        <is>
          <t>New York, NY, US</t>
        </is>
      </c>
      <c r="H166" s="3" t="n">
        <v>45963</v>
      </c>
      <c r="I16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in-f738706cf407c7c6</t>
        </is>
      </c>
      <c r="B167" t="inlineStr">
        <is>
          <t>Sr. Applied Scientist, AGI Foundations</t>
        </is>
      </c>
      <c r="C167" t="inlineStr">
        <is>
          <t>Amazon.com</t>
        </is>
      </c>
      <c r="D167" t="inlineStr">
        <is>
          <t>indeed</t>
        </is>
      </c>
      <c r="E167">
        <f>HYPERLINK("https://www.indeed.com/viewjob?jk=f738706cf407c7c6", "https://www.indeed.com/viewjob?jk=f738706cf407c7c6")</f>
        <v/>
      </c>
      <c r="F167">
        <f>HYPERLINK("https://www.amazon.jobs/jobs/3123268/sr-applied-scientist-agi-foundations?cmpid=DA_INAD200785B", "https://www.amazon.jobs/jobs/3123268/sr-applied-scientist-agi-foundations?cmpid=DA_INAD200785B")</f>
        <v/>
      </c>
      <c r="G167" t="inlineStr">
        <is>
          <t>Boston, MA, US</t>
        </is>
      </c>
      <c r="H167" s="3" t="n">
        <v>45963</v>
      </c>
      <c r="I16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in-71f6112151e68e71</t>
        </is>
      </c>
      <c r="B168" t="inlineStr">
        <is>
          <t>Sr. Applied Scientist, AGI Foundations</t>
        </is>
      </c>
      <c r="C168" t="inlineStr">
        <is>
          <t>Amazon.com</t>
        </is>
      </c>
      <c r="D168" t="inlineStr">
        <is>
          <t>indeed</t>
        </is>
      </c>
      <c r="E168">
        <f>HYPERLINK("https://www.indeed.com/viewjob?jk=71f6112151e68e71", "https://www.indeed.com/viewjob?jk=71f6112151e68e71")</f>
        <v/>
      </c>
      <c r="F168">
        <f>HYPERLINK("https://www.amazon.jobs/jobs/3123268/sr-applied-scientist-agi-foundations?cmpid=DA_INAD200785B", "https://www.amazon.jobs/jobs/3123268/sr-applied-scientist-agi-foundations?cmpid=DA_INAD200785B")</f>
        <v/>
      </c>
      <c r="G168" t="inlineStr">
        <is>
          <t>Bellevue, WA, US</t>
        </is>
      </c>
      <c r="H168" s="3" t="n">
        <v>45963</v>
      </c>
      <c r="I16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in-be092c253221840a</t>
        </is>
      </c>
      <c r="B169" t="inlineStr">
        <is>
          <t>Sr. Applied Scientist, Sponsored Product Off-Search</t>
        </is>
      </c>
      <c r="C169" t="inlineStr">
        <is>
          <t>Amazon.com</t>
        </is>
      </c>
      <c r="D169" t="inlineStr">
        <is>
          <t>indeed</t>
        </is>
      </c>
      <c r="E169">
        <f>HYPERLINK("https://www.indeed.com/viewjob?jk=be092c253221840a", "https://www.indeed.com/viewjob?jk=be092c253221840a")</f>
        <v/>
      </c>
      <c r="F169">
        <f>HYPERLINK("https://www.amazon.jobs/jobs/3120815/sr-applied-scientist-sponsored-product-offsearch-?cmpid=DA_INAD200785B", "https://www.amazon.jobs/jobs/3120815/sr-applied-scientist-sponsored-product-offsearch-?cmpid=DA_INAD200785B")</f>
        <v/>
      </c>
      <c r="G169" t="inlineStr">
        <is>
          <t>New York, NY, US</t>
        </is>
      </c>
      <c r="H169" s="3" t="n">
        <v>45963</v>
      </c>
      <c r="I16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in-03dec06dde7b8486</t>
        </is>
      </c>
      <c r="B170" t="inlineStr">
        <is>
          <t>Applied Scientist, AWS Agentic AI</t>
        </is>
      </c>
      <c r="C170" t="inlineStr">
        <is>
          <t>Amazon Web Services</t>
        </is>
      </c>
      <c r="D170" t="inlineStr">
        <is>
          <t>indeed</t>
        </is>
      </c>
      <c r="E170">
        <f>HYPERLINK("https://www.indeed.com/viewjob?jk=03dec06dde7b8486", "https://www.indeed.com/viewjob?jk=03dec06dde7b8486")</f>
        <v/>
      </c>
      <c r="F170">
        <f>HYPERLINK("https://www.amazon.jobs/jobs/3141517/applied-scientist-aws-agentic-ai-?cmpid=DA_INAD200785B", "https://www.amazon.jobs/jobs/3141517/applied-scientist-aws-agentic-ai-?cmpid=DA_INAD200785B")</f>
        <v/>
      </c>
      <c r="G170" t="inlineStr">
        <is>
          <t>New York, NY, US</t>
        </is>
      </c>
      <c r="H170" s="3" t="n">
        <v>45962</v>
      </c>
      <c r="I17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in-536049298f2564b6</t>
        </is>
      </c>
      <c r="B171" t="inlineStr">
        <is>
          <t>Applied Scientist, AWS Agentic AI</t>
        </is>
      </c>
      <c r="C171" t="inlineStr">
        <is>
          <t>Amazon Web Services</t>
        </is>
      </c>
      <c r="D171" t="inlineStr">
        <is>
          <t>indeed</t>
        </is>
      </c>
      <c r="E171">
        <f>HYPERLINK("https://www.indeed.com/viewjob?jk=536049298f2564b6", "https://www.indeed.com/viewjob?jk=536049298f2564b6")</f>
        <v/>
      </c>
      <c r="F171">
        <f>HYPERLINK("https://www.amazon.jobs/jobs/3141517/applied-scientist-aws-agentic-ai-?cmpid=DA_INAD200785B", "https://www.amazon.jobs/jobs/3141517/applied-scientist-aws-agentic-ai-?cmpid=DA_INAD200785B")</f>
        <v/>
      </c>
      <c r="G171" t="inlineStr">
        <is>
          <t>Seattle, WA, US</t>
        </is>
      </c>
      <c r="H171" s="3" t="n">
        <v>45962</v>
      </c>
      <c r="I17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in-ba73ea74f2191f45</t>
        </is>
      </c>
      <c r="B172" t="inlineStr">
        <is>
          <t>Applied Scientist, AWS Agentic AI</t>
        </is>
      </c>
      <c r="C172" t="inlineStr">
        <is>
          <t>Amazon Web Services</t>
        </is>
      </c>
      <c r="D172" t="inlineStr">
        <is>
          <t>indeed</t>
        </is>
      </c>
      <c r="E172">
        <f>HYPERLINK("https://www.indeed.com/viewjob?jk=ba73ea74f2191f45", "https://www.indeed.com/viewjob?jk=ba73ea74f2191f45")</f>
        <v/>
      </c>
      <c r="F172">
        <f>HYPERLINK("https://www.amazon.jobs/jobs/3141517/applied-scientist-aws-agentic-ai-?cmpid=DA_INAD200785B", "https://www.amazon.jobs/jobs/3141517/applied-scientist-aws-agentic-ai-?cmpid=DA_INAD200785B")</f>
        <v/>
      </c>
      <c r="G172" t="inlineStr">
        <is>
          <t>Santa Clara, CA, US</t>
        </is>
      </c>
      <c r="H172" s="3" t="n">
        <v>45962</v>
      </c>
      <c r="I17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in-35b314d7d9c1b7d0</t>
        </is>
      </c>
      <c r="B173" t="inlineStr">
        <is>
          <t>Principal Applied Scientist, Advertiser Growth, Amazon Sponsored Products &amp; Brands</t>
        </is>
      </c>
      <c r="C173" t="inlineStr">
        <is>
          <t>Amazon.com</t>
        </is>
      </c>
      <c r="D173" t="inlineStr">
        <is>
          <t>indeed</t>
        </is>
      </c>
      <c r="E173">
        <f>HYPERLINK("https://www.indeed.com/viewjob?jk=35b314d7d9c1b7d0", "https://www.indeed.com/viewjob?jk=35b314d7d9c1b7d0")</f>
        <v/>
      </c>
      <c r="F173">
        <f>HYPERLINK("https://www.amazon.jobs/jobs/3115279/principal-applied-scientist-advertiser-growth-amazon-sponsored-products--brands?cmpid=DA_INAD200785B", "https://www.amazon.jobs/jobs/3115279/principal-applied-scientist-advertiser-growth-amazon-sponsored-products--brands?cmpid=DA_INAD200785B")</f>
        <v/>
      </c>
      <c r="G173" t="inlineStr">
        <is>
          <t>Palo Alto, CA, US</t>
        </is>
      </c>
      <c r="H173" s="3" t="n">
        <v>45942</v>
      </c>
      <c r="I1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in-8186288ce3c4bde8</t>
        </is>
      </c>
      <c r="B174" t="inlineStr">
        <is>
          <t>Principal Applied Scientist, Advertiser Growth, Amazon Sponsored Products &amp; Brands</t>
        </is>
      </c>
      <c r="C174" t="inlineStr">
        <is>
          <t>Amazon.com</t>
        </is>
      </c>
      <c r="D174" t="inlineStr">
        <is>
          <t>indeed</t>
        </is>
      </c>
      <c r="E174">
        <f>HYPERLINK("https://www.indeed.com/viewjob?jk=8186288ce3c4bde8", "https://www.indeed.com/viewjob?jk=8186288ce3c4bde8")</f>
        <v/>
      </c>
      <c r="F174">
        <f>HYPERLINK("https://www.amazon.jobs/jobs/3115279/principal-applied-scientist-advertiser-growth-amazon-sponsored-products--brands?cmpid=DA_INAD200785B", "https://www.amazon.jobs/jobs/3115279/principal-applied-scientist-advertiser-growth-amazon-sponsored-products--brands?cmpid=DA_INAD200785B")</f>
        <v/>
      </c>
      <c r="G174" t="inlineStr">
        <is>
          <t>New York, NY, US</t>
        </is>
      </c>
      <c r="H174" s="3" t="n">
        <v>45942</v>
      </c>
      <c r="I1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in-14455eed0b5270d7</t>
        </is>
      </c>
      <c r="B175" t="inlineStr">
        <is>
          <t>Principal Applied Scientist, Advertiser Growth, Amazon Sponsored Products &amp; Brands</t>
        </is>
      </c>
      <c r="C175" t="inlineStr">
        <is>
          <t>Amazon.com</t>
        </is>
      </c>
      <c r="D175" t="inlineStr">
        <is>
          <t>indeed</t>
        </is>
      </c>
      <c r="E175">
        <f>HYPERLINK("https://www.indeed.com/viewjob?jk=14455eed0b5270d7", "https://www.indeed.com/viewjob?jk=14455eed0b5270d7")</f>
        <v/>
      </c>
      <c r="F175">
        <f>HYPERLINK("https://www.amazon.jobs/jobs/3115279/principal-applied-scientist-advertiser-growth-amazon-sponsored-products--brands?cmpid=DA_INAD200785B", "https://www.amazon.jobs/jobs/3115279/principal-applied-scientist-advertiser-growth-amazon-sponsored-products--brands?cmpid=DA_INAD200785B")</f>
        <v/>
      </c>
      <c r="G175" t="inlineStr">
        <is>
          <t>Seattle, WA, US</t>
        </is>
      </c>
      <c r="H175" s="3" t="n">
        <v>45942</v>
      </c>
      <c r="I17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in-5f1dd2b3835efa24</t>
        </is>
      </c>
      <c r="B176" t="inlineStr">
        <is>
          <t>Sr. Applied Scientist, SPB Advertiser Guidance</t>
        </is>
      </c>
      <c r="C176" t="inlineStr">
        <is>
          <t>Amazon.com</t>
        </is>
      </c>
      <c r="D176" t="inlineStr">
        <is>
          <t>indeed</t>
        </is>
      </c>
      <c r="E176">
        <f>HYPERLINK("https://www.indeed.com/viewjob?jk=5f1dd2b3835efa24", "https://www.indeed.com/viewjob?jk=5f1dd2b3835efa24")</f>
        <v/>
      </c>
      <c r="F176">
        <f>HYPERLINK("https://www.amazon.jobs/jobs/3106497/sr-applied-scientist-spb-advertiser-guidance?cmpid=DA_INAD200785B", "https://www.amazon.jobs/jobs/3106497/sr-applied-scientist-spb-advertiser-guidance?cmpid=DA_INAD200785B")</f>
        <v/>
      </c>
      <c r="G176" t="inlineStr">
        <is>
          <t>Palo Alto, CA, US</t>
        </is>
      </c>
      <c r="H176" s="3" t="n">
        <v>45939</v>
      </c>
      <c r="I1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in-10b1ce6e38e09bbc</t>
        </is>
      </c>
      <c r="B177" t="inlineStr">
        <is>
          <t>Sr. Applied Scientist, SPB Advertiser Guidance</t>
        </is>
      </c>
      <c r="C177" t="inlineStr">
        <is>
          <t>Amazon.com</t>
        </is>
      </c>
      <c r="D177" t="inlineStr">
        <is>
          <t>indeed</t>
        </is>
      </c>
      <c r="E177">
        <f>HYPERLINK("https://www.indeed.com/viewjob?jk=10b1ce6e38e09bbc", "https://www.indeed.com/viewjob?jk=10b1ce6e38e09bbc")</f>
        <v/>
      </c>
      <c r="F177">
        <f>HYPERLINK("https://www.amazon.jobs/jobs/3106497/sr-applied-scientist-spb-advertiser-guidance?cmpid=DA_INAD200785B", "https://www.amazon.jobs/jobs/3106497/sr-applied-scientist-spb-advertiser-guidance?cmpid=DA_INAD200785B")</f>
        <v/>
      </c>
      <c r="G177" t="inlineStr">
        <is>
          <t>Seattle, WA, US</t>
        </is>
      </c>
      <c r="H177" s="3" t="n">
        <v>45939</v>
      </c>
      <c r="I17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in-61d647dccdba96e6</t>
        </is>
      </c>
      <c r="B178" t="inlineStr">
        <is>
          <t>Sr. Applied Scientist, SPB Advertiser Guidance</t>
        </is>
      </c>
      <c r="C178" t="inlineStr">
        <is>
          <t>Amazon.com</t>
        </is>
      </c>
      <c r="D178" t="inlineStr">
        <is>
          <t>indeed</t>
        </is>
      </c>
      <c r="E178">
        <f>HYPERLINK("https://www.indeed.com/viewjob?jk=61d647dccdba96e6", "https://www.indeed.com/viewjob?jk=61d647dccdba96e6")</f>
        <v/>
      </c>
      <c r="F178">
        <f>HYPERLINK("https://www.amazon.jobs/jobs/3106497/sr-applied-scientist-spb-advertiser-guidance?cmpid=DA_INAD200785B", "https://www.amazon.jobs/jobs/3106497/sr-applied-scientist-spb-advertiser-guidance?cmpid=DA_INAD200785B")</f>
        <v/>
      </c>
      <c r="G178" t="inlineStr">
        <is>
          <t>New York, NY, US</t>
        </is>
      </c>
      <c r="H178" s="3" t="n">
        <v>45939</v>
      </c>
      <c r="I17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in-b88c6038eb87e74e</t>
        </is>
      </c>
      <c r="B179" t="inlineStr">
        <is>
          <t>Applied Scientist</t>
        </is>
      </c>
      <c r="C179" t="inlineStr">
        <is>
          <t>Amazon.com</t>
        </is>
      </c>
      <c r="D179" t="inlineStr">
        <is>
          <t>indeed</t>
        </is>
      </c>
      <c r="E179">
        <f>HYPERLINK("https://www.indeed.com/viewjob?jk=b88c6038eb87e74e", "https://www.indeed.com/viewjob?jk=b88c6038eb87e74e")</f>
        <v/>
      </c>
      <c r="F179">
        <f>HYPERLINK("https://www.amazon.jobs/jobs/3106501/applied-scientist?cmpid=DA_INAD200785B", "https://www.amazon.jobs/jobs/3106501/applied-scientist?cmpid=DA_INAD200785B")</f>
        <v/>
      </c>
      <c r="G179" t="inlineStr">
        <is>
          <t>New York, NY, US</t>
        </is>
      </c>
      <c r="H179" s="3" t="n">
        <v>45939</v>
      </c>
      <c r="I17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in-5604046a5f50ea17</t>
        </is>
      </c>
      <c r="B180" t="inlineStr">
        <is>
          <t>Applied Scientist</t>
        </is>
      </c>
      <c r="C180" t="inlineStr">
        <is>
          <t>Amazon.com</t>
        </is>
      </c>
      <c r="D180" t="inlineStr">
        <is>
          <t>indeed</t>
        </is>
      </c>
      <c r="E180">
        <f>HYPERLINK("https://www.indeed.com/viewjob?jk=5604046a5f50ea17", "https://www.indeed.com/viewjob?jk=5604046a5f50ea17")</f>
        <v/>
      </c>
      <c r="F180">
        <f>HYPERLINK("https://www.amazon.jobs/jobs/3106501/applied-scientist?cmpid=DA_INAD200785B", "https://www.amazon.jobs/jobs/3106501/applied-scientist?cmpid=DA_INAD200785B")</f>
        <v/>
      </c>
      <c r="G180" t="inlineStr">
        <is>
          <t>Seattle, WA, US</t>
        </is>
      </c>
      <c r="H180" s="3" t="n">
        <v>45939</v>
      </c>
      <c r="I1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in-389f629a38f3cc1f</t>
        </is>
      </c>
      <c r="B181" t="inlineStr">
        <is>
          <t>Applied Scientist</t>
        </is>
      </c>
      <c r="C181" t="inlineStr">
        <is>
          <t>Amazon.com</t>
        </is>
      </c>
      <c r="D181" t="inlineStr">
        <is>
          <t>indeed</t>
        </is>
      </c>
      <c r="E181">
        <f>HYPERLINK("https://www.indeed.com/viewjob?jk=389f629a38f3cc1f", "https://www.indeed.com/viewjob?jk=389f629a38f3cc1f")</f>
        <v/>
      </c>
      <c r="F181">
        <f>HYPERLINK("https://www.amazon.jobs/jobs/3106501/applied-scientist?cmpid=DA_INAD200785B", "https://www.amazon.jobs/jobs/3106501/applied-scientist?cmpid=DA_INAD200785B")</f>
        <v/>
      </c>
      <c r="G181" t="inlineStr">
        <is>
          <t>Palo Alto, CA, US</t>
        </is>
      </c>
      <c r="H181" s="3" t="n">
        <v>45939</v>
      </c>
      <c r="I1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in-5e2918a819af8c44</t>
        </is>
      </c>
      <c r="B182" t="inlineStr">
        <is>
          <t>Applied Scientist II, Prime Video - Personalization and Discovery Science, Personalization and Discovery Science</t>
        </is>
      </c>
      <c r="C182" t="inlineStr">
        <is>
          <t>Amazon.com</t>
        </is>
      </c>
      <c r="D182" t="inlineStr">
        <is>
          <t>indeed</t>
        </is>
      </c>
      <c r="E182">
        <f>HYPERLINK("https://www.indeed.com/viewjob?jk=5e2918a819af8c44", "https://www.indeed.com/viewjob?jk=5e2918a819af8c44")</f>
        <v/>
      </c>
      <c r="F18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2" t="inlineStr">
        <is>
          <t>Seattle, WA, US</t>
        </is>
      </c>
      <c r="H182" s="3" t="n">
        <v>45930</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in-b51738a9693f1853</t>
        </is>
      </c>
      <c r="B183" t="inlineStr">
        <is>
          <t>Applied Scientist II, Prime Video - Personalization and Discovery Science, Personalization and Discovery Science</t>
        </is>
      </c>
      <c r="C183" t="inlineStr">
        <is>
          <t>Amazon.com</t>
        </is>
      </c>
      <c r="D183" t="inlineStr">
        <is>
          <t>indeed</t>
        </is>
      </c>
      <c r="E183">
        <f>HYPERLINK("https://www.indeed.com/viewjob?jk=b51738a9693f1853", "https://www.indeed.com/viewjob?jk=b51738a9693f1853")</f>
        <v/>
      </c>
      <c r="F18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3" t="inlineStr">
        <is>
          <t>Sunnyvale, CA, US</t>
        </is>
      </c>
      <c r="H183" s="3" t="n">
        <v>45930</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in-93215ff384379eeb</t>
        </is>
      </c>
      <c r="B184" t="inlineStr">
        <is>
          <t>Applied Scientist II, Prime Video - Personalization and Discovery Science, Personalization and Discovery Science</t>
        </is>
      </c>
      <c r="C184" t="inlineStr">
        <is>
          <t>Amazon.com</t>
        </is>
      </c>
      <c r="D184" t="inlineStr">
        <is>
          <t>indeed</t>
        </is>
      </c>
      <c r="E184">
        <f>HYPERLINK("https://www.indeed.com/viewjob?jk=93215ff384379eeb", "https://www.indeed.com/viewjob?jk=93215ff384379eeb")</f>
        <v/>
      </c>
      <c r="F18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4" t="inlineStr">
        <is>
          <t>New York, NY, US</t>
        </is>
      </c>
      <c r="H184" s="3" t="n">
        <v>45930</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in-796df6df26e6bb02</t>
        </is>
      </c>
      <c r="B185" t="inlineStr">
        <is>
          <t>Applied Scientist, Workplace Health &amp; Safety</t>
        </is>
      </c>
      <c r="C185" t="inlineStr">
        <is>
          <t>Amazon.com</t>
        </is>
      </c>
      <c r="D185" t="inlineStr">
        <is>
          <t>indeed</t>
        </is>
      </c>
      <c r="E185">
        <f>HYPERLINK("https://www.indeed.com/viewjob?jk=796df6df26e6bb02", "https://www.indeed.com/viewjob?jk=796df6df26e6bb02")</f>
        <v/>
      </c>
      <c r="F185">
        <f>HYPERLINK("https://www.amazon.jobs/jobs/3144886/applied-scientist-workplace-health--safety-?cmpid=DA_INAD200785B", "https://www.amazon.jobs/jobs/3144886/applied-scientist-workplace-health--safety-?cmpid=DA_INAD200785B")</f>
        <v/>
      </c>
      <c r="G185" t="inlineStr">
        <is>
          <t>Nashville, TN, US</t>
        </is>
      </c>
      <c r="H185" s="3" t="n">
        <v>45917</v>
      </c>
      <c r="I18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in-88e056ce14536cde</t>
        </is>
      </c>
      <c r="B186" t="inlineStr">
        <is>
          <t>Applied Scientist, Workplace Health &amp; Safety</t>
        </is>
      </c>
      <c r="C186" t="inlineStr">
        <is>
          <t>Amazon.com</t>
        </is>
      </c>
      <c r="D186" t="inlineStr">
        <is>
          <t>indeed</t>
        </is>
      </c>
      <c r="E186">
        <f>HYPERLINK("https://www.indeed.com/viewjob?jk=88e056ce14536cde", "https://www.indeed.com/viewjob?jk=88e056ce14536cde")</f>
        <v/>
      </c>
      <c r="F186">
        <f>HYPERLINK("https://www.amazon.jobs/jobs/3144886/applied-scientist-workplace-health--safety-?cmpid=DA_INAD200785B", "https://www.amazon.jobs/jobs/3144886/applied-scientist-workplace-health--safety-?cmpid=DA_INAD200785B")</f>
        <v/>
      </c>
      <c r="G186" t="inlineStr">
        <is>
          <t>Bellevue, WA, US</t>
        </is>
      </c>
      <c r="H186" s="3" t="n">
        <v>45917</v>
      </c>
      <c r="I18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in-7f7b307d181e47d9</t>
        </is>
      </c>
      <c r="B187" t="inlineStr">
        <is>
          <t>Applied Scientist II, Prime Video - Personalization and Discovery Science</t>
        </is>
      </c>
      <c r="C187" t="inlineStr">
        <is>
          <t>Amazon.com</t>
        </is>
      </c>
      <c r="D187" t="inlineStr">
        <is>
          <t>indeed</t>
        </is>
      </c>
      <c r="E187">
        <f>HYPERLINK("https://www.indeed.com/viewjob?jk=7f7b307d181e47d9", "https://www.indeed.com/viewjob?jk=7f7b307d181e47d9")</f>
        <v/>
      </c>
      <c r="F187">
        <f>HYPERLINK("https://www.amazon.jobs/jobs/3059253/applied-scientist-ii-prime-video--personalization-and-discovery-science?cmpid=DA_INAD200785B", "https://www.amazon.jobs/jobs/3059253/applied-scientist-ii-prime-video--personalization-and-discovery-science?cmpid=DA_INAD200785B")</f>
        <v/>
      </c>
      <c r="G187" t="inlineStr">
        <is>
          <t>New York, NY, US</t>
        </is>
      </c>
      <c r="H187" s="3" t="n">
        <v>45881</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in-858fca564d681bf7</t>
        </is>
      </c>
      <c r="B188" t="inlineStr">
        <is>
          <t>Sr. Applied Scientist, Prime Video - Personalization and Discovery Science</t>
        </is>
      </c>
      <c r="C188" t="inlineStr">
        <is>
          <t>Amazon.com</t>
        </is>
      </c>
      <c r="D188" t="inlineStr">
        <is>
          <t>indeed</t>
        </is>
      </c>
      <c r="E188">
        <f>HYPERLINK("https://www.indeed.com/viewjob?jk=858fca564d681bf7", "https://www.indeed.com/viewjob?jk=858fca564d681bf7")</f>
        <v/>
      </c>
      <c r="F188">
        <f>HYPERLINK("https://www.amazon.jobs/jobs/3059256/sr-applied-scientist-prime-video--personalization-and-discovery-science?cmpid=DA_INAD200785B", "https://www.amazon.jobs/jobs/3059256/sr-applied-scientist-prime-video--personalization-and-discovery-science?cmpid=DA_INAD200785B")</f>
        <v/>
      </c>
      <c r="G188" t="inlineStr">
        <is>
          <t>New York, NY, US</t>
        </is>
      </c>
      <c r="H188" s="3" t="n">
        <v>45881</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in-75303935bfd4ffed</t>
        </is>
      </c>
      <c r="B189" t="inlineStr">
        <is>
          <t>Applied Scientist II, Prime Video - Personalization and Discovery Science</t>
        </is>
      </c>
      <c r="C189" t="inlineStr">
        <is>
          <t>Amazon.com</t>
        </is>
      </c>
      <c r="D189" t="inlineStr">
        <is>
          <t>indeed</t>
        </is>
      </c>
      <c r="E189">
        <f>HYPERLINK("https://www.indeed.com/viewjob?jk=75303935bfd4ffed", "https://www.indeed.com/viewjob?jk=75303935bfd4ffed")</f>
        <v/>
      </c>
      <c r="F189">
        <f>HYPERLINK("https://www.amazon.jobs/jobs/3059253/applied-scientist-ii-prime-video--personalization-and-discovery-science?cmpid=DA_INAD200785B", "https://www.amazon.jobs/jobs/3059253/applied-scientist-ii-prime-video--personalization-and-discovery-science?cmpid=DA_INAD200785B")</f>
        <v/>
      </c>
      <c r="G189" t="inlineStr">
        <is>
          <t>Sunnyvale, CA, US</t>
        </is>
      </c>
      <c r="H189" s="3" t="n">
        <v>45881</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in-11ae9c0cd5811668</t>
        </is>
      </c>
      <c r="B190" t="inlineStr">
        <is>
          <t>Applied Scientist II, Prime Video - Personalization and Discovery Science</t>
        </is>
      </c>
      <c r="C190" t="inlineStr">
        <is>
          <t>Amazon.com</t>
        </is>
      </c>
      <c r="D190" t="inlineStr">
        <is>
          <t>indeed</t>
        </is>
      </c>
      <c r="E190">
        <f>HYPERLINK("https://www.indeed.com/viewjob?jk=11ae9c0cd5811668", "https://www.indeed.com/viewjob?jk=11ae9c0cd5811668")</f>
        <v/>
      </c>
      <c r="F190">
        <f>HYPERLINK("https://www.amazon.jobs/jobs/3059253/applied-scientist-ii-prime-video--personalization-and-discovery-science?cmpid=DA_INAD200785B", "https://www.amazon.jobs/jobs/3059253/applied-scientist-ii-prime-video--personalization-and-discovery-science?cmpid=DA_INAD200785B")</f>
        <v/>
      </c>
      <c r="G190" t="inlineStr">
        <is>
          <t>Seattle, WA, US</t>
        </is>
      </c>
      <c r="H190" s="3" t="n">
        <v>45881</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in-7c18b38eaa79cbf6</t>
        </is>
      </c>
      <c r="B191" t="inlineStr">
        <is>
          <t>Sr. Applied Scientist, Prime Video - Personalization and Discovery Science</t>
        </is>
      </c>
      <c r="C191" t="inlineStr">
        <is>
          <t>Amazon.com</t>
        </is>
      </c>
      <c r="D191" t="inlineStr">
        <is>
          <t>indeed</t>
        </is>
      </c>
      <c r="E191">
        <f>HYPERLINK("https://www.indeed.com/viewjob?jk=7c18b38eaa79cbf6", "https://www.indeed.com/viewjob?jk=7c18b38eaa79cbf6")</f>
        <v/>
      </c>
      <c r="F191">
        <f>HYPERLINK("https://www.amazon.jobs/jobs/3059256/sr-applied-scientist-prime-video--personalization-and-discovery-science?cmpid=DA_INAD200785B", "https://www.amazon.jobs/jobs/3059256/sr-applied-scientist-prime-video--personalization-and-discovery-science?cmpid=DA_INAD200785B")</f>
        <v/>
      </c>
      <c r="G191" t="inlineStr">
        <is>
          <t>Sunnyvale, CA, US</t>
        </is>
      </c>
      <c r="H191" s="3" t="n">
        <v>45881</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in-746403de61cec919</t>
        </is>
      </c>
      <c r="B192" t="inlineStr">
        <is>
          <t>Sr. Applied Scientist, Prime Video - Personalization and Discovery Science</t>
        </is>
      </c>
      <c r="C192" t="inlineStr">
        <is>
          <t>Amazon.com</t>
        </is>
      </c>
      <c r="D192" t="inlineStr">
        <is>
          <t>indeed</t>
        </is>
      </c>
      <c r="E192">
        <f>HYPERLINK("https://www.indeed.com/viewjob?jk=746403de61cec919", "https://www.indeed.com/viewjob?jk=746403de61cec919")</f>
        <v/>
      </c>
      <c r="F192">
        <f>HYPERLINK("https://www.amazon.jobs/jobs/3059256/sr-applied-scientist-prime-video--personalization-and-discovery-science?cmpid=DA_INAD200785B", "https://www.amazon.jobs/jobs/3059256/sr-applied-scientist-prime-video--personalization-and-discovery-science?cmpid=DA_INAD200785B")</f>
        <v/>
      </c>
      <c r="G192" t="inlineStr">
        <is>
          <t>Seattle, WA, US</t>
        </is>
      </c>
      <c r="H192" s="3" t="n">
        <v>45881</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in-f50531e86351959f</t>
        </is>
      </c>
      <c r="B193" t="inlineStr">
        <is>
          <t>Sr. Applied Scientist, Amazon Advertising</t>
        </is>
      </c>
      <c r="C193" t="inlineStr">
        <is>
          <t>Amazon.com</t>
        </is>
      </c>
      <c r="D193" t="inlineStr">
        <is>
          <t>indeed</t>
        </is>
      </c>
      <c r="E193">
        <f>HYPERLINK("https://www.indeed.com/viewjob?jk=f50531e86351959f", "https://www.indeed.com/viewjob?jk=f50531e86351959f")</f>
        <v/>
      </c>
      <c r="F193">
        <f>HYPERLINK("https://www.amazon.jobs/jobs/3035686/sr-applied-scientist-amazon-advertising?cmpid=DA_INAD200785B", "https://www.amazon.jobs/jobs/3035686/sr-applied-scientist-amazon-advertising?cmpid=DA_INAD200785B")</f>
        <v/>
      </c>
      <c r="G193" t="inlineStr">
        <is>
          <t>Austin, TX, US</t>
        </is>
      </c>
      <c r="H193" s="3" t="n">
        <v>45851</v>
      </c>
      <c r="I1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in-bc9a3c95d0c9d63a</t>
        </is>
      </c>
      <c r="B194" t="inlineStr">
        <is>
          <t>Sr. Applied Scientist, Amazon Advertising</t>
        </is>
      </c>
      <c r="C194" t="inlineStr">
        <is>
          <t>Amazon.com</t>
        </is>
      </c>
      <c r="D194" t="inlineStr">
        <is>
          <t>indeed</t>
        </is>
      </c>
      <c r="E194">
        <f>HYPERLINK("https://www.indeed.com/viewjob?jk=bc9a3c95d0c9d63a", "https://www.indeed.com/viewjob?jk=bc9a3c95d0c9d63a")</f>
        <v/>
      </c>
      <c r="F194">
        <f>HYPERLINK("https://www.amazon.jobs/jobs/3035686/sr-applied-scientist-amazon-advertising?cmpid=DA_INAD200785B", "https://www.amazon.jobs/jobs/3035686/sr-applied-scientist-amazon-advertising?cmpid=DA_INAD200785B")</f>
        <v/>
      </c>
      <c r="G194" t="inlineStr">
        <is>
          <t>New York, NY, US</t>
        </is>
      </c>
      <c r="H194" s="3" t="n">
        <v>45851</v>
      </c>
      <c r="I1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in-a0a2fe872b562373</t>
        </is>
      </c>
      <c r="B195" t="inlineStr">
        <is>
          <t>Sr. Applied Scientist, Amazon Advertising</t>
        </is>
      </c>
      <c r="C195" t="inlineStr">
        <is>
          <t>Amazon.com</t>
        </is>
      </c>
      <c r="D195" t="inlineStr">
        <is>
          <t>indeed</t>
        </is>
      </c>
      <c r="E195">
        <f>HYPERLINK("https://www.indeed.com/viewjob?jk=a0a2fe872b562373", "https://www.indeed.com/viewjob?jk=a0a2fe872b562373")</f>
        <v/>
      </c>
      <c r="F195">
        <f>HYPERLINK("https://www.amazon.jobs/jobs/3035686/sr-applied-scientist-amazon-advertising?cmpid=DA_INAD200785B", "https://www.amazon.jobs/jobs/3035686/sr-applied-scientist-amazon-advertising?cmpid=DA_INAD200785B")</f>
        <v/>
      </c>
      <c r="G195" t="inlineStr">
        <is>
          <t>Los Angeles, CA, US</t>
        </is>
      </c>
      <c r="H195" s="3" t="n">
        <v>45851</v>
      </c>
      <c r="I1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in-272fac084b3cd74f</t>
        </is>
      </c>
      <c r="B196" t="inlineStr">
        <is>
          <t>Sr. Applied Scientist, Amazon Advertising</t>
        </is>
      </c>
      <c r="C196" t="inlineStr">
        <is>
          <t>Amazon.com</t>
        </is>
      </c>
      <c r="D196" t="inlineStr">
        <is>
          <t>indeed</t>
        </is>
      </c>
      <c r="E196">
        <f>HYPERLINK("https://www.indeed.com/viewjob?jk=272fac084b3cd74f", "https://www.indeed.com/viewjob?jk=272fac084b3cd74f")</f>
        <v/>
      </c>
      <c r="F196">
        <f>HYPERLINK("https://www.amazon.jobs/jobs/3035686/sr-applied-scientist-amazon-advertising?cmpid=DA_INAD200785B", "https://www.amazon.jobs/jobs/3035686/sr-applied-scientist-amazon-advertising?cmpid=DA_INAD200785B")</f>
        <v/>
      </c>
      <c r="G196" t="inlineStr">
        <is>
          <t>Simi Valley, CA, US</t>
        </is>
      </c>
      <c r="H196" s="3" t="n">
        <v>45851</v>
      </c>
      <c r="I1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in-29b991b0d89dd810</t>
        </is>
      </c>
      <c r="B197" t="inlineStr">
        <is>
          <t>Sr. Applied Scientist, Amazon Advertising</t>
        </is>
      </c>
      <c r="C197" t="inlineStr">
        <is>
          <t>Amazon.com</t>
        </is>
      </c>
      <c r="D197" t="inlineStr">
        <is>
          <t>indeed</t>
        </is>
      </c>
      <c r="E197">
        <f>HYPERLINK("https://www.indeed.com/viewjob?jk=29b991b0d89dd810", "https://www.indeed.com/viewjob?jk=29b991b0d89dd810")</f>
        <v/>
      </c>
      <c r="F197">
        <f>HYPERLINK("https://www.amazon.jobs/jobs/3035686/sr-applied-scientist-amazon-advertising?cmpid=DA_INAD200785B", "https://www.amazon.jobs/jobs/3035686/sr-applied-scientist-amazon-advertising?cmpid=DA_INAD200785B")</f>
        <v/>
      </c>
      <c r="G197" t="inlineStr">
        <is>
          <t>Seattle, WA, US</t>
        </is>
      </c>
      <c r="H197" s="3" t="n">
        <v>45851</v>
      </c>
      <c r="I1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in-98e9b32922bac38b</t>
        </is>
      </c>
      <c r="B198" t="inlineStr">
        <is>
          <t>Sr. Applied Scientist, Amazon Advertising</t>
        </is>
      </c>
      <c r="C198" t="inlineStr">
        <is>
          <t>Amazon.com</t>
        </is>
      </c>
      <c r="D198" t="inlineStr">
        <is>
          <t>indeed</t>
        </is>
      </c>
      <c r="E198">
        <f>HYPERLINK("https://www.indeed.com/viewjob?jk=98e9b32922bac38b", "https://www.indeed.com/viewjob?jk=98e9b32922bac38b")</f>
        <v/>
      </c>
      <c r="F198">
        <f>HYPERLINK("https://www.amazon.jobs/jobs/3035686/sr-applied-scientist-amazon-advertising?cmpid=DA_INAD200785B", "https://www.amazon.jobs/jobs/3035686/sr-applied-scientist-amazon-advertising?cmpid=DA_INAD200785B")</f>
        <v/>
      </c>
      <c r="G198" t="inlineStr">
        <is>
          <t>Palo Alto, CA, US</t>
        </is>
      </c>
      <c r="H198" s="3" t="n">
        <v>45851</v>
      </c>
      <c r="I1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in-44c28b4e0b47a213</t>
        </is>
      </c>
      <c r="B199" t="inlineStr">
        <is>
          <t>Sr. Applied Scientist, Amazon Advertising</t>
        </is>
      </c>
      <c r="C199" t="inlineStr">
        <is>
          <t>Amazon.com</t>
        </is>
      </c>
      <c r="D199" t="inlineStr">
        <is>
          <t>indeed</t>
        </is>
      </c>
      <c r="E199">
        <f>HYPERLINK("https://www.indeed.com/viewjob?jk=44c28b4e0b47a213", "https://www.indeed.com/viewjob?jk=44c28b4e0b47a213")</f>
        <v/>
      </c>
      <c r="F199">
        <f>HYPERLINK("https://www.amazon.jobs/jobs/3035686/sr-applied-scientist-amazon-advertising?cmpid=DA_INAD200785B", "https://www.amazon.jobs/jobs/3035686/sr-applied-scientist-amazon-advertising?cmpid=DA_INAD200785B")</f>
        <v/>
      </c>
      <c r="G199" t="inlineStr">
        <is>
          <t>Arlington, VA, US</t>
        </is>
      </c>
      <c r="H199" s="3" t="n">
        <v>45851</v>
      </c>
      <c r="I1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in-b615cf41c9a3d866</t>
        </is>
      </c>
      <c r="B200" t="inlineStr">
        <is>
          <t>Sr. Applied Scientist, Amazon Advertising</t>
        </is>
      </c>
      <c r="C200" t="inlineStr">
        <is>
          <t>Amazon.com</t>
        </is>
      </c>
      <c r="D200" t="inlineStr">
        <is>
          <t>indeed</t>
        </is>
      </c>
      <c r="E200">
        <f>HYPERLINK("https://www.indeed.com/viewjob?jk=b615cf41c9a3d866", "https://www.indeed.com/viewjob?jk=b615cf41c9a3d866")</f>
        <v/>
      </c>
      <c r="F200">
        <f>HYPERLINK("https://www.amazon.jobs/jobs/3035686/sr-applied-scientist-amazon-advertising?cmpid=DA_INAD200785B", "https://www.amazon.jobs/jobs/3035686/sr-applied-scientist-amazon-advertising?cmpid=DA_INAD200785B")</f>
        <v/>
      </c>
      <c r="G200" t="inlineStr">
        <is>
          <t>West Hollywood, CA, US</t>
        </is>
      </c>
      <c r="H200" s="3" t="n">
        <v>45851</v>
      </c>
      <c r="I2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in-476710572f098be7</t>
        </is>
      </c>
      <c r="B201" t="inlineStr">
        <is>
          <t>Applied Scientist, Prime Video - Personalization and Discovery Science</t>
        </is>
      </c>
      <c r="C201" t="inlineStr">
        <is>
          <t>Amazon.com</t>
        </is>
      </c>
      <c r="D201" t="inlineStr">
        <is>
          <t>indeed</t>
        </is>
      </c>
      <c r="E201">
        <f>HYPERLINK("https://www.indeed.com/viewjob?jk=476710572f098be7", "https://www.indeed.com/viewjob?jk=476710572f098be7")</f>
        <v/>
      </c>
      <c r="F201">
        <f>HYPERLINK("https://www.amazon.jobs/jobs/3033050/applied-scientist-prime-video--personalization-and-discovery-science?cmpid=DA_INAD200785B", "https://www.amazon.jobs/jobs/3033050/applied-scientist-prime-video--personalization-and-discovery-science?cmpid=DA_INAD200785B")</f>
        <v/>
      </c>
      <c r="G201" t="inlineStr">
        <is>
          <t>Sunnyvale, CA, US</t>
        </is>
      </c>
      <c r="H201" s="3" t="n">
        <v>45845</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in-2a2f41047fa4b5c9</t>
        </is>
      </c>
      <c r="B202" t="inlineStr">
        <is>
          <t>Applied Scientist, Prime Video - Personalization and Discovery Science</t>
        </is>
      </c>
      <c r="C202" t="inlineStr">
        <is>
          <t>Amazon.com</t>
        </is>
      </c>
      <c r="D202" t="inlineStr">
        <is>
          <t>indeed</t>
        </is>
      </c>
      <c r="E202">
        <f>HYPERLINK("https://www.indeed.com/viewjob?jk=2a2f41047fa4b5c9", "https://www.indeed.com/viewjob?jk=2a2f41047fa4b5c9")</f>
        <v/>
      </c>
      <c r="F202">
        <f>HYPERLINK("https://www.amazon.jobs/jobs/3033050/applied-scientist-prime-video--personalization-and-discovery-science?cmpid=DA_INAD200785B", "https://www.amazon.jobs/jobs/3033050/applied-scientist-prime-video--personalization-and-discovery-science?cmpid=DA_INAD200785B")</f>
        <v/>
      </c>
      <c r="G202" t="inlineStr">
        <is>
          <t>New York, NY, US</t>
        </is>
      </c>
      <c r="H202" s="3" t="n">
        <v>45845</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in-e3e1e96c171950a4</t>
        </is>
      </c>
      <c r="B203" t="inlineStr">
        <is>
          <t>Applied Scientist, Prime Video - Personalization and Discovery Science</t>
        </is>
      </c>
      <c r="C203" t="inlineStr">
        <is>
          <t>Amazon.com</t>
        </is>
      </c>
      <c r="D203" t="inlineStr">
        <is>
          <t>indeed</t>
        </is>
      </c>
      <c r="E203">
        <f>HYPERLINK("https://www.indeed.com/viewjob?jk=e3e1e96c171950a4", "https://www.indeed.com/viewjob?jk=e3e1e96c171950a4")</f>
        <v/>
      </c>
      <c r="F203">
        <f>HYPERLINK("https://www.amazon.jobs/jobs/3033050/applied-scientist-prime-video--personalization-and-discovery-science?cmpid=DA_INAD200785B", "https://www.amazon.jobs/jobs/3033050/applied-scientist-prime-video--personalization-and-discovery-science?cmpid=DA_INAD200785B")</f>
        <v/>
      </c>
      <c r="G203" t="inlineStr">
        <is>
          <t>Seattle, WA, US</t>
        </is>
      </c>
      <c r="H203" s="3" t="n">
        <v>45845</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in-993d9f19af16a23f</t>
        </is>
      </c>
      <c r="B204" t="inlineStr">
        <is>
          <t>Senior Applied Scientist, Artificial General Intelligence</t>
        </is>
      </c>
      <c r="C204" t="inlineStr">
        <is>
          <t>Amazon.com</t>
        </is>
      </c>
      <c r="D204" t="inlineStr">
        <is>
          <t>indeed</t>
        </is>
      </c>
      <c r="E204">
        <f>HYPERLINK("https://www.indeed.com/viewjob?jk=993d9f19af16a23f", "https://www.indeed.com/viewjob?jk=993d9f19af16a23f")</f>
        <v/>
      </c>
      <c r="F204">
        <f>HYPERLINK("https://www.amazon.jobs/jobs/3032183/senior-applied-scientist-artificial-general-intelligence?cmpid=DA_INAD200785B", "https://www.amazon.jobs/jobs/3032183/senior-applied-scientist-artificial-general-intelligence?cmpid=DA_INAD200785B")</f>
        <v/>
      </c>
      <c r="G204" t="inlineStr">
        <is>
          <t>New York, NY, US</t>
        </is>
      </c>
      <c r="H204" s="3" t="n">
        <v>45838</v>
      </c>
      <c r="I20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in-216fb2d41560a817</t>
        </is>
      </c>
      <c r="B205" t="inlineStr">
        <is>
          <t>Senior Applied Scientist, Artificial General Intelligence</t>
        </is>
      </c>
      <c r="C205" t="inlineStr">
        <is>
          <t>Amazon.com</t>
        </is>
      </c>
      <c r="D205" t="inlineStr">
        <is>
          <t>indeed</t>
        </is>
      </c>
      <c r="E205">
        <f>HYPERLINK("https://www.indeed.com/viewjob?jk=216fb2d41560a817", "https://www.indeed.com/viewjob?jk=216fb2d41560a817")</f>
        <v/>
      </c>
      <c r="F205">
        <f>HYPERLINK("https://www.amazon.jobs/jobs/3032183/senior-applied-scientist-artificial-general-intelligence?cmpid=DA_INAD200785B", "https://www.amazon.jobs/jobs/3032183/senior-applied-scientist-artificial-general-intelligence?cmpid=DA_INAD200785B")</f>
        <v/>
      </c>
      <c r="G205" t="inlineStr">
        <is>
          <t>Boston, MA, US</t>
        </is>
      </c>
      <c r="H205" s="3" t="n">
        <v>45838</v>
      </c>
      <c r="I20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in-e5d1f6e7ec5e67be</t>
        </is>
      </c>
      <c r="B206" t="inlineStr">
        <is>
          <t>Senior Applied Scientist, Artificial General Intelligence</t>
        </is>
      </c>
      <c r="C206" t="inlineStr">
        <is>
          <t>Amazon.com</t>
        </is>
      </c>
      <c r="D206" t="inlineStr">
        <is>
          <t>indeed</t>
        </is>
      </c>
      <c r="E206">
        <f>HYPERLINK("https://www.indeed.com/viewjob?jk=e5d1f6e7ec5e67be", "https://www.indeed.com/viewjob?jk=e5d1f6e7ec5e67be")</f>
        <v/>
      </c>
      <c r="F206">
        <f>HYPERLINK("https://www.amazon.jobs/jobs/3032183/senior-applied-scientist-artificial-general-intelligence?cmpid=DA_INAD200785B", "https://www.amazon.jobs/jobs/3032183/senior-applied-scientist-artificial-general-intelligence?cmpid=DA_INAD200785B")</f>
        <v/>
      </c>
      <c r="G206" t="inlineStr">
        <is>
          <t>Sunnyvale, CA, US</t>
        </is>
      </c>
      <c r="H206" s="3" t="n">
        <v>45838</v>
      </c>
      <c r="I20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in-5093851320d5783c</t>
        </is>
      </c>
      <c r="B207" t="inlineStr">
        <is>
          <t>Sr. Applied Scientist, Sales AI</t>
        </is>
      </c>
      <c r="C207" t="inlineStr">
        <is>
          <t>Amazon.com</t>
        </is>
      </c>
      <c r="D207" t="inlineStr">
        <is>
          <t>indeed</t>
        </is>
      </c>
      <c r="E207">
        <f>HYPERLINK("https://www.indeed.com/viewjob?jk=5093851320d5783c", "https://www.indeed.com/viewjob?jk=5093851320d5783c")</f>
        <v/>
      </c>
      <c r="F207">
        <f>HYPERLINK("https://www.amazon.jobs/jobs/3020528/sr-applied-scientist-sales-ai?cmpid=DA_INAD200785B", "https://www.amazon.jobs/jobs/3020528/sr-applied-scientist-sales-ai?cmpid=DA_INAD200785B")</f>
        <v/>
      </c>
      <c r="G207" t="inlineStr">
        <is>
          <t>Sunnyvale, CA, US</t>
        </is>
      </c>
      <c r="H207" s="3" t="n">
        <v>45830</v>
      </c>
      <c r="I20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in-5fb670facbdf3fc7</t>
        </is>
      </c>
      <c r="B208" t="inlineStr">
        <is>
          <t>Sr. Applied Scientist, Sales AI</t>
        </is>
      </c>
      <c r="C208" t="inlineStr">
        <is>
          <t>Amazon.com</t>
        </is>
      </c>
      <c r="D208" t="inlineStr">
        <is>
          <t>indeed</t>
        </is>
      </c>
      <c r="E208">
        <f>HYPERLINK("https://www.indeed.com/viewjob?jk=5fb670facbdf3fc7", "https://www.indeed.com/viewjob?jk=5fb670facbdf3fc7")</f>
        <v/>
      </c>
      <c r="F208">
        <f>HYPERLINK("https://www.amazon.jobs/jobs/3020528/sr-applied-scientist-sales-ai?cmpid=DA_INAD200785B", "https://www.amazon.jobs/jobs/3020528/sr-applied-scientist-sales-ai?cmpid=DA_INAD200785B")</f>
        <v/>
      </c>
      <c r="G208" t="inlineStr">
        <is>
          <t>New York, NY, US</t>
        </is>
      </c>
      <c r="H208" s="3" t="n">
        <v>45830</v>
      </c>
      <c r="I20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in-b194d7f22111ab9c</t>
        </is>
      </c>
      <c r="B209" t="inlineStr">
        <is>
          <t>Sr. Applied Scientist, Sales AI</t>
        </is>
      </c>
      <c r="C209" t="inlineStr">
        <is>
          <t>Amazon.com</t>
        </is>
      </c>
      <c r="D209" t="inlineStr">
        <is>
          <t>indeed</t>
        </is>
      </c>
      <c r="E209">
        <f>HYPERLINK("https://www.indeed.com/viewjob?jk=b194d7f22111ab9c", "https://www.indeed.com/viewjob?jk=b194d7f22111ab9c")</f>
        <v/>
      </c>
      <c r="F209">
        <f>HYPERLINK("https://www.amazon.jobs/jobs/3020528/sr-applied-scientist-sales-ai?cmpid=DA_INAD200785B", "https://www.amazon.jobs/jobs/3020528/sr-applied-scientist-sales-ai?cmpid=DA_INAD200785B")</f>
        <v/>
      </c>
      <c r="G209" t="inlineStr">
        <is>
          <t>Seattle, WA, US</t>
        </is>
      </c>
      <c r="H209" s="3" t="n">
        <v>45830</v>
      </c>
      <c r="I20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in-b200dd3208711038</t>
        </is>
      </c>
      <c r="B210" t="inlineStr">
        <is>
          <t>Principal Applied Scientist, Delivery Foundation Model</t>
        </is>
      </c>
      <c r="C210" t="inlineStr">
        <is>
          <t>Amazon.com</t>
        </is>
      </c>
      <c r="D210" t="inlineStr">
        <is>
          <t>indeed</t>
        </is>
      </c>
      <c r="E210">
        <f>HYPERLINK("https://www.indeed.com/viewjob?jk=b200dd3208711038", "https://www.indeed.com/viewjob?jk=b200dd3208711038")</f>
        <v/>
      </c>
      <c r="F210">
        <f>HYPERLINK("https://www.amazon.jobs/jobs/3006938/principal-applied-scientist-delivery-foundation-model-?cmpid=DA_INAD200785B", "https://www.amazon.jobs/jobs/3006938/principal-applied-scientist-delivery-foundation-model-?cmpid=DA_INAD200785B")</f>
        <v/>
      </c>
      <c r="G210" t="inlineStr">
        <is>
          <t>New York, NY, US</t>
        </is>
      </c>
      <c r="H210" s="3" t="n">
        <v>45810</v>
      </c>
      <c r="I2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in-364436c9c518bedb</t>
        </is>
      </c>
      <c r="B211" t="inlineStr">
        <is>
          <t>Principal Applied Scientist, Delivery Foundation Model</t>
        </is>
      </c>
      <c r="C211" t="inlineStr">
        <is>
          <t>Amazon.com</t>
        </is>
      </c>
      <c r="D211" t="inlineStr">
        <is>
          <t>indeed</t>
        </is>
      </c>
      <c r="E211">
        <f>HYPERLINK("https://www.indeed.com/viewjob?jk=364436c9c518bedb", "https://www.indeed.com/viewjob?jk=364436c9c518bedb")</f>
        <v/>
      </c>
      <c r="F211">
        <f>HYPERLINK("https://www.amazon.jobs/jobs/3006938/principal-applied-scientist-delivery-foundation-model-?cmpid=DA_INAD200785B", "https://www.amazon.jobs/jobs/3006938/principal-applied-scientist-delivery-foundation-model-?cmpid=DA_INAD200785B")</f>
        <v/>
      </c>
      <c r="G211" t="inlineStr">
        <is>
          <t>Santa Clara, CA, US</t>
        </is>
      </c>
      <c r="H211" s="3" t="n">
        <v>45810</v>
      </c>
      <c r="I2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in-60d4b56f61ccc504</t>
        </is>
      </c>
      <c r="B212" t="inlineStr">
        <is>
          <t>Principal Applied Scientist, Delivery Foundation Model</t>
        </is>
      </c>
      <c r="C212" t="inlineStr">
        <is>
          <t>Amazon.com</t>
        </is>
      </c>
      <c r="D212" t="inlineStr">
        <is>
          <t>indeed</t>
        </is>
      </c>
      <c r="E212">
        <f>HYPERLINK("https://www.indeed.com/viewjob?jk=60d4b56f61ccc504", "https://www.indeed.com/viewjob?jk=60d4b56f61ccc504")</f>
        <v/>
      </c>
      <c r="F212">
        <f>HYPERLINK("https://www.amazon.jobs/jobs/3006938/principal-applied-scientist-delivery-foundation-model-?cmpid=DA_INAD200785B", "https://www.amazon.jobs/jobs/3006938/principal-applied-scientist-delivery-foundation-model-?cmpid=DA_INAD200785B")</f>
        <v/>
      </c>
      <c r="G212" t="inlineStr">
        <is>
          <t>Bellevue, WA, US</t>
        </is>
      </c>
      <c r="H212" s="3" t="n">
        <v>45810</v>
      </c>
      <c r="I2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in-c698843830ddcd0d</t>
        </is>
      </c>
      <c r="B213" t="inlineStr">
        <is>
          <t>Principal Applied Scientist, Delivery Foundation Model</t>
        </is>
      </c>
      <c r="C213" t="inlineStr">
        <is>
          <t>Amazon.com</t>
        </is>
      </c>
      <c r="D213" t="inlineStr">
        <is>
          <t>indeed</t>
        </is>
      </c>
      <c r="E213">
        <f>HYPERLINK("https://www.indeed.com/viewjob?jk=c698843830ddcd0d", "https://www.indeed.com/viewjob?jk=c698843830ddcd0d")</f>
        <v/>
      </c>
      <c r="F213">
        <f>HYPERLINK("https://www.amazon.jobs/jobs/3006938/principal-applied-scientist-delivery-foundation-model-?cmpid=DA_INAD200785B", "https://www.amazon.jobs/jobs/3006938/principal-applied-scientist-delivery-foundation-model-?cmpid=DA_INAD200785B")</f>
        <v/>
      </c>
      <c r="G213" t="inlineStr">
        <is>
          <t>Austin, TX, US</t>
        </is>
      </c>
      <c r="H213" s="3" t="n">
        <v>45810</v>
      </c>
      <c r="I2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in-4d6a237dfa5023fb</t>
        </is>
      </c>
      <c r="B214" t="inlineStr">
        <is>
          <t>Principal Applied Scientist, Delivery Foundation Model</t>
        </is>
      </c>
      <c r="C214" t="inlineStr">
        <is>
          <t>Amazon.com</t>
        </is>
      </c>
      <c r="D214" t="inlineStr">
        <is>
          <t>indeed</t>
        </is>
      </c>
      <c r="E214">
        <f>HYPERLINK("https://www.indeed.com/viewjob?jk=4d6a237dfa5023fb", "https://www.indeed.com/viewjob?jk=4d6a237dfa5023fb")</f>
        <v/>
      </c>
      <c r="F214">
        <f>HYPERLINK("https://www.amazon.jobs/jobs/2998635/principal-applied-scientist-delivery-foundation-model-?cmpid=DA_INAD200785B", "https://www.amazon.jobs/jobs/2998635/principal-applied-scientist-delivery-foundation-model-?cmpid=DA_INAD200785B")</f>
        <v/>
      </c>
      <c r="G214" t="inlineStr">
        <is>
          <t>Bellevue, WA, US</t>
        </is>
      </c>
      <c r="H214" s="3" t="n">
        <v>45757</v>
      </c>
      <c r="I2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in-60c79b4d6e4d227e</t>
        </is>
      </c>
      <c r="B215" t="inlineStr">
        <is>
          <t>Principal Applied Scientist, Delivery Foundation Model</t>
        </is>
      </c>
      <c r="C215" t="inlineStr">
        <is>
          <t>Amazon.com</t>
        </is>
      </c>
      <c r="D215" t="inlineStr">
        <is>
          <t>indeed</t>
        </is>
      </c>
      <c r="E215">
        <f>HYPERLINK("https://www.indeed.com/viewjob?jk=60c79b4d6e4d227e", "https://www.indeed.com/viewjob?jk=60c79b4d6e4d227e")</f>
        <v/>
      </c>
      <c r="F215">
        <f>HYPERLINK("https://www.amazon.jobs/jobs/2998635/principal-applied-scientist-delivery-foundation-model-?cmpid=DA_INAD200785B", "https://www.amazon.jobs/jobs/2998635/principal-applied-scientist-delivery-foundation-model-?cmpid=DA_INAD200785B")</f>
        <v/>
      </c>
      <c r="G215" t="inlineStr">
        <is>
          <t>Santa Clara, CA, US</t>
        </is>
      </c>
      <c r="H215" s="3" t="n">
        <v>45757</v>
      </c>
      <c r="I2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in-d5ae85b1f48388cc</t>
        </is>
      </c>
      <c r="B216" t="inlineStr">
        <is>
          <t>Principal Applied Scientist, Delivery Foundation Model</t>
        </is>
      </c>
      <c r="C216" t="inlineStr">
        <is>
          <t>Amazon.com</t>
        </is>
      </c>
      <c r="D216" t="inlineStr">
        <is>
          <t>indeed</t>
        </is>
      </c>
      <c r="E216">
        <f>HYPERLINK("https://www.indeed.com/viewjob?jk=d5ae85b1f48388cc", "https://www.indeed.com/viewjob?jk=d5ae85b1f48388cc")</f>
        <v/>
      </c>
      <c r="F216">
        <f>HYPERLINK("https://www.amazon.jobs/jobs/2998635/principal-applied-scientist-delivery-foundation-model-?cmpid=DA_INAD200785B", "https://www.amazon.jobs/jobs/2998635/principal-applied-scientist-delivery-foundation-model-?cmpid=DA_INAD200785B")</f>
        <v/>
      </c>
      <c r="G216" t="inlineStr">
        <is>
          <t>New York, NY, US</t>
        </is>
      </c>
      <c r="H216" s="3" t="n">
        <v>45757</v>
      </c>
      <c r="I2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in-507d3eee94e1fe9e</t>
        </is>
      </c>
      <c r="B217" t="inlineStr">
        <is>
          <t>Principal Applied Scientist, FAR (Frontier AI &amp; Robotics)</t>
        </is>
      </c>
      <c r="C217" t="inlineStr">
        <is>
          <t>Amazon.com</t>
        </is>
      </c>
      <c r="D217" t="inlineStr">
        <is>
          <t>indeed</t>
        </is>
      </c>
      <c r="E217">
        <f>HYPERLINK("https://www.indeed.com/viewjob?jk=507d3eee94e1fe9e", "https://www.indeed.com/viewjob?jk=507d3eee94e1fe9e")</f>
        <v/>
      </c>
      <c r="F217">
        <f>HYPERLINK("https://www.amazon.jobs/jobs/2938625/principal-applied-scientist-far-frontier-ai--robotics?cmpid=DA_INAD200785B", "https://www.amazon.jobs/jobs/2938625/principal-applied-scientist-far-frontier-ai--robotics?cmpid=DA_INAD200785B")</f>
        <v/>
      </c>
      <c r="G217" t="inlineStr">
        <is>
          <t>Seattle, WA, US</t>
        </is>
      </c>
      <c r="H217" s="3" t="n">
        <v>45740</v>
      </c>
      <c r="I21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in-a75edcd3180e1baf</t>
        </is>
      </c>
      <c r="B218" t="inlineStr">
        <is>
          <t>Principal Applied Scientist, FAR (Frontier AI &amp; Robotics)</t>
        </is>
      </c>
      <c r="C218" t="inlineStr">
        <is>
          <t>Amazon.com</t>
        </is>
      </c>
      <c r="D218" t="inlineStr">
        <is>
          <t>indeed</t>
        </is>
      </c>
      <c r="E218">
        <f>HYPERLINK("https://www.indeed.com/viewjob?jk=a75edcd3180e1baf", "https://www.indeed.com/viewjob?jk=a75edcd3180e1baf")</f>
        <v/>
      </c>
      <c r="F218">
        <f>HYPERLINK("https://www.amazon.jobs/jobs/2938625/principal-applied-scientist-far-frontier-ai--robotics?cmpid=DA_INAD200785B", "https://www.amazon.jobs/jobs/2938625/principal-applied-scientist-far-frontier-ai--robotics?cmpid=DA_INAD200785B")</f>
        <v/>
      </c>
      <c r="G218" t="inlineStr">
        <is>
          <t>San Francisco, CA, US</t>
        </is>
      </c>
      <c r="H218" s="3" t="n">
        <v>45740</v>
      </c>
      <c r="I21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in-d1e275b23686524d</t>
        </is>
      </c>
      <c r="B219" t="inlineStr">
        <is>
          <t>Data Scientist - Computer Vision, Data &amp; Machine Learning (DML)</t>
        </is>
      </c>
      <c r="C219" t="inlineStr">
        <is>
          <t>Amazon Web Services</t>
        </is>
      </c>
      <c r="D219" t="inlineStr">
        <is>
          <t>indeed</t>
        </is>
      </c>
      <c r="E219">
        <f>HYPERLINK("https://www.indeed.com/viewjob?jk=d1e275b23686524d", "https://www.indeed.com/viewjob?jk=d1e275b23686524d")</f>
        <v/>
      </c>
      <c r="F219">
        <f>HYPERLINK("https://www.amazon.jobs/jobs/3171977/data-scientist--computer-vision-data--machine-learning-dml?cmpid=DA_INAD200785B", "https://www.amazon.jobs/jobs/3171977/data-scientist--computer-vision-data--machine-learning-dml?cmpid=DA_INAD200785B")</f>
        <v/>
      </c>
      <c r="G219" t="inlineStr">
        <is>
          <t>Arlington, VA, US</t>
        </is>
      </c>
      <c r="H219" s="3" t="n">
        <v>46051</v>
      </c>
      <c r="I219"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0">
      <c r="A220" t="inlineStr">
        <is>
          <t>in-d2101b89ec39472f</t>
        </is>
      </c>
      <c r="B220" t="inlineStr">
        <is>
          <t>Data Scientist - Computer Vision, Data &amp; Machine Learning (DML)</t>
        </is>
      </c>
      <c r="C220" t="inlineStr">
        <is>
          <t>Amazon Web Services</t>
        </is>
      </c>
      <c r="D220" t="inlineStr">
        <is>
          <t>indeed</t>
        </is>
      </c>
      <c r="E220">
        <f>HYPERLINK("https://www.indeed.com/viewjob?jk=d2101b89ec39472f", "https://www.indeed.com/viewjob?jk=d2101b89ec39472f")</f>
        <v/>
      </c>
      <c r="F220">
        <f>HYPERLINK("https://www.amazon.jobs/jobs/3171977/data-scientist--computer-vision-data--machine-learning-dml?cmpid=DA_INAD200785B", "https://www.amazon.jobs/jobs/3171977/data-scientist--computer-vision-data--machine-learning-dml?cmpid=DA_INAD200785B")</f>
        <v/>
      </c>
      <c r="G220" t="inlineStr">
        <is>
          <t>Herndon, VA, US</t>
        </is>
      </c>
      <c r="H220" s="3" t="n">
        <v>46051</v>
      </c>
      <c r="I22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1">
      <c r="A221" t="inlineStr">
        <is>
          <t>in-dd032f14168e4711</t>
        </is>
      </c>
      <c r="B221" t="inlineStr">
        <is>
          <t>Applied Scientist, Alexa Smart Home</t>
        </is>
      </c>
      <c r="C221" t="inlineStr">
        <is>
          <t>Amazon.com</t>
        </is>
      </c>
      <c r="D221" t="inlineStr">
        <is>
          <t>indeed</t>
        </is>
      </c>
      <c r="E221">
        <f>HYPERLINK("https://www.indeed.com/viewjob?jk=dd032f14168e4711", "https://www.indeed.com/viewjob?jk=dd032f14168e4711")</f>
        <v/>
      </c>
      <c r="F221">
        <f>HYPERLINK("https://www.amazon.jobs/jobs/3169205/applied-scientist-alexa-smart-home?cmpid=DA_INAD200785B", "https://www.amazon.jobs/jobs/3169205/applied-scientist-alexa-smart-home?cmpid=DA_INAD200785B")</f>
        <v/>
      </c>
      <c r="G221" t="inlineStr">
        <is>
          <t>Seattle, WA, US</t>
        </is>
      </c>
      <c r="H221" s="3" t="n">
        <v>46033</v>
      </c>
      <c r="I22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22">
      <c r="A222" t="inlineStr">
        <is>
          <t>in-ed6a77bec4e59f67</t>
        </is>
      </c>
      <c r="B222" t="inlineStr">
        <is>
          <t>Applied Scientist, Alexa Smart Home</t>
        </is>
      </c>
      <c r="C222" t="inlineStr">
        <is>
          <t>Amazon.com</t>
        </is>
      </c>
      <c r="D222" t="inlineStr">
        <is>
          <t>indeed</t>
        </is>
      </c>
      <c r="E222">
        <f>HYPERLINK("https://www.indeed.com/viewjob?jk=ed6a77bec4e59f67", "https://www.indeed.com/viewjob?jk=ed6a77bec4e59f67")</f>
        <v/>
      </c>
      <c r="F222">
        <f>HYPERLINK("https://www.amazon.jobs/jobs/3169205/applied-scientist-alexa-smart-home?cmpid=DA_INAD200785B", "https://www.amazon.jobs/jobs/3169205/applied-scientist-alexa-smart-home?cmpid=DA_INAD200785B")</f>
        <v/>
      </c>
      <c r="G222" t="inlineStr">
        <is>
          <t>Sunnyvale, CA, US</t>
        </is>
      </c>
      <c r="H222" s="3" t="n">
        <v>46033</v>
      </c>
      <c r="I22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li-4368186723</t>
        </is>
      </c>
      <c r="B2" t="inlineStr">
        <is>
          <t>Product Data Scientist.</t>
        </is>
      </c>
      <c r="C2" t="inlineStr">
        <is>
          <t>MLabs</t>
        </is>
      </c>
      <c r="D2" t="inlineStr">
        <is>
          <t>linkedin</t>
        </is>
      </c>
      <c r="E2" t="inlineStr"/>
      <c r="F2" t="inlineStr"/>
      <c r="G2" t="inlineStr">
        <is>
          <t>New York, NY</t>
        </is>
      </c>
      <c r="H2" t="inlineStr"/>
      <c r="I2" t="inlineStr">
        <is>
          <t>****Data Scientist (Full\-Stack / Generalist)****
**Location:** 
 Remote / Flexible
 **Type:** 
 Full\-Time
**Compensation:** 
 Competitive
 We are seeking an experienced, versatile
 **Data Scientist** 
 who thrives in a fast\-paced startup environment. In this role, you will have the freedom to identify high\-impact opportunities, design and implement technical solutions, and measure their success across our global product suite.
 We value
 **generalists over specialists.** 
 The ideal candidate has broad experience across the entire data science lifecycle rather than deep expertise in just one niche. You should be proactive, self\-motivated, and comfortable taking initiative to find problems worth solving. At our firm, you aren't just a number; you maintain ownership of your projects from initial conception to final implementation.
**What You'll Do:**
* Product Optimization: Design, run, and analyze complex A/B tests to optimize our consumer\-facing product experience
* Proactive Analysis: Identify hidden problems and growth opportunities through deep\-dive data exploration
* Visualization: Build and maintain high\-impact dashboards to track key metrics and provide real\-time insights
* Modeling: Develop predictive models to understand user behavior and forecast business outcomes
* Cross\-Functional Collaboration: Partner with Product and Engineering teams to turn data\-driven hypotheses into live solutions
* Strategy: Help establish data best practices and methodologies for a growing team
**Requirements**
* Experience: 2\-3\+ years of data science experience within a high\-growth startup, scale\-up, or FAANG/equivalent environment
* Technical Stack: Proficiency with Python/R and SQL/BigQuery
* Experimental Design: Strong experience in designing and analyzing A/B tests specifically for consumer\-grade products
* Autonomy: A proven track record of managing entire projects independently from ideation through to implementation
* Communication: Exceptional ability to translate complex statistical findings into actionable recommendations for non\-technical stakeholders
**Preferred Qualifications:**
* Domain Knowledge: Experience with cryptocurrency, blockchain data, or fintech products
* Tooling: Proficiency with Grafana (visualization), FullStory (event tracking), and Dataform (data pipelines)
* Advanced Analytics: Strong knowledge of causal inference, statistical methods, and Machine Learning applications
**Benefits**
* Compensation: Competitive base salary paired with a generous equity/token package
* Flexibility: Flexible work arrangements to support a healthy work\-life balance
* Comprehensive Care: Premium health benefits and a dedicated professional development budget
* High Impact: The opportunity to shape the future of a market\-leading product in a collaborative, fast\-paced environment
* Inclusive Culture: We are building a diverse team and encourage applications from candidates of all backgrounds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3">
      <c r="A3" t="inlineStr">
        <is>
          <t>li-4368306562</t>
        </is>
      </c>
      <c r="B3" t="inlineStr">
        <is>
          <t>Data Scientist</t>
        </is>
      </c>
      <c r="C3" t="inlineStr">
        <is>
          <t>NuStar Technologies</t>
        </is>
      </c>
      <c r="D3" t="inlineStr">
        <is>
          <t>linkedin</t>
        </is>
      </c>
      <c r="E3" t="inlineStr"/>
      <c r="F3" t="inlineStr"/>
      <c r="G3" t="inlineStr">
        <is>
          <t>Newark, DE</t>
        </is>
      </c>
      <c r="H3" t="inlineStr"/>
      <c r="I3" t="inlineStr">
        <is>
          <t>Data scientist
 Must Have Technical/Functional Skills
 Primary: Artificial intelligence, ML, LLM
 Secondary: Data science, Python, NLP, Agile tools
 Experience: 10\+
 Roles \&amp; Responsibilities
 Experience with NLP, deep learning, or time series analysis.
 Experience deploying models to production environments.
 Knowledge of regulatory requirements and compliance in banking and finance.
 Familiarity with MLOps practices and tools.
 Experience with Agile methodology and tools (JIRA or Rally)
 Proven experience as a Data Scientist in Banking or a similar domain
 Proficiency in Python or R, and experience with data science libraries (e.g., pandas, scikit\-learn, TensorFlow, PyTorch).
 Hands\-on experience with large language models (e.g., OpenAI GPT, Llama, or similar), including fine\-tuning and prompt engineering.
 Strong knowledge of statistics, machine learning, and data mining techniques.
 Experience with data visualization tools (e.g., Tableau, Power BI).
 Experience with Big Data Platforms (Hadoop).
 Familiarity with SQL and working with relational databases.
 Excellent problem\-solving, communication, and collaboration skills.
 Experience with cloud platforms (AWS, Azure, or GCP) is a plus.
 Analyze large financial datasets to extract insights and support business decisions.
 Develop, implement, and evaluate machine learning models and algorithms tailored to banking and finance use cases (e.g., risk modeling, fraud detection, customer segmentation).
 Apply and fine\-tune large language models (LLMs) for tasks such as document analysis, customer communication, and regulatory compliance.
 Collaborate with cross\-functional teams to understand business requirements and deliver data\-driven solutions.
 Communicate findings and recommendations through reports, dashboards, and presentations.
 Work with data engineers to ensure data quality and pipeline reliability.
 Salary Range\- $120,000\-$135,000 a year</t>
        </is>
      </c>
    </row>
    <row r="4">
      <c r="A4" t="inlineStr">
        <is>
          <t>li-4313808393</t>
        </is>
      </c>
      <c r="B4" t="inlineStr">
        <is>
          <t>Data Scientist</t>
        </is>
      </c>
      <c r="C4" t="inlineStr">
        <is>
          <t>OpenAI</t>
        </is>
      </c>
      <c r="D4" t="inlineStr">
        <is>
          <t>linkedin</t>
        </is>
      </c>
      <c r="E4" t="inlineStr"/>
      <c r="F4" t="inlineStr"/>
      <c r="G4" t="inlineStr">
        <is>
          <t>San Francisco, CA</t>
        </is>
      </c>
      <c r="H4" t="inlineStr"/>
      <c r="I4" t="inlineStr">
        <is>
          <t>**About The Team**
 The Strategic Finance team is responsible for some of the largest investment categories at OpenAI. We play a critical role in maximizing OpenAI’s long\-term value by partnering across the business to allocate and deploy resources for the highest\-impact outcomes. We work cross\-functionally with Finance, Product, Engineering, and Go\-To\-Market teams to deliver actionable insights and support strategic decision\-making.
**About The Role**
 As one of the founding Data Scientists on the Strategic Finance Data Science team, you will design, implement, and own critical models, reporting, and analysis. You will work closely with Finance leadership, as well as teams across Research, Applied and Go\-To\-Market.
 This role requires deep expertise in predictive modeling, causal inference, and the ability to surface insights to support high\-stakes decision\-making.
 This role is based in our San Francisco HQ. We use a hybrid work model of three days in the office per week and offer relocation assistance to new employees.
**In This Role, You Will**
* Become an expert in OpenAI’s data and systems. Partnering with Data Engineering, Finance, and other teams, you’ll self\-serve data to derive critical insights.
* Scale causal inference models to measure the impact of different actions on user growth and financial outcomes.
* Architect customer segmentation frameworks to unlock tailored growth strategies and expand lifetime value.
* Automate standardized reporting and analysis by building data products or agentic solutions.
* Support product pricing and other business decisions with ad hoc analysis.
* Design and deliver dashboards for leadership to track key performance indicators and enable optimal decision\-making.
* Manage and lead cross\-functional data science projects end\-to\-end.
**You Might Thrive In This Role If You Have**
* MS or PhD in a quantitative field, with 7\+ years of experience in a highly quantitative role, ideally as an early data scientist at a hyper\-growth company or research organization.
* Proficiency in Python, SQL, Tableau, and other analytical tools.
* Strong analytical skills and experience working with large, complex data sets.
* Proven ability to distill complex data into actionable insights for leadership.
* Ability to independently initiate and complete projects, owning them end\-to\-end.
* Excellent communication and storytelling skills when presenting data insights.
* Exceptional attention to detail and a commitment to accuracy.
**You Could Be An Especially Great Fit If**
* You’re an enthusiastic self\-starter who thrives in fast\-paced, dynamic environments.
* You’re a phenomenal teammate and communicator, able to explain complex topics with clarity and keep stakeholders proactively informed.
* You’re passionate about technology and artificial intelligence.
* You use first\-principles thinking to design solutions from the ground up based on user needs and operational realities.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5">
      <c r="A5" t="inlineStr">
        <is>
          <t>li-4295424941</t>
        </is>
      </c>
      <c r="B5" t="inlineStr">
        <is>
          <t>Principal ML Scientist</t>
        </is>
      </c>
      <c r="C5" t="inlineStr">
        <is>
          <t>Cleerly</t>
        </is>
      </c>
      <c r="D5" t="inlineStr">
        <is>
          <t>linkedin</t>
        </is>
      </c>
      <c r="E5" t="inlineStr"/>
      <c r="F5" t="inlineStr"/>
      <c r="G5" t="inlineStr">
        <is>
          <t>Denver, NY</t>
        </is>
      </c>
      <c r="H5" t="inlineStr"/>
      <c r="I5" t="inlineStr">
        <is>
          <t>**About Cleerly**
 We’re Cleerly – a healthcare company that’s revolutionizing how heart disease is diagnosed, treated, and tracked. We were founded in 2017 by one of the world’s leading cardiologists and are a growing team of world\-class engineering, operations, medical affairs, marketing, and sales leaders. We raised $223M in Series C funding in 2022 which has enabled rapid growth and continued support of our mission. In December 2024 we received an additional $106M in a Series C extension funding. Most of our teams work remotely and have access to our offices in Denver, Colorado, New, York, New York, Dallas, Texas, and Lisbon, Portugal with some roles requiring you to be on\-site in a location.
 Cleerly has created a new standard of care for heart disease through value\-based, AI\-driven precision diagnostic solutions with the goal of helping prevent heart attacks. Our technology goes beyond traditional measures of heart disease by enabling comprehensive quantification and characterization of atherosclerosis, or plaque buildup, in each of the heart arteries. Cleerly’s solutions are supported by more than a decade of performing some of the world’s largest clinical trials to identify important findings beyond symptoms that increase a person’s risk of heart attacks.
 At Cleerly, we collaborate digitally and use a wide variety of systems. Our people use Google Workspace (GMail, Drive, Docs, Sheets, Slides), Slack, Confluence/Jira, and Zoom Video, prior experience in these areas is a plus. Role or department specific technology needs may vary and will be listed as requirements in the job description.
 While we are mostly a remote company, travel is required for some team meetings and cross function projects typically once per month or once per quarter, for some roles like sales or external facing roles travel could be up to 90% of the time.
**About The Opportunity**
 We are seeking an accomplished
 **Principal Machine Learning Scientist** 
 to lead the development, validation, and deployment of advanced machine learning models that directly impact the diagnostic and prognostic care pathways for heart disease. In this senior\-level role, you will provide
 **technical leadership across multidisciplinary teams** 
 , help shape the company’s ML roadmap, and guide high\-stakes projects from ideation through regulatory approval and clinical integration. You will also represent the company in strategic research collaborations with leading academic and clinical institutions, driving innovation at the intersection of AI and cardiovascular health.
**Responsibilities**
* Lead the design and development of state\-of\-the\-art ML and deep learning models for complex, multi\-modal medical imaging and clinical data across multiple projects
* Define technical and research strategies to achieve new business opportunities, and lead proposals to pursue new areas of science or technology in programs to meet the organization’s long\-term strategic goals.
* Set the technical direction for core ML initiatives, balancing scientific rigor with clinical and business priorities. Evangelizes new technology within the company.
* Drive innovation in data representation, model architecture, and learning paradigms to advance the field and improve clinical outcomes. Establish frameworks and processes that are used across teams.
* Oversee and guide rigorous validation, benchmarking, and regulatory\-aligned evaluation of ML algorithms.
* Partner with scientific affairs, engineering, product, biostatistician, and regulatory teams to drive the end\-to\-end lifecycle of medical products to ensure successful delivery and impact. Rally others around a clear vision.
* Provide support and guidance in all phases of the product development cycle to ensure delivery of high\-quality products. Provide design and system optimization solutions to drive improved customer experience and satisfaction.
* Mentor and guide other ML scientists and engineers, fostering a culture of technical excellence and continuous learning.
* Lead collaborative research efforts with academic and medical partners; author high\-impact publications and contribute to the company’s intellectual property portfolio.
* Present findings, strategic insights, and technical recommendations to executive leadership and external stakeholders.
**Requirements**
* Ph.D. in Computer Science, Biomedical Engineering, Data Science, or a related technical field.
* 8\+ years of post Ph.D. or industry experience leading applied ML initiatives.
* Demonstrated technical leadership in developing and deploying ML models in regulated or clinical domains. Recognized expert in machine learning and medical imaging.
* Deep expertise in machine learning theory and practice, with a strong track record in 3D medical image analysis, including segmentation, reconstruction, registration, restoration, detection, and/or predictive analytics.
* Strong track record of publications in top\-tier machine learning, medical imaging or computer vision
**Preferred Qualifications**
* 12\+ years of post Ph.D. or industry experience leading applied ML initiatives.
* Hands\-on expertise in advanced ML techniques such as vision transformers, self\-supervised learning, continual/incremental learning, contrastive learning or physics\-informed deep learning.
* Experience with ML orchestration frameworks, such as Kubeflow, MLFlow, Ray, Metaflow, or Argo Workflow
* Strong domain knowledge in cardiac CT and coronary artery disease diagnostics.
* Experience contributing to 510(k) submissions or working in a regulated SaMD development environment.
**TTC\*:**
 CO: $282,000 \- $324,000
 NY: $288,000 \- $348,000
* Total Target Compensation (TTC): Total Cash Compensation (including base pay, variable pay, commission, bonuses, etc.).
*Each role at Cleerly has a defined salary range based on market data and company stage. We typically hire at the lower to mid\-point of the range, with the top end reserved for internal growth and exceptional performance. Actual pay depends on factors like experience, technical depth, geographic location, and alignment with internal peers.*
**Working at Cleerly takes HEART. Discover our Core Values:**
* H: Humility\- be a servant leader
* E: Excellence\- deliver world\-changing results
* A: Accountability\- do what you say; expect the same from others
* R: Remarkable\- inspire \&amp; innovate with impact
* T: Teamwork\- together we win
 Don’t meet 100 percent of the qualifications? Apply anyway and help us diversify our candidate pool and workforce. We value experience, whether gained formally or informally on the job or through other experiences.
 *Job duties, activities and responsibilities are subject to change by our company.*
***OUR COMPANY IS AN EQUAL OPPORTUNITY EMPLOYER.***
*We do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By submitting your application, you agree to receive SMS messages from Cleerly recruiters throughout the interview process. Message frequency may vary. Message and data rates may apply. You can STOP messaging by sending STOP and get more help by sending HELP. For more information see our Privacy Policy (https://cleerlyhealth.com/privacy\-policy). All official emails will come from @cleerlyhealth.com email accounts.
 \#Cleerly</t>
        </is>
      </c>
    </row>
    <row r="6">
      <c r="A6" t="inlineStr">
        <is>
          <t>li-4357441922</t>
        </is>
      </c>
      <c r="B6" t="inlineStr">
        <is>
          <t>Alternative Data Scientist</t>
        </is>
      </c>
      <c r="C6" t="inlineStr">
        <is>
          <t>Thurn Partners</t>
        </is>
      </c>
      <c r="D6" t="inlineStr">
        <is>
          <t>linkedin</t>
        </is>
      </c>
      <c r="E6" t="inlineStr"/>
      <c r="F6" t="inlineStr"/>
      <c r="G6" t="inlineStr">
        <is>
          <t>New York, NY</t>
        </is>
      </c>
      <c r="H6" t="inlineStr"/>
      <c r="I6" t="inlineStr">
        <is>
          <t>**Company Insight:**
 A leading global trading firm is expanding its alternative data initiative and is seeking an experienced Data Scientist to help drive the next phase of signal discovery and deployment. Sitting at the intersection of quantitative research and live trading, you’ll work with datasets that are large, messy and unstructured \- using rigorous analytical methods to determine what is predictive, what scales, and what ultimately makes it into production.
 The team operates in a research\-driven environment with fast feedback loops, close proximity to trading, and a strong emphasis on measurable impact rather than theoretical modelling.
**The Role:**
* Evaluate and analyse a wide range of alternative datasets (transactional, behavioural, geospatial, web\-derived, etc.) to identify potential trading signals
* Design and run experiments to assess data quality, stability, coverage and predictive power
* Build statistical and machine learning models to transform raw alternative data into usable features and signals
* Develop robust analytical frameworks to monitor signal decay, bias and performance over time
* Communicate findings clearly to quantitative researchers and key stakeholders, influencing research and trading priorities
**Experience/Skills Required:**
* A strong academic background in a quantitative field from a top\-tier university
* 2–5 years of experience in a data science or research role within a hedge fund, market maker, or investment bank
* Demonstrated experience working with alternative data and assessing its real\-world usefulness
* Advanced Python skills and strong SQL capability for large\-scale data analysis
* A solid understanding of statistics, experimentation, and applied machine learning in noisy environments
**Pre\-Application:**
* Please do not apply if you are looking for a contract or remote work
* Please ensure you meet the required experience section prior to applying
* Allow 1\-5 working days for a response to any job enquiry</t>
        </is>
      </c>
    </row>
    <row r="7">
      <c r="A7" t="inlineStr">
        <is>
          <t>li-4368194084</t>
        </is>
      </c>
      <c r="B7" t="inlineStr">
        <is>
          <t>Junior Data Scientist &amp; AI</t>
        </is>
      </c>
      <c r="C7" t="inlineStr">
        <is>
          <t>Joinrs</t>
        </is>
      </c>
      <c r="D7" t="inlineStr">
        <is>
          <t>linkedin</t>
        </is>
      </c>
      <c r="E7" t="inlineStr"/>
      <c r="F7" t="inlineStr"/>
      <c r="G7" t="inlineStr"/>
      <c r="H7" t="inlineStr"/>
      <c r="I7" t="inlineStr">
        <is>
          <t>**Our goal is to help every recent graduate worldwide find a job that aligns with their ambitions: join us to make the aspirations of a community of over 1,500,000 users come true!** 
 We are constantly looking for
 **students, recent graduates, and junior professionals** 
 who aspire to join our team. Apply for this position, and our HR team will contact you as soon as a role in this area becomes available and your CV matches the profile we are seeking.
 For all
 **Junior** 
 positions as
 ***Data Scientist \&amp; AI***
 we offer a
 **6 months internship contract ($90,000 per year)** 
 ,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**Responsibilities:** 
 Within the team, you may be responsible for one or more of the following tasks:
* **Implementation of Machine Learning Algorithms:** 
 You will have the opportunity to implement and test machine learning algorithms, contributing to the development of intelligent solutions for business challenges. Specifically, working alongside our tech team, you will be involved in Joinrs AI: our Artificial Intelligence model that assists our community in finding employment.
* **Data Analysis and Modeling:** 
 You will participate in data analysis, developing predictive models and contributing to provide meaningful insights to enhance business decisions.
* **Data Visualization:** 
 You will learn to create clear and informative data visualizations to effectively communicate complex results to various stakeholders. In particular, you will create interactive dashboards to showcase data and Key Performance Indicators (Data Visualization) to the team, clients, investors, and all key stakeholders.
* **Optimization of Business Processes:** 
 You will collaborate in identifying and optimizing business processes through the application of data\-driven solutions.
* **Participation in Technological Brainstorming Sessions:** 
 You will be involved in brainstorming sessions to generate innovative ideas and contribute to identifying new opportunities in the field of Artificial Intelligence.
* **Continuous Training and Updates on the Latest Trends:** 
 You will have access to continuous training programs to stay updated on the latest trends and advancements in the fields of Data Science and Artificial Intelligence.
**What We Offer:** 
*Working in the Joinrs team means being able to choose the best psychophysical conditions for tranquility and productivity. This translates into:*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and junior professional in achieving their goals** 
 , helping them start their careers with optimism and a clear vision for their future.
**We are a united team that strongly believes in collaboration** 
 : together we work, discuss, and achieve results that inspire us to aim for ever more ambitious goals.
 Our community includes over
 **1,500,000 members across the US, UK, Europe, and Brazil** 
 , as well as
 **700\+ companies** 
 like
 *PwC, Accenture, Adecco, BNP Paribas, and Barilla* 
 . And we’re growing fast—join us!
**Contract \&amp; Compensation:** 
**For all Junior positions we offer a 6\-month internship contract with a salary of $90,000 yearly** 
 , aiming for a permanent contract.
**The annual base salary is $90,000 (USD)** 
 which will be prorated based on internship start and end date. Actual compensation offered to the successful candidate may vary from posted hiring based upon geographic location, work experience, education, and/or skill level, among other things.
**Salary reviews are scheduled every six months,** 
 with your compensation increasing rapidly as you gain experience and translate it into a more significant impact.
**Selection Process:** 
**CV Screening:** 
 The first step is a curriculum vitae (CV) screening (usually within 20 days of application).
**Phone Interview:** 
 The second step involves a 15\-minute phone interview with our HR Manager.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t>
        </is>
      </c>
    </row>
    <row r="8">
      <c r="A8" t="inlineStr">
        <is>
          <t>li-4357452540</t>
        </is>
      </c>
      <c r="B8" t="inlineStr">
        <is>
          <t>Data Scientist</t>
        </is>
      </c>
      <c r="C8" t="inlineStr">
        <is>
          <t>SoTalent</t>
        </is>
      </c>
      <c r="D8" t="inlineStr">
        <is>
          <t>linkedin</t>
        </is>
      </c>
      <c r="E8" t="inlineStr"/>
      <c r="F8" t="inlineStr"/>
      <c r="G8" t="inlineStr">
        <is>
          <t>Oakland, CA</t>
        </is>
      </c>
      <c r="H8" t="inlineStr"/>
      <c r="I8" t="inlineStr">
        <is>
          <t>**Job Title: Data Scientist** 
**Location: Oakland, California, United States** 
**Type: Full Time** 
**Our Client is seeking a Data Scientist to drive AI innovation, platform enhancement, and advanced model development across their organization.** 
**Key Responsibilities** 
**Data Science Platform Enhancement \&amp; Standardization** 
* Contribute to the design, build, and operation of an AI/deep‑learning model testing environment, including running evaluations and producing clear, data‑driven reports.
* Develop reusable MLOps/LLMOps components that accelerate data access and ETL/ELT workflows across multiple systems.
* Collaborate with enterprise AI and data science teams to leverage shared initiatives and emerging technologies for improved productivity.
**Advanced Data Science \&amp; Model Development** 
* Build machine learning and deep learning models to address complex regulatory and operational questions.
* Scale, deploy, and maintain models, including integrating them into workflows supported by AI agents.
* Apply advanced data science principles, statistical techniques, and emerging research to support strategic business decisions.
* Design data mining methodologies and analytical frameworks for extracting insights from structured and unstructured datasets.
* Perform data extraction, transformation, and loading across diverse systems for feature engineering.
* Develop reproducible, defensible predictive and optimization models using AI/ML methods.
* Partner on mathematical models and AI‑driven simulations to represent complex business scenarios.
* Write and document Python code for feature engineering and model development.
* Serve as a technical lead for model design, development, and review processes.
* Present findings and recommendations to stakeholders in clear, compelling formats.
* Conduct peer reviews to ensure quality, consistency, and compliance with best practices.
**Continuous Improvement \&amp; Thought Leadership** 
* Partner with peers to capture best practices and insights from ongoing project work.
* Share expertise internally and externally, contributing to the organization’s AI thought leadership.
* Build and maintain strong relationships across teams to support collaborative problem‑solving and innovation.
**Qualifications** 
**Minimum Requirements** 
* Bachelor’s degree in Data Science, Machine Learning, Engineering, Mathematics, Physics, Statistics, Economics/Econometrics, Computer Science, or a similar quantitative field.
* 6\+ years of experience in data science
 *(doctoral‑level candidates may qualify with no prior experience).*
**Preferred Qualifications** 
* Experience with platforms such as Palantir Foundry, Azure, Snowflake, or similar environments. Hands‑on experience in Foundry (ontologies, pipelines, modeling, integrations, app design) is highly valued.
* Strong understanding of model development standards, feature engineering, evaluation, and optimization best practices.
* Proficiency in data science programming languages, tools, and machine learning frameworks.
* Expertise in both theoretical and practical machine learning and statistical modeling.
* Strong communication skills with the ability to explain complex technical concepts in clear, actionable terms.
* Deep understanding of the mathematical and statistical foundations of data science.
* Ability to structure complex problems, think systemically, and translate insights into decisions.
* Experience mentoring and developing data scientists in advanced AI/ML techniques.</t>
        </is>
      </c>
    </row>
    <row r="9">
      <c r="A9" t="inlineStr">
        <is>
          <t>li-4357502025</t>
        </is>
      </c>
      <c r="B9" t="inlineStr">
        <is>
          <t>Sector Data Scientist</t>
        </is>
      </c>
      <c r="C9" t="inlineStr">
        <is>
          <t>Thurn Partners</t>
        </is>
      </c>
      <c r="D9" t="inlineStr">
        <is>
          <t>linkedin</t>
        </is>
      </c>
      <c r="E9" t="inlineStr"/>
      <c r="F9" t="inlineStr"/>
      <c r="G9" t="inlineStr">
        <is>
          <t>New York, NY</t>
        </is>
      </c>
      <c r="H9" t="inlineStr"/>
      <c r="I9" t="inlineStr">
        <is>
          <t>**Company Insight:**
 A leading global investment firm is expanding its sector\-focused data science capability, embedding data more deeply into the investment research process. This team partners directly with investors to generate differentiated insights by applying rigorous analytics to large, complex, and often unstructured datasets.
 This is a high\-impact role for someone who enjoys turning raw data into clear, decision\-ready insight — and who wants their work to directly influence how capital is allocated. You’ll operate as a thought partner to investment teams, bringing structure, speed, and analytical rigour to how data informs research and portfolio construction
**The Role:**
* Partner with investment teams to understand their research approach and identify how data can strengthen decision\-making
* Analyse data from multiple structured and unstructured sources to test complex investment theses
* Rapidly assess data relevance, detect emerging trends, and separate signal from noise
* Identify the key operational and fundamental drivers across companies and sectors
* Deliver high\-quality research outputs in a clear, concise format tailored for senior investors
* Help build and evolve scalable datasets, analytical frameworks, and decision\-support tools
**Experience/Skills Required:**
* Strong intellectual curiosity with a genuine interest in markets and investing
* Ability to quickly digest fundamental research and translate narratives into data\-driven analysis
* Advanced Python skills (including Pandas) and strong SQL
* Solid background in statistical modelling and quantitative analysis
* Experience working with large, complex, or unstructured datasets
* Prior exposure to investment management, equity research, or buy\-side analytics
* Bachelor’s degree in statistics, engineering, economics, computer science, physics, or a related discipline
**Pre\-Application:**
* Please do not apply if you are looking for a contract or remote work
* Please ensure you meet the required experience section prior to applying
* Allow 1\-5 working days for a response to any job enquiry</t>
        </is>
      </c>
    </row>
    <row r="10">
      <c r="A10" t="inlineStr">
        <is>
          <t>li-4277851233</t>
        </is>
      </c>
      <c r="B10" t="inlineStr">
        <is>
          <t>Data Scientist</t>
        </is>
      </c>
      <c r="C10" t="inlineStr">
        <is>
          <t>Skyworks Solutions, Inc.</t>
        </is>
      </c>
      <c r="D10" t="inlineStr">
        <is>
          <t>linkedin</t>
        </is>
      </c>
      <c r="E10" t="inlineStr"/>
      <c r="F10" t="inlineStr"/>
      <c r="G10" t="inlineStr">
        <is>
          <t>Irvine, CA</t>
        </is>
      </c>
      <c r="H10" t="inlineStr"/>
      <c r="I10"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75764
**Description**
 Skyworks Solutions is seeking a
 **Machine Learning Engineer (MLE)** 
 to join our rapidly growing AI/ML team in Irvine, CA. This is a highly technical, hands\-on role designed for individuals who thrive at the intersection of cutting\-edge machine learning, signal processing, and semiconductor innovation. If you’re looking to apply your ML expertise to high\-impact, real\-world engineering challenges in the analog and RF domain, this is your opportunity.
 Skyworks is an innovator of high\-performance analog semiconductors enabling next\-generation wireless communications. From 5G to IoT to automotive, our technologies are helping to connect the world. At Skyworks, you’ll find a fast\-paced environment with a flat organizational structure and global collaboration. We value open communication, creativity, mutual respect, and technical excellence.
**Responsibilities**
 As a Machine Learning Engineer on the Data Analytics and AI Enablement team, you will lead and contribute to projects that apply advanced ML and deep learning to a variety of use cases across the company—including design automation, yield prediction, anomaly detection, signal classification, and device modeling. You will collaborate with world\-class engineers across electrical, RF, product, and manufacturing domains to deliver real business impact through data and AI.
* Predictive analytics for yield and quality improvement
* Optimization of circuit or device parameters
* RF signal modeling and anomaly detection
* Root\-cause analysis across test and manufacturing data
* Own the end\-to\-end ML pipeline: data acquisition, feature engineering, model selection, training, evaluation, deployment, and monitoring.
* Collaborate with cross\-functional stakeholders including design engineers, process experts, and product owners to understand problem statements and translate them into ML solutions.
* Work on both research\-oriented prototypes and production\-grade deployments.
* Stay up\-to\-date with current trends in ML, especially those relevant to semiconductor, signal processing, or high\-dimensional time\-series data.
**Required Experience And Skills**
* BS and 8 years experience (Ph.D. preferred) in Machine Learning, Computer Science, Electrical Engineering, Applied Mathematics, or a related field.
* Strong theoretical and practical experience in machine learning and deep learning, including CNNs, transformers, time\-series models, or probabilistic methods.
* Proficiency in Python and ML frameworks such as PyTorch, TensorFlow, Scikit\-learn.
* Solid understanding of statistics, optimization, and model evaluation techniques.
* Excellent communication and collaboration skills, with the ability to work across disciplines and teams.
**Desired Experience And Skills**
* Exposure to semiconductor, electronics, or RF system domains (e.g., basic understanding of circuit behavior, test data, signal integrity).
* Experience working with large, complex datasets (e.g., sensor, waveform, or EDA simulation outputs).
* Familiarity with data infrastructure and workflow orchestration (e.g., Airflow, MLflow, or cloud platforms).
* Contributions to peer\-reviewed research, patents, or open\-source ML projects.
 The typical base pay range for this role across the U.S. is currently USD $91,200 \- $177,200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row r="11">
      <c r="A11" t="inlineStr">
        <is>
          <t>li-4368178287</t>
        </is>
      </c>
      <c r="B11" t="inlineStr">
        <is>
          <t>Data Scientist</t>
        </is>
      </c>
      <c r="C11" t="inlineStr">
        <is>
          <t>LegalZoom</t>
        </is>
      </c>
      <c r="D11" t="inlineStr">
        <is>
          <t>linkedin</t>
        </is>
      </c>
      <c r="E11" t="inlineStr"/>
      <c r="F11" t="inlineStr"/>
      <c r="G11" t="inlineStr"/>
      <c r="H11" t="inlineStr"/>
      <c r="I11" t="inlineStr">
        <is>
          <t>**About The Company**
 LegalZoom is a leading provider of online legal solutions and legal document services for individuals, families, and small businesses. Committed to democratizing access to legal resources, the company leverages innovative technology to simplify complex legal processes, making legal assistance more accessible, affordable, and transparent. With a strong focus on customer\-centric solutions, LegalZoom empowers its clients to confidently navigate legal challenges, whether starting a business, protecting their families, or planning for the future. As a dynamic and forward\-thinking organization, LegalZoom prides itself on fostering a diverse and inclusive workplace dedicated to integrity, innovation, and excellence.
**About The Role**
 We are seeking a highly experienced Staff Data Scientist to join our team, partnering closely with our Partnerships and Finance departments. In this strategic role, you will serve as a proactive thought leader, leveraging data to influence business decisions and drive growth initiatives. Your primary focus will be developing and implementing advanced analytics, metrics, and models that optimize partner onboarding, measurement, pricing strategies, and overall performance. You will collaborate with cross\-functional teams including Data Science, Data Engineering, Product, and Engineering to ensure seamless data collection, instrumentation, and analysis. The ideal candidate will have a strong background in decision science, a passion for actionable insights, and the ability to communicate complex findings to non\-technical stakeholders effectively.
**Qualifications**
* 7\+ years of experience in data science, decision science, or advanced analytics
* Proficiency in SQL and Python for data analysis, modeling, and workflow automation
* Experience working with modern data stacks including cloud warehouses (e.g., Snowflake), orchestration tools (e.g., Airflow), and attribution analytics platforms (GA4/Segment)
* Strong skills in data storytelling and communicating insights to non\-technical audiences
* Business acumen in pricing, partner economics, and financial modeling
* Experience collaborating with engineering teams on instrumentation and data quality assurance
* Expertise in metric development, experimentation, and causal inference methodologies
* Hands\-on experience with AI/ML techniques such as uplift modeling, classification, propensity scoring, and forecasting
* Ability to design and analyze A/B and multivariate experiments, including causal inference studies
* Familiarity with BI tools like Tableau, ThoughtSpot, or similar platforms
* Strong problem\-solving skills and a proactive approach to identifying opportunities and solutions
**Responsibilities**
* Act as a strategic data thought partner to the Partnerships and Finance teams, providing analysis, insights, and recommendations to influence business strategy
* Define and track KPIs for partner performance, developing scorecards and operational dashboards to ensure consistent measurement
* Embed data requirements into the partner lifecycle, from contract negotiations through onboarding, to enable reliable attribution and ROI measurement
* Lead analytics related to partner onboarding, aligning event schemas with Data Engineering and Product teams to improve funnel visibility and attribution
* Own pricing strategy analytics, including elasticity measurement, testing, and tradeoff analysis to optimize revenue and margins
* Design and execute experiments (A/B, multivariate) and causal inference studies to evaluate business initiatives and initiatives' impact
* Develop and refine custom attribution models to inform spend allocation, partner incentives, and strategic planning
* Conduct deep dives, root cause analyses, and opportunity sizing across the partner ecosystem to identify new growth avenues
* Build and maintain production\-grade analytics pipelines and data layers, collaborating with Data Engineering for robust data infrastructure
* Communicate complex insights clearly and effectively to stakeholders, supporting ad\-hoc analyses and weekly review sessions
**Benefits**
* 401(k) plan with matching contributions
* Short\-term and long\-term disability insurance
* Fringe lifestyle benefits up to $250
* Remote\-friendly work environment with a nationwide scope
* Competitive salary range of $140,500 to $182,100, commensurate with experience
* Annual bonus, incentive bonus, and/or restricted stock units (RSUs) as part of total compensation
* Comprehensive medical, dental, vision, and financial benefits
 Equal Opportunity
 LegalZoom is an equal opportunity employer dedicated to fostering diversity, equity, and inclusion in the workplace. We provide equal employment opportunities to all applicants and employees regardless of race, color, religion, national origin, sex, gender identity or expression, sexual orientation, age, disability, genetics, veteran status, or any other protected characteristic under federal, state, or local law.</t>
        </is>
      </c>
    </row>
    <row r="12">
      <c r="A12" t="inlineStr">
        <is>
          <t>li-4368184729</t>
        </is>
      </c>
      <c r="B12" t="inlineStr">
        <is>
          <t>Data Scientist</t>
        </is>
      </c>
      <c r="C12" t="inlineStr">
        <is>
          <t>Hirenza</t>
        </is>
      </c>
      <c r="D12" t="inlineStr">
        <is>
          <t>linkedin</t>
        </is>
      </c>
      <c r="E12" t="inlineStr"/>
      <c r="F12" t="inlineStr"/>
      <c r="G12" t="inlineStr"/>
      <c r="H12" t="inlineStr"/>
      <c r="I12" t="inlineStr">
        <is>
          <t>**About The Company**
 Guidehouse is a leading management, technology, and risk consulting firm dedicated to helping organizations navigate complex challenges and achieve their strategic objectives. With a focus on innovation and excellence, Guidehouse serves a diverse range of clients across the public and private sectors, including government agencies, financial institutions, healthcare providers, and energy companies. The company prides itself on fostering a collaborative and inclusive work environment that promotes continuous learning and professional growth. Through its comprehensive consulting services, Guidehouse aims to deliver impactful solutions that drive operational efficiency, enhance decision\-making, and create sustainable value for its clients.
**About The Role**
 We are seeking a talented Data Scientist to join our AI and Data Capability Team. In this role, you will be instrumental in helping our clients unlock the full potential of their data assets through advanced analytics, data visualization, and machine learning techniques. You will work closely with cross\-functional teams to design and implement data\-driven solutions that address complex business challenges. This position offers an exciting opportunity to contribute to high\-impact projects, develop innovative data strategies, and advance your career within a dynamic consulting environment. The ideal candidate will have a strong foundation in data analysis, visualization, and programming, coupled with excellent communication skills to translate technical insights into actionable business recommendations.
**Qualifications**
 The successful candidate must meet the following qualifications:
* U.S. Citizenship is required.
* Bachelor’s degree in Data Science, Computer Science, Statistics, or a related field.
* Minimum of three (3\) years of experience utilizing Power BI, Tableau, or similar visualization tools to create intuitive dashboards and reports.
* Proficiency in SQL, R, and other programming languages for data querying and statistical analysis.
* Strong understanding of statistical concepts, probability, and experimental design.
* Experience working with cloud platforms such as Amazon Web Services, Azure, or Google Cloud, and familiarity with containerization tools like Docker.
* Knowledge of data governance principles to ensure data quality, security, and compliance.
* Curiosity and creativity to identify hidden patterns and innovative opportunities within data sets.
* Excellent communication skills to effectively bridge the gap between technical teams and business stakeholders.
**Responsibilities**
 The key responsibilities of this role include:
* Data Collection \&amp; Management: Identify, gather, and manage data from various primary and secondary sources, ensuring its accuracy and integrity.
* Data Cleaning \&amp; Preprocessing: Prepare raw data by cleaning, addressing inconsistencies, handling missing values, and correcting errors to facilitate analysis.
* Data Analysis \&amp; Interpretation: Apply statistical and analytical techniques to explore datasets, identify trends, and derive meaningful insights.
* Data Visualization \&amp; Reporting: Develop comprehensive reports, dashboards, and visualizations using tools like Tableau or Power BI to communicate findings clearly to stakeholders.
* Collaboration \&amp; Communication: Work collaboratively with cross\-functional teams, understand business requirements, and communicate technical insights effectively to support data\-driven decision\-making.
* Problem Solving: Tackle specific business challenges by leveraging data to identify underperforming processes, growth opportunities, and strategic improvements.
**Benefits**
 Guidehouse offers a competitive and comprehensive benefits package designed to support the well\-being and professional development of its employees. Benefits include:
* Medical, prescription, dental, and vision insurance coverage.
* Personal and family sick leave, along with company\-paid holidays.
* Potential eligibility for discretionary variable incentive bonuses.
* Parental leave and adoption assistance programs.
* 401(k) retirement savings plan with company matching.
* Basic and supplemental life insurance options.
* Health Savings Accounts, flexible spending accounts for dental, vision, and dependent care.
* Short\-term and long\-term disability coverage.
* Student loan repayment assistance.
* Tuition reimbursement and ongoing learning opportunities.
* Skills development programs and professional certifications.
* Employee referral incentives.
* Participation in corporate\-sponsored events and community outreach initiatives.
* Emergency back\-up childcare programs.
* Mobility stipends to support work flexibility.
 Equal Opportunity
 Guidehouse is an Equal Opportunity Employer committed to fostering an inclusive and diverse workplace. We welcome applications from all qualified individuals, including protected veterans and persons with disabilities. We ensure fair hiring practices and comply with applicable laws and regulations. We consider qualified applicants regardless of criminal history, in accordance with relevant ordinances and regulations. If you require accommodations during the application process, please contact our recruiting team. Guidehouse does not charge fees for recruitment and will never solicit banking or payment information. We encourage candidates to report any suspicious communications or requests for money related to employment opportunities. We value integrity, transparency, and equal opportunity in all our employment practices.</t>
        </is>
      </c>
    </row>
    <row r="13">
      <c r="A13" t="inlineStr">
        <is>
          <t>li-4368008053</t>
        </is>
      </c>
      <c r="B13" t="inlineStr">
        <is>
          <t>Senior Data Scientist | Remote</t>
        </is>
      </c>
      <c r="C13" t="inlineStr">
        <is>
          <t>Crossing Hurdles</t>
        </is>
      </c>
      <c r="D13" t="inlineStr">
        <is>
          <t>linkedin</t>
        </is>
      </c>
      <c r="E13" t="inlineStr"/>
      <c r="F13" t="inlineStr"/>
      <c r="G13" t="inlineStr"/>
      <c r="H13" t="inlineStr"/>
      <c r="I13" t="inlineStr">
        <is>
          <t>**Position:** 
 VP of AI Engineering
**Type:** 
 Full\-time
**Compensation:** 
 $1\.5M–$2M/year
**Location:** 
 Remote
**Commitment:** 
 10–40 hours/week
**Role Responsibilities** 
* Own and lead AI engineering across core products and research tooling.
* Evaluate, fine\-tune, and build on top of foundation models; train non\-LLM models where required.
* Establish best practices for model evaluation, human\-in\-the\-loop data, and feedback systems.
* Lead, scale, and mentor a globally distributed AI engineering team.
* Contribute hands\-on to model development and backend systems as needed.
* Set technical direction for new AI tools and platforms in close collaboration with Product and Engineering.
* Partner directly with the CEO on technical strategy, hiring, and execution.
* Support customer\-facing technical discussions when required.
**Requirements** 
* Deep, hands\-on experience building and deploying AI/ML systems in production environments.
* Strong background in training models from scratch and fine\-tuning large language models.
* Advanced understanding of evaluation frameworks, human\-in\-the\-loop systems, and data quality.
* Proven technical leadership with a strong execution\-oriented mindset.
* Ability to operate effectively in fast\-paced, ambiguous environments.
* Excellent communication skills across technical and non\-technical stakeholders.
**Application Process (Takes 20 Min)** 
* Upload resume
* Interview
* Submit form</t>
        </is>
      </c>
    </row>
    <row r="14">
      <c r="A14" t="inlineStr">
        <is>
          <t>li-4368165957</t>
        </is>
      </c>
      <c r="B14" t="inlineStr">
        <is>
          <t>Data Scientist (REMOTE)</t>
        </is>
      </c>
      <c r="C14" t="inlineStr">
        <is>
          <t>ExecutivePlacements.com</t>
        </is>
      </c>
      <c r="D14" t="inlineStr">
        <is>
          <t>linkedin</t>
        </is>
      </c>
      <c r="E14" t="inlineStr"/>
      <c r="F14" t="inlineStr"/>
      <c r="G14" t="inlineStr">
        <is>
          <t>Mississippi, United States</t>
        </is>
      </c>
      <c r="H14" t="inlineStr"/>
      <c r="I14" t="inlineStr">
        <is>
          <t>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\#HiringDataScientists\#DataScienceJobs\#Python\#DataScientist
 Work environment requirements for entry\-level opportunities include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t>
        </is>
      </c>
    </row>
    <row r="15">
      <c r="A15" t="inlineStr">
        <is>
          <t>li-4368001130</t>
        </is>
      </c>
      <c r="B15" t="inlineStr">
        <is>
          <t>Senior Data Scientist | Remote</t>
        </is>
      </c>
      <c r="C15" t="inlineStr">
        <is>
          <t>Crossing Hurdles</t>
        </is>
      </c>
      <c r="D15" t="inlineStr">
        <is>
          <t>linkedin</t>
        </is>
      </c>
      <c r="E15" t="inlineStr"/>
      <c r="F15" t="inlineStr"/>
      <c r="G15" t="inlineStr">
        <is>
          <t>San Francisco, CA</t>
        </is>
      </c>
      <c r="H15" t="inlineStr"/>
      <c r="I15" t="inlineStr">
        <is>
          <t>**Position:** 
 VP of AI Engineering
**Type:** 
 Full\-time
**Compensation:** 
 $1\.5M–$2M/year
**Location:** 
 Remote
**Commitment:** 
 10–40 hours/week
**Role Responsibilities** 
* Own and lead AI engineering across core products and research tooling.
* Evaluate, fine\-tune, and build on top of foundation models; train non\-LLM models where required.
* Establish best practices for model evaluation, human\-in\-the\-loop data, and feedback systems.
* Lead, scale, and mentor a globally distributed AI engineering team.
* Contribute hands\-on to model development and backend systems as needed.
* Set technical direction for new AI tools and platforms in close collaboration with Product and Engineering.
* Partner directly with the CEO on technical strategy, hiring, and execution.
* Support customer\-facing technical discussions when required.
**Requirements** 
* Deep, hands\-on experience building and deploying AI/ML systems in production environments.
* Strong background in training models from scratch and fine\-tuning large language models.
* Advanced understanding of evaluation frameworks, human\-in\-the\-loop systems, and data quality.
* Proven technical leadership with a strong execution\-oriented mindset.
* Ability to operate effectively in fast\-paced, ambiguous environments.
* Excellent communication skills across technical and non\-technical stakeholders.
**Application Process (Takes 20 Min)** 
* Upload resume
* Interview
* Submit form</t>
        </is>
      </c>
    </row>
    <row r="16">
      <c r="A16" t="inlineStr">
        <is>
          <t>li-4367880824</t>
        </is>
      </c>
      <c r="B16" t="inlineStr">
        <is>
          <t>Data Scientist</t>
        </is>
      </c>
      <c r="C16" t="inlineStr">
        <is>
          <t>RemoteHunter</t>
        </is>
      </c>
      <c r="D16" t="inlineStr">
        <is>
          <t>linkedin</t>
        </is>
      </c>
      <c r="E16" t="inlineStr"/>
      <c r="F16" t="inlineStr"/>
      <c r="G16" t="inlineStr"/>
      <c r="H16" t="inlineStr"/>
      <c r="I16"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
      <c r="A17" t="inlineStr">
        <is>
          <t>li-4313806483</t>
        </is>
      </c>
      <c r="B17" t="inlineStr">
        <is>
          <t>Data Scientist, Infrastructure</t>
        </is>
      </c>
      <c r="C17" t="inlineStr">
        <is>
          <t>OpenAI</t>
        </is>
      </c>
      <c r="D17" t="inlineStr">
        <is>
          <t>linkedin</t>
        </is>
      </c>
      <c r="E17" t="inlineStr"/>
      <c r="F17" t="inlineStr"/>
      <c r="G17" t="inlineStr">
        <is>
          <t>San Francisco, CA</t>
        </is>
      </c>
      <c r="H17" t="inlineStr"/>
      <c r="I17" t="inlineStr">
        <is>
          <t>**About The Team**
 Our infrastructure team helps deliver OpenAI’s most capable models and products to the world by scaling infrastructure and turning demand into useful FLOPS. We collaborate across research, engineering, design, and business to turn cutting\-edge AI advancements into impactful, real\-world applications. Our team ensures the right compute is available—at the right time and place—to support some of the world’s most demanding workloads. We empower all of OpenAI’s products and research by scaling the infrastructure behind them. Our work makes it possible to launch new models and products reliably and at scale.
**About The Role**
 As a Data Scientist on the Infra team, you will play a key role in shaping how we scale the infrastructure that powers OpenAI’s products and research. This is critical as we operate one of the largest and most advanced compute fleets in the world, supporting millions of users and businesses globally. We focus on aligning infrastructure measurement, planning, scaling, allocation, and efficiency to drive measurable impact across the company.
 You should expect to guide the definition of foundational datasets for infrastructure resources, develop metrics that inform key decisions, build forecasting and optimization models, and establish source of truth dashboards and analyses that enable teams to understand and improve infra usage. Most importantly, you should expect to be a core partner to engineering, research, and product teams in shaping the infrastructure that powers everything OpenAI builds.
 This role is based in San Francisco, CA. We use a hybrid work model of 3 days in the office per week and offer relocation assistance to new employees.
**In This Role, You Will**
* Build and maintain foundational datasets and metrics that reflect infrastructure usage, efficiency, and scaling.
* Develop forecasting and optimization models to support infra planning and resource allocation.
* Partner with engineering, research, and product teams to shape infrastructure strategy through data.
* Drive clarity with source\-of\-truth dashboards and analyses that guide infra decisions across OpenAI.
**You Might Thrive In This Role If You Have**
* 5\+ years of experience in a quantitative role navigating ambiguous environments, ideally in infrastructure, systems, or platform domains at a high\-growth company or research org
* Experience defining and operationalizing metrics that reflect system performance, resource usage, or efficiency from the ground up
* A strong foundation in SQL and Python, and a track record of building models and analyses that drive technical and strategic decisions
* Excellent communication skills and the ability to partner effectively with engineers, researchers, and product stakeholders
* A strategic mindset that goes beyond statistical testing to surface actionable insights and long\-term tradeoffs
**You could be an especially great fit if you have:**
* Proven track record of operating as a data partner in large scale backend systems
* Comfortable navigating fast\-paced execution while also anchoring decisions in long\-term impact
* Strong programming background, with ability to run simulations and prototype variants
* Experience in NLP, large language models, or generative AI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8">
      <c r="A18" t="inlineStr">
        <is>
          <t>li-4368169970</t>
        </is>
      </c>
      <c r="B18" t="inlineStr">
        <is>
          <t>Entry Level Data Scientist(Remote)</t>
        </is>
      </c>
      <c r="C18" t="inlineStr">
        <is>
          <t>ExecutivePlacements.com</t>
        </is>
      </c>
      <c r="D18" t="inlineStr">
        <is>
          <t>linkedin</t>
        </is>
      </c>
      <c r="E18" t="inlineStr"/>
      <c r="F18" t="inlineStr"/>
      <c r="G18" t="inlineStr">
        <is>
          <t>Spokane, WA</t>
        </is>
      </c>
      <c r="H18" t="inlineStr"/>
      <c r="I18" t="inlineStr">
        <is>
          <t>**Synergisticit Job Opportunity**
 At SynergisticIT, we aim to bring aboard IT professionals to help them build a rewarding career in cutting\-edge technologies. Being in the industry for more than 10 years, we provide a splendid range of lucrative opportunities to sustain a position in our top tech clients like Google, Apple, Cognizant, Client, PayPal, to name a few. Our seasoned team firmly believes that the new...</t>
        </is>
      </c>
    </row>
    <row r="19">
      <c r="A19" t="inlineStr">
        <is>
          <t>li-4368191778</t>
        </is>
      </c>
      <c r="B19" t="inlineStr">
        <is>
          <t>Data Scientist</t>
        </is>
      </c>
      <c r="C19" t="inlineStr">
        <is>
          <t>Best Job Tool</t>
        </is>
      </c>
      <c r="D19" t="inlineStr">
        <is>
          <t>linkedin</t>
        </is>
      </c>
      <c r="E19" t="inlineStr"/>
      <c r="F19" t="inlineStr"/>
      <c r="G19" t="inlineStr"/>
      <c r="H19" t="inlineStr"/>
      <c r="I19" t="inlineStr">
        <is>
          <t>**About The Company**
 Guidehouse is a leading management, technology, and consulting firm dedicated to helping clients address their most complex challenges. With a focus on innovation and excellence, Guidehouse serves a diverse range of industries including government, financial services, healthcare, energy, and the public sector. The company prides itself on fostering a collaborative and inclusive work environment that encourages continuous learning and professional growth. By leveraging cutting\-edge technologies and industry best practices, Guidehouse aims to deliver impactful solutions that drive operational efficiency, strategic transformation, and sustainable success for its clients.
**About The Role**
 We are seeking an experienced Senior Data Scientist to join our AI and Data practice. In this strategic role, you will support transportation and federal civilian agency initiatives by providing expert guidance, technical oversight, and hands\-on support for data\-driven projects. The ideal candidate will possess a strong background in advanced analytics, AI/ML technologies, and data governance, enabling clients to achieve their mission objectives and improve operational efficiencies. This position offers an opportunity to lead complex projects, mentor multidisciplinary teams, and contribute to business development efforts, all within a dynamic and innovative environment.
**Qualifications**
 The ideal candidate will possess a combination of educational background, technical expertise, and professional experience, including:
* U.S. citizenship is required.
* A bachelor’s degree in Computer Science, Data Science, Engineering, or a related field; a master's degree is preferred.
* Minimum of five (5\) years of hands\-on experience in data science, engineering, and analytics.
* At least two (2\) years of experience leading data\-driven transformation programs.
* Proficiency in Python for data analysis, automation, and model development, with experience using libraries such as Pandas, NumPy, scikit\-learn, and data visualization tools.
* Experience working with R, PowerBI, MicroStrategy, and cloud analytics platforms like Azure, AWS, or GCP.
* Strong understanding of AI/ML technologies, data platforms, and analytics methodologies.
* Experience developing and delivering self\-service data products, dashboards, and AI/ML solutions.
* Demonstrated ability to lead large\-scale analytics engagements and contribute to the full business development lifecycle.
* Excellent communication, facilitation, and relationship\-building skills, with the ability to collaborate effectively across technical and non\-technical audiences.
**Responsibilities**
 The Senior Data Scientist will be responsible for a variety of strategic and technical activities, including:
* Serving as a trusted advisor on data strategy, governance, and analytics modernization initiatives for federal agencies and transportation clients.
* Leading end\-to\-end project engagements from initial strategy development through implementation, ensuring high\-quality delivery and measurable results.
* Designing, developing, and overseeing AI/ML and analytics solutions using platforms such as Databricks, Snowflake, Azure, AWS, or GCP.
* Creating, maintaining, and enhancing Python\-based tools, scripts, and automation workflows for data analysis, reporting, and operational efficiency.
* Applying methodologies like CRISP\-DM, Agile Kanban, and human\-centered design to develop impactful and user\-centric solutions.
* Mentoring multidisciplinary teams, fostering a culture of innovation, continuous learning, and best practices in data science.
* Collaborating with stakeholders across technical and business units to translate complex challenges into actionable data solutions.
* Supporting business development efforts through proposal writing, strategic pursuits, and client engagement.
* Driving the adoption of data literacy and a data\-driven culture by developing enablement resources, conducting training sessions, and facilitating communities of practice.
**Benefits**
 Guidehouse offers a comprehensive total rewards package designed to support the well\-being and professional growth of its employees. Benefits include:
* Medical, prescription, dental, and vision insurance plans.
* Personal and family sick leave, along with company\-paid holidays.
* The position may be eligible for a discretionary variable incentive bonus.
* Parental leave and adoption assistance programs.
* 401(k) retirement savings plan with company matching.
* Basic and supplemental life insurance options.
* Health Savings Account (HSA), flexible spending accounts for dental, vision, and dependent care.
* Short\-term and long\-term disability coverage.
* Student loan repayment assistance programs.
* Tuition reimbursement, ongoing personal development, and certification opportunities.
* Employee referral programs and participation in corporate\-sponsored events and community outreach initiatives.
* Emergency backup childcare programs and mobility stipends to support work\-life balance.
 Equal Opportunity
 Guidehouse is an Equal Opportunity Employer committed to fostering an inclusive and diverse workplace. We do not discriminate based on race, color, religion, sex, national origin, age, disability, veteran status, sexual orientation, gender identity, or any other protected characteristic. We welcome applicants from all backgrounds and are dedicated to providing accommodations to qualified individuals with disabilities throughout the recruitment process. If you require assistance or accommodations during the application process, please contact Guidehouse Recruiting. We value diversity and are committed to creating a workplace where everyone can thrive and contribute to our collective success.</t>
        </is>
      </c>
    </row>
    <row r="20">
      <c r="A20" t="inlineStr">
        <is>
          <t>li-4284529890</t>
        </is>
      </c>
      <c r="B20" t="inlineStr">
        <is>
          <t>Applied Scientist, Prime Video - Personalization and Discovery Science</t>
        </is>
      </c>
      <c r="C20" t="inlineStr">
        <is>
          <t>Prime Video &amp; Amazon MGM Studios</t>
        </is>
      </c>
      <c r="D20" t="inlineStr">
        <is>
          <t>linkedin</t>
        </is>
      </c>
      <c r="E20" t="inlineStr"/>
      <c r="F20" t="inlineStr"/>
      <c r="G20" t="inlineStr">
        <is>
          <t>New York, United States</t>
        </is>
      </c>
      <c r="H20" t="inlineStr"/>
      <c r="I20"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A3033050</t>
        </is>
      </c>
    </row>
    <row r="21">
      <c r="A21" t="inlineStr">
        <is>
          <t>li-4367871702</t>
        </is>
      </c>
      <c r="B21" t="inlineStr">
        <is>
          <t>Staff Product Data Scientist, Workspace</t>
        </is>
      </c>
      <c r="C21" t="inlineStr">
        <is>
          <t>Google</t>
        </is>
      </c>
      <c r="D21" t="inlineStr">
        <is>
          <t>linkedin</t>
        </is>
      </c>
      <c r="E21" t="inlineStr"/>
      <c r="F21" t="inlineStr"/>
      <c r="G21" t="inlineStr">
        <is>
          <t>New York, NY</t>
        </is>
      </c>
      <c r="H21" t="inlineStr"/>
      <c r="I21"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**New York, NY, USA; Seattle, WA, USA; Sunnyvale, CA, USA** 
 .
 **Minimum qualifications:**
* Bachelor's degree in Statistics, Mathematics, Data Science, Engineering, Physics, Economics, or a related quantitative field.
* 10 years of experience using analytics to solve product or business problems, performing statistical analysis, and coding (e.g., Python, R, SQL) or 8 years work experience with a Master's degree.
**Preferred qualifications:**
* Master's degree in Statistics, Mathematics, Data Science, Engineering, Physics, Economics, or a related quantitative field.
* 12 years of experience using analytics to solve product or business problems, performing statistical analysis, and coding (e.g., Python, R, SQL).
**About the job** 
 In this role, you will dive deep, dissecting model performance from foundational layers to product specific fine\-tuning. You will balance how to blend techniques like autoratings, classic human eval, and reveal preference modeling to illuminate where we need to do better, and where we are doing well. Your findings will drive cross\-organizational engineering efforts, shaping the very core of our AI\-powered future. You will have the opportunity to work with technology and contribute to the development of a product that has the potential to transform the way people work.The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Conduct evaluations of our model performance, focusing on productivity\-related tasks and workflows across modalities (text, video, images, speech).
* Develop and implement evaluation frameworks and metrics to assess the model's strengths and weaknesses.
* Analyze evaluation data and generate reports to communicate findings to leadership.
* Collaborate closely with research and engineering teams to identify areas for improvement and contribute to the development of new evaluation methodologies.
* Stay up\-to\-date with the latest advancements in LLM technology and evaluation techniques, and be conversant in (and understand the shortcomings of) industry benchmarks.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
      <c r="A22" t="inlineStr">
        <is>
          <t>li-4365502593</t>
        </is>
      </c>
      <c r="B22" t="inlineStr">
        <is>
          <t>Data Scientist</t>
        </is>
      </c>
      <c r="C22" t="inlineStr">
        <is>
          <t>Underdog.io -Apply to top tech jobs in 60 seconds. A place where companies apply to you</t>
        </is>
      </c>
      <c r="D22" t="inlineStr">
        <is>
          <t>linkedin</t>
        </is>
      </c>
      <c r="E22" t="inlineStr"/>
      <c r="F22" t="inlineStr"/>
      <c r="G22" t="inlineStr"/>
      <c r="H22" t="inlineStr"/>
      <c r="I22"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23">
      <c r="A23" t="inlineStr">
        <is>
          <t>li-4273999709</t>
        </is>
      </c>
      <c r="B23" t="inlineStr">
        <is>
          <t>Principal Data Scientist, Medical Imaging</t>
        </is>
      </c>
      <c r="C23" t="inlineStr">
        <is>
          <t>Formation Bio</t>
        </is>
      </c>
      <c r="D23" t="inlineStr">
        <is>
          <t>linkedin</t>
        </is>
      </c>
      <c r="E23" t="inlineStr"/>
      <c r="F23" t="inlineStr"/>
      <c r="G23" t="inlineStr">
        <is>
          <t>New York, NY</t>
        </is>
      </c>
      <c r="H23" t="inlineStr"/>
      <c r="I23" t="inlineStr">
        <is>
          <t>**About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**About The Position**
 As a Principal Data Scientist \- Medical Imaging at Formation Bio, you will lead our efforts to integrate advanced imaging analytics and AI into our drug development pipeline. In this role, you'll pioneer the application of computer vision and deep learning to medical imaging data (MRI, X\-ray, CT, PET) to accelerate clinical trials and improve patient outcomes. You'll develop state\-of\-the\-art models for automated image analysis, disease progression monitoring, and treatment response assessment. Working closely with clinical teams, radiologists, and drug development experts, you'll translate complex imaging data into actionable insights that drive key decisions across our portfolio. This position offers a unique opportunity to revolutionize how medical imaging is leveraged in pharmaceutical development while directly impacting patient care.
**Responsibilities**
* Lead the development of advanced deep learning models for medical image analysis, focusing on MRI and X\-ray modalities for clinical trial applications
* Design and implement automated image processing pipelines for disease detection, segmentation, and quantification across multiple therapeutic areas
* Create innovative approaches for longitudinal image analysis to track disease progression and treatment efficacy in clinical trials, incl. AI\-based biomarkers and surrogate endpoints
* Collaborate with clinical operations to integrate imaging AI solutions into trial protocols and workflows
* Partner with regulatory teams to ensure imaging biomarkers and AI models meet FDA standards for clinical trial endpoints
* Build scalable infrastructure for processing and analyzing large\-scale medical imaging datasets from multi\-site clinical trials
* Present imaging insights and model performance to executive leadership and external partners
**About You**
 Required Qualifications
* PhD in Computer Science, Biomedical Engineering, Medical Physics, or related field with focus on medical imaging
* 5\+ years of post\-PhD industry experience developing production\-grade AI models for medical imaging applications
* Deep expertise in computer vision and deep learning architectures (CNNs, U\-Net, Vision Transformers) for medical image analysis
* Proven track record with MRI and X\-ray image analysis, including hands\-on experience with DICOM standards and medical imaging software
* Strong programming skills in Python with expertise in PyTorch/TensorFlow and medical imaging libraries
* Demonstrated ability to collaborate with radiologists and clinical teams to translate medical insights into technical solutions
* Strong communication skills with proven ability to present complex imaging analytics to diverse stakeholders
**Preferred Qualifications**
* Experience with regulatory submissions involving imaging endpoints or AI\-based image analysis tools
* Experience with multi\-modal imaging fusion and analysis (combining MRI, CT, PET data)
* Knowledge of clinical trial design and experience with imaging core lab operations
* Experience with federated learning or privacy\-preserving techniques for medical imaging
* Understanding of radiomics and quantitative imaging biomarker development
* Experience with 3D image reconstruction and volumetric analysis
 Formation Bio is prioritizing hiring in key hubs, primarily the New York City and Boston metro areas.
 **Please only apply if you reside in these locations or are willing to relocate.**
**Compensation**
**The target salary range for this role is: $197,000 \- $258,000\.**
 Salary ranges are informed by a number of factors including geographic location. The range provided includes base salary only. In addition to base salary, we offer equity, comprehensive benefits, generous perks, hybrid flexibility, and more.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t>
        </is>
      </c>
    </row>
    <row r="24">
      <c r="A24" t="inlineStr">
        <is>
          <t>li-4367898487</t>
        </is>
      </c>
      <c r="B24" t="inlineStr">
        <is>
          <t>Consultant (Data Scientist)</t>
        </is>
      </c>
      <c r="C24" t="inlineStr">
        <is>
          <t>Experis</t>
        </is>
      </c>
      <c r="D24" t="inlineStr">
        <is>
          <t>linkedin</t>
        </is>
      </c>
      <c r="E24" t="inlineStr"/>
      <c r="F24" t="inlineStr"/>
      <c r="G24" t="inlineStr">
        <is>
          <t>Milwaukee, WI</t>
        </is>
      </c>
      <c r="H24" t="inlineStr"/>
      <c r="I24" t="inlineStr">
        <is>
          <t>Experis US LLC, is seeking a Consultant (Data Scientist) to join their team.
 As a Consultant (Data Scientist), you will be part of the Experis supporting our team to service clients located throughout the U.S.
**Job Title: Consultant (** 
 Data Scientist
 **)**
* Consultant will perform data analysis.
* Engage with data management and infrastructure partners to deliver enhanced data attributes to support modeling and other analysis and reporting Automate data ingestion and ETL workflows.
* Implement ETL pipelines.
* Create ad\-hoc reports to retrieve data.
* Develop and optimize data extraction workflows.
* Use Azure Data Factory, Python, R, Power Bl. SAS, and SQL.
**Requirements**
* Must have a bachelor’s degree in computer science or engineering and 3 years of experience in data analysis which includes at least 1 yr. of the skill sets listed in the job description.
* Will also accept a master’s degree in computer science, Data Science, or Engineering and 1 year of exp. In the skill sets listed in the job description
* Will be assigned to unanticipated client sites located throughout the US and subject to travel/relocation
**Benefits**
* Grow and develop your career with an industry leader
* Take advantage of excellent benefit program
 If this is a role that interests you and you’d like to learn more, click apply now and a recruiter will be in touch with you to discuss this great opportunity. We look forward to hearing from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t>
        </is>
      </c>
    </row>
    <row r="25">
      <c r="A25" t="inlineStr">
        <is>
          <t>li-4269276181</t>
        </is>
      </c>
      <c r="B25" t="inlineStr">
        <is>
          <t>Senior Data Scientist - AI</t>
        </is>
      </c>
      <c r="C25" t="inlineStr">
        <is>
          <t>Latham &amp; Watkins</t>
        </is>
      </c>
      <c r="D25" t="inlineStr">
        <is>
          <t>linkedin</t>
        </is>
      </c>
      <c r="E25" t="inlineStr"/>
      <c r="F25" t="inlineStr"/>
      <c r="G25" t="inlineStr">
        <is>
          <t>Los Angeles, CA</t>
        </is>
      </c>
      <c r="H25" t="inlineStr"/>
      <c r="I25" t="inlineStr">
        <is>
          <t>**About Latham \&amp; Watkins**
 Latham \&amp; Watkins is a global law firm consistently ranked among the top firms in the world. The success of our firm is largely determined by our commitment to hire and develop the very best and brightest, creating a team that provides our clients with the highest quality of work and service. We are driven by our core values: respect, innovation, and collaboration.
**About The Role**
 The Senior Data Scientist \- AI is responsible for research, development, and deployment of advance machine learning models that can generate actionable insights and power intelligent applications. This role goes beyond traditional data science, focusing on building, scaling and operationalizing AI/ML solutions to support business workflows. The Senior Data Scientist will design and train models for predictive and prescriptive modeling on complex data as well as develop and fine\-tune NLP/GenAI models for integration into custom applications and workflows. They will also support the development and maintenance of internal AI/ML and data science applications utilizing tools such as Python, RAPIDs and modern data visualization platforms (e.g., Tableau). Working closely with stakeholders from various business units, these projects require the ability to lead others while providing expert guidance to deliver creative and practical solutions to improve the operations of a global workforce. This role will be located in our Downtown Los Angeles office. Please note that this role may be eligible for a flexible working schedule that allows for a hybrid and in\-office presence.
**Responsibilities \&amp; Qualifications**
 Other key responsibilities include:
* Liaising with stakeholders and the machine learning team to identify data science opportunities and define requirements
* Analyzing data patterns and applying appropriate models and solutions for regression analysis, forecasting, probability analysis, and trending
* Designing data extractions, cleansing, and transformations connecting disparate data sets through complex SQL queries
* Delivering actionable findings via Tableau and PowerPoint presentations to senior leadership
* Monitoring production models and infrastructure for ongoing maintenance, configuration changes, and improvements, ensuring scalability, reliability, and efficiency
* Protecting and maintaining any highly sensitive, confidential, privileged, financial, and/or proprietary information that Latham \&amp; Watkins retains
 We’d love to hear from you if you:
* Demonstrate proficiency in building data science models using Python/R
* Exhibit SQL proficiency to extract and connect data from multiple systems
* Possess knowledge and experience with a wide variety of software programs, including MS Azure, AWS, and Power Apps
 And have:
* A bachelor’s degree in computer science or a related field or appropriate work experience
* A minimum of seven (7\) years of hands\-on experience in delivering data science solutions and analytical models driving critical business decision\-making, with a minimum of three (3\) years of specifically using Python
* A minimum of three (3\) years of experience in a senior capacity delivering data science solutions
**Benefits \&amp; Additional Information**
 Successful candidates will not only be provided with an outstanding career opportunity and welcoming environment, but will also be provided with a generous total compensation package with bonuses awarded in recognition of both individual and firm performance. Eligible employees can participate in Latham’s comprehensive benefit program which includes:
* Healthcare, life and disability insurance
* A generous 401k plan
* At least 11 paid holidays per year, and a PTO program that accrues 23 days during the first year of employment and grows with tenure
* Well\-being programs (e.g. mental health services, mindfulness and resiliency, medical resources, well\-being events, and more)
* Professional development programs
* Employee discounts
* Affinity groups, networks, and coalitions for lawyers and staff
 Latham \&amp; Watkins is an equal opportunity employer. The Firm prohibits discrimination against any employee or applicant for employment on the basis of race (including, but not limited to, hair texture and protective hairstyles), color, religion, sex, age, national origin, sexual orientation, gender identity, veteran status (including veterans of the Vietnam era), gender expression, marital status, or any other characteristic or condition protected by applicable statute.
 Latham \&amp; Watkins LLP will consider qualified applicants with criminal histories in a manner consistent with the City of Los Angeles Fair Chance Initiative for Hiring Ordinance (FCIHO) . Please click the link below to review the Ordinance.
 Please click here to review your rights under U.S. employment laws.
**Pay Range**
 USD $160,000\.00 \- USD $180,000\.00 /Yr.</t>
        </is>
      </c>
    </row>
    <row r="26">
      <c r="A26" t="inlineStr">
        <is>
          <t>li-4287533967</t>
        </is>
      </c>
      <c r="B26" t="inlineStr">
        <is>
          <t>NLP Data Scientist</t>
        </is>
      </c>
      <c r="C26" t="inlineStr">
        <is>
          <t>Workhuman</t>
        </is>
      </c>
      <c r="D26" t="inlineStr">
        <is>
          <t>linkedin</t>
        </is>
      </c>
      <c r="E26" t="inlineStr"/>
      <c r="F26" t="inlineStr"/>
      <c r="G26" t="inlineStr">
        <is>
          <t>Framingham, MA</t>
        </is>
      </c>
      <c r="H26" t="inlineStr"/>
      <c r="I26" t="inlineStr">
        <is>
          <t>**Job Description**
* This is a remote position, based in the US
* Applicants must have valid permanent work authorization in the U.S. (e.g., U.S. citizen, permanent resident). We are unable to offer visa sponsorship for this role.
**The Opportunity**
 Are you passionate about applying AI to solve real\-world, human\-focused challenges? As an NLP Data Scientist at Workhuman, you’ll contribute to developing innovative AI solutions that transform how people work and connect. You’ll help shape the future of generative AI while tackling ethical and fairness challenges in NLP, ensuring our innovations are impactful and responsible. Joining our team means working on meaningful projects that drive tangible results and business value.
**What We Can Offer You**
* The opportunity to help design and deploy advanced machine learning and NLP models that power Workhuman’s AI products.
* Collaboration with a cross\-functional team of Data Scientists, ML Engineers, Software Engineers, and Product Managers to build scalable and efficient solutions.
* Hands\-on experimentation with the latest NLP techniques and frameworks to continuously improve our AI capabilities.
* Participation in efforts to address ethical, bias, and fairness considerations in AI, ensuring compliance and equity in all solutions.
* A supportive environment for continuous learning, with access to the latest research, tools, and best practices in AI.
**The Skills You Will Bring**
* Experience with generative AI and chatbot product development, ideally with frameworks like LangChain and LLamaIndex.
* Knowledge of NLP techniques, such as text classification, sentiment analysis, and sequence tagging.
* Proficiency in Python programming and familiarity with NLP/ML toolkits like Sklearn, Gensim, Spacy, and NLTK.
* Experience with vector database technologies (e.g., pgvector, Pinecone) and deep learning frameworks (e.g., TensorFlow, PyTorch).
* A collaborative and solutions\-oriented approach to problem\-solving in dynamic environments.
* Strong communication skills, with the ability to convey technical concepts to non\-technical audiences.
**Achievements**
* Contributed to the development and deployment of NLP models that drive measurable business impact.
* Supported the transition of AI solutions from development to production environments.
* Participated in projects addressing ethical challenges in AI, ensuring fairness and compliance.
* Assisted in designing experiments and benchmarks to evaluate and improve NLP model performance
* Partnered with diverse teams to help deliver scalable, efficient AI solutions.
* Helped maintain a library of reusable algorithms, ensuring transparency and reproducibility in research.
*Thank you for considering joining our team. We strive to create an inclusive and accessible application process for all candidates. If you encounter any difficulties or have specific accessibility requirements while applying for this position, please don't hesitate to reach out to us at* 
 globalrecruitment@workhuman.com
 *for assistance. We are committed to ensuring equal access to opportunities for all individuals.*
**The Company**
*At* 
 Workhuman®
 *our mission is to bring more humanity to the workplace. We recognise and embrace individuals’ differences and believe that workforce diversity and inclusion are essential to our long\-term growth and success. Even if you don’t think you “check every single box” above, please still consider applying. We’re looking for a human who is collaborative, and innovative with a growth mindset.* 
 We love what we do because we’re shaping the future of work through our people and our technology. Our human cloud\-based applications are helping some of the world’s leading global brands connect culture to shared purpose. The Workhuman Cloud empowers employees to thank, talk and celebrate each other, creating an environment that sparks gratitude and human connection while increasing employee engagement and productivity.
**Did you know we have an award\-winning culture across EMEA and North America:**
* We were named as \#5 Best Workplace in the Great Place to Work Awards in Ireland in 2022 in the large sized workplace category. We were also recognised as a Best Workplace for Women and a Best Workplace in Technology in 2020, 2021 and 2022\.
* In 2021 we were named as \#2 Best Workplace in Europe in the medium sized workplace category.
* We were also recognised as \#2 Best Large Places to Work in Boston by Built In for 2023 as well as a Best Place to Work in Boston, U.S. Best Large Places to Work and U.S. Best Places to Work.
* There are currently over 7\.5 million users on the Workhuman® cloud across 180 countries.
* Our core values are Respect, Determination, Innovation and Imagination.
*Workhuman is an Equal Opportunity Employer and is committed to the principle of equal employment opportunity for all employees. We proudly provide a work environment free of discrimination and harassment. Employment decisions at Workhuman are based on solely on business needs, job requirements and individual qualifications, without regard to race, color, religion or belief, national, social, or ethnic origin, sex (including pregnancy), age, sexual orientation, gender identity and/or expression, marital, civil union or domestic partnership status, past or present military service, or any other status protected by the laws or regulations in the locations where we operate. Workhuman believes that diversity and inclusion among our teammates is critical to our success as a global company, and we seek to recruit, develop and retain the most talented people from a diverse candidate pool.*</t>
        </is>
      </c>
    </row>
    <row r="27">
      <c r="A27" t="inlineStr">
        <is>
          <t>li-4305752908</t>
        </is>
      </c>
      <c r="B27" t="inlineStr">
        <is>
          <t>Data Scientist, Senior</t>
        </is>
      </c>
      <c r="C27" t="inlineStr">
        <is>
          <t>Booz Allen Hamilton</t>
        </is>
      </c>
      <c r="D27" t="inlineStr">
        <is>
          <t>linkedin</t>
        </is>
      </c>
      <c r="E27" t="inlineStr"/>
      <c r="F27" t="inlineStr"/>
      <c r="G27" t="inlineStr">
        <is>
          <t>Arlington, VA</t>
        </is>
      </c>
      <c r="H27" t="inlineStr"/>
      <c r="I27" t="inlineStr">
        <is>
          <t>**Job Number: R0226919**
 Data Scientist, Senior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6\+ years of experience in statistics, operations research, or advanced mathematics
* 3\+ years of experience with Python
* Experience using scientific methods to inform qualitative and quantitative analyses
* Experience with data cleaning, feature engineering, clustering, data manipulation techniques, data mining, anomaly detection, and trend analysis
* Ability to work effectively in a collaborative and fast\-paced environment
* TS/SCI clearance with a polygraph
* HS diploma or GED
**Nice If You Have:** 
* 2\+ years of experience with AI/ML
* 2\+ years of experience with TensorFlow or PyTorch
* Experience with VSAT
* Experience with optimization, modeling and simulation, prediction, estimation, decision analysis, or engineering management
* Experience analyzing large\-scale datasets
* Experience with data\-gathering, cleansing, and parsing
* Experience developing and applying optimization and simulation models
* Ability to work in Windows and Linux OS environments
* Bachelor's degree in Mathematics, Statistics, or Data Science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8">
      <c r="A28" t="inlineStr">
        <is>
          <t>li-4335083933</t>
        </is>
      </c>
      <c r="B28" t="inlineStr">
        <is>
          <t>Senior Staff Data Scientist - Agentic AI</t>
        </is>
      </c>
      <c r="C28" t="inlineStr">
        <is>
          <t>Intuit</t>
        </is>
      </c>
      <c r="D28" t="inlineStr">
        <is>
          <t>linkedin</t>
        </is>
      </c>
      <c r="E28" t="inlineStr"/>
      <c r="F28" t="inlineStr"/>
      <c r="G28" t="inlineStr">
        <is>
          <t>Mountain View, CA</t>
        </is>
      </c>
      <c r="H28" t="inlineStr"/>
      <c r="I28" t="inlineStr">
        <is>
          <t>**Overview**
 Join the Intuit Customer Success organization as a Senior Staff Data Scientist – Agentic AI on the Data Science \&amp; Analytics team. In this role, you’ll help shape the next generation of Agentic AI capabilities that empower our experts and customers across Intuit’s ecosystem.
 We’re building an Agentic AI Framework to make data analytics AI\-native—embedding agents into dashboards, reports, and workflows to augment decision\-making, democratize knowledge, and accelerate speed\-to\-insight across the Customer Success ecosystem.
 You’ll play a key role in designing and implementing advanced AI solutions that bring this vision to life—working across data science, engineering, and product teams to turn innovative ideas into scalable, production\-ready systems.
 This role is ideal for a seasoned data scientist with strong AI/ML engineering experience, passionate about applying advanced AI technologies to real customer problems. You thrive at the intersection of customer success, data science and applied AI development, building solutions that empower experts and customers alike. In this position, you’ll be central to our mission of using AI to help people save time, make smarter decisions, and deliver exceptional outcomes at scale.
**Responsibilities**
* Drive the design, development, and scaling of agentic AI capabilities that embed autonomous reasoning and decision support into dashboards, reports, and workflows—powering intelligent, data\-driven analytics across the Customer Success ecosystem.
* Develop and deploy AI software components, including large language model inference, context engineering, vector embeddings \&amp; semantic search, evaluation, governance, and observability.
* Define and refine technical requirements for AI models, agent orchestration logic, and human\-in\-the\-loop processes—balancing user experience with the precision required in high\-stakes decision environments.
* Drive the application of AI in BI, embedding AI agents into analytics tools and workflows to automate insight generation and enable natural language interaction with business data.
* Collaborate with cross\-functional partners—including data scientists, engineers, product managers, and senior leaders—to translate strategic goals into scalable, high\-impact AI solutions.
* Champion best practices in applied ML/AI through robust evaluation, monitoring, and experimentation frameworks that ensure reliability, transparency, and ethical integrity of deployed systems.
* Build strong partnerships and influence roadmaps across teams to ensure cohesive strategy and execution for agentic AI initiatives.
* Mentor and elevate peers across the data science and engineering community, fostering a culture of innovation, technical excellence, and continuous learning.
**Qualifications**
* BS, MS, or PhD degree in Computer Science or related field, or equivalent practical experience.
* 10\+ years of experience in data science and machine learning with a proven ability to deliver production\-grade ML/AI solutions.
* Strong Hands\-on experience developing agentic AI workflows using modern Python\-based frameworks (e.g., LangGraph, LlamaIndex, or similar) to build systems that integrate large language models, RAG, contextual reasoning, and dynamic tool or data integration for real\-world applications.
* Deep understanding of agentic AI concepts, such as orchestration, memory management, context engineering, vector embeddings and semantic search, and evaluation/observability frameworks that enable autonomous reasoning and workflow automation.
* Experience developing and deploying services and APIs in cloud\-native environments (e.g., AWS or GCP)
* Demonstrated success in cross\-functional collaboration partnering with data scientists, engineers, and product teams to translate complex AI capabilities into impactful solutions.
* Excellent communication, collaboration, and problem\-solving skills, with the ability to work effectively across technical and non\-technical teams.
* Ability to present complex technical concepts clearly, conducting meetings and presentations that make AI and data science topics accessible to diverse audiences.
* Bonus: familiarity with the Model Context Protocol (MCP) and its use in connecting AI systems with external tools, data sources, and contexts to enable richer, more adaptive agentic workflows.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$204,500\-$276,500</t>
        </is>
      </c>
    </row>
    <row r="29">
      <c r="A29" t="inlineStr">
        <is>
          <t>li-4338095653</t>
        </is>
      </c>
      <c r="B29" t="inlineStr">
        <is>
          <t>Principal Applied Scientist</t>
        </is>
      </c>
      <c r="C29" t="inlineStr">
        <is>
          <t>Oracle</t>
        </is>
      </c>
      <c r="D29" t="inlineStr">
        <is>
          <t>linkedin</t>
        </is>
      </c>
      <c r="E29" t="inlineStr"/>
      <c r="F29" t="inlineStr"/>
      <c r="G29" t="inlineStr"/>
      <c r="H29" t="inlineStr"/>
      <c r="I29" t="inlineStr">
        <is>
          <t>**Job Description**
 Building off our Cloud momentum, Oracle has formed a new organization \- Oracle Health \&amp; AI.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Principal Applied Scientist, you will play a key role in shaping the future of AI at Oracle, with an emphasis on Large Language Models (LLMs) and Generative AI. Your contributions will be pivotal in delivering our new Generative AI\-powered solutions for healthcare and enterprise customers.
**Responsibilities**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Experienced leading senior scientists and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3\+ years relevant experience is preferred but not a must; OR
* Masters or Bachelor’s in related field with 5\+ years relevant experience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
 Career Level \- IC4 \&amp; IC5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0">
      <c r="A30" t="inlineStr">
        <is>
          <t>li-4285601996</t>
        </is>
      </c>
      <c r="B30" t="inlineStr">
        <is>
          <t>Sr. Applied Scientist, Prime Video - Personalization and Discovery Science</t>
        </is>
      </c>
      <c r="C30" t="inlineStr">
        <is>
          <t>Prime Video &amp; Amazon MGM Studios</t>
        </is>
      </c>
      <c r="D30" t="inlineStr">
        <is>
          <t>linkedin</t>
        </is>
      </c>
      <c r="E30" t="inlineStr"/>
      <c r="F30" t="inlineStr"/>
      <c r="G30" t="inlineStr">
        <is>
          <t>Sunnyvale, CA</t>
        </is>
      </c>
      <c r="H30" t="inlineStr"/>
      <c r="I30"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A3059256</t>
        </is>
      </c>
    </row>
    <row r="31">
      <c r="A31" t="inlineStr">
        <is>
          <t>li-4285604760</t>
        </is>
      </c>
      <c r="B31" t="inlineStr">
        <is>
          <t>Sr. Applied Scientist, Prime Video - Personalization and Discovery Science</t>
        </is>
      </c>
      <c r="C31" t="inlineStr">
        <is>
          <t>Prime Video &amp; Amazon MGM Studios</t>
        </is>
      </c>
      <c r="D31" t="inlineStr">
        <is>
          <t>linkedin</t>
        </is>
      </c>
      <c r="E31" t="inlineStr"/>
      <c r="F31" t="inlineStr"/>
      <c r="G31" t="inlineStr">
        <is>
          <t>New York, United States</t>
        </is>
      </c>
      <c r="H31" t="inlineStr"/>
      <c r="I31"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A3059256</t>
        </is>
      </c>
    </row>
    <row r="32">
      <c r="A32" t="inlineStr">
        <is>
          <t>li-4367882434</t>
        </is>
      </c>
      <c r="B32" t="inlineStr">
        <is>
          <t>Principal Data Scientist</t>
        </is>
      </c>
      <c r="C32" t="inlineStr">
        <is>
          <t>Mission Lane</t>
        </is>
      </c>
      <c r="D32" t="inlineStr">
        <is>
          <t>linkedin</t>
        </is>
      </c>
      <c r="E32" t="inlineStr"/>
      <c r="F32" t="inlineStr"/>
      <c r="G32" t="inlineStr"/>
      <c r="H32" t="inlineStr"/>
      <c r="I32" t="inlineStr">
        <is>
          <t>Mission Lane is combining the power of data, technology, and exceptional service to pave a clear way forward for millions of people on the path to financial success. By attracting top talent and leveraging cutting\-edge technology, we’re enabling people to unlock real financial progress. Sound like a mission you can get behind?
**About The Role**
 As a Principal Data Scientist, you will innovate and improve the machine learning models we rely on to make billions of dollars of efficient and accurate decisions and to enable financial progress for our customers.
**As a Principal Data Scientist, You’ll**
 Design, develop, and deploy machine learning models to solve practical problems and help our business and customers reach their financial goals. You’ll partner with business leaders and technical experts across the company to develop new data sources, improve our modeling methodology, and apply models with sound risk management.
**You Are a Person Who**
* Has created, deployed, and managed supervised learning models in production systems for vital applications and enjoys being a technical mentor
* Has a PhD in a quantitative field and 1\+ years of experience in a related role
* Has a BS / MS in a quantitative field and 5\+ years of experience in a related role
* You share best practices for software engineering and can help smart, experienced data scientists with complex technical problems \- especially operationalizing and evaluating models for real\-world applications
* Considers themself a generalist data scientist more motivated by practical solutions than theoretical elegance
* Practices solid fundamentals with software engineering (test\-driven development, code review, refactoring) and the PyData stack (numpy, scikit\-learn, pandas, etc.)
* Is interested in a wide range of ML solutions, including established tools (e.g. Spark, Kubernetes, Airflow, MLFlow), emerging tools (like Chalk, BentoML, or DVC), and developing in\-house tools
**You Get Bonus Points For**
* Experience building predictive models end to end
* Experience solving problems in consumer lending or fintech
* Interest in developing ways to train, interpret, and deploy neural network architectures for time series classification tasks
**We’re Offering**
 We’re committed to ensuring our team members have balance in their lives. Our comprehensive benefits package provides the support you need to thrive at work and at home.
* Work: An engaging culture with access to training programs and advancement opportunities
* Life: Full health, dental, and vision benefits, Flexible Spending Account (for medical and childcare expenses), paid parental leave, and a 401k Company Match
* Balance: Generous PTO, flexible schedules, a Calm App subscription, and more
**Compensation**
 Annual full\-time base salary range: $183,000 \- 224,000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 dental/ 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four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**Our commitment to a workplace built on respect and dignity is guided by our core value of Unity. We believe that everyone plays a vital role in our shared purpose, and we actively cultivate an environment where all individuals have the opportunity to do their best work. By fostering a culture of empathy and collaboration, we create a strong sense of belonging and support for every team member.**
 Mission Lane is an equal opportunity employer. We do not discriminate on the basis of race, color, religion, sex (including pregnancy, sexual orientation, or gender identity), national origin, age, disability, genetic information, or any other protected status.
 Mission Lane provides reasonable accommodations to applicants who need them for medical or religious reasons, as required by law. Applicants can initiate an accommodation request by contacting peopleexperience@missionlane.com.
 Mission Lane is not sponsoring new applicant employment authorization and please, no third\-party recruiters.
**Application Integrity**
 Our cardholders trust us with their financial well\-being, and this trust starts with the integrity of the people on our team. We're looking for team members who share our dedication to transparency and truth. Please verify that the information in your application is accurate and complete.
*Providing any information to Mission Lane that is not completely truthful at any point during the application or hiring process may result in removal from the hiring process, disqualification from future opportunities, withdrawal of an offer or other sanctions for candidates and, in addition for employees, disciplinary action, up to and including termination of employment.*</t>
        </is>
      </c>
    </row>
    <row r="33">
      <c r="A33" t="inlineStr">
        <is>
          <t>li-4366203926</t>
        </is>
      </c>
      <c r="B33" t="inlineStr">
        <is>
          <t>Cat Digital/Cat Technology – Data Scientist/Technical Analyst</t>
        </is>
      </c>
      <c r="C33" t="inlineStr">
        <is>
          <t>Caterpillar Inc.</t>
        </is>
      </c>
      <c r="D33" t="inlineStr">
        <is>
          <t>linkedin</t>
        </is>
      </c>
      <c r="E33" t="inlineStr"/>
      <c r="F33" t="inlineStr"/>
      <c r="G33" t="inlineStr">
        <is>
          <t>Chicago, IL</t>
        </is>
      </c>
      <c r="H33" t="inlineStr"/>
      <c r="I33"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Are you passionate about technology and eager to make a mark in the data science/technical analyst field? We are looking for enthusiastic individuals who are ready to embark on an exciting career at Caterpillar. Whether you are a recent graduate or someone looking to pivot into a new career, we offer a dynamic and supportive environment where you can grow and thrive.
**Cat Digital** 
 is the digital and technology focused organization within Caterpillar, Inc. Our global team is responsible for bringing digital capabilities to Caterpillar’s world\-famous yellow iron. Working with your yellow partners and Cat Dealers, we execute key components of digital and marketing portfolios, including global marketing \&amp; brand, connectivity, enterprise data, analytics and AI, equipment management, eCommerce, digital marketing, rental \&amp; used digital solutions, and aftermarket leads \&amp; insights.
**Cat Technology** 
 is transforming the way our customers work – not just by building smarter machines, but by delivering integrated, scalable solutions that deliver real\-world outcomes. We collaborate with partners across the enterprise to advance technologies including autonomy and automation, which helps enhance site safety, productivity and efficiency across customer operations worldwide. Cat Technology owns enterprise\-wide initiatives in innovation, research and development, manufacturing automation and advanced materials, ensuring Caterpillar continues to lead the industry in technological excellence and engineering innovation.
**About The Role**
 As a Data Scientist / Technical Analyst Professional, you will be responsible for sourcing data from various internal and external sources, gathering essential customer requirements, and applying relevant digital technologies. You will also communicate with internal customers, team members, and stakeholders, respond to routine information requests, and provide support to your teams.
**What You Will Do**
 As a data scientist / technical analyst you may:
* Develop models to power asset management solutions for customers and dealers using machine learning, deep learning, and statistics\-based/physics\-based analytics techniques on time\-series sensor data, machine fault codes, inspections and analysis records to identify health anomalies, predict equipment failure modes, estimate remaining useful life, and build equipment risk models
* Evaluating emerging technologies by evaluating new product services and technology platforms
* Utilize Generative AI to develop and implement solutions, encompassing model training, evaluation, and selection. Engage in Prompt Engineering by fine\-tuning AI models, developing new models, creating agents, assistants, and chatbots
* Ensure long\-term connectivity through strategic planning and execution, including global telematics device programs. This involves testing, research, and analysis of cellular, satellite, Wi\-Fi, Bluetooth, and other on\-board and off\-board technologies
* Provide digital technical support for essential Caterpillar digital applications and products
**What You Will Have \- Skills And Experiences**
* Business Statistics: knowledge of statistical tools, processes, and practices to describe business results in measurable scales; ability to use statistical tools and processes to assist in making business decisions
* Accuracy and Attention to Detail: understanding the necessity and value of accuracy; ability to complete tasks with high levels of precision
* Analytical Thinking: knowledge of techniques and tools that promote effective analysis; ability to determine the root cause of organizational problems and create alternative solutions that resolve these problems
* Machine Learning: knowledge of principles, technologies and algorithms of machine learning; ability to develop, implement and deliver related systems, products and services
* Programming Languages: knowledge of basic concepts and capabilities of programming; ability to use tools, techniques and platforms in order to write and modify programming languages
* Query and Database Access Tools: knowledge of data management systems; ability to use, support and access facilities for searching, extracting and formatting data for further use
* Requirements Analysis: knowledge of tools, methods, and techniques of requirement analysis; ability to elicit, analyze and record required business functionality and non\-functionality requirements to ensure the success of a system or software development project
**Top Candidates May Have**
* Bachelor’s degree or higher in data science, computer engineering, electrical engineering or related degree (selected candidates must complete their degree by their start date)
* 0\-2 years of relevant experience related to this field (internships or academic projects are a plus)
* Minimum cumulative GPA requirement 3\.0/ 4\.0 (no rounding)
* Demonstrated strong problem\-solving skills and the ability to work effectively in a team environment
**Additional Information**
* Ideal for those building foundational skills in data science/technical analytics, generally within the first 24 months of their career
* Locations for this position are typically Chicago and Peoria Illinois. Limited opportunities in Dallas, Texas
* Basic relocation may be available, depending on relocation qualifications
* Sponsorship is NOT available for this position
**Summary Pay Range**
 $89,210\.00 \- $144,960\.00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January 26, 2026 \- March 24,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34">
      <c r="A34" t="inlineStr">
        <is>
          <t>li-4343989255</t>
        </is>
      </c>
      <c r="B34" t="inlineStr">
        <is>
          <t>Sr. Data Scientist</t>
        </is>
      </c>
      <c r="C34" t="inlineStr">
        <is>
          <t>Skyworks Solutions, Inc.</t>
        </is>
      </c>
      <c r="D34" t="inlineStr">
        <is>
          <t>linkedin</t>
        </is>
      </c>
      <c r="E34" t="inlineStr"/>
      <c r="F34" t="inlineStr"/>
      <c r="G34" t="inlineStr">
        <is>
          <t>Irvine, CA</t>
        </is>
      </c>
      <c r="H34" t="inlineStr"/>
      <c r="I34"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76745
**Description**
 Skyworks Solutions is seeking a
 **Machine Learning Engineer (MLE)** 
 to join our rapidly growing AI/ML team in Irvine, CA. This is a highly technical, hands\-on role designed for individuals who thrive at the intersection of cutting\-edge machine learning, signal processing, and semiconductor innovation. If you’re looking to apply your ML expertise to high\-impact, real\-world engineering challenges in the analog and RF domain, this is your opportunity.
 Skyworks is an innovator of high\-performance analog semiconductors enabling next\-generation wireless communications. From 5G to IoT to automotive, our technologies are helping to connect the world. At Skyworks, you’ll find a fast\-paced environment with a flat organizational structure and global collaboration. We value open communication, creativity, mutual respect, and technical excellence.
**Responsibilities**
 As a Machine Learning Engineer on the Data Analytics and AI Enablement team, you will lead and contribute to projects that apply advanced ML and deep learning to a variety of use cases across the company—including design automation, yield prediction, anomaly detection, signal classification, and device modeling. You will collaborate with world\-class engineers across electrical, RF, product, and manufacturing domains to deliver real business impact through data and AI.
* Predictive analytics for yield and quality improvement
* Optimization of circuit or device parameters
* RF signal modeling and anomaly detection
* Root\-cause analysis across test and manufacturing data
* Own the end\-to\-end ML pipeline: data acquisition, feature engineering, model selection, training, evaluation, deployment, and monitoring.
* Collaborate with cross\-functional stakeholders including design engineers, process experts, and product owners to understand problem statements and translate them into ML solutions.
* Work on both research\-oriented prototypes and production\-grade deployments.
* Stay up\-to\-date with current trends in ML, especially those relevant to semiconductor, signal processing, or high\-dimensional time\-series data.
**Required Experience And Skills**
* BS and 8 years experience (Ph.D. preferred) in Machine Learning, Computer Science, Electrical Engineering, Applied Mathematics, or a related field.
* Strong theoretical and practical experience in machine learning and deep learning, including CNNs, transformers, time\-series models, or probabilistic methods.
* Proficiency in Python and ML frameworks such as PyTorch, TensorFlow, Scikit\-learn.
* Solid understanding of statistics, optimization, and model evaluation techniques.
* Excellent communication and collaboration skills, with the ability to work across disciplines and teams.
**Desired Experience And Skills**
* Exposure to semiconductor, electronics, or RF system domains (e.g., basic understanding of circuit behavior, test data, signal integrity).
* Experience working with large, complex datasets (e.g., sensor, waveform, or EDA simulation outputs).
* Familiarity with data infrastructure and workflow orchestration (e.g., Airflow, MLflow, or cloud platforms).
* Contributions to peer\-reviewed research, patents, or open\-source ML projects.
 The typical base pay range for this role across the U.S. is currently USD $114,400 \- $220,200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row r="35">
      <c r="A35" t="inlineStr">
        <is>
          <t>li-4368340062</t>
        </is>
      </c>
      <c r="B35" t="inlineStr">
        <is>
          <t>Data Scientist</t>
        </is>
      </c>
      <c r="C35" t="inlineStr">
        <is>
          <t>Airbnb</t>
        </is>
      </c>
      <c r="D35" t="inlineStr">
        <is>
          <t>linkedin</t>
        </is>
      </c>
      <c r="E35" t="inlineStr"/>
      <c r="F35" t="inlineStr"/>
      <c r="G35" t="inlineStr"/>
      <c r="H35" t="inlineStr"/>
      <c r="I35" t="inlineStr">
        <is>
          <t>**About The Company**
 Airbnb was founded in 2007 when two hosts welcomed three guests to their San Francisco home. Since then, the company has experienced remarkable growth and now boasts over 5 million hosts worldwide who have welcomed more than 2 billion guest arrivals across nearly every country on the planet. Airbnb's platform offers unique stays and experiences that foster authentic connections between guests and local communities, revolutionizing the hospitality industry and creating a global community centered on sharing and belonging.
**About The Role**
 We are seeking a highly skilled and experienced Data Scientist to join our Listing Understanding Data Science team. In this role, you will focus on leveraging computer vision and multimodal data approaches to enhance the understanding of listing attributes, particularly through analyzing photos. Your work will directly impact the guest and host experience by developing innovative machine learning models and causal inference frameworks that improve listing quality, search relevance, and overall platform engagement. You will collaborate cross\-functionally with product, engineering, and design teams to develop and execute strategies that utilize visual and structured data to optimize listing insights. This hands\-on position requires expertise in prototyping, evaluating, and deploying machine learning models, as well as measuring their business impact through rigorous experimentation and causal analysis.
**Qualifications**
* 9\+ years of industry experience in applied Machine Learning, with a focus on Computer Vision
* Experience with models such as CLIP, ViT, or similar architectures
* Expertise in causal inference, preferably within marketplace or platform environments
* Advanced degree in Computer Science, Statistics, Econometrics, or related field
* Proficiency in programming languages such as Python or R, with familiarity in SQL
* Experience developing proof\-of\-concept prototypes and deploying ML solutions
* Deep understanding of machine learning best practices, including feature engineering, model selection, and A/B testing
* Strong communication skills to collaborate effectively with cross\-functional teams
* Passion for AI, continuous learning, and staying current with emerging technologies like LLMs and dynamic systems
* Proven ability to work independently and as part of a collaborative team
* Active engagement with the technical community and a track record of innovation
**Responsibilities**
* Identify and size business opportunities related to visual and listing understanding, developing strategic roadmaps for investment in computer vision and multimodal approaches
* Utilize photos and structured/unstructured data to enhance listing understanding models continuously
* Build causal models to analyze how photos influence guest search behavior, bookings, and trip quality
* Prototype, evaluate, and iterate on machine learning features in collaboration with engineering, product, and design teams
* Develop assessment frameworks to ensure the safety, effectiveness, and fairness of CV and multimodal models
* Measure the business impact of models and features through experimentation, causal analysis, and data\-driven insights
* Stay updated with state\-of\-the\-art models and incorporate them into product features
* Communicate findings and technical insights effectively across teams to inform product development and strategic decisions
**Benefits**
* Competitive salary and performance\-based bonuses
* Equity options and stock grants
* Comprehensive health, dental, and vision insurance plans
* Flexible work arrangements, including remote work eligibility
* Paid time off, holidays, and parental leave
* Learning and development programs to support continuous growth
* Employee travel credits and discounts
* Inclusive and diverse work environment that values innovation and collaboration
 Equal Opportunity
 Airbnb is committed to fostering an inclusive and diverse workplace. We believe that a broad spectrum of perspectives and experiences drives innovation and enhances our ability to serve our global community. We encourage all qualified individuals to apply, regardless of race, gender, age, disability, sexual orientation, gender identity, or background. We also strive to provide a disability\-inclusive application and interview process.</t>
        </is>
      </c>
    </row>
    <row r="36">
      <c r="A36" t="inlineStr">
        <is>
          <t>li-4297166673</t>
        </is>
      </c>
      <c r="B36" t="inlineStr">
        <is>
          <t>Data Scientist</t>
        </is>
      </c>
      <c r="C36" t="inlineStr">
        <is>
          <t>Parker's Kitchen</t>
        </is>
      </c>
      <c r="D36" t="inlineStr">
        <is>
          <t>linkedin</t>
        </is>
      </c>
      <c r="E36" t="inlineStr"/>
      <c r="F36" t="inlineStr"/>
      <c r="G36" t="inlineStr">
        <is>
          <t>Savannah, GA</t>
        </is>
      </c>
      <c r="H36" t="inlineStr"/>
      <c r="I36" t="inlineStr">
        <is>
          <t>We are looking for a Data Scientist with expertise in optimization and forecasting to help improve how we manage labor, staffing, and operational resources across our retail locations. This role is critical in building models and decision\-support tools that ensure the right people, in the right place, at the right time — balancing customer service, efficiency, and cost. You will work closely with Operations, Finance, and Store Leadership teams to deliver practical solutions that improve labor planning, scheduling, and demand forecasting. The right candidate will be confident, resourceful, and excited to own both the technical and business\-facing aspects of applying data science in a fast\-paced retail environment.
**Responsibilities** 
* Build and maintain forecasting models (time\-series, machine learning, and statistical) for sales and transactions.
* Develop and deploy optimization models (linear/mixed\-integer programming, heuristics, simulation) to improve workforce scheduling and labor allocation.
* Partner with operations and finance to translate forecasts into actionable staffing and labor plans that reduce costs while maintaining service levels.
* Build dashboards and automated tools to track forecast accuracy, labor KPIs, and staffing effectiveness.
* Provide insights and “what\-if” scenario modeling to support strategic workforce and budget planning.
**Knowledge, Skills, And Abilities** 
* Strong foundation in forecasting techniques (time\-series models, regression, machine learning) and optimization methods (linear/mixed\-integer programming, heuristics, simulation).
* Proficiency in Python or R for modeling and analysis, along with strong SQL skills for working with large\-scale datasets.
* Knowledge of statistics, probability, and applied mathematics to support predictive and prescriptive modeling.
* Experience building and deploying predictive models, optimization tools, and decision\-support solutions that drive measurable business outcomes.
* Strong data storytelling and visualization skills using tools such as Power BI, Tableau, or Looker.
* Ability to translate analytical outputs into clear, actionable recommendations for non\-technical stakeholders.
* Strong collaboration skills with the ability to partner cross\-functionally with Operations, Finance, and Store Leadership to drive adoption of data\-driven approaches.
* Ability to work independently and resourcefully, combining technical depth with practical problem\-solving to deliver results in a fast\-paced environment.
**Education And Requirements** 
**Required:** 
* Bachelor’s or Master’s degree in Data Science, Statistics, Applied Mathematics, Industrial Engineering, Operations Research, or related field.
* Minimum 2\-3 years of professional experience in Data Science or a related area.
* Strong skills in time\-series forecasting (e.g., ARIMA, Prophet, ML\-based approaches).
* Proficiency in optimization techniques (linear programming, integer programming).
* Strong Python or R programming skills.
* SQL expertise for large, complex datasets.
* Strong communication skills with the ability to partner with business stakeholders.
**Preferred** 
* Experience in Retail, Restaurant, and/or Convenience Stores a plus.
* Experience with cloud platforms (Snowflake, AWS, GCP, Azure).
* Knowledge of BI tools (Tableau, Power BI, Looker).
**Physical Requirements** 
* Prolonged periods sitting/standing at a desk and working on a computer
* Must be able to lift up to 50 pounds
*Parker’s is an equal opportunity employer committed to hiring a diverse workforce and sustaining an inclusive culture. Parker’s does not discriminate on the basis of disability, veteran status or any other basis protected under federal, state, or local laws.*</t>
        </is>
      </c>
    </row>
    <row r="37">
      <c r="A37" t="inlineStr">
        <is>
          <t>li-4368023849</t>
        </is>
      </c>
      <c r="B37" t="inlineStr">
        <is>
          <t>Data Scientist</t>
        </is>
      </c>
      <c r="C37" t="inlineStr">
        <is>
          <t>Yochana</t>
        </is>
      </c>
      <c r="D37" t="inlineStr">
        <is>
          <t>linkedin</t>
        </is>
      </c>
      <c r="E37" t="inlineStr"/>
      <c r="F37" t="inlineStr"/>
      <c r="G37" t="inlineStr"/>
      <c r="H37" t="inlineStr"/>
      <c r="I37" t="inlineStr">
        <is>
          <t>**Job Description Summary** 
 We are seeking an experienced Data Scientist with strong Python expertise to support data analysis, modeling, and insights generation for business\-critical initiatives
**Visa \- US Citizens only** 
**Type of employment: contract for 06 months** 
**Rate : 120K\-130K** 
**Experience: 5\-10 years** 
**Looking for remote , looking for a resouce who can work at EST time zone** 
* Should have 5\+ ’ hands\-on experience in architecting, constructing and managing data on\-prem or on\-cloud.
* Should be able to Consult on AI/ML Solutions with detailed road maps and architecture
* Should have at least 5 years on data science related algorithms and implementation of analytics solutions in predictive analytics, text analytics and image analytics.
* Strong knowledge on all Azure Services primarily Data lake, ADF pipelines, Data Bricks, Azure Functions, Azure SQL, Synapse, Azure Data Explorer.
* Leads efforts to foster innovative ideas for developing high impact solutions.
* Evaluates and leads broad range of forward\-looking analytics initiatives, track emerging data science trends, and knowledge sharing
* Engaging key stakeholders to source, mine and validate data and findings and to confirm business logic and assumptions in order to draw conclusions.
* Helps in design and develop advanced analytic solutions across functional areas as per requirement/opportunities.
* Previous Experience on OLAP, OLTP, RDBMS, SQL, ETL.</t>
        </is>
      </c>
    </row>
    <row r="38">
      <c r="A38" t="inlineStr">
        <is>
          <t>li-4368329497</t>
        </is>
      </c>
      <c r="B38" t="inlineStr">
        <is>
          <t>Data Scientist</t>
        </is>
      </c>
      <c r="C38" t="inlineStr">
        <is>
          <t>Raptive</t>
        </is>
      </c>
      <c r="D38" t="inlineStr">
        <is>
          <t>linkedin</t>
        </is>
      </c>
      <c r="E38" t="inlineStr"/>
      <c r="F38" t="inlineStr"/>
      <c r="G38" t="inlineStr"/>
      <c r="H38" t="inlineStr"/>
      <c r="I38" t="inlineStr">
        <is>
          <t>Raptive is seeking a Data Scientist to join our RevOps Data Science team. Your mission is to leverage our vast data set to surface meaningful insights that drive decision\-making across the business. Given the broad scope of this effort, the ideal candidate will be driven by understanding and improving work processes and developing solutions that potentially use a wide variety of technologies.
 As a Data Scientist, you will be responsible for helping to derive meaningful insights from large amounts of data, building metrics, finding answers, and creating dependable, repeatable solutions.
 Applicants must be authorized to work for any employer in the U.S. We are unable to sponsor or take over sponsorship of an employment Visa at this time.
**What you’ll be doing:** 
* Design and analyze experiments to improve revenue
* Classify audience and content to support programmatic direct and indirect sales
* Deliver evolutionary floor price guidance
* Visualize complex systems
* Build deep understanding of data generating processes
**The skills and experience you bring to the job:** 
* Graduate degree or equivalent in Statistics, Industrial Systems Engineering, or comparable field
* Familiarity with real time advertising markets
* Familiarity with processing large data sets (eg with Snowflake, Hive, Presto or BigQuery), scripting (eg Bash or Python), the AWS environment, \&amp; statistical software (eg NumPy, scikit\-learn, R)
* Familiarity with cutting edge classification and regression libraries (eg TensorFlow, Keras, Pytorch) and algorithms eg (XGBoost, Convolutional NN, etc)
* Familiarity with deploying, scaling, and maintaining data science models in production environments, including experience with cloud platforms, containerization, orchestration, or related tools.
**About Raptive** 
 Raptive is a new kind of media company built for creators and home to one of the largest and most diverse audiences on the internet. Raptive combines its position as the world’s largest ad management platform with a comprehensive suite of monetization, audience and business solutions that enable creators to turn their passions and talents into thriving independent companies and enduring brands. We stand for the future of a diverse, open internet powered by the creativity and entrepreneurship of the independent creators and publishers it serves. To date, Raptive has paid over $2\.5 billion to thousands of independent creators. Join us in creating a more equitable and inclusive future for media. Raptive was recognized as a Fortune 100 Best Places To Work for 2024\-2025\.
 The base salary range for this position is $100,000\-$150,000\. The range provided is Raptive’s reasonable estimate of the annualized base compensation for this role. The actual amount may be higher or lower, based on non\-discriminatory factors such as experience, geographic location, knowledge, skills and abilities. This role is eligible for additional incentive compensation that isn’t included in the posted range.
 For more information, visit www.Raptive.com or follow us on LinkedIn or Instagram.
*Raptive is committed to diversity, equity, and inclusion. We believe we are most impactful when people with a wide range of backgrounds, experiences, and identities come together with a common purpose. We encourage candidates from all backgrounds to apply. Raptive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t>
        </is>
      </c>
    </row>
    <row r="39">
      <c r="A39" t="inlineStr">
        <is>
          <t>li-4336033573</t>
        </is>
      </c>
      <c r="B39" t="inlineStr">
        <is>
          <t>Data Scientist  AI/ML</t>
        </is>
      </c>
      <c r="C39" t="inlineStr">
        <is>
          <t>Stanford Health Care</t>
        </is>
      </c>
      <c r="D39" t="inlineStr">
        <is>
          <t>linkedin</t>
        </is>
      </c>
      <c r="E39" t="inlineStr"/>
      <c r="F39" t="inlineStr"/>
      <c r="G39" t="inlineStr">
        <is>
          <t>Palo Alto, CA</t>
        </is>
      </c>
      <c r="H39" t="inlineStr"/>
      <c r="I39" t="inlineStr">
        <is>
          <t>1\.0 FTE Full time Day \- 08 Hour R2551451 Hybrid 108480039 TDS Data Science Innovation Technology \&amp; Digital Solutions PALO ALTO, 1830 Embarcadero, California
 If you're ready to be part of our legacy of hope and innovation, we encourage you to take the first step and explore our current job openings. Your best is waiting to be discovered.
 Day \- 08 Hour (United States of America)
 The Data Scientist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is responsible for developing AI solutions – from predictive algorithms to agentic systems \- into healthcare in a safe, ethical and cost\-effective manner.
**This is a Stanford Health Care job.**
**A Brief Overview**
 The Data Scientist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predictive algorithms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is responsible for developing predictive algorithms and other machine learning (ML) based innovations in data science into healthcare in a safe, ethical and cost\-effective manner. The individual will design, implement and support ML models for use in the clinic.
**Locations**
 Stanford Health Care
**What You Will Do**
* Build, deploy and maintain AI and ML enabled care workflows. This includes working with others at SHC to design and develop solutions to the problems undertaken by the Data Science group.
* Evaluate tools, platforms and strategies used by the Data Science group to manage the lifecycle of building models from healthcare data.
* Train, develop, and validate researcher\-built or vendor provided machine learning algorithms on hospital data with strong quality control checks and bias assessments.
**Education Qualifications**
* PhD/MS degree in statistics, informatics or related field
**Experience Qualifications**
* PhD: Experience preferred
* MS Degree: 4\+ years of related experience with applied problems
**Required Knowledge, Skills And Abilities**
* Ability to write code in SQL, R, or Python for processing large datasets in distributed cloud environments, and experience in processing and analyzing healthcare data.
* Experience developing, evaluating, and implementing machine learning models.
* Experience working with clinicians and researchers across disciplines to develop approaches for use in clinical care.
* Experience working in cloud environments or working in a healthcare organization.
* Graduate level understanding of techniques in machine learning, knowledge representation, and artificial intelligence along with a strong understanding of statistics.
* Knowledge of software development, machine learning, and technology infrastructure
* Excellent verbal and written communication skills, strong interpersonal skills, along with demonstrated creativity and latitude in problem solving, including the ability to prioritize and execute multiple competing tasks.
**Physical Demands and Work Conditions**
**Blood Borne Pathogens**
* Category II \- Tasks that involve NO exposure to blood, body fluids or tissues, but employment may require performing unplanned Category I tasks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 Know Me: Anticipate my needs and status to deliver effective care
* Show Me the Way: Guide and prompt my actions to arrive at better outcomes and better health
* 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$79\.21 \- $104\.97 per hour
 The salary of the finalist selected for this role will be set based on a variety of factors, including but not limited to, internal equity, experience, education, specialty and training. This pay scale is not a promise of a particular wage.</t>
        </is>
      </c>
    </row>
    <row r="40">
      <c r="A40" t="inlineStr">
        <is>
          <t>li-4368339244</t>
        </is>
      </c>
      <c r="B40" t="inlineStr">
        <is>
          <t>Data Scientist</t>
        </is>
      </c>
      <c r="C40" t="inlineStr">
        <is>
          <t>Hyra</t>
        </is>
      </c>
      <c r="D40" t="inlineStr">
        <is>
          <t>linkedin</t>
        </is>
      </c>
      <c r="E40" t="inlineStr"/>
      <c r="F40" t="inlineStr"/>
      <c r="G40" t="inlineStr">
        <is>
          <t>Florida, United States</t>
        </is>
      </c>
      <c r="H40" t="inlineStr"/>
      <c r="I40" t="inlineStr">
        <is>
          <t>Senior Data Scientist
 Hyra is working on behalf of Disney Experiences to hire for the position of Senior Data Scientist. This role develops advanced machine learning models and data\-driven solutions to optimize customer segmentation, assortment rationalization, and performance forecasting. You will support the Merchandise Business Insight and Analytics team in driving strategic decisions for both brick\-and\-mortar and ecommerce retail environments.
 What you'll be doing
 • Design and deploy advanced statistical and machine learning models for demand forecasting and promotion optimization.
 • Architect scalable data pipelines and workflows using Python, SQL, and cloud platforms like Google Cloud Platform.
 • Build dynamic dashboards and self\-service analytics tools using Tableau or Looker to monitor business metrics.
 • Translate complex business questions into structured analytics problems for cross\-functional stakeholders.
 • Mentor team members and establish best practices for data science workflows and model maintenance.
 What we're looking for
 • Extensive experience in statistical modeling, machine learning, and retail strategy.
 • Proficiency in Python and SQL for data manipulation and model development.
 • Expertise in cloud\-based data environments such as Snowflake or Google Cloud Platform.
 • Proven ability to deliver actionable insights through visual analytics platforms like Tableau.
 • Strong communication skills to partner with product, merchandising, and technology teams.
 What Disney Experiences offers
 • Comprehensive healthcare coverage and wellness programs.
 • Retirement savings plans and financial planning resources.
 • Employee discounts on merchandise and experiences.
 • Professional development and educational reimbursement opportunities.
 Apply via Hyra to be considered for this opportunity.</t>
        </is>
      </c>
    </row>
    <row r="41">
      <c r="A41" t="inlineStr">
        <is>
          <t>li-4368034818</t>
        </is>
      </c>
      <c r="B41" t="inlineStr">
        <is>
          <t>Data Scientist</t>
        </is>
      </c>
      <c r="C41" t="inlineStr">
        <is>
          <t>Fifth Third Bank</t>
        </is>
      </c>
      <c r="D41" t="inlineStr">
        <is>
          <t>linkedin</t>
        </is>
      </c>
      <c r="E41" t="inlineStr"/>
      <c r="F41" t="inlineStr"/>
      <c r="G41" t="inlineStr">
        <is>
          <t>Cincinnati, OH</t>
        </is>
      </c>
      <c r="H41" t="inlineStr"/>
      <c r="I41" t="inlineStr">
        <is>
          <t>**Make banking a Fifth Third better®**
 We connect great people to great opportunities. Are you ready to take the next step? Discover a career in banking at Fifth Third Bank.
* This position is not available for immigration sponsorship.
 The Data Scientist will perform data analysis, statistical analysis, and develop algorithms and methodologies on structured and unstructured data for on\-demand and software\-embedded use. Manage key analyses to drive more profitable business decisions. Focus on providing value\-added analysis and recommendations to support business growth.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And Responsibilities**
* Build large and complex information sets; Integrates and extracts relevant information from large amounts of both structured and unstructured data (internal and external) to enable analytical solutions.
* Conducts advanced analytics leveraging predictive modeling, machine learning, simulation, optimization and other techniques to deliver insights or develop analytical solutions to achieve business objectives.
* Develop and manage and develop analyses and algorithms that generate actionable insights and programs to improve long\-term revenue and relevance.
* Partner with key stakeholders to understand the underlying needs of the business and formulate, communicate and create buy\-in for analytics approaches and solutions.
* Effective communicate and translate business strategy and goals into manageable problems with well\-defined measurable objectives and outcomes.
* Transform formulated problems into implementations plans for experiments by developing data sources, applying/creating the appropriate methods, algorithms, and tools, as well as delivering statistically valid and reliable results.
* Ad hoc reporting and analytics to support requests from the Bank's various lines of business.
* Provides input into the creation of detailed project plans, work assignments, target dates and other aspects of assigned projects.
**Minimum Knowledge, Skills And Abilities Required**
* Bachelor's degree in Statistics, Economics, Analytics, Mathematics, Computer Science, Information Technology or related field. Advanced degrees preferred, but not required.
* Typically requires minimum of 4\-5 years work experience.
* Database and analytical experience required.
* Excellent written and oral communications skills.
* Ability to effectively manage time.
* Independent and highly self\-motivated.
* Ability to communicate effectively.
* Strong PC skills including Microsoft Office (Word, Excel, Access, PowerPoint).
 Data Scientist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45227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42">
      <c r="A42" t="inlineStr">
        <is>
          <t>li-4365869854</t>
        </is>
      </c>
      <c r="B42" t="inlineStr">
        <is>
          <t>Data Scientist</t>
        </is>
      </c>
      <c r="C42" t="inlineStr">
        <is>
          <t>Sysco</t>
        </is>
      </c>
      <c r="D42" t="inlineStr">
        <is>
          <t>linkedin</t>
        </is>
      </c>
      <c r="E42" t="inlineStr"/>
      <c r="F42" t="inlineStr"/>
      <c r="G42" t="inlineStr">
        <is>
          <t>Houston, TX</t>
        </is>
      </c>
      <c r="H42" t="inlineStr"/>
      <c r="I42"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
* SIdentify necessary data elements and their sources, leverage appropriate tools to acquire and consolidate large volumes of data from different internal and external sources, and identify and resolve any irrelevant, corrupt, missing, or incongruent dat
* aIdentify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
**g
 QUALIFICATIO**
 NS
 Education and / or Experien
* ce:Master’s degree or PhD or Bachelor’s degree \+ 3 years of industry experience in management consulting, strategy, analytics, at a specialized analytics company or in an analytics organization in a corporate setti
* ng.Degree should be in mathematics, statistics or computer science or related field; preferred from a top tier Universi
* ty.1\-4 years of overall analytics experience, can be inclusive of post\-graduate w
* ork2\+ years of experience accessing and manipulating data in SQL or NoSQL database environme
* nts1\+ years of experience with scientific scripting languages (e.g., Python) and/or object\-oriented programming (e.g., C\+\+, Ja
* va)2\+ years of experience with Bayesian statistics, regression analysis (beyond linear regression), supervised learning, unsupervised learning or time\-series analysis requi
**red
 Professional Sk** 
* illsExperience accessing and manipulating data in SQL or NoSQL database environm
* entsExperience with scientific scripting languages (e.g., Python) and/or object\-oriented programming (e.g., C\+\+, J
* ava)Experience with regression analysis (beyond linear regression), supervised learning, unsupervised learning or time\-series analysis requ
 ired</t>
        </is>
      </c>
    </row>
    <row r="43">
      <c r="A43" t="inlineStr">
        <is>
          <t>li-4333678874</t>
        </is>
      </c>
      <c r="B43" t="inlineStr">
        <is>
          <t>Principal Data Scientist – Price and Promotions Data Science</t>
        </is>
      </c>
      <c r="C43" t="inlineStr">
        <is>
          <t>CVS Health</t>
        </is>
      </c>
      <c r="D43" t="inlineStr">
        <is>
          <t>linkedin</t>
        </is>
      </c>
      <c r="E43" t="inlineStr"/>
      <c r="F43" t="inlineStr"/>
      <c r="G43" t="inlineStr">
        <is>
          <t>Washington, United States</t>
        </is>
      </c>
      <c r="H43" t="inlineStr"/>
      <c r="I4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The Consumer Engagement \&amp; Analytics team is helping lead the effort to drive improved consumer experience by partnering with key business areas across CVS Health to deliver impactful analytic products and insights. As a member of the Price, Value and Assortment Analytics team, you will be at the forefront of delivering high visibility products for key CVS Retail strategic priorities. Specifically, you will have the opportunity to drive traffic, revenue and customer satisfaction in CVS Health’s Front Store business using data science to optimize pricing, promotions, and assortment decisions.
**In This Role, You Will Have The Opportunity To** 
* Solve complex problems, leverage large datasets, and build scalable and deployment ready models that work well with CVS Retail’s diverse product portfolio. Guide the modeling approach, design and deploy end\-to end solutions utilizing Operations Research (OR), econometric modeling, and forecasting along with the functional team leads,
* Partner with the Data Engineering team to architect scalable and fail\-proof production pipelines, define the unified technical vision, and set standards,
* Stay up to date on the state\-of\-the\-art modeling methodologies, initiate, lead, and inspire Research and Development efforts, define long\-term technical vision and strategic roadmap,
* Act as a consultant who translates complex requirements and data science findings into decision ready narratives for cross\-functional teams,
* Mandate and champion rigorous performance validation,
* Provide advanced technical mentorship, proactively identify critical organizational skill gaps, and standardize hiring processes.
 We are a fast\-paced team focused on building innovative advanced analytics solutions using cloud capabilities. Within our team, we believe cutting\-edge AI products and analytics can only be delivered if every aspect of the solution from data to model to front end UI is fully designed and developed by the team.
 We are looking for talented individuals who have a strong sense of ownership, accountability and a desire to deliver high quality end to end intuitive and impactful analytic products using advanced data driven approaches. This role may involve managing and mentoring team members.
**Required Qualifications** 
* 10\+ years of progressive work experience in retail, consulting, or a related field as an individual contributor (applied data science) with at least 2 years in a lead capacity,
* Strong foundation and demonstrated experience designing and deploying large scale optimization problems to production,
* Strong Python, R, and SQL skills, proficiency in working with large datasets,
* Experience working with a data engineering/MLOps team to productionize data science models, familiarity with version control (GitLab or GitHub), and ML platforms (AWS SageMaker, Databricks, GCP Vertex AI, etc.),
* Excellent communication, leadership, and presentation skills and attention to detail. Worked in an agile environment, has the flexibility to adapt to changing business needs,
* Proven experience influencing organizational strategy and driving change across business, product, and engineering organizations,
* Proven experience leading multiple complex projects simultaneously in a fast\-paced environment.
**Preferred Qualifications** 
* Experience building and deploying advanced price, promotions, or assortment optimization solutions at scale,
* In depth understanding of merchandising (price, promotion, assortment) concepts and metrics in retail,
* Experience with managing large scale projects and working with multiple business stakeholders,
* Proven record of intellectual property generation or public representation of technical work.
**Education** 
* Advanced degree in a quantitative field such as computer science, operations research, applied mathematics, or a related field. PhD preferred.
**Pay Range** 
**The Typical Pay Range For This Role Is** 
 $144,200\.00 \- $288,400\.00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02/22/2026
 Qualified applicants with arrest or conviction records will be considered for employment in accordance with all federal, state and local laws.</t>
        </is>
      </c>
    </row>
    <row r="44">
      <c r="A44" t="inlineStr">
        <is>
          <t>li-4368360051</t>
        </is>
      </c>
      <c r="B44" t="inlineStr">
        <is>
          <t>Lead Data Scientist &amp; Machine Learning Engineer - Databricks ML &amp; Gen AI</t>
        </is>
      </c>
      <c r="C44" t="inlineStr">
        <is>
          <t>ON Data Staffing</t>
        </is>
      </c>
      <c r="D44" t="inlineStr">
        <is>
          <t>linkedin</t>
        </is>
      </c>
      <c r="E44" t="inlineStr"/>
      <c r="F44" t="inlineStr"/>
      <c r="G44" t="inlineStr"/>
      <c r="H44" t="inlineStr"/>
      <c r="I44" t="inlineStr">
        <is>
          <t>ON Data Staffing is currently seeking a talented Lead Data Scientist with expertise in Databricks and GenAI to join our client's remote team in the United States.
 As a key member of our client's Data Science and Machine Learning team, the Databricks ML Engineer will play a crucial role in developing and implementing state\-of\-the\-art machine learning models and algorithms to solve complex business problems. This is an exciting opportunity to work with cutting\-edge technologies and make a significant impact in a fast\-paced, collaborative environment.
 Responsibilities:
* Collaborate with cross\-functional teams to understand business requirements and design scalable machine learning solutions.
* Develop and deploy machine learning models using Databricks ML and other relevant technologies.
* Conduct thorough analysis of large\-scale datasets to extract meaningful insights and drive decision\-making.
* Optimize and fine\-tune machine learning models for performance and accuracy.
* Stay current with the latest advancements in machine learning and data science to continuously improve our capabilities.
 Requirements:
* Bachelor's or Master's degree in Computer Science, Engineering, Mathematics, or related field.
* Proven experience as a Machine Learning Engineer or Data Scientist, with a focus on building and deploying machine learning models.
* Strong proficiency in Databricks ML and other relevant tools such as TensorFlow, PyTorch, or scikit\-learn.
* Solid understanding of machine learning algorithms, statistical modeling, and data preprocessing techniques.
* Experience working with big data technologies such as Apache Spark is a plus.
* Excellent communication and collaboration skills, with the ability to work effectively in a remote team environment.</t>
        </is>
      </c>
    </row>
    <row r="45">
      <c r="A45" t="inlineStr">
        <is>
          <t>li-4364944555</t>
        </is>
      </c>
      <c r="B45" t="inlineStr">
        <is>
          <t>Data Scientist - Consultant</t>
        </is>
      </c>
      <c r="C45" t="inlineStr">
        <is>
          <t>IMX Data</t>
        </is>
      </c>
      <c r="D45" t="inlineStr">
        <is>
          <t>linkedin</t>
        </is>
      </c>
      <c r="E45" t="inlineStr"/>
      <c r="F45" t="inlineStr"/>
      <c r="G45" t="inlineStr">
        <is>
          <t>Chicago, IL</t>
        </is>
      </c>
      <c r="H45" t="inlineStr"/>
      <c r="I45" t="inlineStr">
        <is>
          <t>**Data Scientist – Consultant** 
**Overview** 
 We are seeking a motivated and detail\-oriented Data Scientist to support our data science and analytics initiatives. This role is ideal for someone early in their career who is eager to apply statistical, analytical, and programming skills to real\-world data problems while learning from senior team members. The Data Scientist will work closely with data science, engineering, and business teams to help transform complex datasets into actionable insights.
**Key Responsibilities** 
* Work with AWS and Snowflake and implement efficient data migration strategies. Optimize data transfer and storage performance to efficiently handle large\-scale datasets.
* Work closely with technical teams to enhance data pipeline efficiency.
 ·       Develop and implement quantitative models for asset pricing, risk management, and benchmarking.
* Assist in analyzing large, complex datasets to identify trends, patterns, and insights.
* Write and optimize SQL queries to extract and manipulate data.
* Help maintain data quality standards and best practices. Document methodologies, assumptions, and findings in a clear and organized manner.
* Conduct research on financial markets and economic conditions to inform investment strategies. Stay updated on the latest developments in data science, quantitative finance, and financial markets and detecting visible alphas.
* Collaborate with senior data scientists to build dashboards, reports, and analytical tools.
* Participate in code reviews and contribute to the continuous improvement of analytics workflows.
**Required Qualifications** 
* Bachelor’s degree in data science, Computer Science, Statistics, Mathematics, Economics, or a related field.
* Minimum of 2 years of experience in data analysis, data science, or a related role (internships included)
 ·       Experience with AI and ML algorithms, including Random Forest, Logistic Regression, Decision Tree, Linear Regression, K\-means Clustering, and Deep Learning.
* Knowledge of Agentic AI and implementation of RAG pipeline.
* Proficiency in Python or R.
* Working knowledge of SQL and relational databases.
* Familiarity with basic statistical concepts and data analysis techniques.
* Experience with data visualization tools (e.g., Tableau, Power BI, or Python libraries such as Matplotlib/Seaborn).
* Strong analytical thinking and problem\-solving skills.
* Excellent attention to detail and ability to work with large datasets.
**Preferred Qualifications** 
* Exposure to machine learning concepts and frameworks
* Experience working with cloud platforms (AWS, Snowflake)
* Prior experience working with real\-world, large\-scale datasets
**What We’re Looking For** 
* Curiosity and a strong desire to learn
* Ability to take direction while also working independently
* Strong communication skills and the ability to explain technical findings to non\-technical stakeholders
* A collaborative mindset and positive, can\-do attitude
**Why Join Us** 
* Hands\-on experience with meaningful, real\-world data
* Mentorship from experienced data science professionals
* Opportunity for growth and career development
* Collaborative, fast\-paced, and mission\-driven environment</t>
        </is>
      </c>
    </row>
    <row r="46">
      <c r="A46" t="inlineStr">
        <is>
          <t>li-4365367954</t>
        </is>
      </c>
      <c r="B46" t="inlineStr">
        <is>
          <t>Data Scientist</t>
        </is>
      </c>
      <c r="C46" t="inlineStr">
        <is>
          <t>CommunityAmerica Credit Union</t>
        </is>
      </c>
      <c r="D46" t="inlineStr">
        <is>
          <t>linkedin</t>
        </is>
      </c>
      <c r="E46" t="inlineStr"/>
      <c r="F46" t="inlineStr"/>
      <c r="G46" t="inlineStr">
        <is>
          <t>Lenexa, KS</t>
        </is>
      </c>
      <c r="H46" t="inlineStr"/>
      <c r="I46" t="inlineStr">
        <is>
          <t>**Summary**
 The Data Scientist will play a pivotal role in shaping the data strategy and driving data\-driven decision\-making processes within the organization. This position requires a visionary data scientist who collaborate with cross\-functional teams, leverage advanced analytical techniques to solve complex business problems. The ideal candidate will have a strong background in data science, excellent interpersonal skills and a passion for innovation.
**Duties \&amp; Responsibilities**
* Collaborate with stakeholders to identify business challenges and opportunities that can be addressed through data science to improve key business outcomes.
* Design, develop, and implement advanced statistical models and machine learning algorithms to extract insights from large datasets.
* Oversee the end\-to\-end data science project lifecycle, from data collection and preprocessing to model deployment and monitoring.
* Communicate complex analytical concepts and results to non\-technical stakeholders in a clear and concise manner.
* Stay abreast of the latest industry trends and advancements in data science and incorporate them into the team’s work.
* Collaborate with IT and data engineering teams to integrate data science solutions into existing systems and workflows.
* Partner with Innovation and Digital transformation teams to architect and build analytics engines capable of driving real\-time personalized insights using analytic models.
* Apply machine learning models and AI to help mitigate fraud at the credit union.
* Leverage generative AI capabilities and apply solutions to address complex business problems.
* Perform other duties as assigned.
**Requirements**
**Education and Experience Requirements:**
* Undergraduate or advanced degree in Mathematics, Statistics, Computer Science, or a related field.
* Knowledge and experience in applying statistical and machine learning methods including regression, classification, clustering, decision trees, and neural networks.
* 3\-5 years’ experience in developing, deploying, and managing analytical and machine learning models in a production environment.
* Proven track record of successfully leading data science projects from conception to completion.
**Required Knowledge, Skills And Abilities**
* Natural sense of curiosity; being able to self\-motivate and proactively find unique or actionable insights and solutions leveraging data.
* Ability to understand business needs and become a leader in enabling data driven business decisions while also having the ability to work successfully in a team environment.
* Extensive experience with machine learning frameworks and libraries (e.g., Scikit\-learn, XGBoost).
* Extensive experience in a statistical programming language such as Python.
* Experience with building machine learning and AI models in a cloud environment preferably using Databricks and Azure Foundry.
* Excellent problem\-solving skills and the ability to think critically and strategically.
* Comfortable working in a dynamic environment with multiple concurrent projects.
* Ability to visualize in advance rough requirements and process necessary to implement new production data science applications.
* Strong communication skills with ability to present ideas and concepts to diverse audiences.
* Familiarity and experience working with relational databases and SQL.
**Preferred Knowledge, Skills And Abilities**
* Data science experience in the financial/banking sector.
* Experience with development tools including Jupyter, PyCharm, VS Code, OpenAI/ChatGPT, Azure DevOps, Jenkins, and Docker.
* Experience with Microsoft Azure cloud environment leveraging ADLS, SQL Server, Cosmos, Azure Foundry, Copilot, Cognitive Search, Databricks, and AKS.
* Experience with notable packages/technologies including LLaVA, XGBoost, scikit\-learn, Pandas, Spark and GraphQL.
* Familiarity with building data pipelines using unstructured and non\-relational data stores.
* Experience writing SQL and developing REST APIs.</t>
        </is>
      </c>
    </row>
    <row r="47">
      <c r="A47" t="inlineStr">
        <is>
          <t>li-4265440676</t>
        </is>
      </c>
      <c r="B47" t="inlineStr">
        <is>
          <t>Data Scientist (hybrid)</t>
        </is>
      </c>
      <c r="C47" t="inlineStr">
        <is>
          <t>Federated Hermes</t>
        </is>
      </c>
      <c r="D47" t="inlineStr">
        <is>
          <t>linkedin</t>
        </is>
      </c>
      <c r="E47" t="inlineStr"/>
      <c r="F47" t="inlineStr"/>
      <c r="G47" t="inlineStr">
        <is>
          <t>Pittsburgh, PA</t>
        </is>
      </c>
      <c r="H47" t="inlineStr"/>
      <c r="I47" t="inlineStr">
        <is>
          <t>**Data Scientist (hybrid)** 
**Federated Hermes Career Opportunity \#9439** 
 We have an exciting opportunity for a
 **Data Scientist** 
 located in Pittsburgh, PA.
**What You’ll Do** 
 This is a full stack data science opportunity working with the latest technologies in the Azure Cloud, including Databricks and OpenAI. You will have the opportunity to drive the full data science lifecycle from strategy to data preparation and algorithm development to communicating the answer in a way a non\-data scientist will understand. A proactive, creative, curious mind\-set, along with a desire to influence your own development, will go a long way.
**The Expertise We’re Looking For** 
* Bachelor’s Degree in STEM (science, technology, engineering, math) related field or a similar quantitative analytics field.
* Up to 4 years of professional experience including exposure to data science concepts and computational tools. (i.e., Python, Spark (PySpark), LLMs); Professional, internship or project\-based experience preferred.
* Familiarity with various database structures and experience working with large datasets.
* Exposure to data science tools and platforms that support data preparation, algorithm development, and visualization (e.g., pandas, Jupyter Notebooks, Power BI).
* Intermediate technical and analytical abilities with programming skills in a language such as Python.
* Intermediate understanding of the techniques to collect, organize, blend, cleanse and synthesize large volumes of disparate data.
* Ability to effectively communicate data\-driven insights to other non\-technical business partners.
* Additional experience in areas such as building machine learning algorithms, model tracking and deployment, developing LLM agents, RAG models, and time series forecasting is highly valued.
**\*\*The experience level of the candidate will determine level of position as Data Scientist or Sr. Data Scientist** 
**Our Investment in You** 
 We believe our employees are our most important asset! Therefore, we offer benefits programs designed to help you and your family thrive, training programs to advance your professional development and opportunities for you to give back to the community. Our offerings include:
* A competitive total compensation package, including bonus programs designed to recognize and incentivize our employees to do their best every day
* Time off programs including paid vacation, parental leave and a volunteer day to help you stay healthy and connected to the things that are important
* Opportunities to expand your professional network within the firm and the community through participation in programs such as the Women in Investing Employee Resource Business Group and the University Ambassador Program.
* Location: Pittsburgh, PA 15222 (hybrid in office work schedule)
**About Federated Hermes** 
 At Federated Hermes, our goals are to help individuals invest and retire better, to help our clients achieve better risk\-adjusted returns, and to contribute to the positive outcomes in the wider world. We pledge to always putting our clients first and to acting responsibly and transparently. Our commitment to active, responsible investment has enabled us to become a leading investment manager with $871\.2B in assets under management; serving investors around the world.
 We provide career opportunities that enable our employees to grow and meet their career aspirations while balancing the needs of their personal lives. We offer a collaborative environment that promotes doing things the right way and always with integrity, sharing ideas to drive positive change, and following through on our commitments. We are motivated by a higher purpose and always consider the impact of our work. We promote teamwork and foster a diverse, inclusive and respectful workplace where unique perspectives, ideas and experiences are recognized and appreciated for the contributions they bring.
 For consideration, please visit our company website and reference job \#9439
 For additional information, please visit FederatedHermes.com
 Federated Hermes, Inc. offers a competitive salary and benefits package along with a professional environment.
 Only those candidates in whom we have an interest will be contacted.
 We are interested in qualified candidates who are eligible to work in the United States. However, we are not able to sponsor visas.
 EOE – Including Disability / Vets
 Federated Hermes is committed to providing equal employment opportunities in all aspects of employment to qualified individuals without regard to the following criteria: race, color, national origin, religion, sex, pregnancy, sexual orientation, gender identity or expression, mental or physical disability, age, familial or marital status, ancestry, military status, veteran status or genetic information as well as any other prohibited criteria under any local, state or federal law applicable to Federated Hermes. As part of the firm’s equal employment opportunity statement, Federated Hermes will also comply with applicable government contractor obligations, including ensuring veterans and qualified people with disabilities are considered for employment and promotional opportunities consistent with current federal, state and local laws and regulations.</t>
        </is>
      </c>
    </row>
    <row r="48">
      <c r="A48" t="inlineStr">
        <is>
          <t>li-4368364320</t>
        </is>
      </c>
      <c r="B48" t="inlineStr">
        <is>
          <t>Senior Data Scientist - Payment Integrity AI/ML</t>
        </is>
      </c>
      <c r="C48" t="inlineStr">
        <is>
          <t>Optum</t>
        </is>
      </c>
      <c r="D48" t="inlineStr">
        <is>
          <t>linkedin</t>
        </is>
      </c>
      <c r="E48" t="inlineStr"/>
      <c r="F48" t="inlineStr"/>
      <c r="G48" t="inlineStr">
        <is>
          <t>Eden Prairie, MN</t>
        </is>
      </c>
      <c r="H48" t="inlineStr"/>
      <c r="I48" t="inlineStr">
        <is>
          <t>Optum Insight is improving the flow of health data and information to create a more connected system. We remove friction and drive alignment between care providers and payers, and ultimately consumers. Our deep expertise in the industry and innovative technology empower us to help organizations reduce costs while improving risk management, quality and revenue growth. Ready to help us deliver results that improve lives? Join us to start
 **Caring. Connecting. Growing together.**
 As part of Optum's Payment Integrity Decision Intelligence team, the Senior Data Scientist will support our mission to drive medical cost savings and efficiency within Payment Integrity clinical operations using advanced AI/ML tooling to drive detection and inventory prioritization. You will apply knowledge of statistics, machine learning, programming, data modeling to recognize patterns, identify opportunities that improve clinical audit processes.
 You'll enjoy the flexibility to work remotely\* from anywhere within the U.S. as you take on some tough challenges. For all hires in the Minneapolis or Washington, D.C. area, you will be required to work in the office a minimum of four days per week.
**Primary Responsibilities**
* Interact with business stakeholders to understand their AI/ML requirements and deliver projects aligned with the business portfolio
* Drive and manage high\-impact data science projects from conception to deployment, ensuring alignment with business goals and timelines
* Partner with cross\-functional teams, including analytic engineering, infrastructure, and operations, to design and deploy models
* Document and communicate findings, methodologies, and insights to technical and non\-technical stakeholders
* Monitor and refine model performance through on\-going evaluation, ensuring robust performance
* Maintain compliance with legal, ethical, regulatory, and organizational standards
 You'll be rewarded and recognized for your performance in an environment that will challenge you and give you clear direction on what it takes to succeed in your role as well as provide development for other roles you may be interested in.
**Required Qualifications**
* 3\+ years of experience in Data Science
* 2\+ years of experience in traditional machine learning and statistical modelling
* 2\+ years of experience in coding in Python, SQL, and related languages
* 1\+ years of experience with big data technologies
* Appreciation of ethical considerations in data science and commitment to apply them in practice
**Preferred Qualifications**
* Experience with data processing in Spark
* Experience with Databricks
* Experience with healthcare claim data
* Experience in transitioning projects from proof\-of\-concept (PoC) to production, with a focus on scalability, reliability, and performance
* Demonstrated knowledge of the full life cycle of AI/ML projects, including EDA, model development, tuning, and drift analysis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49">
      <c r="A49" t="inlineStr">
        <is>
          <t>li-4359945099</t>
        </is>
      </c>
      <c r="B49" t="inlineStr">
        <is>
          <t>Senior Product Data Scientist, Risk and Payments</t>
        </is>
      </c>
      <c r="C49" t="inlineStr">
        <is>
          <t>Owner.com</t>
        </is>
      </c>
      <c r="D49" t="inlineStr">
        <is>
          <t>linkedin</t>
        </is>
      </c>
      <c r="E49" t="inlineStr"/>
      <c r="F49" t="inlineStr"/>
      <c r="G49" t="inlineStr"/>
      <c r="H49" t="inlineStr"/>
      <c r="I49" t="inlineStr">
        <is>
          <t>🔍
 **Why we’re looking for you** 
 We’re building an effective, impactful Product Analytics function at
 Owner.com
 . As a Risk \&amp; Payments Data Scientist, you will play a pivotal role in shaping the product roadmap through close collaboration with Product Managers to establish proper metrics and impact sizing. You will drive experimentation initiatives and manage the testing framework. You will be instrumental in designing and implementing KPIs for our payments product squad, identifying gaps and potential opportunities that will help grow the business. The best candidates will not just provide insights to the EPD (Engineering \&amp; Product) org, but be a strategic driver, identifying gaps/opportunities in the money \&amp; risk area, building internal alignment around them, and creating meaning business impact.
 We’re migrating from Stripe Standard to Custom Connect / Adyen for Platforms, which means we’ll own far more of the risk surface: merchant onboarding/underwriting, fraud detection, dispute mitigation, reserves, and payout risk. As a Risk Data Scientist you will be building the models, signals, and decisioning that protect our merchants and our P\&amp;L—while keeping conversion high and friction low.
 For this particular role we are focused on candidates located in the San Francisco Bay Area. We are a remote\-first company with a home base in SF, where our team comes together for periodic in\-person collaboration (most local teammates opt to come in on Tuesdays/Thursdays). For more details chat with your recruiter!
**💥 The impact you will have** 
* Payments modeling:
* Cut losses without killing conversion: Ship ML models that reduce fraud/chargebacks and credit losses while maintaining checkout auth rates and onboarding pass\-through.
* Accelerate safe growth: Create merchant risk scores and dynamic controls (e.g., reserves/holdbacks, payout delays) that scale to 10k\+ restaurants.
* Give Ops superpowers: Build signals, alerts, and tools that let our Payments Ops / Risk Ops team review what matters—and automate the rest.
* Make risk measurable: Define loss budgets and risk SLIs/SLOs; deliver dashboards that make risk tradeoffs explicit.
* Build and maintain ML models for merchant underwriting, transaction fraud, chargeback propensity, payout risk.
* Design reusable frameworks for feature generation, model training, deployment, and monitoring so we can add new models quickly without reinventing the wheel.
* Payments analytics:
* Own analytics for payments, billing, and risk features, from user checkout experience to internal financial reporting.
* Monitor and improve critical KPIs such as payment success rate, failed payment recovery, fraud rates, chargeback volume, and revenue leakage. Set up monitoring for drift, stability, and business KPIs, with automated alerts.
* Identify and size revenue \&amp; risk opportunities across the payments funnel (from checkout to Stripe to invoice collection).
* Partner with Product Managers on AB tests and experiments related to payments UX, fraud flags, or risk workflows.
* Collaborate with Engineering to instrument new product features and ensure great event tracking and data integrity in payment flows.
* Enhance product planning influencing product planning through informative impact sizing, enabling more strategic decision\-making.
* Improve data Integrity and quality: Collaborate with developers on database design to strengthen data integrity and quality.
* Establish a Single Source of Truth (SSOT): Work alongside Data \&amp; Analytics Engineers to implement robust models in DBT and Snowflake, and design dashboards that provide a unified view of business\-critical data. Integrate third\-party and processor signals (Stripe Radar, Adyen RevenueProtect, device/identity data) into our models.
**🤝 Who you’ll work with** 
* Reporting Structure: This role reports directly to our Director of Data Analytics, Piotr Rosiak.
* Technical Collaboration: You will collaborate with Analytics Engineers on all technical aspects, including data modeling, data quality, and the use of tools like DBT and Snowflake.
* Work hand\-in\-glove with Payments Ops \&amp; Risk Lead to encode policy into models, define review queues, and reduce manual workload.
* Collaborate with Payments PM/GM on onboarding UX, step\-up flows, and dispute tooling; quantify conversion vs. loss tradeoffs with clear, dollarized impact.
* Provide merchant\-level insights (watchlists, risk cohorts) and playbooks (what to hold, what to terminate, what to educate).
**✅ What we're looking for** 
* 4–8\+ years in applied ML or risk data science (fintech/payments, marketplace, or anti\-fraud).
* Hands\-on with Python, SQL, and ML libraries/frameworks; comfortable with MLflow (or equivalent), and feature stores.
* Proven track record shipping production models that materially reduced losses or improved conversion; strong offline evaluation \+ online experimentation skills.
* Deep familiarity with payments/risk concepts: KYC/KYB, underwriting, auth vs capture, chargebacks, friendly fraud, card testing, reserves, payout returns, soft/hard declines.
* Strength in feature engineering on messy, imbalanced data; rigorous cost\-sensitive evaluation (ROC/PR, cost curves, business impact).
* Excellent communicator who can turn model output into clear decisions and dollarized tradeoffs.
* Strong grasp of metrics design, experimentation, and product funnel analysis.
* Ability to handle ambiguity, deep dive into financial systems, and proactively flag problems before they escalate.
* KPI Development: A proven track record of developing KPIs and metrics tailored for product squads, particularly within a startup environment.
* Data Product Expertise: Ability to build comprehensive end\-to\-end data products.
* Organizational Skills: Highly organized with a keen eye for precision.
* Industry Experience: Prior experience in SaaS and/or startup environments is highly preferred. Experience in the restaurant industry is an added advantage.
**🚩 Notice \- Employment Scams** 
 Communication from our team regarding job opportunities will only be made by an Owner team member with an @owner.com email address. We do not conduct interviews over email or chat platforms, and we will never ask you to provide personal or financial information such as your mailing address, social security number, credit card numbers or banking information. If you believe you are being contacted by scammer, please mark the communication as "phishing" or “spam” and do not respond.</t>
        </is>
      </c>
    </row>
    <row r="50">
      <c r="A50" t="inlineStr">
        <is>
          <t>li-4366667422</t>
        </is>
      </c>
      <c r="B50" t="inlineStr">
        <is>
          <t>Principal Data Scientist of Commercial Analytics &amp; Data Science</t>
        </is>
      </c>
      <c r="C50" t="inlineStr">
        <is>
          <t>MGM Resorts International</t>
        </is>
      </c>
      <c r="D50" t="inlineStr">
        <is>
          <t>linkedin</t>
        </is>
      </c>
      <c r="E50" t="inlineStr"/>
      <c r="F50" t="inlineStr"/>
      <c r="G50" t="inlineStr"/>
      <c r="H50" t="inlineStr"/>
      <c r="I50" t="inlineStr">
        <is>
          <t>US, Nevada
**The SHOW Comes Alive At MGM Resorts International**
 Have you ever wondered what it would be like to work in a place full of excitement, diversity, and entertainment? Are you enthusiastic about being a team player in one of the most fascinating industries in the world? At MGM Resorts, we seek individuals like YOU to create unique and show\-stopping experiences for our guests.
**The Job**
 At MGM Resorts International, we’re using data and AI to power personalized guest experiences at scale. We’re hiring a Principal Data Scientist, Commercial Analytics to serve as a hands\-on technical leader, building and deploying AI/ML models that drive personalization, customer analytics, and commercial performance across the enterprise.
**The Day\-to\-day**
* Lead multiple large, complex data science initiatives with minimal supervision
* Design, develop, and deploy advanced AI/ML models supporting personalization and commercial analytics
* Perform hands\-on data science work including data collection, mining, normalization, and feature engineering
* Develop predictive and statistical models, including hyper\-parameter tuning and optimization
* Deploy, scale, and monitor machine learning models in production environments
* Partner closely with Engineering and Analytics teams to define data requirements and improve data pipelines
* Maintain and enhance CI/CD frameworks for data science and model orchestration
* Conduct A/B testing and test\-and\-learn experiments to optimize key business KPIs
* Evaluate model quality, monitor performance, and continuously improve outcomes
* Review peer code, write unit tests, and provide technical feedback on modeling and pipeline approaches
* Translate complex analytical insights into clear, audience\-appropriate presentations for business and executive stakeholders
* Collaborate with Marketing, Product, Creative, Strategy, and Customer Engagement teams to drive measurable impact
* Support the interview process and technical evaluation of Data Scientist candidates
**The Ideal Candidate**
* Bachelor’s degree or higher required
* 8\+ years of prior relevant experience
* Expert\-level proficiency in Python, SQL, and modern ML frameworks (e.g., Spark, TensorFlow, Keras)
* Proven ability to deliver multiple complex projects simultaneously in cross\-functional environments
* Strong problem\-solving skills with a focus on root\-cause analysis and practical solutions
* Excellent communication and collaboration skills, including presenting to non\-technical audiences
* Experience building MVPs under tight timelines while maintaining high quality
* Background in hospitality, retail, or customer\-centric industries preferred
**The Perks \&amp; Benefits**
* Prioritize your wellness, access programs crafted to nurture your mental and physical health.
* Enjoy unbeatable discounts on hotel stays, dining, retail, entertainment, and exclusive partner perks for travel, tech, and beyond!
* Savor delicious meals for free in our employee dining room.
* Park with ease—whether you're on or off shift, it's free!
* From healthcare to financial support and generous time\-off options, we’ve got you covered.
* Elevate your career with development programs, connect through networking events, and make a difference with community volunteer opportunities.
**View Job Description**
 https://mgmresorts.marketpayjobs.com/ShowJob.aspx?EntityID\=2\&amp;jobcode\=11713
 Are you ready to
 **JOIN THE SHOW** 
 ? Apply today!</t>
        </is>
      </c>
    </row>
    <row r="51">
      <c r="A51" t="inlineStr">
        <is>
          <t>li-4357492872</t>
        </is>
      </c>
      <c r="B51" t="inlineStr">
        <is>
          <t>Data Engineer / Data Scientist / Data Architect - Full time</t>
        </is>
      </c>
      <c r="C51" t="inlineStr">
        <is>
          <t>Ztek Consulting</t>
        </is>
      </c>
      <c r="D51" t="inlineStr">
        <is>
          <t>linkedin</t>
        </is>
      </c>
      <c r="E51" t="inlineStr"/>
      <c r="F51" t="inlineStr"/>
      <c r="G51" t="inlineStr">
        <is>
          <t>Vienna, VA</t>
        </is>
      </c>
      <c r="H51" t="inlineStr"/>
      <c r="I51" t="inlineStr">
        <is>
          <t>Below are the 3 roles open:
 1\) Data Engineer
 2\) Data Scientist
 3\) Data Architect
**Job Descriptions:** 
**Data Engineer Job Description :**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Job Description :**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Job Description :**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52">
      <c r="A52" t="inlineStr">
        <is>
          <t>li-4368352423</t>
        </is>
      </c>
      <c r="B52" t="inlineStr">
        <is>
          <t>Staff Data Scientist - Product</t>
        </is>
      </c>
      <c r="C52" t="inlineStr">
        <is>
          <t>Coinbase</t>
        </is>
      </c>
      <c r="D52" t="inlineStr">
        <is>
          <t>linkedin</t>
        </is>
      </c>
      <c r="E52" t="inlineStr"/>
      <c r="F52" t="inlineStr"/>
      <c r="G52" t="inlineStr">
        <is>
          <t>San Francisco, CA</t>
        </is>
      </c>
      <c r="H52" t="inlineStr"/>
      <c r="I52"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**Team/ Role Paragraph:**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We’re looking for a Staff Data Scientist to join our Base app team. Base app is our solution that allows individuals to custody their own crypto in a censorship resistant way. As a Staff Data Scientist, you’ll be working closely with multiple teams that are collectively working towards improving the app’s growth. Sample projects include building out growth models, creating and mapping input metrics to various teams, devising experimentation frameworks to measure incrementality, and utilizing blockchain data to unlock new product opportunities.
**What you’ll be doing (ie. job duties):** 
* Devise testing plan to better understand key product metrics and inform product strategy.
* Act as a strategic partner to functional teams: initiate and execute deep analyses and models to help prioritize opportunities and provide actionable recommendations.
* Build new analytics and machine learning models that improve both our insights and the product directly.
* Measure business performance, develop / refine core metrics and create reporting to understand and monitor them.
* Synthesize data learnings into compelling stories and communicate them throughout Coinbase and to senior executives.
* Initiate, develop,and maintain data pipelines and data models with outstanding craftsmanship.
**What we look for in you (ie. job requirements):** 
* BA / BS degree or equivalent practical experience. 8\+ years relevant experience, or a PhD degree in related fields \+ 5 years.
* Demonstration of our core cultural values: clear communication, positive energy, continuous learning, and efficient execution.
* Understanding of statistical concepts and experience in applying them.
* Related, understanding of experimentation best practices and concepts (e.g., incrementality, cannibalization, etc.)
* Experience in data analyses using SQL.
* Experience in at least one programming language (preferably Python).
* Ability to independently create plans for analytics projects and a track record of overseeing large / complex analytical projects spanning multiple teams.
**Nice to haves:** 
* Previous experience working in crypto is a plus.
* Domain experience in product, marketing, growth, and/or other business analytics areas.
*Disclaimer: Applying for a specific role does not guarantee consideration for that exact position. Leveling and team matching are assessed throughout the interview process.* 
 ID: P75647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$207,485 USD \- $244,100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53">
      <c r="A53" t="inlineStr">
        <is>
          <t>li-4368324992</t>
        </is>
      </c>
      <c r="B53" t="inlineStr">
        <is>
          <t>Senior Applied Scientist - Pricing</t>
        </is>
      </c>
      <c r="C53" t="inlineStr">
        <is>
          <t>Coinbase</t>
        </is>
      </c>
      <c r="D53" t="inlineStr">
        <is>
          <t>linkedin</t>
        </is>
      </c>
      <c r="E53" t="inlineStr"/>
      <c r="F53" t="inlineStr"/>
      <c r="G53" t="inlineStr"/>
      <c r="H53" t="inlineStr"/>
      <c r="I53"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Specifically, we’re looking for a Senior Applied Scientist to join our Retail Trading Team. In this role, you’ll take charge of pricing experimentation and play a pivotal role in determining our pricing strategy: you’ll spearhead testing design and analysis, find opportunities to improve engagement and our bottom line, and communicate your ideas to execs and leaders across the company.
**What you’ll be doing (ie. job duties):** 
* Act as a strategic partner and collaborate with cross\-functional stakeholders to develop pricing vision, roadmap and priorities
* Design and develop pricing models and their evaluation framework to determine optimal pricing strategy
* Develop causal models to help isolate the impact of fee changes using experiments and observational data
* Initiate, develop, and maintain data pipelines and data models with outstanding craftsmanship
* Synthesize findings, and recommendations in a clear and concise manner and communicate to senior leadership
**What we look for in you (ie. job requirements):** 
* Demonstration of our core cultural values: clear communication, positive energy, continuous learning, and efficient execution.
* PhD preferred, or a Master’s degree in a field such as Economics or Statistics with 5\+ years of relevant experience.
* Minimum 5 years of experience in pricing experimentation, data analysis and statistical modeling
* Strong proficiency in SQL, Python, R, or other programming languages used for data analysis and statistical modeling
* Ability to independently create plans for analytics projects and a track record of overseeing large / complex analytical projects spanning multiple teams
* Excellent communication and presentation skills with the ability to explain complex data and analysis to non\-technical stakeholders.
* Strong attention to detail and ability to work under tight deadlines
**Nice to haves:** 
* Experience applying causal inference techniques outside of controlled experiments
* Experience working at or on a Crypto\-focused company or at a crypto exchange
*Disclaimer: Applying for a specific role does not guarantee consideration for that exact position. Leveling and team matching are assessed throughout the interview process.* 
 ID: P75771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54">
      <c r="A54" t="inlineStr">
        <is>
          <t>li-4368035412</t>
        </is>
      </c>
      <c r="B54" t="inlineStr">
        <is>
          <t>Senior Data Scientist</t>
        </is>
      </c>
      <c r="C54" t="inlineStr">
        <is>
          <t>Innovaccer</t>
        </is>
      </c>
      <c r="D54" t="inlineStr">
        <is>
          <t>linkedin</t>
        </is>
      </c>
      <c r="E54" t="inlineStr"/>
      <c r="F54" t="inlineStr"/>
      <c r="G54" t="inlineStr"/>
      <c r="H54" t="inlineStr"/>
      <c r="I54" t="inlineStr">
        <is>
          <t>**About the Role** 
 The technology that once promised to simplify patient care has brought more issues than anyone ever anticipated. At Innovaccer, we defeat this beast by making full use of all the data Healthcare has worked so hard to collect, and replacing long\-standing problems with ideal solutions.
 Data is our bread and butter for innovation. We are looking for a Senior Data Scientist who understands healthcare data and can leverage the data to build algorithms to personalize treatments based on the clinical and behavioral history of patients. We are looking for a superstar who will define and build the next generation of predictive analytics tools in healthcare
**A Day in the Life** 
* Design and lead the development of various artificial intelligence initiatives to help improve health and wellness of patients
* Work with the business leaders and customers to understand their pain\-points and build large\-scale solutions for them.
* Define technical architecture to productize Innovaccer’s machine\-learning algorithms and take them to market with partnerships with different organizations
* Proven ability to break down complex business problems into machine learning problems and design solution workflows.
* Work with our data platform and applications team to help them successfully integrate the data science capability or algorithms in their product/workflows.
* Work with development teams to build tools for repeatable data tasks that will accelerate and automate the development cycle.
* Stay updated on advancements in AI/ML technologies and apply them to enhance existing systems.
**What You Need** 
* Preferably Masters in Computer Science, Computer Engineering or other relevant fields (PhD Preferred)
* 3\+ years of experience in Data Science (healthcare experience will be a plus)
* Has proven experience in statistical and classical machine learning techniques and possesses a customer\-focused attitude through conversations and documentation
* Strong hands\-on experience in Python \- building enterprise applications along with optimization techniques.
* Proficiency in crafting and optimizing SQL queries \[Experience with Snowflake preferred]
* Should have hands\-on experience with deep learning frameworks.
* Pytorch
* HuggingFace transformers
* Deep experience in classical and new age NLP techniques \- must have either trained or fine\-tuned a transformer architecture from scratch. \[Experience with T5 preferred]
* Understanding new age fine tuning techniques like PEFT \[experience with LoRA and QLoRA preferred]
* Has worked on distributed GPU training architectures
* Demonstrate experience with global and local model explainability using LIME, SHAP, and associated techniques.
* Hands\-on experience with at least one ML platform from amongst Databricks, Azure ML, and Sagemaker
* Good to have Hands\-on experience in API frameworks, leveraging their capabilities for developing robust web applications. \[Experience with either FastAPI or Django preferred]
* Good to have \- Comfortable with AWS cloud technologies
 We offer competitive benefits to set you up for success in and outside of work.
**Here’s What We Offer** 
* **Generous Paid Time Off:** 
 Recharge and relax with 22 days of fixed time off per year, in addition to company holidays—because we believe work\-life balance fuels performance.
* **Best\-in\-Class Parental Leave:** 
 Spend quality time with your growing family. We offer one of the industry’s most generous parental leave policies to support you during life’s most important moments.
* **Recognition \&amp; Rewards:** 
 We celebrate wins—big and small. Get rewarded with monetary incentives and company\-wide recognition for your impact and dedication. Your hard work won’t go unnoticed.
* **Comprehensive Insurance Coverage:** 
 Stay covered with medical, dental, and vision insurance, plus 100% company\-paid short\- and long\-term disability and basic life insurance. Optional perks include discounted legal aid and pet insurance.
 Innovaccer Inc. is an equal opportunity employer. We celebrate diversity and are committed to fostering an inclusive workplace where all employees feel valued and empowered regardless of any characteristic protected by federal, state or local law including, without limitation, race, color, religion, gender, gender identity or expression, sexual orientation, national origin, genetics, medical condition, disability, age, marital status, or veteran status. Innovaccer Inc. participates in the E\-Verify program to confirm employment eligibility of all newly hired employees based out of the U.S. and employed by Innovaccer Inc.
 For any additional information, please visit the below websites:
 E\-Verify
 Right to Work (English)
 Right to Work (Spanish)
**Disclaimer:** 
 Innovaccer does not charge fees or require payment from individuals or agencies for securing employment with us. We do not guarantee job spots or engage in any financial transactions related to employment. If you encounter any posts or requests asking for payment or personal information, we strongly advise you to report them immediately to our HR department at px@innovaccer.com. Additionally, please exercise caution and verify the authenticity of any requests before disclosing personal and confidential information, including bank account details.
**About Innovaccer** 
 Innovaccer activates the flow of healthcare data, empowering providers, payers, and government organizations to deliver intelligent and connected experiences that advance health outcomes. The Healthcare Intelligence Cloud equips every stakeholder in the patient journey to turn fragmented data into proactive, coordinated actions that elevate the quality of care and drive operational performance. Leading healthcare organizations like CommonSpirit Health, Atlantic Health, and Banner Health trust Innovaccer to integrate a system of intelligence into their existing infrastructure, extending the human touch in healthcare. For more information, visit
 www.innovaccer.com
 .
 Check us out on
 YouTube
 ,
 Glassdoor
 ,
 LinkedIn
 ,
 Instagram
 , and the
 Web
 .</t>
        </is>
      </c>
    </row>
    <row r="55">
      <c r="A55" t="inlineStr">
        <is>
          <t>li-4367281674</t>
        </is>
      </c>
      <c r="B55" t="inlineStr">
        <is>
          <t>Mid Level Data Scientist</t>
        </is>
      </c>
      <c r="C55" t="inlineStr">
        <is>
          <t>Altamira Technologies Corporation</t>
        </is>
      </c>
      <c r="D55" t="inlineStr">
        <is>
          <t>linkedin</t>
        </is>
      </c>
      <c r="E55">
        <f>HYPERLINK("https://www.linkedin.com/jobs/view/4367281674", "https://www.linkedin.com/jobs/view/4367281674")</f>
        <v/>
      </c>
      <c r="F55">
        <f>HYPERLINK("http://app.jobvite.com/CompanyJobs/Careers.aspx?c=qI2bVfwA&amp;j=oqdwzfws&amp;k=Apply&amp;__jvst=Job+Board&amp;__jvsd=LinkedIn&amp;urlHash=5SU_", "http://app.jobvite.com/CompanyJobs/Careers.aspx?c=qI2bVfwA&amp;j=oqdwzfws&amp;k=Apply&amp;__jvst=Job+Board&amp;__jvsd=LinkedIn&amp;urlHash=5SU_")</f>
        <v/>
      </c>
      <c r="G55" t="inlineStr">
        <is>
          <t>Tampa, FL</t>
        </is>
      </c>
      <c r="H55" t="inlineStr"/>
      <c r="I55" t="inlineStr">
        <is>
          <t>**Data Scientist**
**Clearance: TS/SCI**
**Location: Tampa, FL**
 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We focus on recruiting talented, self\-motivated employees that strive to find a way to get things done. Join our team of experts as we engineer national security!
 Altamira is searching for a Data Scientist in Tampa, Florida.
**Job Responsibilities**
* Responsible for overall data science and data characterization technologies and will report to the on\-site program manager.
* Assess technology development and evaluate its operational usefulness and eventually demonstrate the technology capability through test and evaluation.
* Results must be documented in writing and communicated both verbally and through multi\-media methods to senior management.
* Must have TS/SCI clearance to start and the willingness/ability to obtain a CI Polygraph
* Onsite 5 days a week at the Timberlake Federal Building (Downtown Tampa)
**Qualifications (Primary)**
* Proficient in Python, ideally will know other languages like Java
* Experienced in production level ETL pipelines development and deployment
* Experienced in ETL pipeline tools, ideally Prefect or NiFi (Prefect is preferred)
* Understanding of the data science process and experience with Exploratory Data Analysis
**Qualifications (Secondary)**
* Experience in AI/ML model development
* Experience with MLOps frameworks (MLFlow, BentoML)
* Experience with GenAI development (LangChain, OLlama, etc)
* Experience in working in High Side network environments (Clairvoyant)</t>
        </is>
      </c>
    </row>
    <row r="56">
      <c r="A56" t="inlineStr">
        <is>
          <t>li-4368387266</t>
        </is>
      </c>
      <c r="B56" t="inlineStr">
        <is>
          <t>Data Scientist 1- Data Engineer</t>
        </is>
      </c>
      <c r="C56" t="inlineStr">
        <is>
          <t>Truist</t>
        </is>
      </c>
      <c r="D56" t="inlineStr">
        <is>
          <t>linkedin</t>
        </is>
      </c>
      <c r="E56">
        <f>HYPERLINK("https://www.linkedin.com/jobs/view/4368387266", "https://www.linkedin.com/jobs/view/4368387266")</f>
        <v/>
      </c>
      <c r="F56">
        <f>HYPERLINK("https://careers.truist.com/us/en/job/TBJTBFUSR0110887EXTERNALENUS/Data-Scientist-1-Data-Engineer?utm_source=linkedin&amp;utm_medium=phenom-feeds&amp;source=LinkedIn&amp;urlHash=BerW", "https://careers.truist.com/us/en/job/TBJTBFUSR0110887EXTERNALENUS/Data-Scientist-1-Data-Engineer?utm_source=linkedin&amp;utm_medium=phenom-feeds&amp;source=LinkedIn&amp;urlHash=BerW")</f>
        <v/>
      </c>
      <c r="G56" t="inlineStr">
        <is>
          <t>Atlanta, GA</t>
        </is>
      </c>
      <c r="H56" t="inlineStr"/>
      <c r="I5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Apply advanced analytical and statistical methods to convert complex data into clear, actionable insights that enhance business performance and reduce enterprise risk. This role requires strong data manipulation skills and hands\-on experience working with large datasets across multiple platforms. Candidates should have 2\+ years of experience using SAS, SQL, Python, and Excel, along with a solid understanding of database structures and data warehousing concepts. The individual will collaborate with cross\-functional teams to identify trends, optimize processes, and support data driven decision\-making across the organization.
 LOCATION:
 Please note that candidate must be located in \*or\* willing to self\-relocate to one of the following locations:
 Charlotte, NC
 Atlanta, GA
 Truist 'in office' requirement is 5 days per week. No full remote or relocation assistance available at this time.
**Essential Duties And Responsibilities**
 Following is a summary of the essential functions for this job. Other duties may be performed, both major and minor, which are not mentioned below. Specific activities may change from time to time.
* Independently perform sophisticated data analytics (ranging from classical econometrics to machine learning, neural networks, and natural language processing) in a variety of environments using structured and unstructured data.
* Produce compelling data visualizations to communicate insights and influence outcomes among a wide array of stakeholders.
* Take accountability and ownership of end\-to\-end data science solution design, technical delivery, and measurable business outcome.
* Engage in stakeholder meetings to identify business objectives and scope solution requirements.
* With minimal guidance, write, document, and deploy custom code in a variety of environments (Python, SAS, R, etc.) to create predictive analytics applications.
* Use, maintain, share and collaborate through Truist internal code repositories to foster continual learning and cross\-pollination of skillsets.
* Actively research and advocate adoption of emerging methods and technologies in the data science field, with the eye of continually advancing Truist’s capabilities.
* Exercise sound judgment and fosters risk management culture throughout design, development, and deployment practices; partner with cross\-functional teams to coordinate rules on data usage, data governance and analytics capabilities.
**Qualifications**
**Required Qualifications:**
 The requirements listed below are representative of the knowledge, skill and/or ability required. Reasonable accommodations may be made to enable individuals with disabilities to perform the essential functions.
* Bachelor’s degree and zero to four or more years of experience in a quantitative field such as Finance, Mathematics, Analytics, Data Science, Computer Science, or Engineering, or equivalent education and related training
* Exhibit understanding of statistical methods, including a broad understanding of classical statistics, probability theory, econometrics, time\-series, and primary statistical tests
* Familiarity with linear algebra concepts for optimization, complex matrix operations, eigenvalue decompositions, and principal components; working knowledge of calculus/differential equations, with understanding of stochastic processes
* Demonstrate understanding of data cleansing and preparation methodologies, including regex, filtering, indexing, interpolation, and outlier treatment
* Strong familiarity with data extraction in a variety of environments (SQL, JQuery, etc.)
* Working knowledge of Hadoop, Pig, Hive, and/or NoSQL, Spark
* Experience in managing multiple projects with tight deadlines in a collaborative environment
****Preferred Qualifications:****
* Master’s degree or MBA and 3 years of related experience.
* Strong understanding of database languages (SQL), spreadsheet, and data analysis tools (Excel, SAS, and or Python).
* Previous experience in the banking industry.
**Other Job Requirements / Working Conditions**
**Sitting**
 Constantly (More than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57">
      <c r="A57" t="inlineStr">
        <is>
          <t>li-4368401556</t>
        </is>
      </c>
      <c r="B57" t="inlineStr">
        <is>
          <t>Data Scientist I</t>
        </is>
      </c>
      <c r="C57" t="inlineStr">
        <is>
          <t>Allegiant</t>
        </is>
      </c>
      <c r="D57" t="inlineStr">
        <is>
          <t>linkedin</t>
        </is>
      </c>
      <c r="E57">
        <f>HYPERLINK("https://www.linkedin.com/jobs/view/4368401556", "https://www.linkedin.com/jobs/view/4368401556")</f>
        <v/>
      </c>
      <c r="F57" t="inlineStr"/>
      <c r="G57" t="inlineStr">
        <is>
          <t>Las Vegas, NV</t>
        </is>
      </c>
      <c r="H57" t="inlineStr"/>
      <c r="I57" t="inlineStr">
        <is>
          <t>**Summary**
 The Data Scientist turns data into high value assets in the form of insights and predictive models that contribute to measurable improvements in business process and performance. This role is responsible to identify appropriate data for the business problem at hand; collect, join, aggregate, validate and cleanse data into training samples for analysis; build, validate and maintain models; as well provide documentation and support for the application of the models in production.
 Visa Sponsorship Available
 Yes
**Minimum Requirements**
 Combination of Education and Experience will be considered. Must be authorized to work in the US as defined by the Immigration Act of 1986\. Must pass a Criminal Background Check.
 Education: Bachelor’s Degree
 Education Details: From an accredited college/university in one or more of the following: Computer Science, Statistics, Mathematics, Engineering, Bioinformatics, Econometrics, Physics, Operations Research or related field.
 Years of Experience:
 Minimum of one (1\) year of experience in a technical environment.
 Other Requirements:
 Candidates must be comfortable in conversations and be able to demonstrate the following:
* Understanding of applied Statistics, algorithms, modeling techniques as they relate to Data Science as a practice
* Technical experience working with data to include sourcing, extracting, validating, exploring, and transforming data with tools like SQL and Python
* Expert knowledge of the Data Science process
* Initiative, curiosity, and problem\-solving skills through personal development projects and ongoing education
* Competency with Python and/or R
* Competency with SQL
**Preferred Requirements**
* Master's Degree or PhD
* Strong knowledge in one or more of the following fields: statistics, data mining, machine learning, simulation, operations research, econometrics, and/or information retrieval
* Strong knowledge of the data science process and practical experience using machine learning algorithms including regression, classification, simulation, scenario analysis, modeling, clustering, and decision trees
* Knowledge in airline operations, customer interactions and/or inter\-departmental limitations across business units
* Strong written and verbal communication skills, proven presentation skills to all levels of audience
* Strong intellect and analytical aptitude, along with ability to be self\-driven
* Demonstrated proficiency in Python, R, MATLAB, SQL or other programming languages or packages
* Comfortable with a fast paced, dynamic work environment
* Strong computer skills including but not limited to MS Office products
**Job Duties**
* Analyze and model airline operations and/or customer data and implement algorithms to support analysis using advanced statistical, engineering, and mathematical methods from physics, machine learning, data mining, econometrics, and operations research
* Interpret business opportunities into Data Science projects and deliverables. Deliver Data Science solutions and quantify ROI/Business impact
* Translate advanced analytics problems into technical approaches that yield actionable recommendations, in diverse domains such as predictive maintenance, delay predictions/recovery and Allegiant products upselling/cross\-selling; communicate results and educate stakeholders through insightful visualizations, reports and presentations
* Facilitate conversations for teams to collaborate in removing impediments, empowering teams to self\-organize and improve their productivity
* Retrieve, prepare, and process a rich variety of data sources from structured/unstructured cloud and non\-cloud sources
* Perform exploratory data analysis, generate and test working hypotheses, and uncover interesting trends and relationships
* Exercise continuous self\-development, education and learning
* Act as an analytical mentor to others in the organization
* Help establish and sustain Data Science culture
* Leverage available research data to stay informed about industry related trends, potential disrupters, and competitive capabilities
* Document various approaches and model metrics to seek iterative means of improvement
* Provide a cohesive end\-to\-end solution through understanding the “cross\-pollination” of technology/engineering/commercial verticals and applying both areas of expertise and areas of knowledge
* Other duties as assigned
 Physical Requirements
 The Physical Demands and Work Environment described here are a representative of those that must be met by a Team Member to successfully perform the essential functions of the role. Reasonable accommodations may be made to enable individuals with disabilities to perform the essential functions of the role.
 Office \- While performing the duties of this job, the Team Member is regularly required to stand, sit, talk, hear, see, reach, stoop, kneel, and use hands and fingers to operate a computer, key board, printer, and phone. May be required to lift, push, pull, or carry up to 20 lbs. May be required to work various shifts/days in a 24\-hour situation. Regular attendance is a requirement of the role. Exposure to moderate noise (i.e. business office with computers, phones, printers, and foot traffic), temperature and light fluctuations. Ability to work in a confined area as well as the ability to sit at a computer terminal for an extended period of time. Some travel may be a requirement of the role.
 COVID\-19 Vaccination National Mandate
 Allegiant requires all team members to complete a record in Allegiant’s Vaccination Tracking Tool. Team Members may opt to provide records documenting their fully vaccinated status or agree to comply with weekly COVID\-19 testing and reporting. Requests for medical and religious exemptions for those who cannot be vaccinated will be considered with substantiating documentation.
 Essential Services Provider
 Allegiant as a national air carrier is deemed an essential service provider during declared national and state emergencies. Team Members will be required to report to their assigned trip or work location during national and state emergencies unless prohibited by local, state or federal order.
 EEO Statement
 We welcome all individuals from varied backgrounds and experiences to apply. Our company celebrates diversity, and we value the unique perspectives and talents that each person brings to our team.
 Equal Opportunity Employer: Disability/Veteran
 For more information, see https://allegiantair.jobs
 Full Time Benefits:
 Profit Sharing
 Medical/Dental/Vision/Life/ Disability Insurance
 Medical Travel Reimbursement
 Legal, Identity and Pet Insurance
 401K with an employer match
 Employee Stock Purchase Plan
 Employee Assistance Program
 Tuition Reimbursement
 Flight Benefits
 Paid vacation, holidays, and sick time
 Part Time Benefits:
 Profit Sharing
 Medical Travel Reimbursement
 Legal, Identity and Pet Insurance
 401K with an employer match
 Employee Stock Purchase Plan
 Employee Assistance Program
 Tuition Reimbursement
 Flight Benefits
 Sick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8">
      <c r="A58" t="inlineStr">
        <is>
          <t>li-4368340062</t>
        </is>
      </c>
      <c r="B58" t="inlineStr">
        <is>
          <t>Data Scientist</t>
        </is>
      </c>
      <c r="C58" t="inlineStr">
        <is>
          <t>Airbnb</t>
        </is>
      </c>
      <c r="D58" t="inlineStr">
        <is>
          <t>linkedin</t>
        </is>
      </c>
      <c r="E58">
        <f>HYPERLINK("https://www.linkedin.com/jobs/view/4368340062", "https://www.linkedin.com/jobs/view/4368340062")</f>
        <v/>
      </c>
      <c r="F58" t="inlineStr"/>
      <c r="G58" t="inlineStr"/>
      <c r="H58" t="inlineStr"/>
      <c r="I58" t="inlineStr">
        <is>
          <t>**About The Company**
 Airbnb was founded in 2007 when two hosts welcomed three guests to their San Francisco home. Since then, the company has experienced remarkable growth and now boasts over 5 million hosts worldwide who have welcomed more than 2 billion guest arrivals across nearly every country on the planet. Airbnb's platform offers unique stays and experiences that foster authentic connections between guests and local communities, revolutionizing the hospitality industry and creating a global community centered on sharing and belonging.
**About The Role**
 We are seeking a highly skilled and experienced Data Scientist to join our Listing Understanding Data Science team. In this role, you will focus on leveraging computer vision and multimodal data approaches to enhance the understanding of listing attributes, particularly through analyzing photos. Your work will directly impact the guest and host experience by developing innovative machine learning models and causal inference frameworks that improve listing quality, search relevance, and overall platform engagement. You will collaborate cross\-functionally with product, engineering, and design teams to develop and execute strategies that utilize visual and structured data to optimize listing insights. This hands\-on position requires expertise in prototyping, evaluating, and deploying machine learning models, as well as measuring their business impact through rigorous experimentation and causal analysis.
**Qualifications**
* 9\+ years of industry experience in applied Machine Learning, with a focus on Computer Vision
* Experience with models such as CLIP, ViT, or similar architectures
* Expertise in causal inference, preferably within marketplace or platform environments
* Advanced degree in Computer Science, Statistics, Econometrics, or related field
* Proficiency in programming languages such as Python or R, with familiarity in SQL
* Experience developing proof\-of\-concept prototypes and deploying ML solutions
* Deep understanding of machine learning best practices, including feature engineering, model selection, and A/B testing
* Strong communication skills to collaborate effectively with cross\-functional teams
* Passion for AI, continuous learning, and staying current with emerging technologies like LLMs and dynamic systems
* Proven ability to work independently and as part of a collaborative team
* Active engagement with the technical community and a track record of innovation
**Responsibilities**
* Identify and size business opportunities related to visual and listing understanding, developing strategic roadmaps for investment in computer vision and multimodal approaches
* Utilize photos and structured/unstructured data to enhance listing understanding models continuously
* Build causal models to analyze how photos influence guest search behavior, bookings, and trip quality
* Prototype, evaluate, and iterate on machine learning features in collaboration with engineering, product, and design teams
* Develop assessment frameworks to ensure the safety, effectiveness, and fairness of CV and multimodal models
* Measure the business impact of models and features through experimentation, causal analysis, and data\-driven insights
* Stay updated with state\-of\-the\-art models and incorporate them into product features
* Communicate findings and technical insights effectively across teams to inform product development and strategic decisions
**Benefits**
* Competitive salary and performance\-based bonuses
* Equity options and stock grants
* Comprehensive health, dental, and vision insurance plans
* Flexible work arrangements, including remote work eligibility
* Paid time off, holidays, and parental leave
* Learning and development programs to support continuous growth
* Employee travel credits and discounts
* Inclusive and diverse work environment that values innovation and collaboration
 Equal Opportunity
 Airbnb is committed to fostering an inclusive and diverse workplace. We believe that a broad spectrum of perspectives and experiences drives innovation and enhances our ability to serve our global community. We encourage all qualified individuals to apply, regardless of race, gender, age, disability, sexual orientation, gender identity, or background. We also strive to provide a disability\-inclusive application and interview process.</t>
        </is>
      </c>
    </row>
    <row r="59">
      <c r="A59" t="inlineStr">
        <is>
          <t>li-4368381521</t>
        </is>
      </c>
      <c r="B59" t="inlineStr">
        <is>
          <t>Data Scientist</t>
        </is>
      </c>
      <c r="C59" t="inlineStr">
        <is>
          <t>Raptive</t>
        </is>
      </c>
      <c r="D59" t="inlineStr">
        <is>
          <t>linkedin</t>
        </is>
      </c>
      <c r="E59">
        <f>HYPERLINK("https://www.linkedin.com/jobs/view/4368381521", "https://www.linkedin.com/jobs/view/4368381521")</f>
        <v/>
      </c>
      <c r="F59">
        <f>HYPERLINK("https://raptive.com/job-openings?ashby_jid=ec06412a-e567-4254-99f2-50adc9b7ce8b&amp;utm_source=gWw4rvY0Re&amp;urlHash=qp2f", "https://raptive.com/job-openings?ashby_jid=ec06412a-e567-4254-99f2-50adc9b7ce8b&amp;utm_source=gWw4rvY0Re&amp;urlHash=qp2f")</f>
        <v/>
      </c>
      <c r="G59" t="inlineStr">
        <is>
          <t>New York, NY</t>
        </is>
      </c>
      <c r="H59" t="inlineStr"/>
      <c r="I59" t="inlineStr">
        <is>
          <t>Raptive is seeking a Data Scientist to join our RevOps Data Science team. Your mission is to leverage our vast data set to surface meaningful insights that drive decision\-making across the business. Given the broad scope of this effort, the ideal candidate will be driven by understanding and improving work processes and developing solutions that potentially use a wide variety of technologies.
 As a Data Scientist, you will be responsible for helping to derive meaningful insights from large amounts of data, building metrics, finding answers, and creating dependable, repeatable solutions.
 Applicants must be authorized to work for any employer in the U.S. We are unable to sponsor or take over sponsorship of an employment Visa at this time.
**What you’ll be doing:**
* Design and analyze experiments to improve revenue
* Classify audience and content to support programmatic direct and indirect sales
* Deliver evolutionary floor price guidance
* Visualize complex systems
* Build deep understanding of data generating processes
**The skills and experience you bring to the job:**
* Graduate degree or equivalent in Statistics, Industrial Systems Engineering, or comparable field
* Familiarity with real time advertising markets
* Familiarity with processing large data sets (eg with Snowflake, Hive, Presto or BigQuery), scripting (eg Bash or Python), the AWS environment, \&amp; statistical software (eg NumPy, scikit\-learn, R)
* Familiarity with cutting edge classification and regression libraries (eg TensorFlow, Keras, Pytorch) and algorithms eg (XGBoost, Convolutional NN, etc)
* Familiarity with deploying, scaling, and maintaining data science models in production environments, including experience with cloud platforms, containerization, orchestration, or related tools.
**About Raptive**
 Raptive is a new kind of media company built for creators and home to one of the largest and most diverse audiences on the internet. Raptive combines its position as the world’s largest ad management platform with a comprehensive suite of monetization, audience and business solutions that enable creators to turn their passions and talents into thriving independent companies and enduring brands. We stand for the future of a diverse, open internet powered by the creativity and entrepreneurship of the independent creators and publishers it serves. To date, Raptive has paid over $2\.5 billion to thousands of independent creators. Join us in creating a more equitable and inclusive future for media. Raptive was recognized as a Fortune 100 Best Places To Work for 2024\-2025\.
 The base salary range for this position is $100,000\-$150,000\. The range provided is Raptive’s reasonable estimate of the annualized base compensation for this role. The actual amount may be higher or lower, based on non\-discriminatory factors such as experience, geographic location, knowledge, skills and abilities. This role is eligible for additional incentive compensation that isn’t included in the posted range.
 For more information, visit www.Raptive.com or follow us on LinkedIn or Instagram.
*Raptive is committed to diversity, equity, and inclusion. We believe we are most impactful when people with a wide range of backgrounds, experiences, and identities come together with a common purpose. We encourage candidates from all backgrounds to apply. Raptive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reach out to a member of our recruiting team.*</t>
        </is>
      </c>
    </row>
    <row r="60">
      <c r="A60" t="inlineStr">
        <is>
          <t>li-4357582857</t>
        </is>
      </c>
      <c r="B60" t="inlineStr">
        <is>
          <t>Predictive Analytics Data Scientist</t>
        </is>
      </c>
      <c r="C60" t="inlineStr">
        <is>
          <t>Johns Hopkins All Children's Hospital</t>
        </is>
      </c>
      <c r="D60" t="inlineStr">
        <is>
          <t>linkedin</t>
        </is>
      </c>
      <c r="E60">
        <f>HYPERLINK("https://www.linkedin.com/jobs/view/4357582857", "https://www.linkedin.com/jobs/view/4357582857")</f>
        <v/>
      </c>
      <c r="F60">
        <f>HYPERLINK("https://career4.successfactors.com/career?career_ns=job_listing&amp;company=SFHUP&amp;navBarLevel=JOB_SEARCH&amp;rcm_site_locale=en_US&amp;site=VjItbDRXZElPTVJXUjQxekpkbmdQM0tUQT09&amp;career_job_req_id=660300&amp;urlHash=o-nH", "https://career4.successfactors.com/career?career_ns=job_listing&amp;company=SFHUP&amp;navBarLevel=JOB_SEARCH&amp;rcm_site_locale=en_US&amp;site=VjItbDRXZElPTVJXUjQxekpkbmdQM0tUQT09&amp;career_job_req_id=660300&amp;urlHash=o-nH")</f>
        <v/>
      </c>
      <c r="G60" t="inlineStr">
        <is>
          <t>St. Petersburg, FL</t>
        </is>
      </c>
      <c r="H60" t="inlineStr"/>
      <c r="I60" t="inlineStr">
        <is>
          <t>**YOU BELONG HERE**
**What Awaits You?**
* Career growth and development
* Employee and Dependent Tuition Assistance
* Diverse and collaborative working environment
* Affordable and comprehensive benefits package
* Our competitive Benefit Package is designed to support the well\-being and financial security of our employees. You can explore the details of our benefits offering by visiting the following link
**Summary**
 Enables comparative analyses and integration of large and complex data sets across multiple studies and sources. Responsibilities include interfacing with technology infrastructure to support biomedical research in various initiatives across the organization. Outcomes from dedicated analytic projects should contribute to the growth and expansion of predictive analytics on a local and national level. The data scientist should contribute to peer\-reviewed journals and present at local and national conferences.
* Analyzes and models data for predictive analytics projects.
* Performs ETL and prepares data by addressing missing, biased, or unstructured information.
* Develops and deploys machine learning models to predict and classify physiological events.
* Uses advanced data mining techniques to identify patterns and trends.
* Supports research proposals and contributes to strategic predictive analytics initiatives at JHACH.
* Stays current on industry trends and promotes a collaborative team environment.
 This role is grant\-funded and therefore temporary in nature. While the position is expected to continue through the life of the grant, ongoing employment is dependent on continued funding .
**Qualifications**
* PhD in data science, analytics, informatics, statistics, mathematics, computer science, or related field.
* Minimum 3 years of experience with progressively complex data.
* Minimum of 3 years of experience with core analytic methodologies (e.g. regression, classification, clustering, matrix factorization, natural language processing, decision trees, support vector machines, neural networks).
* Strong programming skills in environments such as Python, Matlab, R, SQL or other interpreted developmental languages.
* Minimum of 3 years of exposure to development of machine learning algorithms and predictive modeling.
* Experience working with open source clinical data sources.
* Ability to communicate and relate well to people of diverse backgrounds, training and experience.
**Salary Range:** 
 Minimum 44\.20/hour \- Maximum 70\.71/hour.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an Equal Opportunity employer. All qualified applicants will receive consideration for employment without regard to race, color, religion, sex, sexual orientation, gender identity and expression, age, national origin, mental or physical disability, genetic information, veteran status, or any other status protected by federal, state, or local law.
 Johns Hopkins Health System and its affiliates are drug\-free workplace employers.</t>
        </is>
      </c>
    </row>
    <row r="61">
      <c r="A61" t="inlineStr">
        <is>
          <t>li-4368417086</t>
        </is>
      </c>
      <c r="B61" t="inlineStr">
        <is>
          <t>AppleCare Data Scientist</t>
        </is>
      </c>
      <c r="C61" t="inlineStr">
        <is>
          <t>Apple</t>
        </is>
      </c>
      <c r="D61" t="inlineStr">
        <is>
          <t>linkedin</t>
        </is>
      </c>
      <c r="E61">
        <f>HYPERLINK("https://www.linkedin.com/jobs/view/4368417086", "https://www.linkedin.com/jobs/view/4368417086")</f>
        <v/>
      </c>
      <c r="F61">
        <f>HYPERLINK("https://jobs.apple.com/en-us/details/200644806?board_id=17682&amp;urlHash=ku95", "https://jobs.apple.com/en-us/details/200644806?board_id=17682&amp;urlHash=ku95")</f>
        <v/>
      </c>
      <c r="G61" t="inlineStr">
        <is>
          <t>Sunnyvale, CA</t>
        </is>
      </c>
      <c r="H61" t="inlineStr"/>
      <c r="I61" t="inlineStr">
        <is>
          <t>**Summary**
 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
**Description**
 You will work across the data lifecycle—from modeling and extraction to visualization and storytelling—partnering closely with cross\-functional teams to deliver scalable, high\-impact insights that uphold Apple’s standards of accuracy, usability, and security.
 Design and implement advanced analytical models and pipelines using SQL and R/Python. Develop and optimize data extraction and transformation processes to improve accessibility and performance.
 Ensure adherence to data quality, governance, and security protocols.
 Build intuitive visualizations and dashboards to communicate insights effectively to technical and business audiences.
 Document methodologies and share analytical best practices to strengthen data culture across teams. Collaborate with data scientists, product managers, and leadership to shape the future of analytics platforms within AppleCare.
 Lead end\-to\-end analytics initiatives, from scoping and exploration to analysis, interpretation, and executive presentations.
**Minimum Qualifications**
* 7\+ years of applied experience in data science, business analytics, or business intelligence roles.
* Strong proficiency in SQL and R/Python (pandas, NumPy, scikit\-learn).
* Experience with data modeling, transformation, and analytics frameworks such as Snowflake.
* Skilled in building data visualizations using Tableau, and presenting insights to diverse audiences.
* Strong foundation in statistical analysis, including hypothesis testing and confidence intervals.
* Experience delivering end\-to\-end analytical projects, from scoping to presentation.
* Excellent communication and collaboration skills, including translating data insights for business stakeholders.
* Bachelor’s degree in a quantitative or technical discipline.
**Preferred Qualifications**
* Hands\-on experience with Snowpark, PySpark, and streaming/interactive visualization tools such as Streamlit or Plotly.
* Background in SMB, product, or service analytics, including service performance, warranty trends, and support operations.
* Applied experience with software engineering workflows, including Git, CI/CD, and producing maintainable, well\-documented code.
* Experience developing custom Tableau extensions or deploying LLM\-powered analytics systems.
* Strong experience in storytelling with data, translating complex analyses into actionable recommendations for leadership.
* Familiarity with large\-scale data platforms and scalable analytical pipelines.
* Master's degree in a quantitative or technical discipline.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2">
      <c r="A62" t="inlineStr">
        <is>
          <t>li-4368419084</t>
        </is>
      </c>
      <c r="B62" t="inlineStr">
        <is>
          <t>AppleCare Data Scientist</t>
        </is>
      </c>
      <c r="C62" t="inlineStr">
        <is>
          <t>Apple</t>
        </is>
      </c>
      <c r="D62" t="inlineStr">
        <is>
          <t>linkedin</t>
        </is>
      </c>
      <c r="E62">
        <f>HYPERLINK("https://www.linkedin.com/jobs/view/4368419084", "https://www.linkedin.com/jobs/view/4368419084")</f>
        <v/>
      </c>
      <c r="F62">
        <f>HYPERLINK("https://jobs.apple.com/en-us/details/200644806?board_id=17682&amp;urlHash=ku95", "https://jobs.apple.com/en-us/details/200644806?board_id=17682&amp;urlHash=ku95")</f>
        <v/>
      </c>
      <c r="G62" t="inlineStr">
        <is>
          <t>Austin, TX</t>
        </is>
      </c>
      <c r="H62" t="inlineStr"/>
      <c r="I62" t="inlineStr">
        <is>
          <t>**Summary**
 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
**Description**
 You will work across the data lifecycle—from modeling and extraction to visualization and storytelling—partnering closely with cross\-functional teams to deliver scalable, high\-impact insights that uphold Apple’s standards of accuracy, usability, and security.
 Design and implement advanced analytical models and pipelines using SQL and R/Python. Develop and optimize data extraction and transformation processes to improve accessibility and performance.
 Ensure adherence to data quality, governance, and security protocols.
 Build intuitive visualizations and dashboards to communicate insights effectively to technical and business audiences.
 Document methodologies and share analytical best practices to strengthen data culture across teams. Collaborate with data scientists, product managers, and leadership to shape the future of analytics platforms within AppleCare.
 Lead end\-to\-end analytics initiatives, from scoping and exploration to analysis, interpretation, and executive presentations.
**Minimum Qualifications**
* 7\+ years of applied experience in data science, business analytics, or business intelligence roles.
* Strong proficiency in SQL and R/Python (pandas, NumPy, scikit\-learn).
* Experience with data modeling, transformation, and analytics frameworks such as Snowflake.
* Skilled in building data visualizations using Tableau, and presenting insights to diverse audiences.
* Strong foundation in statistical analysis, including hypothesis testing and confidence intervals.
* Experience delivering end\-to\-end analytical projects, from scoping to presentation.
* Excellent communication and collaboration skills, including translating data insights for business stakeholders.
* Bachelor’s degree in a quantitative or technical discipline.
**Preferred Qualifications**
* Hands\-on experience with Snowpark, PySpark, and streaming/interactive visualization tools such as Streamlit or Plotly.
* Background in SMB, product, or service analytics, including service performance, warranty trends, and support operations.
* Applied experience with software engineering workflows, including Git, CI/CD, and producing maintainable, well\-documented code.
* Experience developing custom Tableau extensions or deploying LLM\-powered analytics systems.
* Strong experience in storytelling with data, translating complex analyses into actionable recommendations for leadership.
* Familiarity with large\-scale data platforms and scalable analytical pipelines.
* Master's degree in a quantitative or technical discipline.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3">
      <c r="A63" t="inlineStr">
        <is>
          <t>li-4357424873</t>
        </is>
      </c>
      <c r="B63" t="inlineStr">
        <is>
          <t>Sr. Data Scientist (Loss Forecasting)</t>
        </is>
      </c>
      <c r="C63" t="inlineStr">
        <is>
          <t>Achieve</t>
        </is>
      </c>
      <c r="D63" t="inlineStr">
        <is>
          <t>linkedin</t>
        </is>
      </c>
      <c r="E63">
        <f>HYPERLINK("https://www.linkedin.com/jobs/view/4357424873", "https://www.linkedin.com/jobs/view/4357424873")</f>
        <v/>
      </c>
      <c r="F63" t="inlineStr"/>
      <c r="G63" t="inlineStr">
        <is>
          <t>San Mateo, CA</t>
        </is>
      </c>
      <c r="H63" t="inlineStr"/>
      <c r="I63"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We are looking for an experienced, hands\-on Sr. Data Scientist / Loss Forecasting Analyst (minimum of 3 years’ relevant experience) who is comfortable working with large data sets, coding in SQL and Python and translating forecasting results into actionable insights for business stakeholders while working closely with the capital markets team and investors. In this role you will maintain and enhance our loss forecasting methodologies/models/processes for unsecured personal loans, perform vintage \&amp; segment forecasting, scenario and stress testing, and collaborate cross\-functionally with marketing, capital markets, BI, finance, and product teams. The candidate should have an eye for automating/streamlining processes and creating workflows that are easily repeatable/replicable. You will be a key contributor to our risk management processes.
**Key Responsibilities**
* Maintain and enhance loss forecasting methodologies/models/processes (e.g., for loan charge\-offs, delinquencies, roll rates, recoveries) for unsecured personal loan portfolios.
* Extract, clean and manipulate large data sets using SQL and Python; build pipelines and analytics to support forecasting and reporting.
* Perform exploratory data analysis (EDA) to identify portfolio trends, drivers of loss performance (vintage, credit bands, borrower attributes, macro factors) and provide insight into model deviations.
* Maintain forecast deliverables: monthly/quarterly loss forecasts by vintage and segment, stress and scenario analyses, sensitivity testing.
* Provide commentary and insight to business stakeholders on forecast outcomes, assumptions, model health, and emerging portfolio risks.
* Automate reporting, dashboards and pipelines to streamline loss forecasting workflows and improve efficiency and accuracy.
* Document model methodologies, assumptions, data sources and results in clear, audit\-ready format consistent with risk governance requirements.
* Participate in governance and review of forecasting methodology, model validation support and liaise with external auditors or regulators where needed.
* Continuously identify opportunities to improve forecasting accuracy, data infrastructure, modeling techniques, and integrate advanced statistical or machine\-learning techniques as appropriate.
**Qualifications**
**Required:**
* Minimum of 3 years’ hands\-on experience in loss forecasting (credit risk, loan portfolios, unsecured consumer loans or similar). For example, roles in forecasting charge\-offs, delinquencies, vintage analysis, roll\-rates, etc.
* Strong programming skills in Python and SQL for data analysis, modeling and automation.
* Strong skills with data visualization tools like Tableau and AI tools that materially improve productivity
* Solid background in Probability \&amp; Statistics
* Experience with forecasting methodologies: time\-series analysis, vintage modeling, roll\-rate curves, survival analysis or logistic regression in consumer credit risk context.
* Strong analytical and critical thinking skills; ability to interpret results, identify trends, draw actionable insights and communicate clearly to non\-technical stakeholders.
* Excellent documentation skills and experience in preparing audit\-ready deliverables (methodologies, assumptions, model validation support).
* Master’s degree in Economics, Statistics, Mathematics, Data Science or a related quantitative discipline (PhD preferred but not required).
**Preferred:**
* Experience in unsecured consumer lending (personal loans or credit cards) or fintech lending environment.
* Experience with forecasting for allowance/reserve processes (e.g., CECL, IFRS9\) or stress\-testing.
* Experience working in the GCP environment.
* Passion for fintech, agile environment, ability to work both independently and in a collaborative, fast\-paced team.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and San Francisco, CA metro market. We are offering 100% remote work in other approved locations.
**Salary Range** 
 : $150,000 to $185,000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64">
      <c r="A64" t="inlineStr">
        <is>
          <t>li-4357424872</t>
        </is>
      </c>
      <c r="B64" t="inlineStr">
        <is>
          <t>Sr. Data Scientist (Credit Risk)</t>
        </is>
      </c>
      <c r="C64" t="inlineStr">
        <is>
          <t>Achieve</t>
        </is>
      </c>
      <c r="D64" t="inlineStr">
        <is>
          <t>linkedin</t>
        </is>
      </c>
      <c r="E64">
        <f>HYPERLINK("https://www.linkedin.com/jobs/view/4357424872", "https://www.linkedin.com/jobs/view/4357424872")</f>
        <v/>
      </c>
      <c r="F64" t="inlineStr"/>
      <c r="G64" t="inlineStr">
        <is>
          <t>Tempe, AZ</t>
        </is>
      </c>
      <c r="H64" t="inlineStr"/>
      <c r="I64"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We are looking for an experienced, hands\-on
 **Credit Risk, Sr. Data Scientist** 
 who is comfortable working with large data sets, coding in SQL and Python and gaining insights from the data and translating the results into actionable insights for business stakeholders. In this role, you will maintain and enhance our credit risk models/policies to monitor the portfolio and gain insights. You will also build and monitor credit risk models with an eye on loss forecasting and communicate the results to different teams such as Capital Market and Marketing. The candidate should have a passion for streamlining processes and building tools which can monitor models/portfolio effectively. You will be a key contributor to our risk management processes.
**Key Responsibilities**
* Building, maintaining and enhancing credit risk models for lending portfolios.
* Extract, clean and manipulate large data sets using SQL and Python; build pipelines and analytics to perform model and portfolio monitoring.
* Perform exploratory data analysis (EDA) to identify portfolio trends, drivers of loss performance (vintage, credit bands, borrower attributes, macro factors) and provide insight into model deviations.
* Maintain forecast deliverables: monthly/quarterly loss forecasts by vintage and segment, stress and scenario analyses, sensitivity testing.
* Provide commentary and insights to business stakeholders on credit policy assumptions, model health, and emerging portfolio risks.
* Automate reporting, dashboards and pipelines to streamline model monitoring and improve efficiency and accuracy.
* Document model methodologies, assumptions, data sources and results in clear, audit\-ready format consistent with risk governance requirements.
* Participate in governance and review of credit model methodology, model validation support and liaise with external auditors or regulators where needed.
* Continuously identify opportunities to improve credit decisioning accuracy, data infrastructure, modeling techniques, and integrate advanced statistical or machine\-learning techniques as appropriate.
**Qualifications**
**Required:**
* Minimum of 3 years’ hands\-on experience in credit risk modeling and portfolio monitoring. For example, roles in model and performance monitoring, tracking charge\-offs, delinquencies, vintage analysis, roll\-rates, etc.
* Strong programming skills in Python/SQL for data analysis, modeling and automation.
* Solid background in Probability \&amp; Statistics
* Experience with pricing and price optimization along with analytics and monitoring related to pricing
* Experience with credit risk modeling methodologies: Scorecard models, XGBoost, time\-series analysis, vintage modeling, roll\-rate curves, survival analysis or logistic regression in consumer credit risk context.
* Familiarity with data visualization tools (e.g., Tableau, Python Widgets) or dashboarding
* Strong analytical and critical thinking skills; ability to interpret results, identify trends, draw actionable insights and communicate clearly to non\-technical stakeholders.
* Excellent documentation skills and experience in preparing audit\-ready deliverables (methodologies, assumptions, model validation support).
* Master’s degree in Economics, Statistics, Mathematics, Data Science or a related quantitative discipline (PhD preferred, but not required).
**Preferred:**
* Experience in lending (personal loans or credit cards) or fintech lending environment.
* Experience with credit risk modeling (development \&amp; monitoring)
* Experience working with credit decisioning engines such as Oscilar, TakTile etc…
* Experience working in CKLightbox environment
* Experience working in the GCP environment.
* A Passion for fintech, agile environment, ability to work both independently and in a collaborative, fast\-paced team.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and San Francisco, CA metro market. We are offering 100% remote work in other approved locations.
**Salary Range** 
 : $150,000 to $185,000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65">
      <c r="A65" t="inlineStr">
        <is>
          <t>li-4368073158</t>
        </is>
      </c>
      <c r="B65" t="inlineStr">
        <is>
          <t>Associate Data Scientist</t>
        </is>
      </c>
      <c r="C65" t="inlineStr">
        <is>
          <t>DTE Energy</t>
        </is>
      </c>
      <c r="D65" t="inlineStr">
        <is>
          <t>linkedin</t>
        </is>
      </c>
      <c r="E65">
        <f>HYPERLINK("https://www.linkedin.com/jobs/view/4368073158", "https://www.linkedin.com/jobs/view/4368073158")</f>
        <v/>
      </c>
      <c r="F65" t="inlineStr"/>
      <c r="G65" t="inlineStr">
        <is>
          <t>Detroit, MI</t>
        </is>
      </c>
      <c r="H65" t="inlineStr"/>
      <c r="I65" t="inlineStr">
        <is>
          <t>DTE is one of the nation’s largest diversified energy companies. Our electric and gas companies have fueled our customer’s homes and Michigan’s progress for more than a century. And as Michigan’s largest source of renewable energy, we’re creating a cleaner, healthier environment to power our future. We’re also serving communities beyond Michigan, where our affiliated businesses offer renewable energy, emission control technologies, and energy services to industries in 19 states.
 But we’re more than a leading energy company... and working at DTE is more than just a job. At DTE, we take great care of each other and our customers, and we use our energy to be a force for growth and prosperity in our communities. When you join us, you’ll be part of a team that welcomes, recognizes, and celebrates differences and values everyone’s health, safety, and wellbeing. Are you ready to make that kind of difference? Bring your energy to DTE. Together, we can achieve great things.
**Testing Required:** 
 Not Applicable
**Hybrid Role:** 
 This role is hybrid, with an established schedule of in\-person work required at an assigned work location. Any remote work is expected to be performed from an employee’s primary residence, unless allowed (or prohibited) through the Company’s remote work guidelines.
**Emergency Response:** 
 Yes – Must be available to perform a primary assignment in support of DTE’s emergency response to storms or other events that impact service to our customers.
**Job Summary**
 Collects, validates, transforms and cleanses data to derive insights using qualitative and quantitative statistical analysis and modeling. Runs analytical experiments in a methodical manner and develops moderately complex models to forecast business performance metrics. Works with other team members and/or business partners to identify, define and translate business requirements into analytical constructs. Develops customized reports and dashboards and performs ad\-hoc analyses.
**Key Accountabilities**
* Performs analyses (e.g., cost\-benefit, invest\-divest, forecasting, predictive, what\-if, impact analysis, etc.) to help the company focus on key decisions to improve safety, employee engagement, operation efficiency, product quality, and customer satisfaction
* Develops, modifies, and automates reports; iteratively builds and prototypes dashboards to provide insights and meet analytical needs
* Develops and maintains analytical algorithms and models through understanding large sets of structured, semi\-structured and unstructured data.
* Evaluates technologies, develops and optimizes algorithms and experiments and validates modeling results
* Interprets, documents, and successfully communicates analytic insights to stakeholders
* Performs data cleansing and blending processes to produce analytic data sets for use by a variety of downstream purposes
* Understands and documents business needs to formulate complete end\-to\-end analyses that include business requirements, data gathering, analysis, scaleable solutions, and presentations
* Works with other team members and business leaders to identify relevant data and develop prototypes and proof\-of\-concepts
**Minimum Education \&amp; Experience Requirements**
 This is a multi\-track base requirement job; education and experience requirements can be satisfied through one of the following options:
* Bachelor’s degree with emphasis on coursework of a quantitative nature (e.g., Statistics, Computer Science, Engineering, Mathematics, Physics, Data Science, Industrial/Organizational Psychology and Econometrics, etc.) and one year of experience working in a data analytical or computer programming function; OR
* Master’s degree with emphasis on coursework of a quantitative nature (e.g., Statistics, Computer Science, Engineering, Mathematics, Physics, Data Science, Industrial/Organizational Psychology and Econometrics, etc.)
**Preferred**
**Other Qualifications**
* Master’s degree in Data Science
* Experience in quantitative analytics (e.g. data mining, regression analysis, hypothesis testing, predictive modeling techniques and model optimization)
* Familiarity with Continuous Improvement concepts and applications (e.g., six sigma, lean)
* Experience with SAP Business Intelligence Tools and SAP CRM, ISU and BW data
* Knowledgeable in data modeling, data structure, meta data and application of complex SQL queries with data from multiple sources
* Basic to intermediate level programming skills in SQL, C/C\+\+/C\#, Java, Python, R, PHP, ASP, or SAS
* Experience in business intelligence tools (Microsoft PowerBI, Tableau, SAP Business Objects (BOB), etc.)
* Experience articulating business questions, pulling data from relational databases (e.g. SAP BW, ORACLE, SQL SERVER) and using advanced excel and statistical tools (e.g., Minitab, Alteryx, Advanced Excel with VBA, R, Python, SAS, SPSS, Stata, MATLAB, etc.) to conduct in\-depth analysis to support decision making
* Familiarity with a Big Data platform (Hadoop, AWS, Azure), including data extraction and connection to the platform for analytics
* Familiarity with Cloud environments
* Strong written, verbal, and interpersonal communication skills
* Utility or customer\-oriented industry experience
**Additional Information**
 Incumbents may engage in all or some combination of the activities and accountabilities, and utilize a variety of the competencies cited in this description depending upon the organization and role to which they are assigned. This description is intended to describe the general nature and level of work performed by incumbents in this job. It is not intended as an all\-inclusive list of accountabilities or responsibilities, nor is it intended to limit the rights of supervisors or management representatives to assign, direct and control the work of employees under their supervision.
**PRIVACY NOTICE TO CALIFORNIA JOB APPLICANTS**
 At DTE Energy, we are committed to providing an inclusive workplace where everyone feels welcome and a sense of belonging. We seek individuals with a heart for service, a passion to help our communities prosper, and ideas to help shape the future of energy. We are proud to be an equal opportunity, employer that considers all qualified applicants without regard to race, color, sex, sexual orientation, gender identity, age, religion, disability, national origin, citizenship, height, weight, genetic information, marital status, pregnancy, protected veteran status or any other status protected by applicable federal and/or state laws.</t>
        </is>
      </c>
    </row>
    <row r="66">
      <c r="A66" t="inlineStr">
        <is>
          <t>li-4368047174</t>
        </is>
      </c>
      <c r="B66" t="inlineStr">
        <is>
          <t>Data Scientist</t>
        </is>
      </c>
      <c r="C66" t="inlineStr">
        <is>
          <t>Yochana</t>
        </is>
      </c>
      <c r="D66" t="inlineStr">
        <is>
          <t>linkedin</t>
        </is>
      </c>
      <c r="E66">
        <f>HYPERLINK("https://www.linkedin.com/jobs/view/4368047174", "https://www.linkedin.com/jobs/view/4368047174")</f>
        <v/>
      </c>
      <c r="F66" t="inlineStr"/>
      <c r="G66" t="inlineStr">
        <is>
          <t>Georgia, United States</t>
        </is>
      </c>
      <c r="H66" t="inlineStr"/>
      <c r="I66" t="inlineStr">
        <is>
          <t>**Data Scientist** 
**Columbus ,GA Remote** 
**Type of employment: contract for 06 months** 
**Looking for remote , looking for a resource who can work at EST time zone** 
 Job Description Summary
 We are seeking an experienced Data Scientist with strong Python expertise to support data analysis, modeling, and insights generation for business\-critical initiatives
* Should have 5\+ ’ hands\-on experience in architecting, constructing and managing data on\-prem or on\-cloud.
* Should be able to Consult on AI/ML Solutions with detailed road maps and architecture
* Should have at least 5 years on data science related algorithms and implementation of analytics solutions in predictive analytics, text analytics and image analytics.
* Strong knowledge on all Azure Services primarily Data lake, ADF pipelines, Data Bricks, Azure Functions, Azure SQL, Synapse, Azure Data Explorer.
* Leads efforts to foster innovative ideas for developing high impact solutions.
* Evaluates and leads broad range of forward\-looking analytics initiatives, track emerging data science trends, and knowledge sharing
* Engaging key stakeholders to source, mine and validate data and findings and to confirm business logic and assumptions in order to draw conclusions.
* Helps in design and develop advanced analytic solutions across functional areas as per requirement/opportunities.
* Previous Experience on OLAP, OLTP, RDBMS, SQL, ETL.
**Technical Role and Responsibilities** 
* Demonstrated experience in enterprise data management technology and strategies, well\-versed with cloud options for Analytics Platforms and data storage.
* Demonstrated strong capability in statistical/Mathematical modelling or Machine Learning or Artificial Intelligence
* Demonstrated skills in programming for implementation and deployment of algorithms preferably in Statistical/ML based programming languages in Python
* Sound knowledge of ETL practices preferably spark in Data Bricks cloud big data technologies like Microsoft Azure, or AWS.
* Sound Experience with traditional as well as modern statistical techniques, including Regression, Support Vector Machines, Regularization, Boosting, Random Forests, and other Ensemble Methods;
* Visualization tool experience \- preferably Power BI
* Carrying out statistical and mathematical modelling, solving complex business problems and delivering innovative solutions using state of the art tools and cutting\-edge technologies for big data \&amp; beyond.
**Education** 
* Required to have Bachelors/Masters. in Statistics/Machine Learning/Data Science/Analytics /Computer Science or Engineering from premier institutes</t>
        </is>
      </c>
    </row>
    <row r="67">
      <c r="A67" t="inlineStr">
        <is>
          <t>li-4368418381</t>
        </is>
      </c>
      <c r="B67" t="inlineStr">
        <is>
          <t>Data Scientist</t>
        </is>
      </c>
      <c r="C67" t="inlineStr">
        <is>
          <t>Constellation Brands</t>
        </is>
      </c>
      <c r="D67" t="inlineStr">
        <is>
          <t>linkedin</t>
        </is>
      </c>
      <c r="E67">
        <f>HYPERLINK("https://www.linkedin.com/jobs/view/4368418381", "https://www.linkedin.com/jobs/view/4368418381")</f>
        <v/>
      </c>
      <c r="F67">
        <f>HYPERLINK("https://cbrands.wd5.myworkdayjobs.com/CBI_External_Careers/job/Rochester-New-York/Data-Scientist_R-39184-1?source=LinkedIn&amp;urlHash=_bmP", "https://cbrands.wd5.myworkdayjobs.com/CBI_External_Careers/job/Rochester-New-York/Data-Scientist_R-39184-1?source=LinkedIn&amp;urlHash=_bmP")</f>
        <v/>
      </c>
      <c r="G67" t="inlineStr">
        <is>
          <t>Rochester, NY</t>
        </is>
      </c>
      <c r="H67" t="inlineStr"/>
      <c r="I67" t="inlineStr">
        <is>
          <t>**Job Description**
**About Constellation Brands**
 If you have taken a moment to toast with a glass of wine, celebrate with a cocktail, or relax with a bottle of beer, chances are that you’ve shared that moment with us. For more than 75 years, we’ve led the beer, wine, and spirits industry by building admired brands that delight our consumers. Our portfolio balances iconic brands, such as
 **Corona** 
 and
 **Modelo** 
 , with exciting gems, such as
 **Prisoner Wine Company** 
 and
 **High West** 
 .
**About The Position**
 The Data Scientist is responsible for analyzing complex datasets to identify insights, develop predictive models, and implement machine learning algorithms that drive strategic decision\-making. With 2\-8 years of experience, candidates should have proficiency in Python, R, SQL, and experience with data visualization tools and cloud technologies. This role requires an ability to work independently on projects, collaborate with cross\-functional teams, and effectively communicate findings to stakeholders. The Data Scientist will contribute to various phases of the data science lifecycle, from data preparation to model deployment, ensuring the delivery of impactful data\-driven solutions.
 This role is on a data science team which focuses on understanding consumer behavior, consumption trends, drivers to growth, and the impacts of macroeconomics, marketing, and price on our brands.
**Responsibilities**
* Works independently on assigned projects, delivering insights and solutions that meet internal customer needs.
* Participates in technical strategy and provides insights into problem\-solving efforts using statistical analysis and machine learning models.
* Assists in engaging with stakeholders under guidance, helping to understand their key challenges, and collaboratively working towards data\-driven solutions.
* Presents analytical and model results in a clear and effective manner, enabling stakeholders to make informed decisions, with the ability to tailor communications to varying levels of technical understanding.
* Executes on technical tasks and projects with minimal oversight.
* Conducts exploratory data analytics to understand new and existing datasets.
* Engages in feature engineering and applies multiple modeling techniques to address business problems, demonstrating an ability to choose the appropriate model based on the problem at hand.
* Takes ownership of assigned tasks ensuring accuracy and timely delivery.
* Seeks to understand internal customer needs and technical requirements.
* Collaborates effectively with team members and participates in cross\-functional interactions.
* Shares knowledge and best practices with peers.
* Contributes positively to the team environment and engages in continuous learning.
**Domain Expertise**
* Bachelor’s or Master's degree (Master's preferred) in Statistics, Computer Science, Mathematics, Science, or a related field with 2\-8 years of relevant experience
* Proficient with Python, R, SQL, and GitHub, with a track record of manipulating data for analytics.
* Demonstrated experience in statistical analysis, machine learning models, and data visualization using tools like Matplotlib, ggplot, Tableau, or PowerBI.
**About The Employee Experience**
* Product Allowance so you can kick back and relax with Constellation’s awesome products.
* Summer hours where we have half days on Fridays
* Tuition Reimbursement up to $10,000/year so you can continue feeding your brain
* Ongoing learning opportunities, development experiences, and mentorship programs
* Occasional team building meetups
* 160 hours of PTO with 13 paid holidays
* Life/Work Balance? We're all about it. We offer much more than just health care benefits. Our innovative programs and resources are designed to support physical, mental, and emotional well\-being for you and your family.
**Physical Requirements/Work Environment**
* Sitting, working at desk/personal computer for extended periods of time
* Must be at least 21 years of age
**Location**
 Rochester, New York
**Additional Locations**
**Job Type**
 Full time
**Job Area**
 Information Technology
**The Salary Range For This Role Is**
 $86,600\.00 \- $132,700\.00
 This is the lowest to highest salary we in good faith believe we would pay for this role at the time of this posting. Our compensation is based on cost of labor. For remote locations or positions open to multiple locations, the pay range may reflect several US geographic markets, including the lowest geographic market minimum to the highest geographic market maximum. We may ultimately pay more or less than the posted range, and the range may be modified in the future. An employee’s pay position within the salary range will be based on several factors including, but not limited to, the prevailing minimum wage for the location, relevant education, qualifications, certifications, experience, skills, seniority, geographic location, performance, shift, travel requirements, sales or revenue\-based metrics, any collective bargaining agreements, and business or organizational needs. At Constellation Brands, it is not typical for an individual to be hired at the high end of the range for their role, and compensation decisions are dependent upon the facts and circumstances of each position and candidate. We offer comprehensive package of benefits including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**Equal Opportunity**
 Constellation Brands is committed to a continuing program of equal employment opportunity. All persons have equal employment opportunities with Constellation Brands, regardless of their sex, race, color, age, religion, creed, sexual orientation, national origin or citizenship, ancestry, physical or mental disability, medical condition (cancer or genetic characteristics), marital status, gender (including gender identity or gender expression), familial status, military or veteran status, genetic information, pregnancy, childbirth, breastfeeding, or related conditions (or any other group or category within the framework of the applicable discrimination laws and regulations).</t>
        </is>
      </c>
    </row>
    <row r="68">
      <c r="A68" t="inlineStr">
        <is>
          <t>li-4352514498</t>
        </is>
      </c>
      <c r="B68" t="inlineStr">
        <is>
          <t>Data Scientist I</t>
        </is>
      </c>
      <c r="C68" t="inlineStr">
        <is>
          <t>Planview</t>
        </is>
      </c>
      <c r="D68" t="inlineStr">
        <is>
          <t>linkedin</t>
        </is>
      </c>
      <c r="E68">
        <f>HYPERLINK("https://www.linkedin.com/jobs/view/4352514498", "https://www.linkedin.com/jobs/view/4352514498")</f>
        <v/>
      </c>
      <c r="F68">
        <f>HYPERLINK("https://careers.planview.com/jobs/4794?lang=en-us&amp;iis=Job+Board&amp;iisn=Linkedin&amp;urlHash=5TcB", "https://careers.planview.com/jobs/4794?lang=en-us&amp;iis=Job+Board&amp;iisn=Linkedin&amp;urlHash=5TcB")</f>
        <v/>
      </c>
      <c r="G68" t="inlineStr">
        <is>
          <t>Austin, TX</t>
        </is>
      </c>
      <c r="H68" t="inlineStr"/>
      <c r="I68" t="inlineStr">
        <is>
          <t>**Company Overview**
 Planview has one mission: to build the future of connected work, from ideas to impact.
 As the global leader in work and resource management, Planview helps organizations accelerate the achievement of what matters most, supporting our customers from need to speed, from passion to progress, and from overhead to optimization. We provide the industry’s most comprehensive solutions designed for strategic planning, portfolio and resource management, Lean and Agile delivery, product portfolio management, capability, and technology management (enterprise architecture), innovation management, and collaborative work and project management. Our connected platform of solutions underpins the business and digital transformations of more than 4,500 customers globally, including 59 of the Fortune 100\.
 At Planview, our people connections drive our innovation and success. Our global team of 1400\+ work remotely and across our offices including Austin, Vancouver, Hod Hasharon, Bangalore, Sydney, and Stockholm. We’re proud of our world\-class, connected culture built on our shared values, that supports our teams to be successful from anywhere.
 Learn more about our portfolio at planview.com, and connect with us on LinkedIn, Instagram, and X.
**The Opportunity**
 Join our team as a Data Scientist to help integrate data science capabilities within Planview's project management and planning solutions. You will contribute to data collection and analysis, build predictive models, and work with Generative AI technologies.
**What You'll Do**
 Responsibilities:
* AI Engineering: Design and implement AI\-powered features to enhance project planning and resource management. Work with Large Language Models and generative AI to automate workflows and provide intelligent recommendations to users.
* Data Engineering: Extract, transform, and derive features from raw data to improve machine learning model performance.
* Predictive Modeling: Build, test, and refine models to predict task completion times and project outcomes.
* Collaboration: Work closely with cross\-functional teams including product managers, engineers, and fellow data scientists to integrate solutions into our products.
**What You'll Bring**
 Required Qualifications:
* Master's degree in Industrial Engineering, Operations Research, Statistics, Data Science, or a related field.
* Proficiency in Python and SQL, along with familiarity with libraries such as pandas and scikit\-learn.
* Demonstrated experience in translating customer challenges into data\-driven product enhancements.
* Strong knowledge of machine learning algorithms and statistical methodologies.
* Strong written and verbal communication skills.
 Preferred Qualifications:
* Familiarity with project management frameworks like Agile, Scrum, or Waterfall.
* Hands\-on experience with AWS tools such as Athena, SageMaker, and Bedrock.
* Experience building with Large Language Models
* Basic understanding of knowledge graphs and ontologies
**Benefits At Planview**
 At Planview, you’ll join our global team and culture which reflects the vibrant communities in which our employees live and work. To support you at Planview, you will enjoy:
* Unplugged Days: 4 company\-wide paid days off per year to recharge and relax.
* Generous PTO offerings (region dependent).
* Region specific competitive benefit plans to support you at any life stage including parental leave, retirement, medical plans, wellness support, and remote work support.
* Paid time to volunteer through Planview’s Force for Good Week.
* Employee Referral bonus program.
* Weekly office lunches for hybrid team members and social events.
* Flexible work hours/environment.
 Now is a great time to join our team. If you are looking for a place to grow your career, innovate with best\-in\-class solutions, and build the future of connected work, Planview is the right place for you!
**Equal Employment Opportunity at Planview**
 Planview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As part of our efforts to build a diverse workforce, we encourage applications from Indigenous, Black, and other racialized communities, 2SLGBTQIA\+ communities, people with neurodivergence, immigrants, people with disabilities, and other equity deserving groups. In addition to building a diverse workforce, we are committed to fostering an inclusive and accessible experience.
 Reasonable accommodations for the interview process can be requested by emailing recruitment@planview.com.</t>
        </is>
      </c>
    </row>
    <row r="69">
      <c r="A69" t="inlineStr">
        <is>
          <t>li-4357505302</t>
        </is>
      </c>
      <c r="B69" t="inlineStr">
        <is>
          <t>Data Scientist</t>
        </is>
      </c>
      <c r="C69" t="inlineStr">
        <is>
          <t>Eleve Talent</t>
        </is>
      </c>
      <c r="D69" t="inlineStr">
        <is>
          <t>linkedin</t>
        </is>
      </c>
      <c r="E69">
        <f>HYPERLINK("https://www.linkedin.com/jobs/view/4357505302", "https://www.linkedin.com/jobs/view/4357505302")</f>
        <v/>
      </c>
      <c r="F69" t="inlineStr"/>
      <c r="G69" t="inlineStr"/>
      <c r="H69" t="inlineStr"/>
      <c r="I69" t="inlineStr">
        <is>
          <t>A
 **St. Louis\-based investment firm** 
 that focuses on
 **specialized market sectors** 
 and integrated strategic approaches.
**Job Overview** 
 The Data Scientist will work with the trading teams at an investment firm to co\-develop new and improved tools and strategies and move them to successful execution by building up associated data, systems, and processes. They will also help continually refine teams' current processes and tools.
 This role is based in the technology team and reports directly to the Senior Vice President of Technology. The technology team is small, highly embedded within the trading organization, and works on interesting and diverse problems while integrating new and existing technologies into the business. You can have a large impact on the organization.
 The ideal candidate for this position is a talented researcher with programming skills, interest in financial markets, and a desire to develop concepts from the prototype stage all the way to delivery and into routine production. This candidate would be a self\-starter, entrepreneurial, and have an innate curiosity and willingness to learn as many of our issues are undefined and iterative.
**Key Responsibilities** 
 Data Science Practice
* Research and test hypotheses around new and existing trade strategies, using general back\-testing and forward\-testing strategies
* Develop query and visualization functionality to help recall data and interpret trends
* Build data ingest and processing pipelines to enable its use
* Help identify data that would be useful to the organization and, once acquired, assess its quality
* Prepare new, innovative models and assist with forecasting
* Integrate data and trends into new processes
 Development of Processes and Tools
* Productionize prototypes and ad\-hoc processes to reliable, repeatable, predictable operations
* Ensure data and processes to run the business are monitored and updated in the face of changes
* Assist with developing platforms and tools to solve business problems in Python, Excel, or other tools as appropriate for the job
* Assist with day\-to\-day trading operations and program or script debugging
* Transition manual Excel\-based processes to automatic or less\-manual ones
* Develop systems and programs to help screen and trade new or improved strategies
* Develop our Django\-based reporting platform to deliver alerts, provide views into current positions and risks, and enrich understanding
* Collaborate with traders towards trading tool development or new techniques
 Recommend and Build Infrastructure
* Work with the leadership team, traders, and rest of the technology team to build and improve infrastructure to support the organization
* Implement incremental improvements to the technology that underpins the above
 We Need You to Have
* Demonstrated ability to learn new concepts and subjects quickly and apply them to emerging issues
* Entrepreneurial spirit and a willingness to be flexible in a fast\-moving environment
* Bachelor’s degree with strong academic performance in mathematics, engineering, computer science, physics, or other hard science
* Willingness to understand commodity trading and fundamental analysis
* Solid understanding of probability and statistics
* Experience with analytical tools for data manipulation and statistical modeling (Python NumPy/Pandas/Polars, MATLAB, etc.)
* Understanding of programming concepts in a popular language like C/C\+\+, R, Python, Rust, or JavaScript/TypeScript
* Demonstrated ability for end\-to\-end development from idea inception to hypothesis testing, prototype generation, and productionizing programs
* Demonstrated report and presentation development and delivery skills
 We’d Like You to Have
* Familiarity with data transfer (SFTP and FTP, HTTP and hypermedia) and data representation (tabular, structured, and unstructured)
* Familiarity with the Django web development framework
* Interest in gaining an understanding of risk, volatility, and recommend ways to measure and act based on indicators of interest
* Comfort in reading and understanding academic literature including books, journals, or scholarly papers
* Experience with predictive models, including understanding of backtesting and forward testing strategies,
* Monte Carlo, and other ways to generate and validate models
* Practice optimizing multi\-parameter analyses to focus on finding the most important ones to consider
* Exposure to the modern analysis ecosystem such as Jupyter Notebooks, Excel or Airtable with SQL, and data wrangling formats like CSV or Parquet
* Understanding of version control like git and modern development tools like GitHub and modern deployment
* practices such as GitHub Actions, Continuous Integration/Continuous Development pipelines, and Infrastructure\-as\-Code (IaC)
* Experience developing in the cloud using AWS Lambda, large relational databases, and columnar databases
* Experience running sustainable tools and using modern logging, alerting, documentation, and security practices</t>
        </is>
      </c>
    </row>
    <row r="70">
      <c r="A70" t="inlineStr">
        <is>
          <t>li-4368388063</t>
        </is>
      </c>
      <c r="B70" t="inlineStr">
        <is>
          <t>Data Scientist II (US)</t>
        </is>
      </c>
      <c r="C70" t="inlineStr">
        <is>
          <t>TD</t>
        </is>
      </c>
      <c r="D70" t="inlineStr">
        <is>
          <t>linkedin</t>
        </is>
      </c>
      <c r="E70">
        <f>HYPERLINK("https://www.linkedin.com/jobs/view/4368388063", "https://www.linkedin.com/jobs/view/4368388063")</f>
        <v/>
      </c>
      <c r="F70">
        <f>HYPERLINK("https://td.wd3.myworkdayjobs.com/fr-CA/TD_Bank_Careers/job/New-York-New-York/Data-Scientist-II\u002d\u002dUS-_R_1451232?source=LinkedIn&amp;urlHash=9HJ_", "https://td.wd3.myworkdayjobs.com/fr-CA/TD_Bank_Careers/job/New-York-New-York/Data-Scientist-II\u002d\u002dUS-_R_1451232?source=LinkedIn&amp;urlHash=9HJ_")</f>
        <v/>
      </c>
      <c r="G70" t="inlineStr">
        <is>
          <t>New York, NY</t>
        </is>
      </c>
      <c r="H70" t="inlineStr"/>
      <c r="I70" t="inlineStr">
        <is>
          <t>**Work Location:**
 New York, New York, États\-Unis d'Amérique
**Hours**
 40
**Pay Details**
 $76,290 \- $125,260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Analyses, informations et intelligence artificielle
**Job Description**
**Department Overview:**
**Why Work with Us?**
 At TD Bank US Compliance, we're on a mission to build a more resilient and scalable compliance risk management function. As part of our team, you'll play a key role in reshaping compliance structures and processes, driving innovation at every level. Here, each team member has a chance to make a tangible impact – both in day\-to\-day operations and in the design of a future\-focused compliance program. This not just about implementing a new program – it's about creating a culture of compliance that will cascade throughout the organization.
**The Ideal Candidate**
 The ideal candidate will thrive in a fast\-paced, start\-up\-like setting as we build a new compliance structure that aligns with the bank’s size, complexity, and risk profile. In this role, you’ll need to be strategic, tactical, collaborative and creative in your approach. You will manage day\-to\-day operations while also helping design and implement a forward\-thinking compliance program for the future.
 Beyond technical expertise, we’re looking for someone with an entrepreneurial mindset—someone who can "roll up their sleeves", takes the initiative and can anticipate needs before they arise. A comfort level with ambiguity and the ability to excel in a dynamic, evolving landscape are essential as the US Compliance team redefines the bank's compliance program and structure.
 Most importantly, the right candidate is seeking an intellectual challenge, has a desire to learn, and is committed to building something impactful from the ground up. At TD Bank, you’ll have the unique opportunity to help shape the future of the bank while collaborating with a team of enthusiastic colleagues dedicated to setting new industry standards.
 The Fair Banking Compliance team oversees the governance and analytical processes to assure that predictive models and lending practices are fair and responsible. The Fair Banking Compliance analytics team is seeking a qualified Data Scientist II who will perform the quantitative analysis, model development, model review and related research to meet the business requirements of the team. This is a critical role in the oversight and review of models to ensure fair banking compliance. The incumbent of this role must have a strong working knowledge of building quantitative models, performing data analysis, recommending statistical tests, researching metrics and presenting results of data analysis. The role requires excellent verbal and written communication skills to communicate effectively with business partners.
**Key Responsibilities**
* Develop\\Review models (traditional regressions as well as AI/ML based) to ensure fair banking compliance
* Perform quantitative analysis to identify fair lending risks
* Identify potential alternative ways to mitigate fair lending bias arising from models/policies
* Develop specialized analytical tools for projects or ongoing use
* Compile and generate ad\-hoc analytical reports
* Lead research efforts, applying expertise in statistical analysis and modeling
* Provide advisory support to line of business model owners regarding best practices for compliance guided by policies and industry standards/methods
* Lead cross\-functional teams or projects with significant complexity
* Independently manage end\-to\-end functional programs
* Use sophisticated analytical mindset to exercise judgement and identify solutions
* Communicate complex results to non\-technical audience
* Work autonomously as the lead and guide others within the area of expertise
* Independently handle multiple projects and prioritize based on changing business needs
**The above details are specific to the role which is outlined in the general description below. Please review the preferred background and experience section below in as you consider this opportunity.**
**Job Description Summary**
 The Data Scientist I is responsible for collecting data and using wide range of data science techniques, including but not limited to data wrangling, profiling and visualization, statistical inference, to uncover actionable insights or build analytics solutions that guide decision making and strategic planning.
**Depth \&amp; Scope**
* Experienced professional role providing specialized guidance/assistance to function supported
* Focuses on short to medium\-term non\-routine specialized/ fewer complex issues and/or initial escalated matters
* Independently perform activities from end\-to\-end
**Education \&amp; Experience**
* Undergraduate degree or advanced technical degree preferred (e.g., math, physics, engineering, finance or computer science) Graduate's degree preferred with either progressive project work experience, or;
* Past relevant work experience is a plus
**Desired Skills And Experience**
* Graduate degree in a quantitative field is a plus. Research experience is a plus.
* 2\+ years of relevant work experience within a big bank.
* Demonstrated experience in development of predictive models using Python
* In\-depth knowledge of quantitative models and statistical analysis,
* Experience working with AI/ML based models. Proficiency in Python to be able to code multi objective optimization algorithms and display charts.
* Experience working with databases/datasets and data visualization tools (Tableau/Power BI)
* Strong communications skills, both written and verbal. Strong presentation skills
* Strong interpersonal and consultative communication skills with well\-developed presentation skills
**Customer Accountabilities**
* Understands business context and data infrastructure and translates business problems to viable data science solutions
* Uses a wide range of programing languages (e.g. Python) and techniques for extracting and preparing data, applying statistics and various advanced analytics, along with business acumen to extract insights from the big data
* Visualizes insights from the data to tell and illustrate stories that clearly convey the meaning of results to decision\-makers and stakeholders at every level of technical understanding
* Collaborate with other partners, such as data and business analysts, software engineers, data engineers, and application developers to develop scalable and sustainable data science solutions that retains long term benefit to the business
**Shareholder Accountabilities**
* Solicits and offers ideas for improving business processes through insights with the objective of improving effectiveness and efficiency
* Educates the organization on approaches, such as testing hypotheses and statistical validation of result
* Helps the organization understand the principles and the math behind the scientist process to drive organizational alignment
* Translates up to date information into continuous improvement activities that enhance performance
* Contributes to various operational activities and processes as assigned
* Is knowledgeable of practices and procedures within own area of responsibility and keeps abreast of emerging trends for own functional area
* Monitors service, productivity and assesses efficiency levels within own function and implements continuous process/performance improvements where opportunities exist
* Acquires and applies expertise in the discipline, provides guidance, assistance and direction to others
* Identifies, recommends and effectively executes standard practices applicable to the discipline
* Adheres to internal policies/procedures and applicable regulatory guidelines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issues/points of interest
* Supports the team by continuously enhancing knowledge/expertise in own area and participates in knowledge transfer within the team and business unit
* Keeps current on emerging trends/developments and grows knowledge of the business, related tools and techniques
* Participates in personal performance management and development activities, including cross training within own team
* Keeps others informed and up to date about the status/progress of projects and/or all relevant or useful information related to day\-to\-day activities
* Contributes to the success of the team by willingly assisting others in the completion and performance of work activities; provides training, coaching and/or guidance as appropriate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71">
      <c r="A71" t="inlineStr">
        <is>
          <t>li-4357364624</t>
        </is>
      </c>
      <c r="B71" t="inlineStr">
        <is>
          <t>Applied Data Scientist</t>
        </is>
      </c>
      <c r="C71" t="inlineStr">
        <is>
          <t>EBG</t>
        </is>
      </c>
      <c r="D71" t="inlineStr">
        <is>
          <t>linkedin</t>
        </is>
      </c>
      <c r="E71">
        <f>HYPERLINK("https://www.linkedin.com/jobs/view/4357364624", "https://www.linkedin.com/jobs/view/4357364624")</f>
        <v/>
      </c>
      <c r="F71" t="inlineStr"/>
      <c r="G71" t="inlineStr">
        <is>
          <t>Miami, FL</t>
        </is>
      </c>
      <c r="H71" t="inlineStr"/>
      <c r="I71" t="inlineStr">
        <is>
          <t>EBG is an e\-commerce solutions provider specializing in travel and entertainment, and also offering retail products and services, voluntary benefits and insurance.
 EBG powers a robust portfolio of technology solutions and operates a network of employer and membership\-based platforms reaching a captive audience, providing leading brands with incremental distribution opportunities. EBG's expanded network reaches over 100 million users from participating companies and closed loop affinity and membership groups.
 EBG owns and operates one of the largest and most comprehensive employee savings programs in the country — serving over 40,000 corporate clients through its proprietary platforms TicketsatWork, Plum Benefits, Working Advantage and Beneplace.
 EBG is a b2b2c company headquartered in Miami (Aventura), with offices in New York, Orlando, and Austin. We offer a hybrid work environment with a balance of collaboration and flexibility.
**Job Description**
 As a key member of our team, you will own end‑to‑end modeling and deployment work — from conceptual framing of business problems to data ingestion, model development, and reliable production delivery.
 EBG Solutions drives innovative data‑driven insights and scalable AI solutions across the entertainment ecosystem. The Data Science team partners with data engineering, marketing, product, and executive teams to transform audience data into actionable strategies and operational products. A successful Applied Data Scientist at EBG thrives on both analytical creativity and production rigor. Your work will directly shape how EBG Solutions delivers value to clients and internal stakeholders.
 YOU MUST BE BASED IN FL or TX for this role.
* Translate ambiguous business questions into structured analytical and ML solutions.
* Develop, validate, and optimize statistical and machine learning models that impact forecasting, segmentation, personalization, recommendation, or operational efficiency.
* Build production‑ready pipelines using robust MLOps practices (CI/CD, automated testing, monitoring).
* Document all models, pipelines, and deployment processes clearly and comprehensively to ensure maintainability, reproducibility, and knowledge sharing across the team.
* Deploy models into scalable production environments and maintain lifecycle operations.
* Communicate insights and technical decisions clearly to technical and non‑technical audiences.
* Stay ahead of emerging tools, techniques, and frameworks in machine learning/artificial intelligence (ML/AI) and influence best practices across the organization.
**Qualifications**
* Bachelor's degree in Computer Science, Statistics, Mathematics, or a related quantitative field.
* 5\+ years of industry experience (in addition to internships) in data science and machine learning, including production deployments.
* 3\+ years of building machine learning models for business applications (outside of academic experience.)
* Strong Python programming skills with hands\-on experience building, training, deploying, and monitoring machine learning models.
* Solid experience with SQL (2\+ years) for database querying, data preparation, and analysis.
* Experience designing, building, and maintaining end\-to\-end ML pipelines from data ingestion to production serving.
* Experience in both supervised and unsupervised learning algorithms.
* Familiarity with cloud platforms and deployment environments (e.g., AWS, Azure, GCP).
* Working knowledge of large\-scale data warehousing platforms (e.g., Snowflake, SQL Server, Big Query, RedShift).
* Demonstrated ownership of model productization, monitoring, and iterative improvement.
* Proven ability to solve ambiguous problems using data and engineering rigor.
* Excellent cross\-functional communication, capable of bridging business requirements and technical design.
* Outstanding analytical and problem\-solving skills, able to diagnose and resolve complex system issues.
* Experience managing multiple projects simultaneously and prioritizing tasks effectively.
* You must be able to start in person onsite for this role
* You must be able to travel on occasion to support business needs
**What Sets You Apart**
* Advanced degree in Computer Science, Statistics, Mathematics, or a related quantitative field.
* Familiarity with MLOps tooling (e.g., SageMaker, Lambda, Airflow, MLflow) and cloud platforms (AWS, GCP, Azure).
* Experience with generative AI (GenAI) techniques (e.g., LLM) or with GenAI related concepts (language modeling); Bedrock or Hugging Face experience is a plus.
* Hands\-on experience designing, building, and deploying recommendation models, including collaborative filtering, content\-based, and transformer\-based recommendation architectures.
* Experience with data labeling, taxonomy design, and classification frameworks.
* Strong knowledge of statistical analysis, machine learning algorithms, and data visualization using Python packages.
* Ability to guide architectural and strategic decisions for ML infrastructure.
* Industry experience in entertainment or online commerce is a strong plus, including domains such as theme parks, hospitality, live performances, show or sports ticketing, or retail and marketplace platforms.
 \*EBG
 *does not offer sponsorship* 
 now or in the future for this role.\*
**Additional Information**
 EBG offers outstanding benefit options that fit our employee's lifestyles including:
* Medical, Dental \&amp; Vision
* 401k Match
* Short Term Disability, Long Term Disability (Company Paid)
* Basic Life and AD\&amp;D (Company Paid)
* Additional Voluntary Benefits
* Flexible Work Arrangements
* 3 Weeks of PTO \+ 5 Personal Days
* Paid Holiday Break from Christmas to New Year
* Paid Holidays
* Fitness Benefit
* Annual Day of Giving
* Company Bonus Program
* Share in the FUN! EBG gives $1000 per year in Tickets\-At\-Work gift cards to full\-time employees to experience and enjoy our signature savings marketplace!</t>
        </is>
      </c>
    </row>
    <row r="72">
      <c r="A72" t="inlineStr">
        <is>
          <t>li-4357444554</t>
        </is>
      </c>
      <c r="B72" t="inlineStr">
        <is>
          <t>Applied Data Scientist</t>
        </is>
      </c>
      <c r="C72" t="inlineStr">
        <is>
          <t>EBG</t>
        </is>
      </c>
      <c r="D72" t="inlineStr">
        <is>
          <t>linkedin</t>
        </is>
      </c>
      <c r="E72">
        <f>HYPERLINK("https://www.linkedin.com/jobs/view/4357444554", "https://www.linkedin.com/jobs/view/4357444554")</f>
        <v/>
      </c>
      <c r="F72" t="inlineStr"/>
      <c r="G72" t="inlineStr">
        <is>
          <t>Orlando, FL</t>
        </is>
      </c>
      <c r="H72" t="inlineStr"/>
      <c r="I72" t="inlineStr">
        <is>
          <t>EBG is an e\-commerce solutions provider specializing in travel and entertainment, and also offering retail products and services, voluntary benefits and insurance.
 EBG powers a robust portfolio of technology solutions and operates a network of employer and membership\-based platforms reaching a captive audience, providing leading brands with incremental distribution opportunities. EBG's expanded network reaches over 100 million users from participating companies and closed loop affinity and membership groups.
 EBG owns and operates one of the largest and most comprehensive employee savings programs in the country — serving over 40,000 corporate clients through its proprietary platforms TicketsatWork, Plum Benefits, Working Advantage and Beneplace.
 EBG is a b2b2c company headquartered in Miami (Aventura), with offices in New York, Orlando, and Austin. We offer a hybrid work environment with a balance of collaboration and flexibility.
**Job Description**
 As a key member of our team, you will own end‑to‑end modeling and deployment work — from conceptual framing of business problems to data ingestion, model development, and reliable production delivery.
 EBG Solutions drives innovative data‑driven insights and scalable AI solutions across the entertainment ecosystem. The Data Science team partners with data engineering, marketing, product, and executive teams to transform audience data into actionable strategies and operational products. A successful Applied Data Scientist at EBG thrives on both analytical creativity and production rigor. Your work will directly shape how EBG Solutions delivers value to clients and internal stakeholders.
 YOU MUST BE BASED IN FL or TX for this role.
* Translate ambiguous business questions into structured analytical and ML solutions.
* Develop, validate, and optimize statistical and machine learning models that impact forecasting, segmentation, personalization, recommendation, or operational efficiency.
* Build production‑ready pipelines using robust MLOps practices (CI/CD, automated testing, monitoring).
* Document all models, pipelines, and deployment processes clearly and comprehensively to ensure maintainability, reproducibility, and knowledge sharing across the team.
* Deploy models into scalable production environments and maintain lifecycle operations.
* Communicate insights and technical decisions clearly to technical and non‑technical audiences.
* Stay ahead of emerging tools, techniques, and frameworks in machine learning/artificial intelligence (ML/AI) and influence best practices across the organization.
**Qualifications**
* Bachelor's degree in Computer Science, Statistics, Mathematics, or a related quantitative field.
* 5\+ years of industry experience (in addition to internships) in data science and machine learning, including production deployments.
* 3\+ years of building machine learning models for business applications (outside of academic experience.)
* Strong Python programming skills with hands\-on experience building, training, deploying, and monitoring machine learning models.
* Solid experience with SQL (2\+ years) for database querying, data preparation, and analysis.
* Experience designing, building, and maintaining end\-to\-end ML pipelines from data ingestion to production serving.
* Experience in both supervised and unsupervised learning algorithms.
* Familiarity with cloud platforms and deployment environments (e.g., AWS, Azure, GCP).
* Working knowledge of large\-scale data warehousing platforms (e.g., Snowflake, SQL Server, Big Query, RedShift).
* Demonstrated ownership of model productization, monitoring, and iterative improvement.
* Proven ability to solve ambiguous problems using data and engineering rigor.
* Excellent cross\-functional communication, capable of bridging business requirements and technical design.
* Outstanding analytical and problem\-solving skills, able to diagnose and resolve complex system issues.
* Experience managing multiple projects simultaneously and prioritizing tasks effectively.
* You must be able to start in person onsite for this role
* You must be able to travel on occasion to support business needs
**What Sets You Apart**
* Advanced degree in Computer Science, Statistics, Mathematics, or a related quantitative field.
* Familiarity with MLOps tooling (e.g., SageMaker, Lambda, Airflow, MLflow) and cloud platforms (AWS, GCP, Azure).
* Experience with generative AI (GenAI) techniques (e.g., LLM) or with GenAI related concepts (language modeling); Bedrock or Hugging Face experience is a plus.
* Hands\-on experience designing, building, and deploying recommendation models, including collaborative filtering, content\-based, and transformer\-based recommendation architectures.
* Experience with data labeling, taxonomy design, and classification frameworks.
* Strong knowledge of statistical analysis, machine learning algorithms, and data visualization using Python packages.
* Ability to guide architectural and strategic decisions for ML infrastructure.
* Industry experience in entertainment or online commerce is a strong plus, including domains such as theme parks, hospitality, live performances, show or sports ticketing, or retail and marketplace platforms.
 \*EBG
 *does not offer sponsorship* 
 now or in the future for this role.\*
**Additional Information**
 EBG offers outstanding benefit options that fit our employee's lifestyles including:
* Medical, Dental \&amp; Vision
* 401k Match
* Short Term Disability, Long Term Disability (Company Paid)
* Basic Life and AD\&amp;D (Company Paid)
* Additional Voluntary Benefits
* Flexible Work Arrangements
* 3 Weeks of PTO \+ 5 Personal Days
* Paid Holiday Break from Christmas to New Year
* Paid Holidays
* Fitness Benefit
* Annual Day of Giving
* Company Bonus Program
* Share in the FUN! EBG gives $1000 per year in Tickets\-At\-Work gift cards to full\-time employees to experience and enjoy our signature savings marketplace!</t>
        </is>
      </c>
    </row>
    <row r="73">
      <c r="A73" t="inlineStr">
        <is>
          <t>li-4368396986</t>
        </is>
      </c>
      <c r="B73" t="inlineStr">
        <is>
          <t>Data Scientist</t>
        </is>
      </c>
      <c r="C73" t="inlineStr">
        <is>
          <t>Avathon</t>
        </is>
      </c>
      <c r="D73" t="inlineStr">
        <is>
          <t>linkedin</t>
        </is>
      </c>
      <c r="E73">
        <f>HYPERLINK("https://www.linkedin.com/jobs/view/4368396986", "https://www.linkedin.com/jobs/view/4368396986")</f>
        <v/>
      </c>
      <c r="F73" t="inlineStr"/>
      <c r="G73" t="inlineStr">
        <is>
          <t>Pleasanton, CA</t>
        </is>
      </c>
      <c r="H73" t="inlineStr"/>
      <c r="I73" t="inlineStr">
        <is>
          <t>**Who We Are \&amp; Why Join Us**
**Avathon** 
 is revolutionizing industrial AI with a powerful platform that enables businesses to harness the full potential of their operational data. Our technology seamlessly integrates and contextualizes siloed datasets, providing a 360\-degree operational view that enhances decision\-making and efficiency. With advanced capabilities like digital twins, natural language processing, normal behavior modeling, and machine vision, we create real\-time virtual replicas of physical assets, enabling predictive maintenance, performance simulation, and operational optimization. Our AI\-driven models empower companies with scalable solutions for anomaly detection, performance forecasting, and asset lifetime extension—all tailored to the complexities of industrial environments.
**Cutting\-Edge AI Innovation** 
 – Join a team at the forefront of AI, developing groundbreaking solutions that shape the future.
**High\-Growth Environment** 
 – Thrive in a fast\-scaling startup where agility, collaboration, and rapid professional growth are the norm.
**Meaningful Impact** 
 – Work on AI\-driven projects that drive real change across industries and improve lives.
**Learn more at:** 
**Avathon**
**About The Role**
 Join us in developing and applying cutting\-edge machine learning solutions for commercial and industrial applications. As a Data Scientist, you will partner with project teams to develop and deliver customer solutions, working on challenging problems in
 **forecasting, demand planning, renewable energy optimization, anomaly detection, and prescriptive maintenance** 
 .
**Key Focus Area:** 
 We are looking for candidates with strong expertise in
 **forecasting and time series analysis** 
 to support our growing demand planning, power/price forecasting, and predictive analytics capabilities.
 You will lead all phases of the data science process from data exploration and processing, feature selection and engineering, model training and testing, to information synthesis and deployment. You will work closely with team members who have deep technical skills and a passion for clean energy and industrial optimization.
**You Will**
* Build forecasting models for demand planning, power/price prediction, and supply chain optimization
* Develop time series models using traditional methods (ARIMA, Prophet) and modern ML approaches (LSTM, Transformers)
* Partner with project teams in developing and applying ML expertise to deliver customer solutions
* Independently and effectively engage with external technical stakeholders and subject matter experts to understand and solve critical business problems through artificial intelligence
* Design and deploy machine learning models for commercial and industrial applications, including anomaly detection, prescriptive maintenance, and optimization
* Lead all phases of the data science process from data exploration, feature engineering, model training, testing, and deployment
* Apply data mining techniques, statistical analysis, and build prediction systems
* Create automated anomaly detection systems and track performance
* Communicate complex technical topics to internal and external stakeholders
**You’ll Have**
* A strong understanding of Data Science, including basic elements of machine learning, statistics, probability, and modeling
* Strong experience with time series analysis and forecasting techniques (ARIMA, exponential smoothing, Prophet, LSTM, etc.)
* Quantitative background with experience working with time series data and strong coding skills
* Background in deep learning and neural network architectures for sequence modeling
* Experience with Data Science programming languages: Python (required), R, Matlab
* Familiarity with Deep Learning frameworks such as TensorFlow and PyTorch, with experience in at least one
* Applied knowledge of ML techniques/algorithms including linear models, neural networks, decision trees, Bayesian techniques, clustering, and anomaly detection
* 2\+ years of experience in building machine learning models
* Experience with cloud platforms (AWS, GCP, or Azure)
* Strong written and verbal communications, ability to translate complex technical topics to stakeholders
* Ability to form strong working relationships with team members, customers’ technical teams, and executive leadership
* Degree in Computer Science, Statistics, Physics, Mathematics, Engineering, or a related field
**Nice To Have**
* Graduate or Doctorate degree (or 5\-8 years of equivalent experience) in one of the fields above
* Experience with one of the following areas: demand forecasting, power/price forecasting, energy market prediction, enterprise forecasting, supply demand matching
* Experience with probabilistic forecasting and uncertainty quantification
* Experience and knowledge of renewable energy technologies, especially applying data analytics techniques in the domain
* Experience with LLMs, RAG systems, and generative AI applications
* Exposure to scalable ML model deployment and MLOps practices
* Experience with knowledge graphs or graph\-based analytics
* Prior experience in the energy, manufacturing, or supply chain industry
* A strong work ethic, along with the ability to prioritize and complete all job responsibilities in a timely manner
**Coding Challenge**
 As part of the interview process, you will be asked to complete a technical assessment.
**Salary: $95k\-130k**
*Avathon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*Avathon is committed to providing reasonable accommodations throughout the recruiting process. If you need a reasonable accommodation, please contact us to discuss how we can assist you.*</t>
        </is>
      </c>
    </row>
    <row r="74">
      <c r="A74" t="inlineStr">
        <is>
          <t>li-4368396832</t>
        </is>
      </c>
      <c r="B74" t="inlineStr">
        <is>
          <t>Data Scientist</t>
        </is>
      </c>
      <c r="C74" t="inlineStr">
        <is>
          <t>Hyra</t>
        </is>
      </c>
      <c r="D74" t="inlineStr">
        <is>
          <t>linkedin</t>
        </is>
      </c>
      <c r="E74">
        <f>HYPERLINK("https://www.linkedin.com/jobs/view/4368396832", "https://www.linkedin.com/jobs/view/4368396832")</f>
        <v/>
      </c>
      <c r="F74">
        <f>HYPERLINK("https://joinhyra.com/jobs/23b6efe4-856d-44bd-8de9-a02970017221?src=linkedin&amp;urlHash=V_8l", "https://joinhyra.com/jobs/23b6efe4-856d-44bd-8de9-a02970017221?src=linkedin&amp;urlHash=V_8l")</f>
        <v/>
      </c>
      <c r="G74" t="inlineStr">
        <is>
          <t>Florida, United States</t>
        </is>
      </c>
      <c r="H74" t="inlineStr"/>
      <c r="I74" t="inlineStr">
        <is>
          <t>Senior Data Scientist
 Hyra is working on behalf of Disney Experiences to hire for the position of Senior Data Scientist. This role develops advanced machine learning models and data\-driven solutions to optimize customer segmentation, assortment rationalization, and performance forecasting. You will support the Merchandise Business Insight and Analytics team in driving strategic decisions for both brick\-and\-mortar and ecommerce retail environments.
 What you'll be doing
 • Design and deploy advanced statistical and machine learning models for demand forecasting and promotion optimization.
 • Architect scalable data pipelines and workflows using Python, SQL, and cloud platforms like Google Cloud Platform.
 • Build dynamic dashboards and self\-service analytics tools using Tableau or Looker to monitor business metrics.
 • Translate complex business questions into structured analytics problems for cross\-functional stakeholders.
 • Mentor team members and establish best practices for data science workflows and model maintenance.
 What we're looking for
 • Extensive experience in statistical modeling, machine learning, and retail strategy.
 • Proficiency in Python and SQL for data manipulation and model development.
 • Expertise in cloud\-based data environments such as Snowflake or Google Cloud Platform.
 • Proven ability to deliver actionable insights through visual analytics platforms like Tableau.
 • Strong communication skills to partner with product, merchandising, and technology teams.
 What Disney Experiences offers
 • Comprehensive healthcare coverage and wellness programs.
 • Retirement savings plans and financial planning resources.
 • Employee discounts on merchandise and experiences.
 • Professional development and educational reimbursement opportunities.
 Apply via Hyra to be considered for this opportunity.</t>
        </is>
      </c>
    </row>
    <row r="75">
      <c r="A75" t="inlineStr">
        <is>
          <t>li-4359630563</t>
        </is>
      </c>
      <c r="B75" t="inlineStr">
        <is>
          <t>Data Scientist, Demand Forecasting</t>
        </is>
      </c>
      <c r="C75" t="inlineStr">
        <is>
          <t>Barnes &amp; Noble, Inc.</t>
        </is>
      </c>
      <c r="D75" t="inlineStr">
        <is>
          <t>linkedin</t>
        </is>
      </c>
      <c r="E75">
        <f>HYPERLINK("https://www.linkedin.com/jobs/view/4359630563", "https://www.linkedin.com/jobs/view/4359630563")</f>
        <v/>
      </c>
      <c r="F75" t="inlineStr"/>
      <c r="G75" t="inlineStr">
        <is>
          <t>New York, NY</t>
        </is>
      </c>
      <c r="H75" t="inlineStr"/>
      <c r="I75" t="inlineStr">
        <is>
          <t>Location
 NY\-New York (Union Square)
 Classification
 Full\-Time
**Job Summary**
 We're seeking a highly skilled Data Scientist to join our team, with a focus on demand forecasting and supply planning. In this role, you will train and implement demand forecasting algorithms using modern machine learning techniques, driving measurable improvements in forecast accuracy. These demand forecasts will be used to support buying and replenishment decisions for all products in our stores and distribution centers. This is a critical role in driving business success. By developing and deploying advanced analytics solutions to inform inventory purchasing decisions, you will help ensure high stock availability while reducing our inventory investment.
 This is a hybrid position requiring 2\-3 days in our NY office.
 An employee in this position can expect an annual starting rate between $100,000 \- $120,000 depending on experience, seniority, geographic locations, and other factors permitted by law.
 What You Do
 The Data Scientist, Demand Forecasting Role Supports Our Buying Teams With The Key Tools And Information Needed To Run The Business. You Are Instrumental In Advancing Our Demand Planning, Analytical Capability, Data Quality, And Forecasting Tools Used By Multiple Internal B\&amp;N Partners. This Role Will Have a Direct Impact On Our Ability To Improve Forecast Accuracy And Drive Business Growth With Optimized Inventory Levels. Day To Day You Will:
* Develop and deploy demand forecasting models using machine learning and statistical techniques
* Collaborate with IT to implement models in production, ensuring seamless integration with existing systems
* Guide data engineering efforts to improve analytical capabilities, including data governance, quality, architecture, and tooling
* Analyze large datasets to inform business decisions, identifying trends, opportunities, and challenges
* Communicate complex technical concepts to non\-technical stakeholders, providing actionable insights and recommendations
* Stay up to date on changes in the field of forecasting, including the use of AI, to improve and scale forecasting capabilities
 Knowledge \&amp; Experience
 Success In This Role Requires High Attention To Detail, Excellent Analytical Abilities, And Strong Business Acumen. We’re Seeking Someone With:
* A degree in Computer Science, Statistics, Mathematics, or related field
* 3\-5 years of experience in data science, with a focus on time\-series analysis, regression analysis and machine learning
* Strong technical skills in programming languages such as Python, R, and SQL
* Experience with machine learning frameworks such as TensorFlow, PyTorch, or scikit\-learn
* Excellent leadership and collaboration skills, with experience working with cross\-functional teams
* Strong communication and presentation skills, with ability to distill complex concepts into actionable insights
* Experience with cloud\-based technologies and data engineering tools such as Databricks and Azure
* Familiarity with agile development methodologies and DevOps practices
* Knowledge of retail operations, merchandising and supply chain processes
* Must be able to work in our NY office 2 \- 3 days/week</t>
        </is>
      </c>
    </row>
    <row r="76">
      <c r="A76" t="inlineStr">
        <is>
          <t>li-4368420816</t>
        </is>
      </c>
      <c r="B76" t="inlineStr">
        <is>
          <t>Data Scientists - Remote</t>
        </is>
      </c>
      <c r="C76" t="inlineStr">
        <is>
          <t>UnitedHealthcare</t>
        </is>
      </c>
      <c r="D76" t="inlineStr">
        <is>
          <t>linkedin</t>
        </is>
      </c>
      <c r="E76">
        <f>HYPERLINK("https://www.linkedin.com/jobs/view/4368420816", "https://www.linkedin.com/jobs/view/4368420816")</f>
        <v/>
      </c>
      <c r="F76" t="inlineStr"/>
      <c r="G76" t="inlineStr">
        <is>
          <t>Minnetonka, MN</t>
        </is>
      </c>
      <c r="H76" t="inlineStr"/>
      <c r="I76"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optimized. Ready to make a difference? Join us to start
 **Caring. Connecting. Growing together**
 This Data Scientist is the first of its kind and critical role for accelerating the AI agenda across UHC Consumer Operations. This position will report to the Sr Director Data AI Program Management, Governance and Data Integrity. This position combines data science with healthcare innovation, AI ethics, and regulatory compliance, providing a unique opportunity to help shape the future of AI applications in healthcare.
 In this role, you will collaborate with cross\-functional teams to refine AI methodologies, develop and validate robust testing protocols to identify potential model failures. A successful candidate will interact with diverse teams using a wide variety of AI methods and validate test plans and results. They will design and oversee testing and monitoring plans for novel use cases across a wide spectrum of types of AI and healthcare applications.
 The role will participate in UHG's external industry groups involve with AI policy. The role requires ability to write clear documentation on use\-case specific testing requirements. You will also engage with stakeholders to advocate for and drive the adoption of responsible AI practices, providing a unique opportunity to shape the future of ethical AI applications in healthcare.
 You'll enjoy the flexibility to work remotely \* from anywhere within the U.S. as you take on some tough challenges. For all hires in the Minneapolis or Washington, D.C. area, you will be required to work in the office a minimum of four days per week.
**Primary Responsibilities**
* Design and write new guidelines for AI testing and ongoing monitoring
* Design and document improved testing methodologies, especially for novel use cases
* Clearly communicate with diverse teams including legal, compliance, and AI development over a wide variety of AI methods including Generative AI and traditional ML
* Document findings, create reports related to KPOs, and present results to stakeholders
* Develop job aids and guidance documentation for best practices of responsible AI
* Help identify vulnerabilities related to PII/PHI exposure in AI interactions
* Stay abreast of the latest developments in AI/ML research and incorporate relevant findings into work
* Be in lock step with AI strategy counterpart in delivering against AI strategy and product vision and roadmap that is focused on company goals and consumer needs
* Support AI program office, setting clear priorities, success metrics and cross functional alignment
* Build and enforce consistent AI lifecycle management process (ideation, model development, testing, deployment, monitoring, retirement) including rinse and repeat playbook for AI Review Board (AIRB)
* Enforce policies for data quality, lineage, accuracy and security across AI pipelines
* Build in partnership with data engineering and platform teams best\-in\-class data models and maintenance programs to set the foundation for scalable AI growth
* Establish data validating protocols to reduce the risk of integrity related incidents
* Build, converge and deliver data API's that prevent data drift, model decay and data hygiene related risks
* Design and oversee AI performance reporting dashboards covering accuracy, bias, fairness, operational health, real time anomaly detection and more
* Establish and lead the AI incident management framework, including severity levels, response times and escalation protocols
* Drive adoption of AI risk management practices
* Support key priorities of increasing employee and management engagement by promoting Our United Culture and DEI concepts and activities with leaders and within the organization
 You'll be rewarded and recognized for your performance in an environment that will challenge you and give you clear direction on what it takes to succeed in your role as well as provide development for other roles you may be interested in.
**Required Qualifications**
* 8\+ years of experience in computer science, applied mathematics, applied statistics, linguistics or related quantitative fields
* Experience in establishing data integrity and governance frameworks at scale
* Extensive experience with advanced natural language processing models and clinical natural language processing, clinical de\-identification, and clinical annotation
* Deep understanding of AI ethics and fairness considerations
* Proficiency in the full machine learning lifecycle including development, deployment, and monitoring
* Proven solid analytical and problem\-solving skills
* Legally authorized to work in the US without any restrictions. Proof will be required.
**Preferred Qualifications**
* Experience collaborating with cross\-functional teams including product managers and business stakeholders
* Experience partnering with AI forward companies like Amazon, Google, Microsoft and the likes
* Knowledge of large language models, conversational AI, prompt engineering, and adversarial testing
* Familiarity with regulatory frameworks relevant to AI healthcare systems including claims payment and call centers
* History of delivering production systems that include clinical natural language processing, sentiment analysis, text classification, medical/health informatics, clinical de\-identification, and clinical annotation
* Proven ability to translate business needs into technical solutions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77">
      <c r="A77" t="inlineStr">
        <is>
          <t>li-4368395361</t>
        </is>
      </c>
      <c r="B77" t="inlineStr">
        <is>
          <t>Senior Data Scientist | Growth</t>
        </is>
      </c>
      <c r="C77" t="inlineStr">
        <is>
          <t>Ramp</t>
        </is>
      </c>
      <c r="D77" t="inlineStr">
        <is>
          <t>linkedin</t>
        </is>
      </c>
      <c r="E77">
        <f>HYPERLINK("https://www.linkedin.com/jobs/view/4368395361", "https://www.linkedin.com/jobs/view/4368395361")</f>
        <v/>
      </c>
      <c r="F77" t="inlineStr"/>
      <c r="G77" t="inlineStr">
        <is>
          <t>New York, NY</t>
        </is>
      </c>
      <c r="H77" t="inlineStr"/>
      <c r="I77"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We’re looking for someone to help lead the future of growth at Ramp. In this role, you will help define the analytical frameworks and strategic roadmaps for how Ramp’s growth teams optimize and scale our marketing investments across all brand channels. You will partner closely with marketing, finance, and engineering counterparts across experimental design, statistical modeling, implementation, execution, and analysis. Our goal is to efficiently reach the right user with the right message at the right time. Ultimately, we will depend on you to co\-own the allocation of millions of dollars per month in brand marketing spend.
**What You’ll Do**
* Employ statistical, machine learning, and econometric models on large datasets to evaluate channel performance and discern the causal impact of marketing and sales campaigns on a complex and nebulous enterprise sales cycle
* Build attribution models and investment frameworks to inform Ramp’s future brand channel investments, allowing Ramp’s finance and marketing teams to scale efficiently and understand which message resonates with each audience segment at each point in the customer journey
* Partner closely with Martech, Business Systems, and Growth Engineering teams to augment and leverage data across first and third\-party sources, ensuring we’ve added as much context as possible to every decision we make
* Drive experimental design and implementation on new channels and surface areas of Ramp, ensuring we can iterate quickly and cost\-effectively, especially on marketing spend designed to build awareness, consideration, and brand equity
* Contribute to the culture of Ramp’s data team by influencing processes, tools, and systems that will allow us to make better decisions in a scalable way
**What You Need**
* Bachelor’s degree or above in Math, Economics, Bioinformatics, Statistics, Engineering, Computer Science, or other quantitative fields with a minimum of 5 years of industry experience as a Data Scientist
* Strong python experience (numpy, pandas, sklearn, etc.) across exploratory data analysis, predictive modeling, and applications of ML techniques to marketing\-specific problems
* Strong knowledge of SQL (preferably Snowflake, BigQuery, or Redshift)
* Proven leadership and a track record of shipping improvements with growth and product organizations
* Strong perspective on the marketing experimentation lifecycle (hypothesis generation, experimental design, implementation, statistical analysis, A/B testing best practices)
* Deep familiarity with the past, present, and future of marketing attribution, martech, and the modern privacy landscape
* Ability to thrive in a fast\-paced, constantly improving, start\-up environment that focuses on solving problems with iterative technical solutions
**Nice\-to\-Haves**
* Experience at a high\-growth startup
* Familiarity with B2B enterprise sales cycle metrics and processes
* Experience with the modern data stack (Fivetran / Snowflake / dbt / Looker / Hex / Hightouch or equivalents)
* Familiarity with data orchestration platforms (Airflow, Dagster, Prefect)
* Strong perspective on data science engineering development cycle (data modeling, version control, documentation \+ testing, best practices for codebase development)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78">
      <c r="A78" t="inlineStr">
        <is>
          <t>li-4368058990</t>
        </is>
      </c>
      <c r="B78" t="inlineStr">
        <is>
          <t>Senior Data Scientist</t>
        </is>
      </c>
      <c r="C78" t="inlineStr">
        <is>
          <t>Lawrence Harvey</t>
        </is>
      </c>
      <c r="D78" t="inlineStr">
        <is>
          <t>linkedin</t>
        </is>
      </c>
      <c r="E78">
        <f>HYPERLINK("https://www.linkedin.com/jobs/view/4368058990", "https://www.linkedin.com/jobs/view/4368058990")</f>
        <v/>
      </c>
      <c r="F78" t="inlineStr"/>
      <c r="G78" t="inlineStr">
        <is>
          <t>New York, United States</t>
        </is>
      </c>
      <c r="H78" t="inlineStr"/>
      <c r="I78" t="inlineStr">
        <is>
          <t>**Responsibilities** 
* Design, enhance, and maintain advanced optimization and forecasting models supporting a large\-scale, mission\-critical platform.
* Enable new use cases, constraints, and programs within a production\-grade optimization engine.
* Monitor, analyse, and improve model accuracy through detailed KPI and performance reporting.
* Identify root causes of optimisation inaccuracies and propose, test, and implement data\-driven improvements.
* Partner closely with Product, Engineering, and Technical Product teams to translate business requirements into robust analytical solutions.
* Benchmark model performance across varying scenarios, datasets, and operational conditions.
* Develop and integrate testing frameworks to ensure reliability and scalability of optimisation logic.
* Identify anomalies proactively before they impact end users.
* Support business cases for technical prioritisation by quantifying the incremental value of model and code changes.
* Contribute to the long\-term evolution of a data science capability, with scope to help shape and grow the practice over time.
**Qualifications** 
* Bachelor’s or Master’s degree in Computer Science, Operations Research, Mathematics, Statistics, Engineering, or a related field.
* 7\+ years of experience in data science, applied mathematics, or optimization\-focused roles.
* Hands\-on experience with mixed\-integer linear or non\-linear optimization (industry or advanced academic).
* Strong Python experience, including optimization and modelling frameworks.
* Solid understanding of time\-series analysis and forecasting techniques.
* Experience working closely with software engineers in production environments.
* Strong analytical mindset with the ability to communicate complex concepts clearly to technical and non\-technical stakeholders.
* Comfortable operating in fast\-moving, ambiguous problem spaces.
**Featured benefits** 
 Medical insurance, Vision insurance, Dental insurance, 401(k), Disability insurance, Paid time off, Tuition reimbursement, Hybrid working model
**Requirements** 
 • Commute to this job’s location (hybrid)
 • 7\+ years of professional experience
 • Strong Python\-based data science background
 • Accept a background check
 • U.S. Citizenship</t>
        </is>
      </c>
    </row>
    <row r="79">
      <c r="A79" t="inlineStr">
        <is>
          <t>li-4368056181</t>
        </is>
      </c>
      <c r="B79" t="inlineStr">
        <is>
          <t>Data Scientist | Clinical AI</t>
        </is>
      </c>
      <c r="C79" t="inlineStr">
        <is>
          <t>RemoteHunter</t>
        </is>
      </c>
      <c r="D79" t="inlineStr">
        <is>
          <t>linkedin</t>
        </is>
      </c>
      <c r="E79">
        <f>HYPERLINK("https://www.linkedin.com/jobs/view/4368056181", "https://www.linkedin.com/jobs/view/4368056181")</f>
        <v/>
      </c>
      <c r="F79">
        <f>HYPERLINK("https://www.remotehunter.com/apply-with-ai/cf094ff5-38f5-4ef1-8209-fa5243b1ae57?utm_medium=job_posting&amp;utm_source=linkedin&amp;utm_campaign=data_scientist_remote&amp;utm_category=data_scientist&amp;utm_term=data_scientist_clinical_ai&amp;urlHash=paiY", "https://www.remotehunter.com/apply-with-ai/cf094ff5-38f5-4ef1-8209-fa5243b1ae57?utm_medium=job_posting&amp;utm_source=linkedin&amp;utm_campaign=data_scientist_remote&amp;utm_category=data_scientist&amp;utm_term=data_scientist_clinical_ai&amp;urlHash=paiY")</f>
        <v/>
      </c>
      <c r="G79" t="inlineStr"/>
      <c r="H79" t="inlineStr"/>
      <c r="I79"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0">
      <c r="A80" t="inlineStr">
        <is>
          <t>li-4368384918</t>
        </is>
      </c>
      <c r="B80" t="inlineStr">
        <is>
          <t>Applied AI / ML Scientist - Search Ads</t>
        </is>
      </c>
      <c r="C80" t="inlineStr">
        <is>
          <t>Faire</t>
        </is>
      </c>
      <c r="D80" t="inlineStr">
        <is>
          <t>linkedin</t>
        </is>
      </c>
      <c r="E80">
        <f>HYPERLINK("https://www.linkedin.com/jobs/view/4368384918", "https://www.linkedin.com/jobs/view/4368384918")</f>
        <v/>
      </c>
      <c r="F80" t="inlineStr"/>
      <c r="G80" t="inlineStr">
        <is>
          <t>San Francisco, CA</t>
        </is>
      </c>
      <c r="H80" t="inlineStr"/>
      <c r="I80"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The Ads Data team is building the next generation of advertising products for the wholesale industry. As a key member of this team, you’ll help drive the ML algorithm strategy and system design behind one of the most critical levers for customer value and company growth—Search Ads. You’ll lead the advancement of real\-time systems that decide which ads to show for a query, where to place them, and how to optimize for relevance, marketplace health, and advertiser outcomes. This role mirrors many of the technical expectations of Faire’s organic Search roles (modern NLP/LLMs, query understanding, real\-time ranking), while operating in an ads environment with auctions, budgets, and pacing constraints.
 You’ll operate at the forefront of algorithms—combining large language models, natural language processing, query understanding, deep learning, and structured behavioral data to deliver highly relevant sponsored results for any given query.
**What You'll Do**
* Own and evolve the Search Ads relevance stack—spanning query understanding, targeting, candidate generation, multi\-stage ranking, and calibration—while meeting stringent latency and reliability goals.
* Design and productionize ML models that improve sponsored\-result relevance and personalization, using a blend of unstructured signals (text/images where applicable), LLM\-based representations, and structured marketplace features.
* Partner closely with engineering and product to connect relevance improvements to ads marketplace outcomes (e.g., conversion, long\-term retailer experience, advertiser ROI), using rigorous offline evaluation and online experiments.
* As an early member of the Ads Data team, help define its roadmap and technical culture, leveraging deep product intuition to shape what ads at Faire should be—not just how they’re built.
* Work in a fast\-paced, collaborative environment with team members who’ve shipped ML at top tech companies (e.g. Uber, Airbnb, Meta, Amazon, Pinterest).
**Qualifications**
* 2\+ years of experience building and shipping ML systems in production, with meaningful experience in search, recommendation, or ads ranking/retrieval.
* Hands\-on experience with modern deep learning tooling (e.g., PyTorch) and familiarity with vector search / embedding\-based retrieval concepts (e.g., Faiss, ScaNN, Pinecone).
* A strong track record of productionizing models that blend LLMs (e.g., BERT / GPT\-class) with structured features to drive relevance and personalization.
* Product\-focused mindset and a bias toward execution—moving quickly from research to measurable user and business impact.
* Strong communication skills and the ability to work with others in a closely collaborative team environment
**Great to Haves**
* Highly recommended: Master’s or PhD in Computer Science, Statistics, or related STEM fields
* Ability to quickly implement state of the art algorithms from an academic paper
**Salary Range**
 San Francisco: the pay range for this role is $162,000 to $223,500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Applications for this position will be accepted for a minimum of 30 days from the posting date.*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81">
      <c r="A81" t="inlineStr">
        <is>
          <t>li-4354491577</t>
        </is>
      </c>
      <c r="B81" t="inlineStr">
        <is>
          <t>Applied Scientist</t>
        </is>
      </c>
      <c r="C81" t="inlineStr">
        <is>
          <t>Adobe</t>
        </is>
      </c>
      <c r="D81" t="inlineStr">
        <is>
          <t>linkedin</t>
        </is>
      </c>
      <c r="E81">
        <f>HYPERLINK("https://www.linkedin.com/jobs/view/4354491577", "https://www.linkedin.com/jobs/view/4354491577")</f>
        <v/>
      </c>
      <c r="F81" t="inlineStr"/>
      <c r="G81" t="inlineStr">
        <is>
          <t>San Jose, CA</t>
        </is>
      </c>
      <c r="H81" t="inlineStr"/>
      <c r="I81"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Adobe Firefly Applied Science \&amp; Machine Learning (ASML) group is seeking a
 **Model Tech Lead** 
 to own the optimization and architectural evolution of our multimodal editing foundation models. This position is central to the delivery of Firefly’s proprietary foundation models, focusing on developing efficient training and inference solutions that directly enhance our profit margins. We are looking for a hands\-on technical authority with deep expertise in frontier foundation model areas to drive high\-performance, large\-scale AI delivery.
**Job Responsibilities**
**Drive Architectural Innovation:** 
 Design and implement novel MLLM architectures (e.g., sparse models, MoE) and specialized kernels, using deep expertise in quantization, pruning, and post\-training optimization to enhance efficiency.
**Implement Performance Roadmaps:** 
 Lead the end\-to\-end efficiency roadmap for Adobe’s multimodal editing stack, focusing on reducing computational costs for both large\-scale training and low\-latency inference while maintaining powerful performance.
**Technical Leadership \&amp; Execution:** 
 Lead a multi\-functional squad as a hands\-on authority, unblocking complex technical issues, conducting rigorous code reviews, and upholding high engineering standards for reproducibility and quality.
**Post\-Training Optimization:** 
 Oversee advanced model compression and deployment strategies, ensuring that frontier models are optimized for real\-world enterprise performance and scalability.
**What You’ll Need To Succeed**
* Advanced Technical Degree: Ph.D. in Computer Science, AI/ML, or a related field (or equivalent industry experience).
* Efficiency Expertise: Proven track record in model efficiency for foundation models, specifically in quantization, pruning, sparse architectures, and kernel optimization.
* Foundation Model Depth: Deep technical expertise in frontier foundation model research, including multimodal perception and generative editing.
* Leadership Impact: Experience leading multi\-functional squads and defining technical roadmaps that translate complex research into production\-ready, efficient models.
* Engineering Excellence: Proficiency in modern ML stacks (e.g., PyTorch, JAX) and specialized performance tools (e.g., CUDA, Triton, DeepSpeed, or FSDP).
**Preferred Experience**
* Experience optimizing MLLMs for high\-throughput, cost\-sensitive production environments.
* Familiarity with hardware\-aware optimization and custom operator development.
* Background in scaling large\-scale training runs while maintaining strict compute budgets and profit margin targets.
* A history of bridging the gap between ground breaking research in model sparsity and stable, enterprise\-grade deployment.
 \#FireflyGenAi
 Our compensation reflects the cost of labor across several  U.S. geographic markets, and we pay differently based on those defined markets. The U.S. pay range for this position is $142,700 \-\- $270,950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$187,100 \- $270,950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82">
      <c r="A82" t="inlineStr">
        <is>
          <t>li-4364950413</t>
        </is>
      </c>
      <c r="B82" t="inlineStr">
        <is>
          <t>Data Scientist</t>
        </is>
      </c>
      <c r="C82" t="inlineStr">
        <is>
          <t>Harrison Clarke</t>
        </is>
      </c>
      <c r="D82" t="inlineStr">
        <is>
          <t>linkedin</t>
        </is>
      </c>
      <c r="E82">
        <f>HYPERLINK("https://www.linkedin.com/jobs/view/4364950413", "https://www.linkedin.com/jobs/view/4364950413")</f>
        <v/>
      </c>
      <c r="F82" t="inlineStr"/>
      <c r="G82" t="inlineStr">
        <is>
          <t>Menlo Park, CA</t>
        </is>
      </c>
      <c r="H82" t="inlineStr"/>
      <c r="I82" t="inlineStr">
        <is>
          <t>A well\-capitalized, later\-stage investment platform is looking for a Data Scientist to work at the intersection of
 **data, AI, and strategic decision\-making** 
 .
 This role focuses on using data to evaluate company performance, market signals, and emerging trends rather than building internal dashboards or pure reporting. You’ll work closely with senior stakeholders on high\-impact, hypothesis\-driven analysis.
**What you’ll do** 
* Analyze large, messy datasets to surface insights on company and market performance
* Apply statistical, ML, and AI\-driven approaches to investment and strategy questions
* Partner directly with senior leaders to frame questions, test hypotheses, and communicate insights clearly
* Help shape how data and AI are used to inform long\-term decisions
**What they're looking for** 
* Experience with alternative, messy \&amp; raw datasets
* Strong background in data science, analytics, or applied ML (industry or research)
* Comfortable operating end\-to\-end: problem framing → analysis → executive\-level storytelling
* Experience working with senior stakeholders and ambiguous problem spaces
* Interest in markets, technology, and business performance</t>
        </is>
      </c>
    </row>
    <row r="83">
      <c r="A83" t="inlineStr">
        <is>
          <t>li-4368379208</t>
        </is>
      </c>
      <c r="B83" t="inlineStr">
        <is>
          <t>GenAI Senior Data Scientist</t>
        </is>
      </c>
      <c r="C83" t="inlineStr">
        <is>
          <t>Themesoft Inc.</t>
        </is>
      </c>
      <c r="D83" t="inlineStr">
        <is>
          <t>linkedin</t>
        </is>
      </c>
      <c r="E83">
        <f>HYPERLINK("https://www.linkedin.com/jobs/view/4368379208", "https://www.linkedin.com/jobs/view/4368379208")</f>
        <v/>
      </c>
      <c r="F83" t="inlineStr"/>
      <c r="G83" t="inlineStr">
        <is>
          <t>Princeton, NJ</t>
        </is>
      </c>
      <c r="H83" t="inlineStr"/>
      <c r="I83" t="inlineStr">
        <is>
          <t>**GenAI Senior Data Scientist** 
**Onsite \- NJ \- Princeton/New Brunswick area \- Onsite** 
**Hire type: Contract on W2** 
**Must have:** 
 Python Programming
 Pytorch
 NLP
 ML modeling/development
 GenAI
 SQL
 LLMs, RAG architecture, and agentAI frameworks
**Key Responsibilities:** 
* Lead use case/workstream with junior data scientists
* Contribute to the end\-to\-end model lifecycle, including data exploration and understanding, feature engineering, model training and validation, ensuring quality, security, scalability, and fairness
* Support use case development that includes initial project scoping, project/sample design, reception, and processing of data, performing analysis and modeling to creation of final report/presentation
* Data wrangling/data matching/ETL to explore a variety of data sources, gain data expertise, perform summary analyses, and prepare modeling datasets
* Utilizing advanced statistical and AI/ML techniques to create high\-performing predictive models and creative analyses to address business objectives and partner needs
* Identification of source data and data quality checks both in model/solution development and in production
* Packaging of model/solution and deployment in cooperation with Data Engineers and MLOps
* Implement new statistical or other mathematical methodologies as needed for specific models or analysis.
* Propose innovative ways to look at problems through using data mining and data visualization
* Work with stakeholders throughout the organization to identify opportunities for leveraging company data to drive business solutions.
* Present information using data visualization techniques; communicate results and ideas to key decision makers.
* Ensure data accuracy and consistent reporting by performing regular data quality control, prepare and maintain reports, and troubleshoot data anomalies
* Adhere to model governance, documentation, testing, and other best practices in partnership with key stakeholders.
* Consistent accuracy and thoroughness in performing work assignments
* Attend industry conferences to stay current on industry trends, challenges, and potential market opportunities
* Contribute to standardization of Data Science tools, processes, and best practices
* Build LLM/AI powered application prototypes with lightweight UI (e.g., Stream lit) to validate usability and support adoption.
* 
 Required Skills:
* PhD with 2\+ years of experience, master’s degree with 4\+ years of experience in Statistics, Computer Science, Engineering, Applied mathematics or related field
* 3\+ years of hands\-on ML modeling/development experience
* Background in insurance and underwriting preferred
* Solid understanding of data analysis and statistical modeling.
* Knowledge of a variety of machine learning techniques (clustering, decision tree, bagging/boosting artificial neural networks, etc.) and their real\-world advantages/drawbacks.
* Demonstrated track records in experimental design and executions
* Hands\-on experience with data wrangling including fuzzy matching and regular expression, distributed computing and applying parallelism to ML solutions
* Strong programming skills in Python
* Solid background in algorithms and a range of ML models
* Excellent communication skills and ability to work and collaborate cross\-functionally with Product, Engineering, and other disciplines at both the leadership and hands\-on level
* Excellent analytical and problem\-solving abilities with superb attention to detail
* Proven experience in providing technical leadership and mentoring to data scientists and strong project management skills with ability to monitor/track performance for enterprise success
* Experience communicating complex ideas simply, presenting impact, trade\-offs, and recommendations to non\-technical partners.
* Working knowledge of core software engineering concepts (version control with Git/GitHub, testing, logging, ...).
* Working knowledge of NLP, LLMs, RAG architecture, and agent frameworks, including safe automation design and evaluation systems.
* Experience in insurance, financial services, or related industries is a plus"</t>
        </is>
      </c>
    </row>
    <row r="84">
      <c r="A84" t="inlineStr">
        <is>
          <t>li-4367521589</t>
        </is>
      </c>
      <c r="B84" t="inlineStr">
        <is>
          <t>Senior Data Scientist</t>
        </is>
      </c>
      <c r="C84" t="inlineStr">
        <is>
          <t>Boot Barn</t>
        </is>
      </c>
      <c r="D84" t="inlineStr">
        <is>
          <t>linkedin</t>
        </is>
      </c>
      <c r="E84">
        <f>HYPERLINK("https://www.linkedin.com/jobs/view/4367521589", "https://www.linkedin.com/jobs/view/4367521589")</f>
        <v/>
      </c>
      <c r="F84" t="inlineStr"/>
      <c r="G84" t="inlineStr">
        <is>
          <t>Irvine, CA</t>
        </is>
      </c>
      <c r="H84" t="inlineStr"/>
      <c r="I84" t="inlineStr">
        <is>
          <t>**SENIOR DATA SCIENTIST**
 REPORTS TO: DIRECTOR OF DATA SCIENCE
 STATUS: EXEMPT
**Summary**
 Boot Barn is where community comes first. We thrive on togetherness, collaboration, and belonging. We build each other up, listen intently, and implement out\-of\-the\-box ideas. We celebrate new innovations, congratulate one another’s achievements, and most importantly support each other.
 At Boot Barn, we work together to make a positive impact on the world around us, and by working collectively with encouragement, we consider ourselves “Partners.” With the values of the West guiding us, Boot Barn celebrates heritage, welcomes all, and values each unique Partner within our Boot Barn community.
 Our vision is to offer everyone a piece of the American spirit \- one handshake at a time.
 The Senior Data Scientist will play a critical role in building the foundation of Boot Barn’s AI and Data Science division, with a focus on developing advanced machine learning and generative AI solutions. This position will lead the design and deployment of models that power data driven solutions to support cross\-departmental products, and intelligent agentic systems.
 Working closely with AI/ML and Data Engineers, this individual will ensure models are robust, well\-designed, and ready to scale, while contributing to the establishment of data science best practices across the organization.
**Essential Duties And Responsibilities**
* Design, build, and deploy predictive and generative AI models to address high\-impact applications such as personalization, forecasting, marketing automation, and conversational agents.
* Conduct exploratory data analysis, statistical modeling, causal inference, and A/B experimentation to uncover insights and validate model performance.
* Develop high\-quality, modular Python code for model training and experimentation using libraries and frameworks such as pandas, numpy, scikit\-learn, PyTorch, TensorFlow.
* Collaborate with AI/ML Engineers to productionize models through containerization, orchestration, and CI/CD pipelines.
* Collaborate with Data and AI/ML Engineers to establish RAG pipelines, vector databases, and agentic frameworks.
* Prototype and deploy generative AI applications such as content generation agents, knowledge assistants, and multimodal interfaces.
* Partner cross\-functionally with Store Operations, Ecommerce, Marketing, Merchandise, Supply Chain and Real Estate to identify and prioritize high\-impact AI opportunities.
* Contribute to data science best practices, model documentation, and the creation of reusable modeling frameworks.
* Translate complex model results into clear business insights for technical and non\-technical audiences.
* Demonstrates high level of quality work, attendance and appearance.
* Demonstrates high degree of professionalism in communication, attitude and teamwork with customers, peers and management.
* Adhere to all local, federal and state laws in addition to Company policies, procedures, and practices.
* Performs any other duties that may be assigned by management.</t>
        </is>
      </c>
    </row>
    <row r="85">
      <c r="A85" t="inlineStr">
        <is>
          <t>li-4357405688</t>
        </is>
      </c>
      <c r="B85" t="inlineStr">
        <is>
          <t>Manager, Enterprise Data Scientist</t>
        </is>
      </c>
      <c r="C85" t="inlineStr">
        <is>
          <t>Community Health Systems</t>
        </is>
      </c>
      <c r="D85" t="inlineStr">
        <is>
          <t>linkedin</t>
        </is>
      </c>
      <c r="E85">
        <f>HYPERLINK("https://www.linkedin.com/jobs/view/4357405688", "https://www.linkedin.com/jobs/view/4357405688")</f>
        <v/>
      </c>
      <c r="F85" t="inlineStr"/>
      <c r="G85" t="inlineStr"/>
      <c r="H85" t="inlineStr"/>
      <c r="I85" t="inlineStr">
        <is>
          <t>This role is responsible for leveraging your expertise in data analytics, advanced statistical methods, and programming to derive insights from clinical data. As a member of the Enterprise Data Science team, this role will be responsible for analyzing complex business, operational and healthcare datasets, developing data visualizations and dashboards, assisting with data model and/or feature development, and translating insights into actionable recommendations for improving operational outcomes.
**Responsibilities**
* Independently lead cross\-functional teams including business and operational leaders, data scientists, and engineers to identify data\-driven opportunities for enhancing clinical processes and patient care.
* Utilize cloud\-based technologies, such as Oracle Cloud Infrastructure (OCI) and Google Cloud Platform (GCP), for scalable data processing and analysis.
* Apply theoretical best\-practices in the development of easily consumable dashboards from complex business, operational and clinical data to provide visualizations derived from best practices and data consumption theory that drive healthcare and business performance.
* Implement best practices for data management, including data quality assessment, data validation, and data governance.
* Utilize Python programming and associated libraries such as PyTorch, Keras, Pandas and NumPY to create, train, test and implement meaningful data science models.
* Lead the analysis of operational data to identify patterns, trends, and correlations relevant to healthcare outcomes.
* Collaborate with healthcare professionals and domain experts to understand operational needs and design data\-driven solutions.
* Design and conduct experiments, interpret results, and communicate findings to both technical and non\-technical stakeholders
**Requirements**
* Master's degree in Data Science, Data Analytics, Computer Science, or a related field.
* Proven experience in analyzing complex healthcare data and building customer facing dashboards and data visualizations.
* Minimum 2 years of demonstrated experience of developing, operationalizing and deploying data visualization products build from automated data models (statistical, machine learning or artificial intelligence) in a cloud based environment within a large healthcare or health\-related setting.
* Advanced skill with Python programming and common libraries for data science.
* Experience with cloud\-based platforms such as Google Cloud Platform (GCP) for data storage, processing, and deployment.
* Strong problem\-solving skills and ability to work independently and collaboratively in a fast\-paced environment.
* Excellent communication and presentation skills with the ability to translate technical concepts to non\-technical audiences.</t>
        </is>
      </c>
    </row>
    <row r="86">
      <c r="A86" t="inlineStr">
        <is>
          <t>li-4368412219</t>
        </is>
      </c>
      <c r="B86" t="inlineStr">
        <is>
          <t>Senior Data Scientist</t>
        </is>
      </c>
      <c r="C86" t="inlineStr">
        <is>
          <t>The Hartford</t>
        </is>
      </c>
      <c r="D86" t="inlineStr">
        <is>
          <t>linkedin</t>
        </is>
      </c>
      <c r="E86">
        <f>HYPERLINK("https://www.linkedin.com/jobs/view/4368412219", "https://www.linkedin.com/jobs/view/4368412219")</f>
        <v/>
      </c>
      <c r="F86">
        <f>HYPERLINK("https://www.jointhehartford.com/job/2717/senior-data-scientist-data-science-and-analytics-us-oh-columbus/?source=LinkedIn&amp;urlHash=v90R", "https://www.jointhehartford.com/job/2717/senior-data-scientist-data-science-and-analytics-us-oh-columbus/?source=LinkedIn&amp;urlHash=v90R")</f>
        <v/>
      </c>
      <c r="G86" t="inlineStr">
        <is>
          <t>Columbus, OH</t>
        </is>
      </c>
      <c r="H86" t="inlineStr"/>
      <c r="I86" t="inlineStr">
        <is>
          <t>Sr Data Scientist \- GD07AE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seeks a Senior Data Scientist Employee Benefits Data Science, AI, and Analytics (DSAIA) to develop machine learning solutions supporting actuarial pricing, underwriting, and reserving modeling.
 The Employee Benefits DSAIA team is a rapidly growing team focused on providing deep insight, automation, and augmentation across the policy lifecycle for Employee Benefits customers and internal business stakeholders. The EB DSAIA team supports a portfolio across the EB lifecycle, from sales and underwriting to policy installation, renewal, and everything in between.
 As a Senior Data Scientist in the Employee Benefits DSAIA team, you will participate in the entire solution lifecycle. You’ll partner with cross\-functional business and technical partners to understand business strategies and design, develop, implement, and evolve modeling solutions. We use the latest generative models, machine learning methods, MLOps deployment methods, and Agile delivery frameworks to build innovative and efficient solutions that maximize business value. This cutting\-edge and forward\-focused organization presents the opportunity for collaboration, self\-organization within the team, influencing decision\-making, and visibility as we focus on continuous business value delivery.
 This role will have a Hybrid work schedule, with the expectation of working in an office (Columbus, OH, Chicago, IL, Hartford, CT or Charlotte, NC) 3 days a week (Tuesday through Thursday).
**Responsibilities**
* Create statistical models, algorithms, and machine learning techniques to achieve financial objectives, solve business problems, and identify long term opportunities that improve the customer journey
* Collaborate and partner with business stakeholders in a way that supports and sustains a culture that treats analytics as a corporate asset
* Partner with Actuarial and Data teams to monitor and manage the End\-to\-End lifecycle of the rating models and underlying data which feeds them
* Lead execution of modeling and machine learning projects that focus on internal team collaboration with Data Scientists, Data Engineers, and Product Owners
* Assist in identifying and assessing the value of new data sources and analytical techniques to ensure ongoing competitive advantage
* Contribute to successful implementation of strategies to achieve targeted business objectives
* Develop knowledge of The Hartford's formal and informal structures, business processes, and data sources in your area of expertise
* Remain current on research techniques and become familiar with state\-of\-the\-art tools in generative AI
* Provide economic, qualitative, and statistical support to ensure accuracy of characteristics and metrics being applied to business decisions
* Learn/bring best practices to guide the direction of our Data Science and Data Engineering workflows
**Qualifications**
* 5\+ years of relevant industry experience recommended
* Master’s or Ph.D. in Statistics, Applied Mathematics, Quantitative Economics, Actuarial Science, Data Science, Computer Science, or a similar analytical field; or progress towards a relevant professional designation
* Proficiency in statistical modeling, inference, and building machine learning algorithms in Python
* Proficiency in SQL and navigating databases to extract relevant attributes
* Proficiency in Unix and Git
* Proficiency in the end\-to\-end modeling lifecycle, from requirements gathering to monitoring and validation
* Experience building modeling solutions in cloud\-native environments, such as SageMaker, a plus
* Able to communicate effectively with both technical and non\-technical teams
* Able to translate complex technical topics into business solutions and strategies as well as turn business requirements into a technical solution
* Experience with leading project execution and driving change to core business processes through the innovative use of quantitative techniques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$110,720 \- $166,080
 Equal Opportunity Employer/Sex/Race/Color/Veterans/Disability/Sexual Orientation/Gender Identity or Expression/Religion/Age</t>
        </is>
      </c>
    </row>
    <row r="87">
      <c r="A87" t="inlineStr">
        <is>
          <t>li-4357474644</t>
        </is>
      </c>
      <c r="B87" t="inlineStr">
        <is>
          <t>Expert Data Scientist - Fort Gordon, Georgia (APOGEE)</t>
        </is>
      </c>
      <c r="C87" t="inlineStr">
        <is>
          <t>Celestar Holdings Corporation</t>
        </is>
      </c>
      <c r="D87" t="inlineStr">
        <is>
          <t>linkedin</t>
        </is>
      </c>
      <c r="E87">
        <f>HYPERLINK("https://www.linkedin.com/jobs/view/4357474644", "https://www.linkedin.com/jobs/view/4357474644")</f>
        <v/>
      </c>
      <c r="F87" t="inlineStr"/>
      <c r="G87" t="inlineStr">
        <is>
          <t>Gordon, GA</t>
        </is>
      </c>
      <c r="H87" t="inlineStr"/>
      <c r="I87" t="inlineStr">
        <is>
          <t>Celestar Corporation is seeking a
 **Data Scientist** 
 to support
 **INSCOM** 
**under the Army Persistent Overhead Geospatial Intelligence (GEOINT) Exploitation Enterprise Support Services (APOGEE).** 
 The primary place of performance will be
 **Fort Gordon, Georgia.** 
 If interested and meet
 **ALL** 
 the required qualifications and active clearance level, we encourage you to apply for this rewarding and impactful opportunity.
* Anticipated Award Month: March 2026
* Anticipated Start Month: May 2026
* Period of Performance: 1 Base \+ 4 Option Years
* Location: Fort Gordon, Georgia
* CLEARANCE REQUIREMENT: Active TS/SCI (within the last 5 years)
**About Us**
 Celestar, a proud Veteran\-Owned company, offers highly competitive salaries and benefits. Our comprehensive benefits package includes company\-paid employee and family dental insurance, employee health insurance, life insurance, and disability coverage. Additionally, we provide a 401(k)\-retirement plan with company matching, paid holidays, and personal time off.
**Responsibilities**
* The Data Scientist Conducts data analytics, data engineering, data mining, exploratory analysis, predictive analysis, and statistical analysis, and uses scientific techniques to correlate data into graphical, written, visual and verbal narrative products, enabling more informed analytic decisions. Proactively retrieves information from various sources, analyzes it for better understanding about the data set, and builds AI tools that automate certain processes. Duties typically include: creating various ML\-based tools or processes, such as recommendation engines or automated lead scoring systems. Performs statistical analysis, applies data mining techniques, and builds high quality prediction systems. Should be skilled in data visualization and use of graphical applications, including Microsoft Office (Power BI) and Tableau; major data science languages, such as R and Python; managing and merging of disparate data sources, preferably through R, Python, or SQL; statistical analysis; and data mining algorithms. Should have prior experience with large data Multi\-INT analytics, ML, and automated predictive analytics.
**Education/Experience**
**Required qualifications/skills:**
* MA or MS from an accredited institution of higher learning in a STEM\-related discipline AND 5 years of relevant experience; OR
* BA/BS degree in a STEM\-related discipline AND 10 years of relevant experience
**Qualifications**
* Demonstrated mastery and employment of geographic and geospatial scientific principles, tools, and analytical techniques, to be reflected throughout most of the relevant prior experience.
* Demonstrated experience and proficiency with data science techniques including (but not limited to) logistic regression, vector, natural language processing, principal component analysis, clustering techniques, neural networks, deep learning models, image recognition and algorithm employment or development in support of any of the foregoing.
* Demonstrated experience and proficiency with tabular analysis, SQL, and scripting languages (e.g., Python, R, Julia, etc.) to deliver unique insights otherwise unobtainable.
* Familiarity with agile software development project management frameworks (e.g., Scrum, Kanban, Lean, etc.) to deliver new capability.
* Demonstrated experience and proficiency with tabular analysis, SQL, and scripting languages (e.g., Python, R, Julia, etc.) to deliver unique insights otherwise unobtainable.
* Current/active TS/SCI clearance
**Desired Qualifications/Skills**
* Experience working with IT, business, or operational metrics platforms (e.g., Splunk, Elastic, Confluence, etc.)
* Certification in AWS (AI/ML specialty).
* Knowledge of the National System for Geospatial\-Intelligence (NSG) tasking, collection, processing, exploitation and dissemination (TCPED) production chain.
* Experience working within a DoD or Intelligence Community (IC) operational environment and with DoD/IC geospatial data repositories.
* Familiarity with Army, DoD or IC GEOINT or Geospatial processes, policy and programs.
* Experience with Microsoft Office tools to deliver reports, graphics and briefings.
**Come on board with a company that Values its Employees!**
 Celestar Corporation is an Equal Opportunity Employer. The Celestar Corporation prohibits discrimination, harassment, and retaliation in employment based on race; color; religion; genetic information; national origin; sex (including same\-sex); sexual orientation; gender identity; pregnancy, childbirth, or related medical conditions; age; disability or handicap; citizenship status; marital status; service member/protected veteran status; or any other category protected by federal, state, or local law.</t>
        </is>
      </c>
    </row>
    <row r="88">
      <c r="A88" t="inlineStr">
        <is>
          <t>li-4325640852</t>
        </is>
      </c>
      <c r="B88" t="inlineStr">
        <is>
          <t>Senior Safety Data Scientist</t>
        </is>
      </c>
      <c r="C88" t="inlineStr">
        <is>
          <t>Aurora</t>
        </is>
      </c>
      <c r="D88" t="inlineStr">
        <is>
          <t>linkedin</t>
        </is>
      </c>
      <c r="E88">
        <f>HYPERLINK("https://www.linkedin.com/jobs/view/4325640852", "https://www.linkedin.com/jobs/view/4325640852")</f>
        <v/>
      </c>
      <c r="F88" t="inlineStr"/>
      <c r="G88" t="inlineStr">
        <is>
          <t>Pittsburgh, PA</t>
        </is>
      </c>
      <c r="H88" t="inlineStr"/>
      <c r="I88"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is working to deliver the benefits of self\-driving technology safely, quickly, and broadly. We are searching for a Senior Safety Data Scientist to support the development of quantitative safety arguments and tooling infrastructure. You will apply statistical analysis, machine learning, and probabilistic modeling to inform safety strategy and support external safety communications. You will collaborate with stakeholders across software, systems, hardware, data science, data infrastructure, operations, product, legal, and government relations to shape the future of autonomous vehicle safety.
**In This Role, You Will**
* Design and deploy safety related data pipelines, models, tooling, and infrastructure in partnership with technical and non\-technical stakeholders.
* Execute in\-depth safety analysis on operational and simulation data, distilling complex findings into immediate, actionable risk mitigation strategies.
* Implement safety\-related initiatives in alignment with safety goals and best practices.
* Develop safety related processes and reporting for organizational, operational, and product data to ensure accuracy and consistency.
* Support the identification of systemic, latent, and emerging risks in fleet operations to advance root cause analyses and implement appropriate risk management measures.
* Define and evolve safety metrics by designing and validating novel measures using hypothesis testing and exploratory analysis.
* Audit and validate technical safety evidence and artifacts spanning the breadth of self\-driving technology (hardware, software, and operations) to ensure alignment with quantitative safety arguments and regulatory standards through enterprise tool suites
* Conduct root cause analysis for safety issues and support the formulation of specific, data\-backed corrective actions.
* Lead the quantitative development of internal and external reports (e.g., Voluntary Safety Self Assessment) and public statements, ensuring safety arguments are statistically robust.
* Present and expertly communicate the output of technical analysis to both technical and non\-technical audiences.
* Development of new processes and procedures related to safety metrics, data integrity, and issue handling.
**Required Qualifications**
* Bachelor's/Master's degree in Statistics, Mathematics, Physics, Engineering, Computer Science, or equivalent technical experience.
* 5\+ years of industry experience solving complex problems
* Proficiency in programming languages such as Python and R
* Experience building and deploying models using Amazon Web Services (AWS) tools, e.g. AWS Bedrock, Redshift
* Experience working with data transformation tools such as DBT
* Knowledge and experience with relational databases (SQL) and data warehouses
* Strong skills for querying, analyzing, and visualizing large datasets
* Expertise in applied statistics, exploratory data analysis, hypothesis testing, and probabilistic modeling
* Experience in machine learning techniques
* Effective written and verbal communication skills to present work with, and present technical analysis to, both technical and non\-technical audiences
* Ability to work independently and as part of a cross\-functional team
**Desirable Qualifications**
* Experience working in a safety\-related domain
* Knowledge of automotive domain and relevant safety standards
* Experience in the Autonomous Vehicles, Aerospace, or Robotics domains
 The base salary range for this position is
 **$146,000 \- $211,500**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89">
      <c r="A89" t="inlineStr">
        <is>
          <t>li-4368411232</t>
        </is>
      </c>
      <c r="B89" t="inlineStr">
        <is>
          <t>Senior Data Scientist</t>
        </is>
      </c>
      <c r="C89" t="inlineStr">
        <is>
          <t>The Hartford</t>
        </is>
      </c>
      <c r="D89" t="inlineStr">
        <is>
          <t>linkedin</t>
        </is>
      </c>
      <c r="E89">
        <f>HYPERLINK("https://www.linkedin.com/jobs/view/4368411232", "https://www.linkedin.com/jobs/view/4368411232")</f>
        <v/>
      </c>
      <c r="F89">
        <f>HYPERLINK("https://www.jointhehartford.com/job/2716/senior-data-scientist-data-science-and-analytics-us-il-chicago/?source=LinkedIn&amp;urlHash=jZr2", "https://www.jointhehartford.com/job/2716/senior-data-scientist-data-science-and-analytics-us-il-chicago/?source=LinkedIn&amp;urlHash=jZr2")</f>
        <v/>
      </c>
      <c r="G89" t="inlineStr">
        <is>
          <t>Chicago, IL</t>
        </is>
      </c>
      <c r="H89" t="inlineStr"/>
      <c r="I89" t="inlineStr">
        <is>
          <t>Sr Data Scientist \- GD07AE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seeks a Senior Data Scientist Employee Benefits Data Science, AI, and Analytics (DSAIA) to develop machine learning solutions supporting actuarial pricing, underwriting, and reserving modeling.
 The Employee Benefits DSAIA team is a rapidly growing team focused on providing deep insight, automation, and augmentation across the policy lifecycle for Employee Benefits customers and internal business stakeholders. The EB DSAIA team supports a portfolio across the EB lifecycle, from sales and underwriting to policy installation, renewal, and everything in between.
 As a Senior Data Scientist in the Employee Benefits DSAIA team, you will participate in the entire solution lifecycle. You’ll partner with cross\-functional business and technical partners to understand business strategies and design, develop, implement, and evolve modeling solutions. We use the latest generative models, machine learning methods, MLOps deployment methods, and Agile delivery frameworks to build innovative and efficient solutions that maximize business value. This cutting\-edge and forward\-focused organization presents the opportunity for collaboration, self\-organization within the team, influencing decision\-making, and visibility as we focus on continuous business value delivery.
 This role will have a Hybrid work schedule, with the expectation of working in an office (Columbus, OH, Chicago, IL, Hartford, CT or Charlotte, NC) 3 days a week (Tuesday through Thursday).
**Responsibilities**
* Create statistical models, algorithms, and machine learning techniques to achieve financial objectives, solve business problems, and identify long term opportunities that improve the customer journey
* Collaborate and partner with business stakeholders in a way that supports and sustains a culture that treats analytics as a corporate asset
* Partner with Actuarial and Data teams to monitor and manage the End\-to\-End lifecycle of the rating models and underlying data which feeds them
* Lead execution of modeling and machine learning projects that focus on internal team collaboration with Data Scientists, Data Engineers, and Product Owners
* Assist in identifying and assessing the value of new data sources and analytical techniques to ensure ongoing competitive advantage
* Contribute to successful implementation of strategies to achieve targeted business objectives
* Develop knowledge of The Hartford's formal and informal structures, business processes, and data sources in your area of expertise
* Remain current on research techniques and become familiar with state\-of\-the\-art tools in generative AI
* Provide economic, qualitative, and statistical support to ensure accuracy of characteristics and metrics being applied to business decisions
* Learn/bring best practices to guide the direction of our Data Science and Data Engineering workflows
**Qualifications**
* 5\+ years of relevant industry experience recommended
* Master’s or Ph.D. in Statistics, Applied Mathematics, Quantitative Economics, Actuarial Science, Data Science, Computer Science, or a similar analytical field; or progress towards a relevant professional designation
* Proficiency in statistical modeling, inference, and building machine learning algorithms in Python
* Proficiency in SQL and navigating databases to extract relevant attributes
* Proficiency in Unix and Git
* Proficiency in the end\-to\-end modeling lifecycle, from requirements gathering to monitoring and validation
* Experience building modeling solutions in cloud\-native environments, such as SageMaker, a plus
* Able to communicate effectively with both technical and non\-technical teams
* Able to translate complex technical topics into business solutions and strategies as well as turn business requirements into a technical solution
* Experience with leading project execution and driving change to core business processes through the innovative use of quantitative techniques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$110,720 \- $166,080
 Equal Opportunity Employer/Sex/Race/Color/Veterans/Disability/Sexual Orientation/Gender Identity or Expression/Religion/Age</t>
        </is>
      </c>
    </row>
    <row r="90">
      <c r="A90" t="inlineStr">
        <is>
          <t>li-4368045670</t>
        </is>
      </c>
      <c r="B90" t="inlineStr">
        <is>
          <t>Senior Data Scientist</t>
        </is>
      </c>
      <c r="C90" t="inlineStr">
        <is>
          <t>Publicis Re:Sources</t>
        </is>
      </c>
      <c r="D90" t="inlineStr">
        <is>
          <t>linkedin</t>
        </is>
      </c>
      <c r="E90">
        <f>HYPERLINK("https://www.linkedin.com/jobs/view/4368045670", "https://www.linkedin.com/jobs/view/4368045670")</f>
        <v/>
      </c>
      <c r="F90" t="inlineStr"/>
      <c r="G90" t="inlineStr">
        <is>
          <t>New York, NY</t>
        </is>
      </c>
      <c r="H90" t="inlineStr"/>
      <c r="I90" t="inlineStr">
        <is>
          <t>**Company Description**
 Publicis Re:Sources is the backbone of Publicis Groupe, the world’s most valuable agency group. We are the only full\-service, end\-to\-end shared service organization in the industry, enabling Groupe agencies to do what they do best: innovate and transform for their clients.
 Formed in 1998 as a small team to service a few Publicis Groupe firms, Publicis Re:Sources has grown to 6,200\+ employees globally. We provide technology solutions and business services including finance, accounting, legal, benefits, procurement, tax, real estate, treasury and risk management.
 We continually transform to keep pace with our ever\-changing communications industry and thrive on a spirit of innovation felt around the globe. Learn more about Publicis Re:Sources and the Publicis Groupe agencies we support at http://www.publicisresources.com.
 The Publicis Re:Sources Guiding Principles define who we are and what we stand for. They reflect the mindset and behaviors that shape how we work, how we support one another, and how we drive progress together.
* People First, Driving Success Together
* Problem Solving Mindset
* Respect Each Other
* Partner and Collaborate as One Team
* Commit to Quality and Standards
* Innovate and Embrace the Future
**Overview**
 \*
 **Visa sponsorship is not available for this role including H1B, OPT EAD etc.** 
 \*
 We are looking for a
 **Senior Data Scientist** 
 with deep expertise in
 **Generative AI** 
 and advanced machine learning techniques to join our AI innovation team. This role will focus on designing, developing, and deploying generative models that power next\-generation AI solutions for our organization.
**Responsibilities**
* Lead the development and optimization of Generative AI models (LLMs, diffusion models, transformers) for text, image, and multimodal applications.
* Design and implement end\-to\-end ML pipelines, including data preprocessing, model training, evaluation, and deployment.
* Collaborate with product and engineering teams to integrate generative models into scalable applications.
* Conduct research on emerging Gen AI techniques and apply them to business use cases.
* Fine\-tune pre\-trained models and develop custom architectures for domain\-specific tasks.
* Ensure compliance with AI ethics, bias mitigation, and data privacy standards.
* Mentor junior data scientists and contribute to best practices in model development and MLOps.
**Qualifications**
* Bachelor's. in Computer Science, Data Science, AI/ML, or related field.
* 7\+ years of experience in Data Science, with at least 2\+ years in Generative AI.
* Strong proficiency in Python, TensorFlow, PyTorch, and ML frameworks.
* Hands\-on experience with LLMs (GPT, BERT, etc.), diffusion models, and transformer architectures.
* Expertise in NLP, computer vision, and multimodal AI.
* Familiarity with cloud platforms (AWS, Azure, GCP) and MLOps tools.
* Strong understanding of data ethics, bias detection, and responsible AI principles.
**Preferred**
* Experience with prompt engineering, fine\-tuning large models, and vector databases.
* Knowledge of retrieval\-augmented generation (RAG) and agentic AI frameworks such as Langchain, Langgraph, Langfuse.
* Publications or contributions in AI research communities.
**Additional Information**
 All your information will be kept confidential according to EEO guidelines.
 This job description in no way states or implies that these are the only duties to be performed by the employee(s) currently in this position. Employee(s) will be required to follow any other job related instructions and to perform any other job\-related duties requested by any person authorized to give instructions or assignments.
 A review of this position has excluded the marginal functions of the position that are incidental to the performance of fundamental job duties. All duties and responsibilities are essential job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""at\-will"" relations.</t>
        </is>
      </c>
    </row>
    <row r="91">
      <c r="A91" t="inlineStr">
        <is>
          <t>li-4368060279</t>
        </is>
      </c>
      <c r="B91" t="inlineStr">
        <is>
          <t>Senior Technical Health Informatics/Data Scientist, DOS LEAP Global - Nigeria</t>
        </is>
      </c>
      <c r="C91" t="inlineStr">
        <is>
          <t>ZemiTek</t>
        </is>
      </c>
      <c r="D91" t="inlineStr">
        <is>
          <t>linkedin</t>
        </is>
      </c>
      <c r="E91">
        <f>HYPERLINK("https://www.linkedin.com/jobs/view/4368060279", "https://www.linkedin.com/jobs/view/4368060279")</f>
        <v/>
      </c>
      <c r="F91">
        <f>HYPERLINK("https://careers-zemitek.icims.com/jobs/1799/senior-technical-health-informatics-data-scientist%2c-dos-leap-global\u002d\u002d-nigeria/job?mode=job&amp;iis=Job+Posting&amp;iisn=LinkedIn&amp;urlHash=CYM8", "https://careers-zemitek.icims.com/jobs/1799/senior-technical-health-informatics-data-scientist%2c-dos-leap-global\u002d\u002d-nigeria/job?mode=job&amp;iis=Job+Posting&amp;iisn=LinkedIn&amp;urlHash=CYM8")</f>
        <v/>
      </c>
      <c r="G91" t="inlineStr">
        <is>
          <t>Washington, DC</t>
        </is>
      </c>
      <c r="H91" t="inlineStr"/>
      <c r="I91" t="inlineStr">
        <is>
          <t>ZemiTek, LLC is a Woman\-Owned, SBA\-certified 8(a) Small Disadvantaged Business (SDB) based in the Washington, DC metro area. We have a strong record delivering innovative and high\-quality solutions. Since 2007, ZemiTek has provided technical assistance, project management, information technology (IT), knowledge management, monitoring and evaluation, training and learning development, and institutional support services.
 Global Solutions Ventures (GSV) \- a joint\-venture partnership between ZemiTek, LLC and Dexis Consulting Group \- is implementing the Long\-term Exceptional Technical Assistance Project (LEAP Global), a mechanism originally used by USAID to battle against infectious diseases such as malaria, HIV/AIDS, tuberculosis, neglected tropical diseases, and pandemic influenza. As of July 1, 2025, LEAP Global transitioned to the U.S. Department of State (DOS). This initiative aims to address the complex human resource challenges faced by national infectious disease programs in the USA\-supported countries.
 The intervention of this project is to hire and embed technical expert advisors and subject matter experts within government entities. By directly embedding the technical expertise within the national programs, LEAP provides long\-term, sustainable lifesaving support to empower host governments to lead and manage key aspects of their infectious disease portfolios and improve coordination between the U.S. Government and the host country.
**About The Position**
 The Senior Technical Health Informatics/Data Scientist will play a pivotal role in supporting the Nigeria Ministry of Health and relevant government agencies to strengthen and integrate national health data systems in alignment with the 2025 US\-Nigeria Health Memorandum of Understanding (MOU). The Senior Technical Health Informatics/Data Scientist will support the Ministry of Health in carrying out life\-saving humanitarian assistance (LHA) service delivery in full alignment with the new Presidential Executive Order (EO) directives. Embedded within the Nigeria Ministry of Health, the Data Scientist in coordination with Data.Fi will provide strategic oversight, technical leadership, and capacity building to advance the country’s digital health architecture and data\-driven decision\-making.
 The primary focus of the Senior Technical Health Informatics/Data Scientist will be to provide technical leadership and capacity building to ensure the successful implementation of integrated, cost\-effective, and sustainable data systems for health. This position is responsible for leading the implementation and integration of digital health solutions—including electronic health records (EHRs), laboratory information management systems (LIMS), health commodity inventory management systems (NHLMIS), and disease surveillance platforms (SORMAS, DHIS2\)—across all levels of the health system. The Data Scientist will oversee the management and analysis of large, complex datasets spanning multiple disease areas (HIV, TB, Malaria, MNCH, GHS, Polio, and Routine immunization), ensuring data quality, interoperability, and real\-time reporting to support program monitoring, evaluation, and policy development.
 By collaborating with government counterparts, implementing partners, and donors, the Data Scientist will help drive the transition to government\-led data management and reporting, strengthen data\-driven decision\-making in support of the America First Global Health Strategy (AFGHS), Nigeria’s progress toward GON’s national strategy to accelerate health coverage and the achievement of key health outcome and process metrics outlined in the MOU.
**Strategic Leadership \&amp; Technical Guidance**
* Provide technical leadership in shaping Nigeria’s health data management and analytics strategy, identifying high\-value opportunities for data\-driven impact in line with the MOU’s digital health vision.
* Guide the translation of complex analytical insights into actionable recommendations for government and partners.
* Lead the implementation and integration of NDHI\-aligned digital medical record solutions, laboratory information management systems, and health commodity inventory management systems across all levels of the health system.
* Oversee data governance, standards, and quality assurance initiatives to drive organizational data maturity and compliance with national and international standards.
* Lead capacity\-building initiatives to establish and sustain integrated data systems for diverse disease areas, supporting the transition to government ownership and management.
**Data Analysis \&amp; Modelling**
* Conduct exploratory and advanced data analysis to identify trends, correlations, and predictive insights across disease programs.
* Support the development and validation of statistical and machine learning models to inform program planning, resource allocation, and policy development.
* Oversee the integration and interoperability of data from multiple disease areas and platforms (e.g., CARD, APPR, DHIS2, NDARS), ensuring data completeness, accuracy, and reliability.
**Data Visualization \&amp; Reporting**
* Lead the development and optimization of dashboards, data visualizations, and reporting tools to communicate insights and support evidence\-based decision\-making.
* Oversee the reporting of key health indicators and program outcomes on national and partner platforms, ensuring alignment with MOU metrics and requirements.
**Health Data Systems Integration**
* Support the integration and interoperability of health data systems (EHRs, LIMS, NHLMIS, SORMAS, DHIS2\) in line with the Nigeria Digital Health Architecture (NDHA) and MOU commitments.
* Ensure seamless data exchange and real\-time reporting across platforms, supporting national and subnational program monitoring and evaluation.
**Research, Learning, and Performance Assessment**
* Provide technical expertise in research, learning, and innovation, supporting the adoption of new tools, frameworks, and strategies for continuous improvement.
* Oversee the Publications and Evidence Generation Community of Practice (CoP) to advance research and evidence dissemination goals.
* Lead the implementation of standardized performance assessment approaches, including Data Quality Assurance (DQA) and Continuous Quality Improvement (CQI), to optimize program outcomes and quality of care.
**Program Monitoring \&amp; Reporting**
* Oversee the collection, analysis, and use of data for program monitoring, reporting, and policy development, ensuring alignment with MOU outcome and process metrics.
* Collaborate with national agencies (DPRS, NASCP, NTBLCP, NMEP, NPHCDA, NCDC) and implementing partners to strengthen integrated health data systems.
* Support the preparation of reports, briefings, and presentations for the Health Assistance Coordinator and other stakeholders.
**Monitoring, Evaluation \&amp; Learning (MEL)**
* Monitor key performance metrics across disease areas, document lessons learned and disseminate success stories and innovations.
* Ensure the quality, efficiency, and impact of disease programs, supporting the achievement of MOU targets and UHC goals.
**REPORTING**
 The Senior Technical Health Informatics/Data Scientist will provide a detailed monthly report to the U.S. Department of State at the end of each month. Additionally, the Senior Technical Health Informatics/Data Scientist may be required to submit additional reports at the discretion of the U.S. Department of State and LEAP Global. The format for reporting may be adjusted with concurrence from the COR.
**SUPERVISION**
 In addition to your LEAP Global supervisors and POCs, the Senior Technical Health Systems/Data Scientist will report to the Health Assistance Coordinator and his/her designee and has no formal supervisory responsibility. Incumbents may also have an onsite manager/supervisor with the coordinating GON ministry, department, or agency who will provide day\-to\-day direction as defined in the roles and responsibilities above.
* Advanced degree in Public Health, Epidemiology, Global Health, Data Science, Statistics, or a related field.
* Minimum of 7 years of progressive experience in public health data management, analytics, and health information systems in Nigeria or similar contexts.
* Demonstrated expertise in data management, modeling, and big data analytics.
* Experience with the management and integration of national health information systems (EHRs, LIMS, NHLMIS, SORMAS, DHIS2\).
* Minimum 2 years’ direct experience managing or advising public health programs.
* Proven leadership in designing, implementing, and evaluating public health data systems at scale.
* Strong experience engaging with government agencies, donors, and international partners.
* Knowledge of disease control initiatives, public health interventions, and emergency response systems.
* Excellent leadership, communication, and team management skills.
* Excellent written and oral communication in English; proficiency in relevant local language(s) is an advantage.
* Good computer skills, including familiarity with Microsoft Office programs
* Excellent organizational, planning, negotiating and problem\-solving skills.
**Preferred Qualifications**
* Experience with USG funded public health programs is an advantage.
* Technical experience working in Nigeria and knowledge of local culture is a plus.
**ZemiTek** 
 is committed to the full inclusion of all qualified individuals. As part of this commitment, ZemiTek will ensure that persons with disabilities are provided reasonable accommodations. If you require reasonable accommodation in completing this application, interviewing, completing any pre\-employment testing, or otherwise participating in the employee selection process, please direct your inquiries to accommodations@zemitek.com.</t>
        </is>
      </c>
    </row>
    <row r="92">
      <c r="A92" t="inlineStr">
        <is>
          <t>li-4361125673</t>
        </is>
      </c>
      <c r="B92" t="inlineStr">
        <is>
          <t>Principal Data Scientist, AI Foundations</t>
        </is>
      </c>
      <c r="C92" t="inlineStr">
        <is>
          <t>Capital One</t>
        </is>
      </c>
      <c r="D92" t="inlineStr">
        <is>
          <t>linkedin</t>
        </is>
      </c>
      <c r="E92">
        <f>HYPERLINK("https://www.linkedin.com/jobs/view/4361125673", "https://www.linkedin.com/jobs/view/4361125673")</f>
        <v/>
      </c>
      <c r="F92" t="inlineStr"/>
      <c r="G92" t="inlineStr">
        <is>
          <t>McLean, VA</t>
        </is>
      </c>
      <c r="H92" t="inlineStr"/>
      <c r="I92"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Specialist Models Data Science team builds and ships state of the art scalable architecture, AI/ML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
**In this role, you will:**
* Partner with a cross\-functional team of data scientists, software engineers, machine learning engineers and product managers to deliver AI powered products that change how customers interact with their money.
* Leverage a broad stack of technologies — Pytorch, AWS Ultraclusters, Hugging Face, LangChain, Lightning, VectorDBs, and more — to reveal the insights hidden within huge volumes of numeric and textual data.
* Be the expert in Natural Language Processing (NLP) to harness the power of Large Language Models (LLMs), adapt and finetune them for customer facing applications and features.
* Build machine learning and NLP models through all phases of development, from design through training, evaluation, and validation; partnering with engineering teams to operationalize them in scalable and resilient production systems that serve 80\+ million customers.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or PhD in “STEM” field (Science, Technology, Engineering, or Mathematics)
*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Princ Associate, Data Science
 New York, NY: $173,000 \- $197,400 for Princ Associate, Data Science
 San Jose, CA: $173,000 \- $197,400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3">
      <c r="A93" t="inlineStr">
        <is>
          <t>li-4368037605</t>
        </is>
      </c>
      <c r="B93" t="inlineStr">
        <is>
          <t>Data Scientist (AI/ML Engineer)</t>
        </is>
      </c>
      <c r="C93" t="inlineStr">
        <is>
          <t>Jobs via Dice</t>
        </is>
      </c>
      <c r="D93" t="inlineStr">
        <is>
          <t>linkedin</t>
        </is>
      </c>
      <c r="E93">
        <f>HYPERLINK("https://www.linkedin.com/jobs/view/4368037605", "https://www.linkedin.com/jobs/view/4368037605")</f>
        <v/>
      </c>
      <c r="F93" t="inlineStr"/>
      <c r="G93" t="inlineStr">
        <is>
          <t>New York, NY</t>
        </is>
      </c>
      <c r="H93" t="inlineStr"/>
      <c r="I93" t="inlineStr">
        <is>
          <t>Dice is the leading career destination for tech experts at every stage of their careers. Our client, Fourways Consulting Services, is seeking the following. Apply via Dice today!
 Job Title: Data Scientist (AI/ML Engineer)
 Location: NYC \- Hybrid Onsite 2 Days/Week
 Duration: 12\+ Months Contract
 Description:
 Project \- Leveraging Llama to extract cybersecurity insights out of unstructured data from their ticketing system.
 Must have strong experience with:
 Llama
 Python
 Hadoop
 MCP
 Machine Learning (ML)
 They need a strong developer\- using llama and Hadoop (this is where the data sits), experience with MCP. They have various ways to pull the data out of their tickets but want someone who can come in and make recommendations on the best way to do it and then get it done. They have tight timelines.
 1st 6 months will be very heavy and then next 6 months will be a little easier doing day to day operations and maintenance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2026-02-03T01:11:06Z</dcterms:created>
  <dcterms:modified xsi:type="dcterms:W3CDTF">2026-02-03T01:11:06Z</dcterms:modified>
</cp:coreProperties>
</file>